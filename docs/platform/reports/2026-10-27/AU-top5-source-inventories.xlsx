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viders" sheetId="2" state="visible" r:id="rId2"/>
    <sheet xmlns:r="http://schemas.openxmlformats.org/officeDocument/2006/relationships" name="Ranked actions" sheetId="3" state="visible" r:id="rId3"/>
    <sheet xmlns:r="http://schemas.openxmlformats.org/officeDocument/2006/relationships" name="Sydney" sheetId="4" state="visible" r:id="rId4"/>
    <sheet xmlns:r="http://schemas.openxmlformats.org/officeDocument/2006/relationships" name="UNSW" sheetId="5" state="visible" r:id="rId5"/>
    <sheet xmlns:r="http://schemas.openxmlformats.org/officeDocument/2006/relationships" name="Macquarie" sheetId="6" state="visible" r:id="rId6"/>
    <sheet xmlns:r="http://schemas.openxmlformats.org/officeDocument/2006/relationships" name="ANU" sheetId="7" state="visible" r:id="rId7"/>
    <sheet xmlns:r="http://schemas.openxmlformats.org/officeDocument/2006/relationships" name="Melbourne" sheetId="8" state="visible" r:id="rId8"/>
    <sheet xmlns:r="http://schemas.openxmlformats.org/officeDocument/2006/relationships" name="Sources" sheetId="9" state="visible" r:id="rId9"/>
  </sheets>
  <definedNames>
    <definedName name="_xlnm._FilterDatabase" localSheetId="1" hidden="1">'Providers'!$A$1:$AJ$7</definedName>
    <definedName name="_xlnm._FilterDatabase" localSheetId="2" hidden="1">'Ranked actions'!$A$1:$K$22</definedName>
    <definedName name="_xlnm._FilterDatabase" localSheetId="3" hidden="1">'Sydney'!$A$1:$AM$656</definedName>
    <definedName name="_xlnm._FilterDatabase" localSheetId="4" hidden="1">'UNSW'!$A$1:$AM$668</definedName>
    <definedName name="_xlnm._FilterDatabase" localSheetId="5" hidden="1">'Macquarie'!$A$1:$AM$462</definedName>
    <definedName name="_xlnm._FilterDatabase" localSheetId="6" hidden="1">'ANU'!$A$1:$AM$424</definedName>
    <definedName name="_xlnm._FilterDatabase" localSheetId="7" hidden="1">'Melbourne'!$A$1:$AM$442</definedName>
    <definedName name="_xlnm._FilterDatabase" localSheetId="8" hidden="1">'Sources'!$A$1:$M$80</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b val="1"/>
      <sz val="14"/>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9" fontId="0" fillId="0" borderId="0" pivotButton="0" quotePrefix="0" xfId="0"/>
    <xf numFmtId="0" fontId="1" fillId="0" borderId="0" pivotButton="0" quotePrefix="0" xfId="0"/>
    <xf numFmtId="9"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30" customWidth="1" min="2" max="2"/>
  </cols>
  <sheetData>
    <row r="1">
      <c r="A1" s="1" t="inlineStr">
        <is>
          <t>Top five Australian universities: source inventories</t>
        </is>
      </c>
      <c r="B1" s="2" t="n"/>
    </row>
    <row r="2">
      <c r="A2" s="3" t="n"/>
      <c r="B2" s="2" t="n"/>
    </row>
    <row r="3">
      <c r="A3" s="3" t="inlineStr">
        <is>
          <t>Prepared</t>
        </is>
      </c>
      <c r="B3" s="2" t="inlineStr">
        <is>
          <t>27 Oct 2026, from the live CourseFinder (StudySearch PIM) database (Supabase project fxcwkweaxjtknorudmwp), read-only queries only. Per-field states come from pipeline.course_attribute_coverage (rebuilt hourly; this copy built 26 Oct 2026 19:47 UTC).</t>
        </is>
      </c>
    </row>
    <row r="4">
      <c r="A4" s="3" t="inlineStr">
        <is>
          <t>Scope</t>
        </is>
      </c>
      <c r="B4" s="2" t="inlineStr">
        <is>
          <t>Active courses at five published providers: The University of Sydney (655), UNSW Sydney (667), Macquarie University (461), Australian National University (423), The University of Melbourne (441). 2,647 courses in all.</t>
        </is>
      </c>
    </row>
    <row r="5">
      <c r="A5" s="3" t="inlineStr">
        <is>
          <t>What it answers</t>
        </is>
      </c>
      <c r="B5" s="2" t="inlineStr">
        <is>
          <t>For each university: which courses are advertised (have an official course page) and which are register-only or have no usable page; the state of the course page and its identity proof; the tuition, intake, English and delivery sources the platform holds, whether they are approved and which study levels they cover; and the entry-requirements sources. The "Ranked actions" sheet lists the courses each existing lane could still recover.</t>
        </is>
      </c>
    </row>
    <row r="6">
      <c r="A6" s="3" t="inlineStr">
        <is>
          <t>How to read it</t>
        </is>
      </c>
      <c r="B6" s="2" t="inlineStr">
        <is>
          <t>"Providers" has one row per university (counts are formulas over the detail sheets, so they update if you filter or correct a row). Each university has a detail sheet with one row per course. "Ranked actions" ranks provider-level actions by courses recoverable, then by evidence quality. "Sources" lists every fee, calendar and English source page and every approval or rejection record.</t>
        </is>
      </c>
    </row>
    <row r="7">
      <c r="A7" s="3" t="inlineStr">
        <is>
          <t>Advertised status</t>
        </is>
      </c>
      <c r="B7" s="2" t="inlineStr">
        <is>
          <t>"Advertised: official page in place" = the course has an active official course page. Other values say why not: a page was found but needs a rendered read; a page was read but not yet admitted; the page address no longer works (HTTP 404/403); the page found is for another course (held); a no-page record (conjoint or no page) is waiting for review; or no page was found at all. "Re-link lane result" shows whether the existing re-link lane has already finished without finding a page.</t>
        </is>
      </c>
    </row>
    <row r="8">
      <c r="A8" s="3" t="inlineStr">
        <is>
          <t>Register-only courses</t>
        </is>
      </c>
      <c r="B8" s="2" t="inlineStr">
        <is>
          <t>Courses on the CRICOS register with no official page. Whether a course appears on the university's own course list cannot be told per course: the course-list reader stores only page counts (for example Melbourne handbook 210 addresses, Macquarie handbook 177, UNSW postgraduate sitemap 289, Sydney 371), not which course each address belongs to.</t>
        </is>
      </c>
    </row>
    <row r="9">
      <c r="A9" s="3" t="inlineStr">
        <is>
          <t>Recoverable share</t>
        </is>
      </c>
      <c r="B9" s="2" t="inlineStr">
        <is>
          <t>Absolute "most missing" counts are not failure rates. Each action shows courses recoverable over that university's active courses.</t>
        </is>
      </c>
    </row>
    <row r="10">
      <c r="A10" s="3" t="inlineStr">
        <is>
          <t>Evidence quality</t>
        </is>
      </c>
      <c r="B10" s="2" t="inlineStr">
        <is>
          <t>1 = own-domain source with a dated quote; 2 = own-domain quote that is not dated, or months set by hand from an own-domain page; 3 = satellite page (college, campus or partner site); 4 = no quote stored. Lower is better.</t>
        </is>
      </c>
    </row>
    <row r="11">
      <c r="A11" s="3" t="inlineStr">
        <is>
          <t>Gates</t>
        </is>
      </c>
      <c r="B11" s="2" t="inlineStr">
        <is>
          <t>Automatic = the existing lane admits on its own. Layer 4 review = a person decides in Layer 4. Platform Admin decision = a rule or spending decision only the Platform Admin can make. This report proposes no new readers, no PDF work, no widening of providers and no application-deadline or description builds.</t>
        </is>
      </c>
    </row>
    <row r="12">
      <c r="A12" s="3" t="inlineStr">
        <is>
          <t>Rules referred to</t>
        </is>
      </c>
      <c r="B12" s="2" t="inlineStr">
        <is>
          <t>19 Oct 2026 Platform Admin "Undergraduate only": universities get calendar default months only at bachelor, bachelor honours, associate degree, diploma and advanced diploma. 22 Oct 2026 Platform Admin "Page-only months, no API change": intakes must match the official university website; 2,166 calendar intake rows were withdrawn platform-wide. 23 Oct 2026: delivery values read from another course's page or an earlier page were taken back.</t>
        </is>
      </c>
    </row>
    <row r="13">
      <c r="A13" s="3" t="n"/>
      <c r="B13" s="2" t="n"/>
    </row>
    <row r="14">
      <c r="A14" s="3" t="inlineStr">
        <is>
          <t>What could not be determined</t>
        </is>
      </c>
      <c r="B14" s="3" t="n"/>
    </row>
    <row r="15">
      <c r="A15" s="3" t="inlineStr">
        <is>
          <t>Intake dates</t>
        </is>
      </c>
      <c r="B15" s="2" t="inlineStr">
        <is>
          <t>catalogue.course_intakes has no timestamps, so when an intake row was written or withdrawn cannot be shown. "Intake rows withdrawn earlier" counts non-active rows only.</t>
        </is>
      </c>
    </row>
    <row r="16">
      <c r="A16" s="3" t="inlineStr">
        <is>
          <t>Fee schedule matching</t>
        </is>
      </c>
      <c r="B16" s="2" t="inlineStr">
        <is>
          <t>Sydney and UNSW fee pages show no course codes, so how many courses their rows would match (by title) cannot be counted until rows are kept. The stored page text was not read for this report (stored files are not reachable by read-only SQL).</t>
        </is>
      </c>
    </row>
    <row r="17">
      <c r="A17" s="3" t="inlineStr">
        <is>
          <t>Melbourne English</t>
        </is>
      </c>
      <c r="B17" s="2" t="inlineStr">
        <is>
          <t>Melbourne's approved English rule is a level map applied by a separate step; it was not re-planned per course here. Its last apply: 124 courses unchanged, 0 written, 441 held in the plan summary.</t>
        </is>
      </c>
    </row>
    <row r="18">
      <c r="A18" s="3" t="inlineStr">
        <is>
          <t>Why some values wait</t>
        </is>
      </c>
      <c r="B18" s="2" t="inlineStr">
        <is>
          <t>For "Value found, being checked" (candidate) the exact admission step is not recorded per course; they are listed under Layer 4 review.</t>
        </is>
      </c>
    </row>
    <row r="19">
      <c r="A19" s="3" t="inlineStr">
        <is>
          <t>Melbourne fee table skips</t>
        </is>
      </c>
      <c r="B19" s="2" t="inlineStr">
        <is>
          <t>Why the apply step skipped the 3 Melbourne courses that are in the 2027 fee table but have no fee is not recorded per course (the apply summary shows 584 rows with several amounts, 243 annual amounts used, 9 with no course).</t>
        </is>
      </c>
    </row>
    <row r="20">
      <c r="A20" s="3" t="inlineStr">
        <is>
          <t>Entry requirements</t>
        </is>
      </c>
      <c r="B20" s="2" t="inlineStr">
        <is>
          <t>No entry-requirements source is registered for any of the five (0 sources, 0 rows, 0 runs), so there is no HTML/PDF split to report beyond the related central pages listed on "Providers". Stored files are converted to text, so the original file type is taken from the address (".pdf").</t>
        </is>
      </c>
    </row>
    <row r="21">
      <c r="A21" s="3" t="n"/>
      <c r="B21" s="2" t="n"/>
    </row>
    <row r="22">
      <c r="A22" s="3" t="inlineStr">
        <is>
          <t>Field states (legend)</t>
        </is>
      </c>
      <c r="B22" s="3" t="n"/>
    </row>
    <row r="23">
      <c r="A23" s="3" t="inlineStr">
        <is>
          <t>State</t>
        </is>
      </c>
      <c r="B23" s="3" t="inlineStr">
        <is>
          <t>Meaning</t>
        </is>
      </c>
    </row>
    <row r="24">
      <c r="A24" s="3" t="inlineStr">
        <is>
          <t>Filled</t>
        </is>
      </c>
      <c r="B24" s="2" t="inlineStr">
        <is>
          <t>The field has a value.</t>
        </is>
      </c>
    </row>
    <row r="25">
      <c r="A25" s="3" t="inlineStr">
        <is>
          <t>Searching for course page</t>
        </is>
      </c>
      <c r="B25" s="2" t="inlineStr">
        <is>
          <t>The university website is known; the course page is not found yet.</t>
        </is>
      </c>
    </row>
    <row r="26">
      <c r="A26" s="3" t="inlineStr">
        <is>
          <t>Page found, being read</t>
        </is>
      </c>
      <c r="B26" s="2" t="inlineStr">
        <is>
          <t>A course page is bound; its value is not read or admitted yet (includes pages that need a rendered read or whose address no longer works).</t>
        </is>
      </c>
    </row>
    <row r="27">
      <c r="A27" s="3" t="inlineStr">
        <is>
          <t>Value found, being checked</t>
        </is>
      </c>
      <c r="B27" s="2" t="inlineStr">
        <is>
          <t>A value was read from a CRICOS-proved course page and is not admitted yet.</t>
        </is>
      </c>
    </row>
    <row r="28">
      <c r="A28" s="3" t="inlineStr">
        <is>
          <t>Waiting for AI reading (Layer 3, now retired)</t>
        </is>
      </c>
      <c r="B28" s="2" t="inlineStr">
        <is>
          <t>Queued for Layer 3, which was retired on 15 Oct; these items do not move on their own.</t>
        </is>
      </c>
    </row>
    <row r="29">
      <c r="A29" s="3" t="inlineStr">
        <is>
          <t>Waiting for Layer 4 review</t>
        </is>
      </c>
      <c r="B29" s="2" t="inlineStr">
        <is>
          <t>A person decides in Layer 4.</t>
        </is>
      </c>
    </row>
    <row r="30">
      <c r="A30" s="3" t="inlineStr">
        <is>
          <t>Not stated on course page</t>
        </is>
      </c>
      <c r="B30" s="2" t="inlineStr">
        <is>
          <t>The page was read and does not state it, or no allowed source had a value.</t>
        </is>
      </c>
    </row>
    <row r="31">
      <c r="A31" s="3" t="inlineStr">
        <is>
          <t>Blocked: needs a person</t>
        </is>
      </c>
      <c r="B31" s="2" t="inlineStr">
        <is>
          <t>Held by a rule (for example the site blocks reading).</t>
        </is>
      </c>
    </row>
    <row r="32">
      <c r="A32" s="3" t="inlineStr">
        <is>
          <t>Not in the CRICOS register</t>
        </is>
      </c>
      <c r="B32" s="2" t="inlineStr">
        <is>
          <t>The register gives no value.</t>
        </is>
      </c>
    </row>
    <row r="33">
      <c r="A33" s="3" t="inlineStr">
        <is>
          <t>Reader not built yet</t>
        </is>
      </c>
      <c r="B33" s="2" t="inlineStr">
        <is>
          <t>No reader exists for this field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7"/>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60" customWidth="1" min="29" max="29"/>
    <col width="50" customWidth="1" min="30" max="30"/>
    <col width="60" customWidth="1" min="31" max="31"/>
    <col width="14" customWidth="1" min="32" max="32"/>
    <col width="40" customWidth="1" min="33" max="33"/>
    <col width="60" customWidth="1" min="34" max="34"/>
    <col width="40" customWidth="1" min="35" max="35"/>
    <col width="50" customWidth="1" min="36" max="36"/>
  </cols>
  <sheetData>
    <row r="1" ht="75" customHeight="1">
      <c r="A1" s="4" t="inlineStr">
        <is>
          <t>Provider</t>
        </is>
      </c>
      <c r="B1" s="4" t="inlineStr">
        <is>
          <t>Active courses</t>
        </is>
      </c>
      <c r="C1" s="4" t="inlineStr">
        <is>
          <t>Advertised: official page in place</t>
        </is>
      </c>
      <c r="D1" s="4" t="inlineStr">
        <is>
          <t>Page found, needs a rendered read</t>
        </is>
      </c>
      <c r="E1" s="4" t="inlineStr">
        <is>
          <t>Page read, not yet admitted</t>
        </is>
      </c>
      <c r="F1" s="4" t="inlineStr">
        <is>
          <t>Page address no longer works</t>
        </is>
      </c>
      <c r="G1" s="4" t="inlineStr">
        <is>
          <t>Held: page found is for another course</t>
        </is>
      </c>
      <c r="H1" s="4" t="inlineStr">
        <is>
          <t>No-page record (conjoint or no page)</t>
        </is>
      </c>
      <c r="I1" s="4" t="inlineStr">
        <is>
          <t>No page found</t>
        </is>
      </c>
      <c r="J1" s="4" t="inlineStr">
        <is>
          <t>Not advertised or no usable page (total)</t>
        </is>
      </c>
      <c r="K1" s="4" t="inlineStr">
        <is>
          <t>% advertised</t>
        </is>
      </c>
      <c r="L1" s="4" t="inlineStr">
        <is>
          <t>Re-link lane finished with no page</t>
        </is>
      </c>
      <c r="M1" s="4" t="inlineStr">
        <is>
          <t>International fee admitted</t>
        </is>
      </c>
      <c r="N1" s="4" t="inlineStr">
        <is>
          <t>In approved fee schedule (CRICOS match)</t>
        </is>
      </c>
      <c r="O1" s="4" t="inlineStr">
        <is>
          <t>In schedule but no fee yet</t>
        </is>
      </c>
      <c r="P1" s="4" t="inlineStr">
        <is>
          <t>English filled</t>
        </is>
      </c>
      <c r="Q1" s="4" t="inlineStr">
        <is>
          <t>English from central policy</t>
        </is>
      </c>
      <c r="R1" s="4" t="inlineStr">
        <is>
          <t>English from course page or adapter</t>
        </is>
      </c>
      <c r="S1" s="4" t="inlineStr">
        <is>
          <t>Course page disagrees with central English</t>
        </is>
      </c>
      <c r="T1" s="4" t="inlineStr">
        <is>
          <t>Intakes filled</t>
        </is>
      </c>
      <c r="U1" s="4" t="inlineStr">
        <is>
          <t>Intakes from course page or adapter</t>
        </is>
      </c>
      <c r="V1" s="4" t="inlineStr">
        <is>
          <t>No intakes</t>
        </is>
      </c>
      <c r="W1" s="4" t="inlineStr">
        <is>
          <t>No intakes, calendar level (undergraduate/diploma)</t>
        </is>
      </c>
      <c r="X1" s="4" t="inlineStr">
        <is>
          <t>No intakes, other levels</t>
        </is>
      </c>
      <c r="Y1" s="4" t="inlineStr">
        <is>
          <t>Undergraduate with page, calendar intakes withdrawn (22 Oct)</t>
        </is>
      </c>
      <c r="Z1" s="4" t="inlineStr">
        <is>
          <t>Delivery mode filled</t>
        </is>
      </c>
      <c r="AA1" s="4" t="inlineStr">
        <is>
          <t>Delivery not stated on page</t>
        </is>
      </c>
      <c r="AB1" s="4" t="inlineStr">
        <is>
          <t>Delivery taken back 23 Oct (courses)</t>
        </is>
      </c>
      <c r="AC1" s="4" t="inlineStr">
        <is>
          <t>Fee schedule source(s)</t>
        </is>
      </c>
      <c r="AD1" s="4" t="inlineStr">
        <is>
          <t>Fee schedule matching key vs course keys</t>
        </is>
      </c>
      <c r="AE1" s="4" t="inlineStr">
        <is>
          <t>Approved calendar(s)</t>
        </is>
      </c>
      <c r="AF1" s="4" t="inlineStr">
        <is>
          <t>Default start months</t>
        </is>
      </c>
      <c r="AG1" s="4" t="inlineStr">
        <is>
          <t>Calendar study-level rule</t>
        </is>
      </c>
      <c r="AH1" s="4" t="inlineStr">
        <is>
          <t>Approved English policy</t>
        </is>
      </c>
      <c r="AI1" s="4" t="inlineStr">
        <is>
          <t>English levels covered</t>
        </is>
      </c>
      <c r="AJ1" s="4" t="inlineStr">
        <is>
          <t>Entry-requirements sources (HTML / PDF)</t>
        </is>
      </c>
    </row>
    <row r="2">
      <c r="A2" t="inlineStr">
        <is>
          <t>The University of Sydney</t>
        </is>
      </c>
      <c r="B2">
        <f>COUNTA('Sydney'!$A$2:$A$656)</f>
        <v/>
      </c>
      <c r="C2">
        <f>COUNTIF('Sydney'!$E$2:$E$656,"Advertised: official page in place")</f>
        <v/>
      </c>
      <c r="D2">
        <f>COUNTIF('Sydney'!$E$2:$E$656,"Page found, needs a rendered read")</f>
        <v/>
      </c>
      <c r="E2">
        <f>COUNTIF('Sydney'!$E$2:$E$656,"Page read, not yet admitted")</f>
        <v/>
      </c>
      <c r="F2">
        <f>COUNTIF('Sydney'!$E$2:$E$656,"Page address no longer works")</f>
        <v/>
      </c>
      <c r="G2">
        <f>COUNTIF('Sydney'!$E$2:$E$656,"Held: page found is for another course")</f>
        <v/>
      </c>
      <c r="H2">
        <f>COUNTIF('Sydney'!$E$2:$E$656,"No-page record*")</f>
        <v/>
      </c>
      <c r="I2">
        <f>COUNTIF('Sydney'!$E$2:$E$656,"No page found")</f>
        <v/>
      </c>
      <c r="J2">
        <f>B2-C2</f>
        <v/>
      </c>
      <c r="K2" s="5">
        <f>IF(B2=0,0,C2/B2)</f>
        <v/>
      </c>
      <c r="L2">
        <f>COUNTIFS('Sydney'!$K$2:$K$656,"Finished, no page*",'Sydney'!$E$2:$E$656,"&lt;&gt;Advertised: official page in place")</f>
        <v/>
      </c>
      <c r="M2">
        <f>COUNTIF('Sydney'!$M$2:$M$656,"Filled")</f>
        <v/>
      </c>
      <c r="N2">
        <f>COUNTIF('Sydney'!$O$2:$O$656,"&gt;0")</f>
        <v/>
      </c>
      <c r="O2">
        <f>COUNTIFS('Sydney'!$O$2:$O$656,"&gt;0",'Sydney'!$M$2:$M$656,"&lt;&gt;Filled")</f>
        <v/>
      </c>
      <c r="P2">
        <f>COUNTIF('Sydney'!$Q$2:$Q$656,"Filled")</f>
        <v/>
      </c>
      <c r="Q2">
        <f>COUNTIF('Sydney'!$S$2:$S$656,"Central English policy")</f>
        <v/>
      </c>
      <c r="R2">
        <f>COUNTIF('Sydney'!$S$2:$S$656,"Page reader")+COUNTIF('Sydney'!$S$2:$S$656,"University adapter")</f>
        <v/>
      </c>
      <c r="S2">
        <f>COUNTIF('Sydney'!$U$2:$U$656,"Yes*")</f>
        <v/>
      </c>
      <c r="T2">
        <f>COUNTIF('Sydney'!$V$2:$V$656,"Filled")</f>
        <v/>
      </c>
      <c r="U2">
        <f>COUNTIF('Sydney'!$X$2:$X$656,"Page reader")+COUNTIF('Sydney'!$X$2:$X$656,"University adapter")</f>
        <v/>
      </c>
      <c r="V2">
        <f>B2-T2</f>
        <v/>
      </c>
      <c r="W2">
        <f>COUNTIFS('Sydney'!$V$2:$V$656,"&lt;&gt;Filled",'Sydney'!$Z$2:$Z$656,"Yes")</f>
        <v/>
      </c>
      <c r="X2">
        <f>COUNTIFS('Sydney'!$V$2:$V$656,"&lt;&gt;Filled",'Sydney'!$Z$2:$Z$656,"No")</f>
        <v/>
      </c>
      <c r="Y2">
        <f>COUNTIF('Sydney'!$AH$2:$AH$656,"Yes")</f>
        <v/>
      </c>
      <c r="Z2">
        <f>COUNTIF('Sydney'!$AA$2:$AA$656,"Filled")</f>
        <v/>
      </c>
      <c r="AA2">
        <f>COUNTIF('Sydney'!$AA$2:$AA$656,"Not stated on course page")</f>
        <v/>
      </c>
      <c r="AB2">
        <f>COUNTIF('Sydney'!$AD$2:$AD$656,"&gt;0")</f>
        <v/>
      </c>
      <c r="AC2" s="2" t="inlineStr">
        <is>
          <t>sydney.edu.au/study/fees-and-loans/international-student-tuition-fees.html (HTML, own domain). Status: no values; 1 read attempt, read 1 Oct 2026; 41 table rows, 0 course codes seen, fee year 2026. Fee reader (26 Oct) read 41 rows but their quotes were not found on the page; 0 fee rows kept. 3 other fee pages: no values (one is a test page).</t>
        </is>
      </c>
      <c r="AD2" s="2" t="inlineStr">
        <is>
          <t>Schedule shows no course codes (0 seen), so it could only match by title or faculty. Courses carry CRICOS code, title and study level; no faculty field is held. Match count cannot be determined until the rows are kept.</t>
        </is>
      </c>
      <c r="AE2" s="2" t="inlineStr">
        <is>
          <t>(1) Set by hand 7 Oct, Platform Admin approved: Semester 1 Feb, Semester 2 Aug (source address: student wall calendar PDF). (2) Auto-approved 23 Oct: sydney.edu.au/study/applying/application-dates.html, dated quotes "Semester 1 | 23 February 2026", "Semester 2 | 3 August 2026". Own domain.</t>
        </is>
      </c>
      <c r="AF2" s="2" t="inlineStr">
        <is>
          <t>Feb, Aug</t>
        </is>
      </c>
      <c r="AG2" s="2" t="inlineStr">
        <is>
          <t>Universities get default months only at bachelor, bachelor honours, associate degree, diploma, advanced diploma (Platform Admin 19 Oct "Undergraduate only"). Since 22 Oct "Page-only months" calendar months were withdrawn (2,166 rows platform-wide): intakes must come from the course page.</t>
        </is>
      </c>
      <c r="AH2" s="2" t="inlineStr">
        <is>
          <t>sydney.edu.au English language requirements page (HTML, own domain). Two approvals: 2 Oct (rule-based parser, no decision note) undergraduate + postgraduate IELTS 6.5 (no band below 6.0); 15 Oct (automatic AI reading) research 6.5. Caveats: "some faculties and courses have different requirements".</t>
        </is>
      </c>
      <c r="AI2" s="2" t="inlineStr">
        <is>
          <t>Undergraduate, postgraduate, research. Not covered: diploma, non-award; double degrees across levels are held.</t>
        </is>
      </c>
      <c r="AJ2" s="2" t="inlineStr">
        <is>
          <t>None registered: 0 entry-requirements (entry matrix) sources, 0 entry matrix rows, 0 runs. Academic entry is "Reader not built yet" for every course. Related central pages held under other kinds: English proficiency tables (PDF); English requirements pages (HTML).</t>
        </is>
      </c>
    </row>
    <row r="3">
      <c r="A3" t="inlineStr">
        <is>
          <t>UNSW Sydney</t>
        </is>
      </c>
      <c r="B3">
        <f>COUNTA('UNSW'!$A$2:$A$668)</f>
        <v/>
      </c>
      <c r="C3">
        <f>COUNTIF('UNSW'!$E$2:$E$668,"Advertised: official page in place")</f>
        <v/>
      </c>
      <c r="D3">
        <f>COUNTIF('UNSW'!$E$2:$E$668,"Page found, needs a rendered read")</f>
        <v/>
      </c>
      <c r="E3">
        <f>COUNTIF('UNSW'!$E$2:$E$668,"Page read, not yet admitted")</f>
        <v/>
      </c>
      <c r="F3">
        <f>COUNTIF('UNSW'!$E$2:$E$668,"Page address no longer works")</f>
        <v/>
      </c>
      <c r="G3">
        <f>COUNTIF('UNSW'!$E$2:$E$668,"Held: page found is for another course")</f>
        <v/>
      </c>
      <c r="H3">
        <f>COUNTIF('UNSW'!$E$2:$E$668,"No-page record*")</f>
        <v/>
      </c>
      <c r="I3">
        <f>COUNTIF('UNSW'!$E$2:$E$668,"No page found")</f>
        <v/>
      </c>
      <c r="J3">
        <f>B3-C3</f>
        <v/>
      </c>
      <c r="K3" s="5">
        <f>IF(B3=0,0,C3/B3)</f>
        <v/>
      </c>
      <c r="L3">
        <f>COUNTIFS('UNSW'!$K$2:$K$668,"Finished, no page*",'UNSW'!$E$2:$E$668,"&lt;&gt;Advertised: official page in place")</f>
        <v/>
      </c>
      <c r="M3">
        <f>COUNTIF('UNSW'!$M$2:$M$668,"Filled")</f>
        <v/>
      </c>
      <c r="N3">
        <f>COUNTIF('UNSW'!$O$2:$O$668,"&gt;0")</f>
        <v/>
      </c>
      <c r="O3">
        <f>COUNTIFS('UNSW'!$O$2:$O$668,"&gt;0",'UNSW'!$M$2:$M$668,"&lt;&gt;Filled")</f>
        <v/>
      </c>
      <c r="P3">
        <f>COUNTIF('UNSW'!$Q$2:$Q$668,"Filled")</f>
        <v/>
      </c>
      <c r="Q3">
        <f>COUNTIF('UNSW'!$S$2:$S$668,"Central English policy")</f>
        <v/>
      </c>
      <c r="R3">
        <f>COUNTIF('UNSW'!$S$2:$S$668,"Page reader")+COUNTIF('UNSW'!$S$2:$S$668,"University adapter")</f>
        <v/>
      </c>
      <c r="S3">
        <f>COUNTIF('UNSW'!$U$2:$U$668,"Yes*")</f>
        <v/>
      </c>
      <c r="T3">
        <f>COUNTIF('UNSW'!$V$2:$V$668,"Filled")</f>
        <v/>
      </c>
      <c r="U3">
        <f>COUNTIF('UNSW'!$X$2:$X$668,"Page reader")+COUNTIF('UNSW'!$X$2:$X$668,"University adapter")</f>
        <v/>
      </c>
      <c r="V3">
        <f>B3-T3</f>
        <v/>
      </c>
      <c r="W3">
        <f>COUNTIFS('UNSW'!$V$2:$V$668,"&lt;&gt;Filled",'UNSW'!$Z$2:$Z$668,"Yes")</f>
        <v/>
      </c>
      <c r="X3">
        <f>COUNTIFS('UNSW'!$V$2:$V$668,"&lt;&gt;Filled",'UNSW'!$Z$2:$Z$668,"No")</f>
        <v/>
      </c>
      <c r="Y3">
        <f>COUNTIF('UNSW'!$AH$2:$AH$668,"Yes")</f>
        <v/>
      </c>
      <c r="Z3">
        <f>COUNTIF('UNSW'!$AA$2:$AA$668,"Filled")</f>
        <v/>
      </c>
      <c r="AA3">
        <f>COUNTIF('UNSW'!$AA$2:$AA$668,"Not stated on course page")</f>
        <v/>
      </c>
      <c r="AB3">
        <f>COUNTIF('UNSW'!$AD$2:$AD$668,"&gt;0")</f>
        <v/>
      </c>
      <c r="AC3" s="2" t="inlineStr">
        <is>
          <t>unsw.edu.au/student/managing-your-studies/fees/international (HTML, own domain). Status: no values; 1 attempt, read 1 Oct 2026; 327 table rows, 0 course codes seen, fee year 2026. Fee reader (26 Oct): no rows. 4 other fee pages (incl. 2 archives): no values. Admitted fees come from course pages (adapter 279, page reader 19).</t>
        </is>
      </c>
      <c r="AD3" s="2" t="inlineStr">
        <is>
          <t>Schedule shows no CRICOS codes (0 seen). Courses carry CRICOS code, title, study level; UNSW programme codes appear only inside some page addresses. Match count not determinable.</t>
        </is>
      </c>
      <c r="AE3" s="2" t="inlineStr">
        <is>
          <t>(1) Set by hand 7 Oct, Platform Admin approved: UNSW academic calendar Term 1 Feb, Term 2 Jun, Term 3 Sep (own domain, no stored quote). (2) Auto-approved 14 Oct: key-dates page, quote "Term 1 March 2023" (out of date). (3) Auto-approved 23 Oct: unswglobal.unsw.edu.au key dates (UNSW College, a satellite page): Term 1-3 2027, Semester 1-2 2028.</t>
        </is>
      </c>
      <c r="AF3" s="2" t="inlineStr">
        <is>
          <t>Feb, Jun</t>
        </is>
      </c>
      <c r="AG3" s="2" t="inlineStr">
        <is>
          <t>Universities get default months only at bachelor, bachelor honours, associate degree, diploma, advanced diploma (Platform Admin 19 Oct "Undergraduate only"). Since 22 Oct "Page-only months" calendar months were withdrawn (2,166 rows platform-wide): intakes must come from the course page.</t>
        </is>
      </c>
      <c r="AH3" s="2" t="inlineStr">
        <is>
          <t>APPROVED source is unsw.edu.au/bengaluru English requirements (UNSW India campus page, satellite), approved 2 Oct by the rule-based parser (no decision note): undergraduate + postgraduate IELTS 6.0 (5.5 each). On 17 Oct the Platform Admin REJECTED a later reading of the same Bengaluru page ("India campus page, not the Sydney policy") and the Sydney page reading ("one faculty row ... 429 course pages differ"). The 2 Oct approval is still in force.</t>
        </is>
      </c>
      <c r="AI3" s="2" t="inlineStr">
        <is>
          <t>Undergraduate, postgraduate only (no research default). Diploma, non-award held.</t>
        </is>
      </c>
      <c r="AJ3" s="2" t="inlineStr">
        <is>
          <t>None registered: 0 entry-requirements (entry matrix) sources, 0 entry matrix rows, 0 runs. Academic entry is "Reader not built yet" for every course. Related central pages held under other kinds: International entry requirements page (HTML, held as an English source).</t>
        </is>
      </c>
    </row>
    <row r="4">
      <c r="A4" t="inlineStr">
        <is>
          <t>Macquarie University</t>
        </is>
      </c>
      <c r="B4">
        <f>COUNTA('Macquarie'!$A$2:$A$462)</f>
        <v/>
      </c>
      <c r="C4">
        <f>COUNTIF('Macquarie'!$E$2:$E$462,"Advertised: official page in place")</f>
        <v/>
      </c>
      <c r="D4">
        <f>COUNTIF('Macquarie'!$E$2:$E$462,"Page found, needs a rendered read")</f>
        <v/>
      </c>
      <c r="E4">
        <f>COUNTIF('Macquarie'!$E$2:$E$462,"Page read, not yet admitted")</f>
        <v/>
      </c>
      <c r="F4">
        <f>COUNTIF('Macquarie'!$E$2:$E$462,"Page address no longer works")</f>
        <v/>
      </c>
      <c r="G4">
        <f>COUNTIF('Macquarie'!$E$2:$E$462,"Held: page found is for another course")</f>
        <v/>
      </c>
      <c r="H4">
        <f>COUNTIF('Macquarie'!$E$2:$E$462,"No-page record*")</f>
        <v/>
      </c>
      <c r="I4">
        <f>COUNTIF('Macquarie'!$E$2:$E$462,"No page found")</f>
        <v/>
      </c>
      <c r="J4">
        <f>B4-C4</f>
        <v/>
      </c>
      <c r="K4" s="5">
        <f>IF(B4=0,0,C4/B4)</f>
        <v/>
      </c>
      <c r="L4">
        <f>COUNTIFS('Macquarie'!$K$2:$K$462,"Finished, no page*",'Macquarie'!$E$2:$E$462,"&lt;&gt;Advertised: official page in place")</f>
        <v/>
      </c>
      <c r="M4">
        <f>COUNTIF('Macquarie'!$M$2:$M$462,"Filled")</f>
        <v/>
      </c>
      <c r="N4">
        <f>COUNTIF('Macquarie'!$O$2:$O$462,"&gt;0")</f>
        <v/>
      </c>
      <c r="O4">
        <f>COUNTIFS('Macquarie'!$O$2:$O$462,"&gt;0",'Macquarie'!$M$2:$M$462,"&lt;&gt;Filled")</f>
        <v/>
      </c>
      <c r="P4">
        <f>COUNTIF('Macquarie'!$Q$2:$Q$462,"Filled")</f>
        <v/>
      </c>
      <c r="Q4">
        <f>COUNTIF('Macquarie'!$S$2:$S$462,"Central English policy")</f>
        <v/>
      </c>
      <c r="R4">
        <f>COUNTIF('Macquarie'!$S$2:$S$462,"Page reader")+COUNTIF('Macquarie'!$S$2:$S$462,"University adapter")</f>
        <v/>
      </c>
      <c r="S4">
        <f>COUNTIF('Macquarie'!$U$2:$U$462,"Yes*")</f>
        <v/>
      </c>
      <c r="T4">
        <f>COUNTIF('Macquarie'!$V$2:$V$462,"Filled")</f>
        <v/>
      </c>
      <c r="U4">
        <f>COUNTIF('Macquarie'!$X$2:$X$462,"Page reader")+COUNTIF('Macquarie'!$X$2:$X$462,"University adapter")</f>
        <v/>
      </c>
      <c r="V4">
        <f>B4-T4</f>
        <v/>
      </c>
      <c r="W4">
        <f>COUNTIFS('Macquarie'!$V$2:$V$462,"&lt;&gt;Filled",'Macquarie'!$Z$2:$Z$462,"Yes")</f>
        <v/>
      </c>
      <c r="X4">
        <f>COUNTIFS('Macquarie'!$V$2:$V$462,"&lt;&gt;Filled",'Macquarie'!$Z$2:$Z$462,"No")</f>
        <v/>
      </c>
      <c r="Y4">
        <f>COUNTIFS('Macquarie'!$V$2:$V$462,"&lt;&gt;Filled",'Macquarie'!$Z$2:$Z$462,"Yes",'Macquarie'!$Y$2:$Y$462,"&gt;0",'Macquarie'!$E$2:$E$462,"Advertised: official page in place")</f>
        <v/>
      </c>
      <c r="Z4">
        <f>COUNTIF('Macquarie'!$AA$2:$AA$462,"Filled")</f>
        <v/>
      </c>
      <c r="AA4">
        <f>COUNTIF('Macquarie'!$AA$2:$AA$462,"Not stated on course page")</f>
        <v/>
      </c>
      <c r="AB4">
        <f>COUNTIF('Macquarie'!$AD$2:$AD$462,"&gt;0")</f>
        <v/>
      </c>
      <c r="AC4" s="2" t="inlineStr">
        <is>
          <t>mq.edu.au/study/admissions-and-entry/fees-and-costs/international (HTML, own domain). Status: no values; 1 attempt, read 1 Oct 2026; 0 table rows. 2 other pages (incl. refund policy): no values. Fee reader (26 Oct): no rows. No admitted fees.</t>
        </is>
      </c>
      <c r="AD4" s="2" t="inlineStr">
        <is>
          <t>No fee table on the central pages, so no matching key. Courses carry CRICOS code, title, study level.</t>
        </is>
      </c>
      <c r="AE4" s="2" t="inlineStr">
        <is>
          <t>Only approved calendar (auto, 14 Oct) is the English language programs dates page (9 "English Block" start dates, 2026). It is not a degree calendar. The two degree date pages (students.mq.edu.au) gave no values.</t>
        </is>
      </c>
      <c r="AF4" s="2" t="inlineStr">
        <is>
          <t>None (no semester/term 1 period in the approved calendar)</t>
        </is>
      </c>
      <c r="AG4" s="2" t="inlineStr">
        <is>
          <t>Universities get default months only at bachelor, bachelor honours, associate degree, diploma, advanced diploma (Platform Admin 19 Oct "Undergraduate only"). Since 22 Oct "Page-only months" calendar months were withdrawn (2,166 rows platform-wide): intakes must come from the course page.</t>
        </is>
      </c>
      <c r="AH4" s="2" t="inlineStr">
        <is>
          <t>Two automatic AI approvals (14 Oct): mq.edu.au English language requirements (HTML) undergraduate + postgraduate IELTS 6.5; graduate research Schedule 1 (PDF, own domain) research 6.5.</t>
        </is>
      </c>
      <c r="AI4" s="2" t="inlineStr">
        <is>
          <t>Undergraduate, postgraduate, research. Diploma, non-award held; 213 double degrees held.</t>
        </is>
      </c>
      <c r="AJ4" s="2" t="inlineStr">
        <is>
          <t>None registered: 0 entry-requirements (entry matrix) sources, 0 entry matrix rows, 0 runs. Academic entry is "Reader not built yet" for every course. Related central pages held under other kinds: International academic requirements page (HTML, held as an English source); graduate research English schedule (PDF).</t>
        </is>
      </c>
    </row>
    <row r="5">
      <c r="A5" t="inlineStr">
        <is>
          <t>Australian National University</t>
        </is>
      </c>
      <c r="B5">
        <f>COUNTA('ANU'!$A$2:$A$424)</f>
        <v/>
      </c>
      <c r="C5">
        <f>COUNTIF('ANU'!$E$2:$E$424,"Advertised: official page in place")</f>
        <v/>
      </c>
      <c r="D5">
        <f>COUNTIF('ANU'!$E$2:$E$424,"Page found, needs a rendered read")</f>
        <v/>
      </c>
      <c r="E5">
        <f>COUNTIF('ANU'!$E$2:$E$424,"Page read, not yet admitted")</f>
        <v/>
      </c>
      <c r="F5">
        <f>COUNTIF('ANU'!$E$2:$E$424,"Page address no longer works")</f>
        <v/>
      </c>
      <c r="G5">
        <f>COUNTIF('ANU'!$E$2:$E$424,"Held: page found is for another course")</f>
        <v/>
      </c>
      <c r="H5">
        <f>COUNTIF('ANU'!$E$2:$E$424,"No-page record*")</f>
        <v/>
      </c>
      <c r="I5">
        <f>COUNTIF('ANU'!$E$2:$E$424,"No page found")</f>
        <v/>
      </c>
      <c r="J5">
        <f>B5-C5</f>
        <v/>
      </c>
      <c r="K5" s="5">
        <f>IF(B5=0,0,C5/B5)</f>
        <v/>
      </c>
      <c r="L5">
        <f>COUNTIFS('ANU'!$K$2:$K$424,"Finished, no page*",'ANU'!$E$2:$E$424,"&lt;&gt;Advertised: official page in place")</f>
        <v/>
      </c>
      <c r="M5">
        <f>COUNTIF('ANU'!$M$2:$M$424,"Filled")</f>
        <v/>
      </c>
      <c r="N5">
        <f>COUNTIF('ANU'!$O$2:$O$424,"&gt;0")</f>
        <v/>
      </c>
      <c r="O5">
        <f>COUNTIFS('ANU'!$O$2:$O$424,"&gt;0",'ANU'!$M$2:$M$424,"&lt;&gt;Filled")</f>
        <v/>
      </c>
      <c r="P5">
        <f>COUNTIF('ANU'!$Q$2:$Q$424,"Filled")</f>
        <v/>
      </c>
      <c r="Q5">
        <f>COUNTIF('ANU'!$S$2:$S$424,"Central English policy")</f>
        <v/>
      </c>
      <c r="R5">
        <f>COUNTIF('ANU'!$S$2:$S$424,"Page reader")+COUNTIF('ANU'!$S$2:$S$424,"University adapter")</f>
        <v/>
      </c>
      <c r="S5">
        <f>COUNTIF('ANU'!$U$2:$U$424,"Yes*")</f>
        <v/>
      </c>
      <c r="T5">
        <f>COUNTIF('ANU'!$V$2:$V$424,"Filled")</f>
        <v/>
      </c>
      <c r="U5">
        <f>COUNTIF('ANU'!$X$2:$X$424,"Page reader")+COUNTIF('ANU'!$X$2:$X$424,"University adapter")</f>
        <v/>
      </c>
      <c r="V5">
        <f>B5-T5</f>
        <v/>
      </c>
      <c r="W5">
        <f>COUNTIFS('ANU'!$V$2:$V$424,"&lt;&gt;Filled",'ANU'!$Z$2:$Z$424,"Yes")</f>
        <v/>
      </c>
      <c r="X5">
        <f>COUNTIFS('ANU'!$V$2:$V$424,"&lt;&gt;Filled",'ANU'!$Z$2:$Z$424,"No")</f>
        <v/>
      </c>
      <c r="Y5">
        <f>COUNTIFS('ANU'!$V$2:$V$424,"&lt;&gt;Filled",'ANU'!$Z$2:$Z$424,"Yes",'ANU'!$Y$2:$Y$424,"&gt;0",'ANU'!$E$2:$E$424,"Advertised: official page in place")</f>
        <v/>
      </c>
      <c r="Z5">
        <f>COUNTIF('ANU'!$AA$2:$AA$424,"Filled")</f>
        <v/>
      </c>
      <c r="AA5">
        <f>COUNTIF('ANU'!$AA$2:$AA$424,"Not stated on course page")</f>
        <v/>
      </c>
      <c r="AB5">
        <f>COUNTIF('ANU'!$AD$2:$AD$424,"&gt;0")</f>
        <v/>
      </c>
      <c r="AC5" s="2" t="inlineStr">
        <is>
          <t>anu.edu.au/students/program-administration/fees-payments/international-tuition-fees (HTML, own domain). Status: no values; 1 attempt, read 1 Oct 2026; 0 table rows, fee year 2026. 3 other pages: no values. Admitted fees come from course pages (adapter 351, other 14).</t>
        </is>
      </c>
      <c r="AD5" s="2" t="inlineStr">
        <is>
          <t>No fee table on the central pages, so no matching key. Courses carry CRICOS code, title, study level.</t>
        </is>
      </c>
      <c r="AE5" s="2" t="inlineStr">
        <is>
          <t>None approved. All three pages (CBE key dates, university calendar 2026 and 2027) gave no values.</t>
        </is>
      </c>
      <c r="AF5" s="2" t="inlineStr">
        <is>
          <t>None (no semester/term 1 period in the approved calendar)</t>
        </is>
      </c>
      <c r="AG5" s="2" t="inlineStr">
        <is>
          <t>Universities get default months only at bachelor, bachelor honours, associate degree, diploma, advanced diploma (Platform Admin 19 Oct "Undergraduate only"). Since 22 Oct "Page-only months" calendar months were withdrawn (2,166 rows platform-wide): intakes must come from the course page.</t>
        </is>
      </c>
      <c r="AH5" s="2" t="inlineStr">
        <is>
          <t>policies.anu.edu.au English language admission requirements policy (HTML, own domain), written out by hand from the stored page; Platform Admin approved 17 Oct (Decision 264): undergraduate, postgraduate, research IELTS 6.5 (6.0 each) + 4 named exceptions.</t>
        </is>
      </c>
      <c r="AI5" s="2" t="inlineStr">
        <is>
          <t>Undergraduate, postgraduate, research (+4 named courses). Diploma, non-award held.</t>
        </is>
      </c>
      <c r="AJ5" s="2" t="inlineStr">
        <is>
          <t>None registered: 0 entry-requirements (entry matrix) sources, 0 entry matrix rows, 0 runs. Academic entry is "Reader not built yet" for every course. Related central pages held under other kinds: English requirements, ANU policy library and English language program pages (all HTML).</t>
        </is>
      </c>
    </row>
    <row r="6">
      <c r="A6" t="inlineStr">
        <is>
          <t>The University of Melbourne</t>
        </is>
      </c>
      <c r="B6">
        <f>COUNTA('Melbourne'!$A$2:$A$442)</f>
        <v/>
      </c>
      <c r="C6">
        <f>COUNTIF('Melbourne'!$E$2:$E$442,"Advertised: official page in place")</f>
        <v/>
      </c>
      <c r="D6">
        <f>COUNTIF('Melbourne'!$E$2:$E$442,"Page found, needs a rendered read")</f>
        <v/>
      </c>
      <c r="E6">
        <f>COUNTIF('Melbourne'!$E$2:$E$442,"Page read, not yet admitted")</f>
        <v/>
      </c>
      <c r="F6">
        <f>COUNTIF('Melbourne'!$E$2:$E$442,"Page address no longer works")</f>
        <v/>
      </c>
      <c r="G6">
        <f>COUNTIF('Melbourne'!$E$2:$E$442,"Held: page found is for another course")</f>
        <v/>
      </c>
      <c r="H6">
        <f>COUNTIF('Melbourne'!$E$2:$E$442,"No-page record*")</f>
        <v/>
      </c>
      <c r="I6">
        <f>COUNTIF('Melbourne'!$E$2:$E$442,"No page found")</f>
        <v/>
      </c>
      <c r="J6">
        <f>B6-C6</f>
        <v/>
      </c>
      <c r="K6" s="5">
        <f>IF(B6=0,0,C6/B6)</f>
        <v/>
      </c>
      <c r="L6">
        <f>COUNTIFS('Melbourne'!$K$2:$K$442,"Finished, no page*",'Melbourne'!$E$2:$E$442,"&lt;&gt;Advertised: official page in place")</f>
        <v/>
      </c>
      <c r="M6">
        <f>COUNTIF('Melbourne'!$M$2:$M$442,"Filled")</f>
        <v/>
      </c>
      <c r="N6">
        <f>COUNTIF('Melbourne'!$O$2:$O$442,"&gt;0")</f>
        <v/>
      </c>
      <c r="O6">
        <f>COUNTIFS('Melbourne'!$O$2:$O$442,"&gt;0",'Melbourne'!$M$2:$M$442,"&lt;&gt;Filled")</f>
        <v/>
      </c>
      <c r="P6">
        <f>COUNTIF('Melbourne'!$Q$2:$Q$442,"Filled")</f>
        <v/>
      </c>
      <c r="Q6">
        <f>COUNTIF('Melbourne'!$S$2:$S$442,"Central English policy")</f>
        <v/>
      </c>
      <c r="R6">
        <f>COUNTIF('Melbourne'!$S$2:$S$442,"Page reader")+COUNTIF('Melbourne'!$S$2:$S$442,"University adapter")</f>
        <v/>
      </c>
      <c r="S6">
        <f>COUNTIF('Melbourne'!$U$2:$U$442,"Yes*")</f>
        <v/>
      </c>
      <c r="T6">
        <f>COUNTIF('Melbourne'!$V$2:$V$442,"Filled")</f>
        <v/>
      </c>
      <c r="U6">
        <f>COUNTIF('Melbourne'!$X$2:$X$442,"Page reader")+COUNTIF('Melbourne'!$X$2:$X$442,"University adapter")</f>
        <v/>
      </c>
      <c r="V6">
        <f>B6-T6</f>
        <v/>
      </c>
      <c r="W6">
        <f>COUNTIFS('Melbourne'!$V$2:$V$442,"&lt;&gt;Filled",'Melbourne'!$Z$2:$Z$442,"Yes")</f>
        <v/>
      </c>
      <c r="X6">
        <f>COUNTIFS('Melbourne'!$V$2:$V$442,"&lt;&gt;Filled",'Melbourne'!$Z$2:$Z$442,"No")</f>
        <v/>
      </c>
      <c r="Y6">
        <f>COUNTIF('Melbourne'!$AH$2:$AH$442,"Yes")</f>
        <v/>
      </c>
      <c r="Z6">
        <f>COUNTIF('Melbourne'!$AA$2:$AA$442,"Filled")</f>
        <v/>
      </c>
      <c r="AA6">
        <f>COUNTIF('Melbourne'!$AA$2:$AA$442,"Not stated on course page")</f>
        <v/>
      </c>
      <c r="AB6">
        <f>COUNTIF('Melbourne'!$AD$2:$AD$442,"&gt;0")</f>
        <v/>
      </c>
      <c r="AC6" s="2" t="inlineStr">
        <is>
          <t>study.unimelb.edu.au/.../2027InternationalFeeTables.pdf (PDF, own domain). Status: parsed and APPROVED 1 Oct 2026; 1 attempt, read 1 Oct 2026; 838 fee rows, 296 codes seen, fee year 2027. Graduate 2027 table and 2026 graduate coursework PDF links return 404 (26 Oct). 9 other fee pages: no values.</t>
        </is>
      </c>
      <c r="AD6" s="2" t="inlineStr">
        <is>
          <t>Schedule is keyed by CRICOS code (294 distinct codes in 838 current rows); every course carries its CRICOS code. 291 courses match; 288 of them already have a fee.</t>
        </is>
      </c>
      <c r="AE6" s="2" t="inlineStr">
        <is>
          <t>(1) Set by hand 7 Oct, Platform Admin approved: unimelb.edu.au/dates/semester-dates, Semester 1 Mar (2 Mar 2026), Semester 2 Jul (27 Jul 2026); no stored quote. (2) Auto-approved 14 Oct: Ormond College key dates (satellite). (3) Auto-approved 23 Oct: Trinity College key dates (satellite).</t>
        </is>
      </c>
      <c r="AF6" s="2" t="inlineStr">
        <is>
          <t>Mar, Jul</t>
        </is>
      </c>
      <c r="AG6" s="2" t="inlineStr">
        <is>
          <t>Universities get default months only at bachelor, bachelor honours, associate degree, diploma, advanced diploma (Platform Admin 19 Oct "Undergraduate only"). Since 22 Oct "Page-only months" calendar months were withdrawn (2,166 rows platform-wide): intakes must come from the course page.</t>
        </is>
      </c>
      <c r="AH6" s="2" t="inlineStr">
        <is>
          <t>study.unimelb.edu.au English language requirements (HTML, own domain), level map written out by hand; Platform Admin approved 18 Oct (Decision 265). Caveats: bands give an overall score only; research degrees state no level. Last apply: 124 courses unchanged, 0 written.</t>
        </is>
      </c>
      <c r="AI6" s="2" t="inlineStr">
        <is>
          <t>By the university's own English level per course (level map), not by study level. Research degrees state no level.</t>
        </is>
      </c>
      <c r="AJ6" s="2" t="inlineStr">
        <is>
          <t>None registered: 0 entry-requirements (entry matrix) sources, 0 entry matrix rows, 0 runs. Academic entry is "Reader not built yet" for every course. Related central pages held under other kinds: English requirements pages (HTML, 3).</t>
        </is>
      </c>
    </row>
    <row r="7">
      <c r="A7" s="6" t="inlineStr">
        <is>
          <t>All five</t>
        </is>
      </c>
      <c r="B7" s="6">
        <f>SUM(B2:B6)</f>
        <v/>
      </c>
      <c r="C7" s="6">
        <f>SUM(C2:C6)</f>
        <v/>
      </c>
      <c r="D7" s="6">
        <f>SUM(D2:D6)</f>
        <v/>
      </c>
      <c r="E7" s="6">
        <f>SUM(E2:E6)</f>
        <v/>
      </c>
      <c r="F7" s="6">
        <f>SUM(F2:F6)</f>
        <v/>
      </c>
      <c r="G7" s="6">
        <f>SUM(G2:G6)</f>
        <v/>
      </c>
      <c r="H7" s="6">
        <f>SUM(H2:H6)</f>
        <v/>
      </c>
      <c r="I7" s="6">
        <f>SUM(I2:I6)</f>
        <v/>
      </c>
      <c r="J7" s="6">
        <f>SUM(J2:J6)</f>
        <v/>
      </c>
      <c r="K7" s="7">
        <f>IF(B7=0,0,C7/B7)</f>
        <v/>
      </c>
      <c r="L7" s="6">
        <f>SUM(L2:L6)</f>
        <v/>
      </c>
      <c r="M7" s="6">
        <f>SUM(M2:M6)</f>
        <v/>
      </c>
      <c r="N7" s="6">
        <f>SUM(N2:N6)</f>
        <v/>
      </c>
      <c r="O7" s="6">
        <f>SUM(O2:O6)</f>
        <v/>
      </c>
      <c r="P7" s="6">
        <f>SUM(P2:P6)</f>
        <v/>
      </c>
      <c r="Q7" s="6">
        <f>SUM(Q2:Q6)</f>
        <v/>
      </c>
      <c r="R7" s="6">
        <f>SUM(R2:R6)</f>
        <v/>
      </c>
      <c r="S7" s="6">
        <f>SUM(S2:S6)</f>
        <v/>
      </c>
      <c r="T7" s="6">
        <f>SUM(T2:T6)</f>
        <v/>
      </c>
      <c r="U7" s="6">
        <f>SUM(U2:U6)</f>
        <v/>
      </c>
      <c r="V7" s="6">
        <f>SUM(V2:V6)</f>
        <v/>
      </c>
      <c r="W7" s="6">
        <f>SUM(W2:W6)</f>
        <v/>
      </c>
      <c r="X7" s="6">
        <f>SUM(X2:X6)</f>
        <v/>
      </c>
      <c r="Y7" s="6">
        <f>SUM(Y2:Y6)</f>
        <v/>
      </c>
      <c r="Z7" s="6">
        <f>SUM(Z2:Z6)</f>
        <v/>
      </c>
      <c r="AA7" s="6">
        <f>SUM(AA2:AA6)</f>
        <v/>
      </c>
      <c r="AB7" s="6">
        <f>SUM(AB2:AB6)</f>
        <v/>
      </c>
      <c r="AC7" s="3" t="n"/>
      <c r="AD7" s="3" t="n"/>
      <c r="AE7" s="3" t="n"/>
      <c r="AF7" s="3" t="n"/>
      <c r="AG7" s="3" t="n"/>
      <c r="AH7" s="3" t="n"/>
      <c r="AI7" s="3" t="n"/>
      <c r="AJ7" s="3" t="n"/>
    </row>
  </sheetData>
  <autoFilter ref="A1:A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50" customWidth="1" min="3" max="3"/>
    <col width="36" customWidth="1" min="4" max="4"/>
    <col width="40" customWidth="1" min="5" max="5"/>
    <col width="60" customWidth="1" min="6" max="6"/>
    <col width="24" customWidth="1" min="7" max="7"/>
    <col width="12" customWidth="1" min="8" max="8"/>
    <col width="12" customWidth="1" min="9" max="9"/>
    <col width="11" customWidth="1" min="10" max="10"/>
    <col width="50" customWidth="1" min="11" max="11"/>
  </cols>
  <sheetData>
    <row r="1" ht="30" customHeight="1">
      <c r="A1" s="4" t="inlineStr">
        <is>
          <t>Rank</t>
        </is>
      </c>
      <c r="B1" s="4" t="inlineStr">
        <is>
          <t>Provider</t>
        </is>
      </c>
      <c r="C1" s="4" t="inlineStr">
        <is>
          <t>Action</t>
        </is>
      </c>
      <c r="D1" s="4" t="inlineStr">
        <is>
          <t>Lane (existing)</t>
        </is>
      </c>
      <c r="E1" s="4" t="inlineStr">
        <is>
          <t>Gate</t>
        </is>
      </c>
      <c r="F1" s="4" t="inlineStr">
        <is>
          <t>Evidence</t>
        </is>
      </c>
      <c r="G1" s="4" t="inlineStr">
        <is>
          <t>Evidence quality</t>
        </is>
      </c>
      <c r="H1" s="4" t="inlineStr">
        <is>
          <t>Courses recoverable</t>
        </is>
      </c>
      <c r="I1" s="4" t="inlineStr">
        <is>
          <t>Active courses (denominator)</t>
        </is>
      </c>
      <c r="J1" s="4" t="inlineStr">
        <is>
          <t>Recoverable share</t>
        </is>
      </c>
      <c r="K1" s="4" t="inlineStr">
        <is>
          <t>Note</t>
        </is>
      </c>
    </row>
    <row r="2">
      <c r="A2" t="n">
        <v>1</v>
      </c>
      <c r="B2" t="inlineStr">
        <is>
          <t>The University of Sydney</t>
        </is>
      </c>
      <c r="C2" s="2" t="inlineStr">
        <is>
          <t>Give postgraduate and research courses (with an official page, no intakes) the approved calendar start months</t>
        </is>
      </c>
      <c r="D2" s="2" t="inlineStr">
        <is>
          <t>Calendar default intakes (existing apply step)</t>
        </is>
      </c>
      <c r="E2" s="2" t="inlineStr">
        <is>
          <t>Platform Admin decision: reverse 19 Oct "Undergraduate only" AND make an exception to 22 Oct "Page-only months"</t>
        </is>
      </c>
      <c r="F2" s="2" t="inlineStr">
        <is>
          <t>sydney.edu.au application-dates: "Semester 1 | 23 February 2026", "Semester 2 | 3 August 2026" (auto-approved 23 Oct) + set by hand 7 Oct.</t>
        </is>
      </c>
      <c r="G2" t="inlineStr">
        <is>
          <t>1 Own-domain dated source</t>
        </is>
      </c>
      <c r="H2">
        <f>COUNTIF('Sydney'!$AI$2:$AI$656,"Yes")</f>
        <v/>
      </c>
      <c r="I2">
        <f>Providers!B2</f>
        <v/>
      </c>
      <c r="J2" s="8">
        <f>IF(I2=0,0,H2/I2)</f>
        <v/>
      </c>
      <c r="K2" s="2" t="inlineStr">
        <is>
          <t>The calendars quote semester/term starts, not level-specific starts; whether they hold for postgraduate and research entry is not proven.</t>
        </is>
      </c>
    </row>
    <row r="3">
      <c r="A3" t="n">
        <v>2</v>
      </c>
      <c r="B3" t="inlineStr">
        <is>
          <t>The University of Melbourne</t>
        </is>
      </c>
      <c r="C3" s="2" t="inlineStr">
        <is>
          <t>Give postgraduate and research courses (with an official page, no intakes) the approved calendar start months</t>
        </is>
      </c>
      <c r="D3" s="2" t="inlineStr">
        <is>
          <t>Calendar default intakes (existing apply step)</t>
        </is>
      </c>
      <c r="E3" s="2" t="inlineStr">
        <is>
          <t>Platform Admin decision: reverse 19 Oct "Undergraduate only" AND make an exception to 22 Oct "Page-only months"</t>
        </is>
      </c>
      <c r="F3" s="2" t="inlineStr">
        <is>
          <t>unimelb.edu.au semester dates set by hand 7 Oct (2 Mar / 27 Jul 2026); dated quotes only on Ormond and Trinity college pages (satellite).</t>
        </is>
      </c>
      <c r="G3" t="inlineStr">
        <is>
          <t>2 Own-domain quote, not dated (or set by hand)</t>
        </is>
      </c>
      <c r="H3">
        <f>COUNTIF('Melbourne'!$AI$2:$AI$442,"Yes")</f>
        <v/>
      </c>
      <c r="I3">
        <f>Providers!B6</f>
        <v/>
      </c>
      <c r="J3" s="8">
        <f>IF(I3=0,0,H3/I3)</f>
        <v/>
      </c>
      <c r="K3" s="2" t="inlineStr">
        <is>
          <t>The calendars quote semester/term starts, not level-specific starts; whether they hold for postgraduate and research entry is not proven.</t>
        </is>
      </c>
    </row>
    <row r="4">
      <c r="A4" t="n">
        <v>3</v>
      </c>
      <c r="B4" t="inlineStr">
        <is>
          <t>The University of Sydney</t>
        </is>
      </c>
      <c r="C4" s="2" t="inlineStr">
        <is>
          <t>Give undergraduate courses (with an official page) the approved calendar start months that were withdrawn on 22 Oct</t>
        </is>
      </c>
      <c r="D4" s="2" t="inlineStr">
        <is>
          <t>Calendar default intakes (existing apply step)</t>
        </is>
      </c>
      <c r="E4" s="2" t="inlineStr">
        <is>
          <t>Platform Admin decision: exception to 22 Oct "Page-only months"</t>
        </is>
      </c>
      <c r="F4" s="2" t="inlineStr">
        <is>
          <t>sydney.edu.au application-dates: "Semester 1 | 23 February 2026", "Semester 2 | 3 August 2026" (auto-approved 23 Oct) + set by hand 7 Oct.</t>
        </is>
      </c>
      <c r="G4" t="inlineStr">
        <is>
          <t>1 Own-domain dated source</t>
        </is>
      </c>
      <c r="H4">
        <f>COUNTIF('Sydney'!$AH$2:$AH$656,"Yes")</f>
        <v/>
      </c>
      <c r="I4">
        <f>Providers!B2</f>
        <v/>
      </c>
      <c r="J4" s="8">
        <f>IF(I4=0,0,H4/I4)</f>
        <v/>
      </c>
      <c r="K4" s="2" t="inlineStr">
        <is>
          <t>Courses had calendar intakes before 22 Oct; withdrawn under the page-only rule.</t>
        </is>
      </c>
    </row>
    <row r="5">
      <c r="A5" t="n">
        <v>4</v>
      </c>
      <c r="B5" t="inlineStr">
        <is>
          <t>Macquarie University</t>
        </is>
      </c>
      <c r="C5" s="2" t="inlineStr">
        <is>
          <t>Apply the approved central English default to course types the plan holds (diploma, non-award, double degrees across levels, research where no default)</t>
        </is>
      </c>
      <c r="D5" s="2" t="inlineStr">
        <is>
          <t>Central English policy apply (existing)</t>
        </is>
      </c>
      <c r="E5" s="2" t="inlineStr">
        <is>
          <t>Platform Admin decision (rule for held course types)</t>
        </is>
      </c>
      <c r="F5" s="2" t="inlineStr">
        <is>
          <t>Own-domain central page quote: "Competent | 6.5 | 6.0 ... | Most undergraduate or postgraduate courses".</t>
        </is>
      </c>
      <c r="G5" t="inlineStr">
        <is>
          <t>2 Own-domain quote, not dated (or set by hand)</t>
        </is>
      </c>
      <c r="H5">
        <f>COUNTIF('Macquarie'!$AJ$2:$AJ$462,"Yes")</f>
        <v/>
      </c>
      <c r="I5">
        <f>Providers!B4</f>
        <v/>
      </c>
      <c r="J5" s="8">
        <f>IF(I5=0,0,H5/I5)</f>
        <v/>
      </c>
      <c r="K5" s="2" t="inlineStr">
        <is>
          <t>Uses the already-approved central English source.</t>
        </is>
      </c>
    </row>
    <row r="6">
      <c r="A6" t="n">
        <v>5</v>
      </c>
      <c r="B6" t="inlineStr">
        <is>
          <t>The University of Sydney</t>
        </is>
      </c>
      <c r="C6" s="2" t="inlineStr">
        <is>
          <t>Read the bound course page again with a rendered (scraper) read, then let the identity check and Enrich fields run on it</t>
        </is>
      </c>
      <c r="D6" s="2" t="inlineStr">
        <is>
          <t>Read pages again (existing admin job) -&gt; course-page identity check -&gt; Enrich fields</t>
        </is>
      </c>
      <c r="E6" s="2" t="inlineStr">
        <is>
          <t>Platform Admin starts the job (uses scraper credit); identity check and field reads are automatic</t>
        </is>
      </c>
      <c r="F6" s="2" t="inlineStr">
        <is>
          <t>Own-domain course page address returns HTTP 200 but the direct read needs rendering; no quote stored yet; identity not yet proved.</t>
        </is>
      </c>
      <c r="G6" t="inlineStr">
        <is>
          <t>4 No quote stored</t>
        </is>
      </c>
      <c r="H6">
        <f>COUNTIF('Sydney'!$AE$2:$AE$656,"Yes")</f>
        <v/>
      </c>
      <c r="I6">
        <f>Providers!B2</f>
        <v/>
      </c>
      <c r="J6" s="8">
        <f>IF(I6=0,0,H6/I6)</f>
        <v/>
      </c>
      <c r="K6" s="2" t="inlineStr">
        <is>
          <t>Recovers the official page where none is in place, then page-read fields (delivery, intakes, English, fee).</t>
        </is>
      </c>
    </row>
    <row r="7">
      <c r="A7" t="n">
        <v>6</v>
      </c>
      <c r="B7" t="inlineStr">
        <is>
          <t>Australian National University</t>
        </is>
      </c>
      <c r="C7" s="2" t="inlineStr">
        <is>
          <t>Review values already read from the course's own page (tuition, intakes or English) that are waiting to be checked</t>
        </is>
      </c>
      <c r="D7" s="2" t="inlineStr">
        <is>
          <t>Coverage pipeline: page value -&gt; Layer 4</t>
        </is>
      </c>
      <c r="E7" s="2" t="inlineStr">
        <is>
          <t>Layer 4 review</t>
        </is>
      </c>
      <c r="F7" s="2" t="inlineStr">
        <is>
          <t>Quote on the bound course page (own domain), not dated.</t>
        </is>
      </c>
      <c r="G7" t="inlineStr">
        <is>
          <t>2 Own-domain quote, not dated (or set by hand)</t>
        </is>
      </c>
      <c r="H7">
        <f>COUNTIF('ANU'!$AF$2:$AF$424,"Yes")</f>
        <v/>
      </c>
      <c r="I7">
        <f>Providers!B5</f>
        <v/>
      </c>
      <c r="J7" s="8">
        <f>IF(I7=0,0,H7/I7)</f>
        <v/>
      </c>
      <c r="K7" s="2" t="inlineStr">
        <is>
          <t>Values are already quoted from the bound course page.</t>
        </is>
      </c>
    </row>
    <row r="8">
      <c r="A8" t="n">
        <v>7</v>
      </c>
      <c r="B8" t="inlineStr">
        <is>
          <t>The University of Sydney</t>
        </is>
      </c>
      <c r="C8" s="2" t="inlineStr">
        <is>
          <t>Apply the approved central English default to course types the plan holds (diploma, non-award, double degrees across levels, research where no default)</t>
        </is>
      </c>
      <c r="D8" s="2" t="inlineStr">
        <is>
          <t>Central English policy apply (existing)</t>
        </is>
      </c>
      <c r="E8" s="2" t="inlineStr">
        <is>
          <t>Platform Admin decision (rule for held course types)</t>
        </is>
      </c>
      <c r="F8" s="2" t="inlineStr">
        <is>
          <t>Own-domain central page quote: "standard ... IELTS overall score of 6.5 with no band below 6.0; however, some faculties and courses have different requirements".</t>
        </is>
      </c>
      <c r="G8" t="inlineStr">
        <is>
          <t>2 Own-domain quote, not dated (or set by hand)</t>
        </is>
      </c>
      <c r="H8">
        <f>COUNTIF('Sydney'!$AJ$2:$AJ$656,"Yes")</f>
        <v/>
      </c>
      <c r="I8">
        <f>Providers!B2</f>
        <v/>
      </c>
      <c r="J8" s="8">
        <f>IF(I8=0,0,H8/I8)</f>
        <v/>
      </c>
      <c r="K8" s="2" t="inlineStr">
        <is>
          <t>Uses the already-approved central English source.</t>
        </is>
      </c>
    </row>
    <row r="9">
      <c r="A9" t="n">
        <v>8</v>
      </c>
      <c r="B9" t="inlineStr">
        <is>
          <t>The University of Melbourne</t>
        </is>
      </c>
      <c r="C9" s="2" t="inlineStr">
        <is>
          <t>Read the bound course page again with a rendered (scraper) read, then let the identity check and Enrich fields run on it</t>
        </is>
      </c>
      <c r="D9" s="2" t="inlineStr">
        <is>
          <t>Read pages again (existing admin job) -&gt; course-page identity check -&gt; Enrich fields</t>
        </is>
      </c>
      <c r="E9" s="2" t="inlineStr">
        <is>
          <t>Platform Admin starts the job (uses scraper credit); identity check and field reads are automatic</t>
        </is>
      </c>
      <c r="F9" s="2" t="inlineStr">
        <is>
          <t>Own-domain course page address returns HTTP 200 but the direct read needs rendering; no quote stored yet; identity not yet proved.</t>
        </is>
      </c>
      <c r="G9" t="inlineStr">
        <is>
          <t>4 No quote stored</t>
        </is>
      </c>
      <c r="H9">
        <f>COUNTIF('Melbourne'!$AE$2:$AE$442,"Yes")</f>
        <v/>
      </c>
      <c r="I9">
        <f>Providers!B6</f>
        <v/>
      </c>
      <c r="J9" s="8">
        <f>IF(I9=0,0,H9/I9)</f>
        <v/>
      </c>
      <c r="K9" s="2" t="inlineStr">
        <is>
          <t>Recovers the official page where none is in place, then page-read fields (delivery, intakes, English, fee).</t>
        </is>
      </c>
    </row>
    <row r="10">
      <c r="A10" t="n">
        <v>9</v>
      </c>
      <c r="B10" t="inlineStr">
        <is>
          <t>The University of Melbourne</t>
        </is>
      </c>
      <c r="C10" s="2" t="inlineStr">
        <is>
          <t>Review values already read from the course's own page (tuition, intakes or English) that are waiting to be checked</t>
        </is>
      </c>
      <c r="D10" s="2" t="inlineStr">
        <is>
          <t>Coverage pipeline: page value -&gt; Layer 4</t>
        </is>
      </c>
      <c r="E10" s="2" t="inlineStr">
        <is>
          <t>Layer 4 review</t>
        </is>
      </c>
      <c r="F10" s="2" t="inlineStr">
        <is>
          <t>Quote on the bound course page (own domain), not dated.</t>
        </is>
      </c>
      <c r="G10" t="inlineStr">
        <is>
          <t>2 Own-domain quote, not dated (or set by hand)</t>
        </is>
      </c>
      <c r="H10">
        <f>COUNTIF('Melbourne'!$AF$2:$AF$442,"Yes")</f>
        <v/>
      </c>
      <c r="I10">
        <f>Providers!B6</f>
        <v/>
      </c>
      <c r="J10" s="8">
        <f>IF(I10=0,0,H10/I10)</f>
        <v/>
      </c>
      <c r="K10" s="2" t="inlineStr">
        <is>
          <t>Values are already quoted from the bound course page.</t>
        </is>
      </c>
    </row>
    <row r="11">
      <c r="A11" t="n">
        <v>10</v>
      </c>
      <c r="B11" t="inlineStr">
        <is>
          <t>Australian National University</t>
        </is>
      </c>
      <c r="C11" s="2" t="inlineStr">
        <is>
          <t>Apply the approved central English default to course types the plan holds (diploma, non-award, double degrees across levels, research where no default)</t>
        </is>
      </c>
      <c r="D11" s="2" t="inlineStr">
        <is>
          <t>Central English policy apply (existing)</t>
        </is>
      </c>
      <c r="E11" s="2" t="inlineStr">
        <is>
          <t>Platform Admin decision (rule for held course types)</t>
        </is>
      </c>
      <c r="F11" s="2" t="inlineStr">
        <is>
          <t>ANU policy library, written out from the stored page (Decision 264).</t>
        </is>
      </c>
      <c r="G11" t="inlineStr">
        <is>
          <t>2 Own-domain quote, not dated (or set by hand)</t>
        </is>
      </c>
      <c r="H11">
        <f>COUNTIF('ANU'!$AJ$2:$AJ$424,"Yes")</f>
        <v/>
      </c>
      <c r="I11">
        <f>Providers!B5</f>
        <v/>
      </c>
      <c r="J11" s="8">
        <f>IF(I11=0,0,H11/I11)</f>
        <v/>
      </c>
      <c r="K11" s="2" t="inlineStr">
        <is>
          <t>Uses the already-approved central English source.</t>
        </is>
      </c>
    </row>
    <row r="12">
      <c r="A12" t="n">
        <v>11</v>
      </c>
      <c r="B12" t="inlineStr">
        <is>
          <t>The University of Melbourne</t>
        </is>
      </c>
      <c r="C12" s="2" t="inlineStr">
        <is>
          <t>Give undergraduate courses (with an official page) the approved calendar start months that were withdrawn on 22 Oct</t>
        </is>
      </c>
      <c r="D12" s="2" t="inlineStr">
        <is>
          <t>Calendar default intakes (existing apply step)</t>
        </is>
      </c>
      <c r="E12" s="2" t="inlineStr">
        <is>
          <t>Platform Admin decision: exception to 22 Oct "Page-only months"</t>
        </is>
      </c>
      <c r="F12" s="2" t="inlineStr">
        <is>
          <t>unimelb.edu.au semester dates set by hand 7 Oct (2 Mar / 27 Jul 2026); dated quotes only on Ormond and Trinity college pages (satellite).</t>
        </is>
      </c>
      <c r="G12" t="inlineStr">
        <is>
          <t>2 Own-domain quote, not dated (or set by hand)</t>
        </is>
      </c>
      <c r="H12">
        <f>COUNTIF('Melbourne'!$AH$2:$AH$442,"Yes")</f>
        <v/>
      </c>
      <c r="I12">
        <f>Providers!B6</f>
        <v/>
      </c>
      <c r="J12" s="8">
        <f>IF(I12=0,0,H12/I12)</f>
        <v/>
      </c>
      <c r="K12" s="2" t="inlineStr">
        <is>
          <t>Courses had calendar intakes before 22 Oct; withdrawn under the page-only rule.</t>
        </is>
      </c>
    </row>
    <row r="13">
      <c r="A13" t="n">
        <v>12</v>
      </c>
      <c r="B13" t="inlineStr">
        <is>
          <t>Australian National University</t>
        </is>
      </c>
      <c r="C13" s="2" t="inlineStr">
        <is>
          <t>Re-route items still waiting for Layer 3 (retired 15 Oct) so they reach Layer 4</t>
        </is>
      </c>
      <c r="D13" s="2" t="inlineStr">
        <is>
          <t>Coverage pipeline (Layer 3 items in pending/failed)</t>
        </is>
      </c>
      <c r="E13" s="2" t="inlineStr">
        <is>
          <t>Layer 4 review (after re-routing)</t>
        </is>
      </c>
      <c r="F13" s="2" t="inlineStr">
        <is>
          <t>Quote on the bound course page (own domain), not dated.</t>
        </is>
      </c>
      <c r="G13" t="inlineStr">
        <is>
          <t>2 Own-domain quote, not dated (or set by hand)</t>
        </is>
      </c>
      <c r="H13">
        <f>COUNTIF('ANU'!$AG$2:$AG$424,"Yes")</f>
        <v/>
      </c>
      <c r="I13">
        <f>Providers!B5</f>
        <v/>
      </c>
      <c r="J13" s="8">
        <f>IF(I13=0,0,H13/I13)</f>
        <v/>
      </c>
      <c r="K13" s="2" t="inlineStr">
        <is>
          <t>Layer 3 is retired (CF-247 15 Oct, usage audit D6); these items will not move on their own.</t>
        </is>
      </c>
    </row>
    <row r="14">
      <c r="A14" t="n">
        <v>13</v>
      </c>
      <c r="B14" t="inlineStr">
        <is>
          <t>The University of Sydney</t>
        </is>
      </c>
      <c r="C14" s="2" t="inlineStr">
        <is>
          <t>Re-run Enrich fields for delivery where the AI gave a value but its quote was not found on the page</t>
        </is>
      </c>
      <c r="D14" s="2" t="inlineStr">
        <is>
          <t>Enrich fields (existing)</t>
        </is>
      </c>
      <c r="E14" s="2" t="inlineStr">
        <is>
          <t>Automatic (after the quote-matching tuning already identified on 26 Oct, class B)</t>
        </is>
      </c>
      <c r="F14" s="2" t="inlineStr">
        <is>
          <t>AI value whose quote was not found on the stored page.</t>
        </is>
      </c>
      <c r="G14" t="inlineStr">
        <is>
          <t>4 No quote stored</t>
        </is>
      </c>
      <c r="H14">
        <f>COUNTIF('Sydney'!$AK$2:$AK$656,"Yes")</f>
        <v/>
      </c>
      <c r="I14">
        <f>Providers!B2</f>
        <v/>
      </c>
      <c r="J14" s="8">
        <f>IF(I14=0,0,H14/I14)</f>
        <v/>
      </c>
      <c r="K14" s="2" t="inlineStr">
        <is>
          <t>Value proposed but quote not matched on the page.</t>
        </is>
      </c>
    </row>
    <row r="15">
      <c r="A15" t="n">
        <v>14</v>
      </c>
      <c r="B15" t="inlineStr">
        <is>
          <t>The University of Sydney</t>
        </is>
      </c>
      <c r="C15" s="2" t="inlineStr">
        <is>
          <t>Review values already read from the course's own page (tuition, intakes or English) that are waiting to be checked</t>
        </is>
      </c>
      <c r="D15" s="2" t="inlineStr">
        <is>
          <t>Coverage pipeline: page value -&gt; Layer 4</t>
        </is>
      </c>
      <c r="E15" s="2" t="inlineStr">
        <is>
          <t>Layer 4 review</t>
        </is>
      </c>
      <c r="F15" s="2" t="inlineStr">
        <is>
          <t>Quote on the bound course page (own domain), not dated.</t>
        </is>
      </c>
      <c r="G15" t="inlineStr">
        <is>
          <t>2 Own-domain quote, not dated (or set by hand)</t>
        </is>
      </c>
      <c r="H15">
        <f>COUNTIF('Sydney'!$AF$2:$AF$656,"Yes")</f>
        <v/>
      </c>
      <c r="I15">
        <f>Providers!B2</f>
        <v/>
      </c>
      <c r="J15" s="8">
        <f>IF(I15=0,0,H15/I15)</f>
        <v/>
      </c>
      <c r="K15" s="2" t="inlineStr">
        <is>
          <t>Values are already quoted from the bound course page.</t>
        </is>
      </c>
    </row>
    <row r="16">
      <c r="A16" t="n">
        <v>15</v>
      </c>
      <c r="B16" t="inlineStr">
        <is>
          <t>UNSW Sydney</t>
        </is>
      </c>
      <c r="C16" s="2" t="inlineStr">
        <is>
          <t>Give undergraduate courses (with an official page) the approved calendar start months that were withdrawn on 22 Oct</t>
        </is>
      </c>
      <c r="D16" s="2" t="inlineStr">
        <is>
          <t>Calendar default intakes (existing apply step)</t>
        </is>
      </c>
      <c r="E16" s="2" t="inlineStr">
        <is>
          <t>Platform Admin decision: exception to 22 Oct "Page-only months"</t>
        </is>
      </c>
      <c r="F16" s="2" t="inlineStr">
        <is>
          <t>UNSW academic calendar set by hand 7 Oct (Term 1 Feb, Term 2 Jun); dated quotes only on UNSW College (satellite) and a 2023 key-dates line. Default months skip Term 3 (Sep).</t>
        </is>
      </c>
      <c r="G16" t="inlineStr">
        <is>
          <t>2 Own-domain quote, not dated (or set by hand)</t>
        </is>
      </c>
      <c r="H16">
        <f>COUNTIF('UNSW'!$AH$2:$AH$668,"Yes")</f>
        <v/>
      </c>
      <c r="I16">
        <f>Providers!B3</f>
        <v/>
      </c>
      <c r="J16" s="8">
        <f>IF(I16=0,0,H16/I16)</f>
        <v/>
      </c>
      <c r="K16" s="2" t="inlineStr">
        <is>
          <t>Courses had calendar intakes before 22 Oct; withdrawn under the page-only rule.</t>
        </is>
      </c>
    </row>
    <row r="17">
      <c r="A17" t="n">
        <v>16</v>
      </c>
      <c r="B17" t="inlineStr">
        <is>
          <t>The University of Melbourne</t>
        </is>
      </c>
      <c r="C17" s="2" t="inlineStr">
        <is>
          <t>Admit the international fee from the approved 2027 Melbourne fee table for courses in the table that still have no fee</t>
        </is>
      </c>
      <c r="D17" s="2" t="inlineStr">
        <is>
          <t>Central fee schedule apply (existing, already parsed)</t>
        </is>
      </c>
      <c r="E17" s="2" t="inlineStr">
        <is>
          <t>Layer 4 review (why the apply step skipped them is not recorded per course)</t>
        </is>
      </c>
      <c r="F17" s="2" t="inlineStr">
        <is>
          <t>Own-domain 2027 international fee table (approved 1 Oct), CRICOS-keyed row per course.</t>
        </is>
      </c>
      <c r="G17" t="inlineStr">
        <is>
          <t>1 Own-domain dated source</t>
        </is>
      </c>
      <c r="H17">
        <f>COUNTIF('Melbourne'!$AL$2:$AL$442,"Yes")</f>
        <v/>
      </c>
      <c r="I17">
        <f>Providers!B6</f>
        <v/>
      </c>
      <c r="J17" s="8">
        <f>IF(I17=0,0,H17/I17)</f>
        <v/>
      </c>
      <c r="K17" s="2" t="inlineStr">
        <is>
          <t>Approved 2027 international fee table keyed by CRICOS code.</t>
        </is>
      </c>
    </row>
    <row r="18">
      <c r="A18" t="n">
        <v>17</v>
      </c>
      <c r="B18" t="inlineStr">
        <is>
          <t>UNSW Sydney</t>
        </is>
      </c>
      <c r="C18" s="2" t="inlineStr">
        <is>
          <t>Re-route items still waiting for Layer 3 (retired 15 Oct) so they reach Layer 4</t>
        </is>
      </c>
      <c r="D18" s="2" t="inlineStr">
        <is>
          <t>Coverage pipeline (Layer 3 items in pending/failed)</t>
        </is>
      </c>
      <c r="E18" s="2" t="inlineStr">
        <is>
          <t>Layer 4 review (after re-routing)</t>
        </is>
      </c>
      <c r="F18" s="2" t="inlineStr">
        <is>
          <t>Quote on the bound course page (own domain), not dated.</t>
        </is>
      </c>
      <c r="G18" t="inlineStr">
        <is>
          <t>2 Own-domain quote, not dated (or set by hand)</t>
        </is>
      </c>
      <c r="H18">
        <f>COUNTIF('UNSW'!$AG$2:$AG$668,"Yes")</f>
        <v/>
      </c>
      <c r="I18">
        <f>Providers!B3</f>
        <v/>
      </c>
      <c r="J18" s="8">
        <f>IF(I18=0,0,H18/I18)</f>
        <v/>
      </c>
      <c r="K18" s="2" t="inlineStr">
        <is>
          <t>Layer 3 is retired (CF-247 15 Oct, usage audit D6); these items will not move on their own.</t>
        </is>
      </c>
    </row>
    <row r="19">
      <c r="A19" t="n">
        <v>18</v>
      </c>
      <c r="B19" t="inlineStr">
        <is>
          <t>Macquarie University</t>
        </is>
      </c>
      <c r="C19" s="2" t="inlineStr">
        <is>
          <t>Review values already read from the course's own page (tuition, intakes or English) that are waiting to be checked</t>
        </is>
      </c>
      <c r="D19" s="2" t="inlineStr">
        <is>
          <t>Coverage pipeline: page value -&gt; Layer 4</t>
        </is>
      </c>
      <c r="E19" s="2" t="inlineStr">
        <is>
          <t>Layer 4 review</t>
        </is>
      </c>
      <c r="F19" s="2" t="inlineStr">
        <is>
          <t>Quote on the bound course page (own domain), not dated.</t>
        </is>
      </c>
      <c r="G19" t="inlineStr">
        <is>
          <t>2 Own-domain quote, not dated (or set by hand)</t>
        </is>
      </c>
      <c r="H19">
        <f>COUNTIF('Macquarie'!$AF$2:$AF$462,"Yes")</f>
        <v/>
      </c>
      <c r="I19">
        <f>Providers!B4</f>
        <v/>
      </c>
      <c r="J19" s="8">
        <f>IF(I19=0,0,H19/I19)</f>
        <v/>
      </c>
      <c r="K19" s="2" t="inlineStr">
        <is>
          <t>Values are already quoted from the bound course page.</t>
        </is>
      </c>
    </row>
    <row r="20">
      <c r="A20" t="n">
        <v>19</v>
      </c>
      <c r="B20" t="inlineStr">
        <is>
          <t>The University of Sydney</t>
        </is>
      </c>
      <c r="C20" s="2" t="inlineStr">
        <is>
          <t>Re-route items still waiting for Layer 3 (retired 15 Oct) so they reach Layer 4</t>
        </is>
      </c>
      <c r="D20" s="2" t="inlineStr">
        <is>
          <t>Coverage pipeline (Layer 3 items in pending/failed)</t>
        </is>
      </c>
      <c r="E20" s="2" t="inlineStr">
        <is>
          <t>Layer 4 review (after re-routing)</t>
        </is>
      </c>
      <c r="F20" s="2" t="inlineStr">
        <is>
          <t>Quote on the bound course page (own domain), not dated.</t>
        </is>
      </c>
      <c r="G20" t="inlineStr">
        <is>
          <t>2 Own-domain quote, not dated (or set by hand)</t>
        </is>
      </c>
      <c r="H20">
        <f>COUNTIF('Sydney'!$AG$2:$AG$656,"Yes")</f>
        <v/>
      </c>
      <c r="I20">
        <f>Providers!B2</f>
        <v/>
      </c>
      <c r="J20" s="8">
        <f>IF(I20=0,0,H20/I20)</f>
        <v/>
      </c>
      <c r="K20" s="2" t="inlineStr">
        <is>
          <t>Layer 3 is retired (CF-247 15 Oct, usage audit D6); these items will not move on their own.</t>
        </is>
      </c>
    </row>
    <row r="21">
      <c r="A21" t="n">
        <v>20</v>
      </c>
      <c r="B21" t="inlineStr">
        <is>
          <t>UNSW Sydney</t>
        </is>
      </c>
      <c r="C21" s="2" t="inlineStr">
        <is>
          <t>Review values already read from the course's own page (tuition, intakes or English) that are waiting to be checked</t>
        </is>
      </c>
      <c r="D21" s="2" t="inlineStr">
        <is>
          <t>Coverage pipeline: page value -&gt; Layer 4</t>
        </is>
      </c>
      <c r="E21" s="2" t="inlineStr">
        <is>
          <t>Layer 4 review</t>
        </is>
      </c>
      <c r="F21" s="2" t="inlineStr">
        <is>
          <t>Quote on the bound course page (own domain), not dated.</t>
        </is>
      </c>
      <c r="G21" t="inlineStr">
        <is>
          <t>2 Own-domain quote, not dated (or set by hand)</t>
        </is>
      </c>
      <c r="H21">
        <f>COUNTIF('UNSW'!$AF$2:$AF$668,"Yes")</f>
        <v/>
      </c>
      <c r="I21">
        <f>Providers!B3</f>
        <v/>
      </c>
      <c r="J21" s="8">
        <f>IF(I21=0,0,H21/I21)</f>
        <v/>
      </c>
      <c r="K21" s="2" t="inlineStr">
        <is>
          <t>Values are already quoted from the bound course page.</t>
        </is>
      </c>
    </row>
    <row r="22">
      <c r="A22" t="n">
        <v>21</v>
      </c>
      <c r="B22" t="inlineStr">
        <is>
          <t>Macquarie University</t>
        </is>
      </c>
      <c r="C22" s="2" t="inlineStr">
        <is>
          <t>Re-run Enrich fields for delivery where the AI gave a value but its quote was not found on the page</t>
        </is>
      </c>
      <c r="D22" s="2" t="inlineStr">
        <is>
          <t>Enrich fields (existing)</t>
        </is>
      </c>
      <c r="E22" s="2" t="inlineStr">
        <is>
          <t>Automatic (after the quote-matching tuning already identified on 26 Oct, class B)</t>
        </is>
      </c>
      <c r="F22" s="2" t="inlineStr">
        <is>
          <t>AI value whose quote was not found on the stored page.</t>
        </is>
      </c>
      <c r="G22" t="inlineStr">
        <is>
          <t>4 No quote stored</t>
        </is>
      </c>
      <c r="H22">
        <f>COUNTIF('Macquarie'!$AK$2:$AK$462,"Yes")</f>
        <v/>
      </c>
      <c r="I22">
        <f>Providers!B4</f>
        <v/>
      </c>
      <c r="J22" s="8">
        <f>IF(I22=0,0,H22/I22)</f>
        <v/>
      </c>
      <c r="K22" s="2" t="inlineStr">
        <is>
          <t>Value proposed but quote not matched on the page.</t>
        </is>
      </c>
    </row>
    <row r="23">
      <c r="C23" s="2" t="n"/>
      <c r="D23" s="2" t="n"/>
      <c r="E23" s="2" t="n"/>
      <c r="F23" s="2" t="n"/>
      <c r="K23" s="2" t="n"/>
    </row>
    <row r="24">
      <c r="A24" s="6" t="inlineStr">
        <is>
          <t>Not ranked: findings that are not recoveries, or whose course count cannot be determined</t>
        </is>
      </c>
      <c r="C24" s="2" t="n"/>
      <c r="D24" s="2" t="n"/>
      <c r="E24" s="2" t="n"/>
      <c r="F24" s="2" t="n"/>
      <c r="K24" s="2" t="n"/>
    </row>
    <row r="25">
      <c r="C25" s="2" t="n"/>
      <c r="D25" s="2" t="n"/>
      <c r="E25" s="2" t="n"/>
      <c r="F25" s="2" t="n"/>
      <c r="K25" s="2" t="n"/>
    </row>
    <row r="26">
      <c r="A26" s="6" t="inlineStr"/>
      <c r="B26" s="6" t="inlineStr">
        <is>
          <t>Provider</t>
        </is>
      </c>
      <c r="C26" s="3" t="inlineStr">
        <is>
          <t>Finding</t>
        </is>
      </c>
      <c r="D26" s="3" t="inlineStr">
        <is>
          <t>Lane</t>
        </is>
      </c>
      <c r="E26" s="3" t="inlineStr">
        <is>
          <t>Gate</t>
        </is>
      </c>
      <c r="F26" s="3" t="inlineStr">
        <is>
          <t>Evidence</t>
        </is>
      </c>
      <c r="G26" s="6" t="inlineStr">
        <is>
          <t>Evidence quality</t>
        </is>
      </c>
      <c r="H26" s="6" t="inlineStr">
        <is>
          <t>Courses</t>
        </is>
      </c>
      <c r="I26" s="6" t="inlineStr">
        <is>
          <t>Denominator</t>
        </is>
      </c>
      <c r="J26" s="6" t="inlineStr"/>
      <c r="K26" s="3" t="inlineStr">
        <is>
          <t>Note</t>
        </is>
      </c>
    </row>
    <row r="27">
      <c r="A27" t="inlineStr"/>
      <c r="B27" t="inlineStr">
        <is>
          <t>UNSW Sydney</t>
        </is>
      </c>
      <c r="C27" s="2" t="inlineStr">
        <is>
          <t>Quality risk: English values from a satellite page</t>
        </is>
      </c>
      <c r="D27" s="2" t="inlineStr">
        <is>
          <t>Central English policy (approved 2 Oct)</t>
        </is>
      </c>
      <c r="E27" s="2" t="inlineStr">
        <is>
          <t>Platform Admin decision (keep, withdraw or replace the 2 Oct approval)</t>
        </is>
      </c>
      <c r="F27" s="2" t="inlineStr">
        <is>
          <t>The approved UNSW English source is the UNSW Bengaluru (India campus) page, IELTS 6.0 (5.5 each). It has written 6.0 to 422 courses. On 17 Oct the Platform Admin rejected a later reading of the same page as "not the Sydney policy". 7 courses whose own page states another score already disagree. Until this is settled, extending the rule to the 236 UNSW courses with no English (173 research degrees, 36 non-award, 21 double degrees, 6 diplomas) is not ranked as a recovery.</t>
        </is>
      </c>
      <c r="G27" t="inlineStr">
        <is>
          <t>3 Satellite page</t>
        </is>
      </c>
      <c r="H27">
        <f>COUNTIF('UNSW'!$S$2:$S$668,"Central English policy")</f>
        <v/>
      </c>
      <c r="I27">
        <f>Providers!B3</f>
        <v/>
      </c>
      <c r="J27" t="inlineStr"/>
      <c r="K27" s="2" t="inlineStr">
        <is>
          <t>Courses at risk, not recoverable</t>
        </is>
      </c>
    </row>
    <row r="28">
      <c r="A28" t="inlineStr"/>
      <c r="B28" t="inlineStr">
        <is>
          <t>The University of Sydney</t>
        </is>
      </c>
      <c r="C28" s="2" t="inlineStr">
        <is>
          <t>Fee page: 41 rows read, quotes not found</t>
        </is>
      </c>
      <c r="D28" s="2" t="inlineStr">
        <is>
          <t>Fee reader (existing), 26 Oct run</t>
        </is>
      </c>
      <c r="E28" s="2" t="inlineStr">
        <is>
          <t>Automatic once quote matching works on this page</t>
        </is>
      </c>
      <c r="F28" s="2" t="inlineStr">
        <is>
          <t>sydney.edu.au international tuition fees page (own domain, fee year 2026): reader read 41 rows, finding "quote_missing" for all 41; no course codes on the page, so matching would be by title.</t>
        </is>
      </c>
      <c r="G28" t="inlineStr">
        <is>
          <t>1 Own-domain dated source</t>
        </is>
      </c>
      <c r="H28" t="inlineStr">
        <is>
          <t>Not determinable</t>
        </is>
      </c>
      <c r="I28">
        <f>Providers!B2</f>
        <v/>
      </c>
      <c r="J28" t="inlineStr"/>
      <c r="K28" s="2" t="inlineStr">
        <is>
          <t>Course count cannot be determined until the rows are kept and matched</t>
        </is>
      </c>
    </row>
    <row r="29">
      <c r="A29" t="inlineStr"/>
      <c r="B29" t="inlineStr">
        <is>
          <t>Four providers</t>
        </is>
      </c>
      <c r="C29" s="2" t="inlineStr">
        <is>
          <t>Confirm no-page records (conjoint or no page)</t>
        </is>
      </c>
      <c r="D29" s="2" t="inlineStr">
        <is>
          <t>No-page review (existing; trust state "first run", sample 0)</t>
        </is>
      </c>
      <c r="E29" s="2" t="inlineStr">
        <is>
          <t>Layer 4 review</t>
        </is>
      </c>
      <c r="F29" s="2" t="inlineStr">
        <is>
          <t>Records proposed by the no-page inventory; confirming them takes the courses out of the "missing official page" count. Fills no field.</t>
        </is>
      </c>
      <c r="G29" t="inlineStr">
        <is>
          <t>4 No quote stored</t>
        </is>
      </c>
      <c r="H29">
        <f>COUNTIF('Sydney'!$AM$2:$AM$656,"Yes")+COUNTIF('UNSW'!$AM$2:$AM$668,"Yes")+COUNTIF('Macquarie'!$AM$2:$AM$462,"Yes")+COUNTIF('ANU'!$AM$2:$AM$424,"Yes")+COUNTIF('Melbourne'!$AM$2:$AM$442,"Yes")</f>
        <v/>
      </c>
      <c r="I29">
        <f>Providers!B7</f>
        <v/>
      </c>
      <c r="J29" t="inlineStr"/>
      <c r="K29" s="2" t="inlineStr">
        <is>
          <t>Denominator clean-up only</t>
        </is>
      </c>
    </row>
    <row r="30">
      <c r="A30" t="inlineStr"/>
      <c r="B30" t="inlineStr">
        <is>
          <t>All five</t>
        </is>
      </c>
      <c r="C30" s="2" t="inlineStr">
        <is>
          <t>Pages whose address no longer works or that belong to another course</t>
        </is>
      </c>
      <c r="D30" s="2" t="inlineStr">
        <is>
          <t>Re-link and title search (existing)</t>
        </is>
      </c>
      <c r="E30" s="2" t="inlineStr">
        <is>
          <t>None open: re-link finished with no page</t>
        </is>
      </c>
      <c r="F30" s="2" t="inlineStr">
        <is>
          <t>Most of these courses were sent to re-link and it finished with "no address from the university's address forms" or "every candidate address was refused". No existing lane has more to try.</t>
        </is>
      </c>
      <c r="G30" t="inlineStr">
        <is>
          <t>4 No quote stored</t>
        </is>
      </c>
      <c r="H30">
        <f>SUM(Providers!F2:G6)</f>
        <v/>
      </c>
      <c r="I30">
        <f>Providers!B7</f>
        <v/>
      </c>
      <c r="J30" t="inlineStr"/>
      <c r="K30" s="2" t="inlineStr">
        <is>
          <t>Not recoverable through an existing lane</t>
        </is>
      </c>
    </row>
  </sheetData>
  <autoFilter ref="A1:K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6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22" customWidth="1" min="3" max="3"/>
    <col width="18" customWidth="1" min="4" max="4"/>
    <col width="34" customWidth="1" min="5" max="5"/>
    <col width="40" customWidth="1" min="6" max="6"/>
    <col width="40" customWidth="1" min="7" max="7"/>
    <col width="20" customWidth="1" min="8" max="8"/>
    <col width="18" customWidth="1" min="9" max="9"/>
    <col width="16" customWidth="1" min="10" max="10"/>
    <col width="40" customWidth="1" min="11" max="11"/>
    <col width="22" customWidth="1" min="12" max="12"/>
    <col width="22" customWidth="1" min="13" max="13"/>
    <col width="18" customWidth="1" min="14" max="14"/>
    <col width="12" customWidth="1" min="15" max="15"/>
    <col width="16" customWidth="1" min="16" max="16"/>
    <col width="22" customWidth="1" min="17" max="17"/>
    <col width="9" customWidth="1" min="18" max="18"/>
    <col width="20" customWidth="1" min="19" max="19"/>
    <col width="36" customWidth="1" min="20" max="20"/>
    <col width="34" customWidth="1" min="21" max="21"/>
    <col width="22" customWidth="1" min="22" max="22"/>
    <col width="20" customWidth="1" min="23" max="23"/>
    <col width="16" customWidth="1" min="24" max="24"/>
    <col width="10" customWidth="1" min="25" max="25"/>
    <col width="12" customWidth="1" min="26" max="26"/>
    <col width="22" customWidth="1" min="27" max="27"/>
    <col width="16" customWidth="1" min="28" max="28"/>
    <col width="40" customWidth="1" min="29" max="29"/>
    <col width="10"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s>
  <sheetData>
    <row r="1" ht="60" customHeight="1">
      <c r="A1" s="4" t="inlineStr">
        <is>
          <t>CRICOS code</t>
        </is>
      </c>
      <c r="B1" s="4" t="inlineStr">
        <is>
          <t>Course title</t>
        </is>
      </c>
      <c r="C1" s="4" t="inlineStr">
        <is>
          <t>Study level</t>
        </is>
      </c>
      <c r="D1" s="4" t="inlineStr">
        <is>
          <t>Study level group</t>
        </is>
      </c>
      <c r="E1" s="4" t="inlineStr">
        <is>
          <t>Advertised status</t>
        </is>
      </c>
      <c r="F1" s="4" t="inlineStr">
        <is>
          <t>Official course page (in place)</t>
        </is>
      </c>
      <c r="G1" s="4" t="inlineStr">
        <is>
          <t>Page found (address)</t>
        </is>
      </c>
      <c r="H1" s="4" t="inlineStr">
        <is>
          <t>Page read result</t>
        </is>
      </c>
      <c r="I1" s="4" t="inlineStr">
        <is>
          <t>Identity proof</t>
        </is>
      </c>
      <c r="J1" s="4" t="inlineStr">
        <is>
          <t>No-page record</t>
        </is>
      </c>
      <c r="K1" s="4" t="inlineStr">
        <is>
          <t>Re-link lane result</t>
        </is>
      </c>
      <c r="L1" s="4" t="inlineStr">
        <is>
          <t>Official course page (state)</t>
        </is>
      </c>
      <c r="M1" s="4" t="inlineStr">
        <is>
          <t>International tuition (state)</t>
        </is>
      </c>
      <c r="N1" s="4" t="inlineStr">
        <is>
          <t>International fee (amount, year)</t>
        </is>
      </c>
      <c r="O1" s="4" t="inlineStr">
        <is>
          <t>Rows in approved fee schedule (by CRICOS code)</t>
        </is>
      </c>
      <c r="P1" s="4" t="inlineStr">
        <is>
          <t>Fee source</t>
        </is>
      </c>
      <c r="Q1" s="4" t="inlineStr">
        <is>
          <t>English requirement (state)</t>
        </is>
      </c>
      <c r="R1" s="4" t="inlineStr">
        <is>
          <t>IELTS overall</t>
        </is>
      </c>
      <c r="S1" s="4" t="inlineStr">
        <is>
          <t>English source</t>
        </is>
      </c>
      <c r="T1" s="4" t="inlineStr">
        <is>
          <t>Central English rule for this course</t>
        </is>
      </c>
      <c r="U1" s="4" t="inlineStr">
        <is>
          <t>Course page disagrees with central English</t>
        </is>
      </c>
      <c r="V1" s="4" t="inlineStr">
        <is>
          <t>Intakes (state)</t>
        </is>
      </c>
      <c r="W1" s="4" t="inlineStr">
        <is>
          <t>Intake months</t>
        </is>
      </c>
      <c r="X1" s="4" t="inlineStr">
        <is>
          <t>Intakes source</t>
        </is>
      </c>
      <c r="Y1" s="4" t="inlineStr">
        <is>
          <t>Intake rows withdrawn earlier</t>
        </is>
      </c>
      <c r="Z1" s="4" t="inlineStr">
        <is>
          <t>Calendar months allowed at this level (19 Oct rule)</t>
        </is>
      </c>
      <c r="AA1" s="4" t="inlineStr">
        <is>
          <t>Delivery mode (state)</t>
        </is>
      </c>
      <c r="AB1" s="4" t="inlineStr">
        <is>
          <t>Delivery mode</t>
        </is>
      </c>
      <c r="AC1" s="4" t="inlineStr">
        <is>
          <t>Delivery: last reader result</t>
        </is>
      </c>
      <c r="AD1" s="4" t="inlineStr">
        <is>
          <t>Delivery values taken back (23 Oct)</t>
        </is>
      </c>
      <c r="AE1" s="4" t="inlineStr">
        <is>
          <t>Action: read the bound page again (rendered)</t>
        </is>
      </c>
      <c r="AF1" s="4" t="inlineStr">
        <is>
          <t>Action: Layer 4 review of a value read from the course page</t>
        </is>
      </c>
      <c r="AG1" s="4" t="inlineStr">
        <is>
          <t>Action: re-route item stuck in retired Layer 3</t>
        </is>
      </c>
      <c r="AH1" s="4" t="inlineStr">
        <is>
          <t>Action: calendar months, undergraduate (22 Oct rule)</t>
        </is>
      </c>
      <c r="AI1" s="4" t="inlineStr">
        <is>
          <t>Action: calendar months, postgraduate/research (19 + 22 Oct rules)</t>
        </is>
      </c>
      <c r="AJ1" s="4" t="inlineStr">
        <is>
          <t>Action: English rule for held course types</t>
        </is>
      </c>
      <c r="AK1" s="4" t="inlineStr">
        <is>
          <t>Action: delivery quote not found, re-run</t>
        </is>
      </c>
      <c r="AL1" s="4" t="inlineStr">
        <is>
          <t>Action: fee in approved schedule, not admitted</t>
        </is>
      </c>
      <c r="AM1" s="4" t="inlineStr">
        <is>
          <t>Action: confirm no-page record</t>
        </is>
      </c>
    </row>
    <row r="2">
      <c r="A2" t="inlineStr">
        <is>
          <t>086045J</t>
        </is>
      </c>
      <c r="B2" t="inlineStr">
        <is>
          <t>Advanced Skills for Academic Success</t>
        </is>
      </c>
      <c r="C2" t="inlineStr">
        <is>
          <t>Non AQF Award</t>
        </is>
      </c>
      <c r="D2" t="inlineStr">
        <is>
          <t>Non-award</t>
        </is>
      </c>
      <c r="E2" t="inlineStr">
        <is>
          <t>Advertised: official page in place</t>
        </is>
      </c>
      <c r="F2" t="inlineStr">
        <is>
          <t>https://www.sydney.edu.au/cet/programs/succeed/advanced-skills-for-academic-success.html</t>
        </is>
      </c>
      <c r="G2" t="inlineStr">
        <is>
          <t>https://www.sydney.edu.au/cet/programs/succeed/advanced-skills-for-academic-success.html</t>
        </is>
      </c>
      <c r="H2" t="inlineStr">
        <is>
          <t>Read</t>
        </is>
      </c>
      <c r="I2" t="inlineStr">
        <is>
          <t>CRICOS code on page</t>
        </is>
      </c>
      <c r="J2" t="inlineStr"/>
      <c r="K2" t="inlineStr">
        <is>
          <t>Not sent to re-link</t>
        </is>
      </c>
      <c r="L2" t="inlineStr">
        <is>
          <t>Filled</t>
        </is>
      </c>
      <c r="M2" t="inlineStr">
        <is>
          <t>Value found, being checked</t>
        </is>
      </c>
      <c r="N2" t="inlineStr"/>
      <c r="O2" t="n">
        <v>0</v>
      </c>
      <c r="P2" t="inlineStr"/>
      <c r="Q2" t="inlineStr">
        <is>
          <t>Not stated on course page</t>
        </is>
      </c>
      <c r="S2" t="inlineStr"/>
      <c r="T2" t="inlineStr">
        <is>
          <t>Held: level not covered by the policy default</t>
        </is>
      </c>
      <c r="U2" t="inlineStr"/>
      <c r="V2" t="inlineStr">
        <is>
          <t>Not stated on course page</t>
        </is>
      </c>
      <c r="W2" t="inlineStr"/>
      <c r="X2" t="inlineStr"/>
      <c r="Y2" t="n">
        <v>0</v>
      </c>
      <c r="Z2" t="inlineStr">
        <is>
          <t>No</t>
        </is>
      </c>
      <c r="AA2" t="inlineStr">
        <is>
          <t>Filled</t>
        </is>
      </c>
      <c r="AB2" t="inlineStr">
        <is>
          <t>on campus</t>
        </is>
      </c>
      <c r="AC2" t="inlineStr">
        <is>
          <t>Filled</t>
        </is>
      </c>
      <c r="AD2" t="n">
        <v>0</v>
      </c>
      <c r="AE2" t="inlineStr"/>
      <c r="AF2" t="inlineStr">
        <is>
          <t>Yes</t>
        </is>
      </c>
      <c r="AG2" t="inlineStr"/>
      <c r="AH2" t="inlineStr"/>
      <c r="AI2" t="inlineStr">
        <is>
          <t>Yes</t>
        </is>
      </c>
      <c r="AJ2" t="inlineStr">
        <is>
          <t>Yes</t>
        </is>
      </c>
      <c r="AK2" t="inlineStr"/>
      <c r="AL2" t="inlineStr"/>
      <c r="AM2" t="inlineStr"/>
    </row>
    <row r="3">
      <c r="A3" t="inlineStr">
        <is>
          <t>093855E</t>
        </is>
      </c>
      <c r="B3" t="inlineStr">
        <is>
          <t>Bachelor of Advanced Computing</t>
        </is>
      </c>
      <c r="C3" t="inlineStr">
        <is>
          <t>Bachelor</t>
        </is>
      </c>
      <c r="D3" t="inlineStr">
        <is>
          <t>Undergraduate</t>
        </is>
      </c>
      <c r="E3" t="inlineStr">
        <is>
          <t>Advertised: official page in place</t>
        </is>
      </c>
      <c r="F3" t="inlineStr">
        <is>
          <t>https://www.sydney.edu.au/courses/courses/uc/bachelor-of-advanced-computing.html</t>
        </is>
      </c>
      <c r="G3" t="inlineStr">
        <is>
          <t>https://www.sydney.edu.au/courses/courses/uc/bachelor-of-advanced-computing.html</t>
        </is>
      </c>
      <c r="H3" t="inlineStr">
        <is>
          <t>Read</t>
        </is>
      </c>
      <c r="I3" t="inlineStr">
        <is>
          <t>Exact title match</t>
        </is>
      </c>
      <c r="J3" t="inlineStr"/>
      <c r="K3" t="inlineStr">
        <is>
          <t>Not sent to re-link</t>
        </is>
      </c>
      <c r="L3" t="inlineStr">
        <is>
          <t>Filled</t>
        </is>
      </c>
      <c r="M3" t="inlineStr">
        <is>
          <t>Not stated on course page</t>
        </is>
      </c>
      <c r="N3" t="inlineStr"/>
      <c r="O3" t="n">
        <v>0</v>
      </c>
      <c r="P3" t="inlineStr"/>
      <c r="Q3" t="inlineStr">
        <is>
          <t>Filled</t>
        </is>
      </c>
      <c r="R3" t="n">
        <v>6.5</v>
      </c>
      <c r="S3" t="inlineStr">
        <is>
          <t>Central English policy</t>
        </is>
      </c>
      <c r="T3" t="inlineStr">
        <is>
          <t>Central rule applies (value agrees)</t>
        </is>
      </c>
      <c r="U3" t="inlineStr"/>
      <c r="V3" t="inlineStr">
        <is>
          <t>Not stated on course page</t>
        </is>
      </c>
      <c r="W3" t="inlineStr"/>
      <c r="X3" t="inlineStr"/>
      <c r="Y3" t="n">
        <v>2</v>
      </c>
      <c r="Z3" t="inlineStr">
        <is>
          <t>Yes</t>
        </is>
      </c>
      <c r="AA3" t="inlineStr">
        <is>
          <t>Filled</t>
        </is>
      </c>
      <c r="AB3" t="inlineStr">
        <is>
          <t>on campus</t>
        </is>
      </c>
      <c r="AC3" t="inlineStr"/>
      <c r="AD3" t="n">
        <v>0</v>
      </c>
      <c r="AE3" t="inlineStr"/>
      <c r="AF3" t="inlineStr"/>
      <c r="AG3" t="inlineStr"/>
      <c r="AH3" t="inlineStr">
        <is>
          <t>Yes</t>
        </is>
      </c>
      <c r="AI3" t="inlineStr"/>
      <c r="AJ3" t="inlineStr"/>
      <c r="AK3" t="inlineStr"/>
      <c r="AL3" t="inlineStr"/>
      <c r="AM3" t="inlineStr"/>
    </row>
    <row r="4">
      <c r="A4" t="inlineStr">
        <is>
          <t>093857C</t>
        </is>
      </c>
      <c r="B4" t="inlineStr">
        <is>
          <t>Bachelor of Advanced Computing/Bachelor of Commerce</t>
        </is>
      </c>
      <c r="C4" t="inlineStr">
        <is>
          <t>Bachelor</t>
        </is>
      </c>
      <c r="D4" t="inlineStr">
        <is>
          <t>Undergraduate</t>
        </is>
      </c>
      <c r="E4" t="inlineStr">
        <is>
          <t>Advertised: official page in place</t>
        </is>
      </c>
      <c r="F4" t="inlineStr">
        <is>
          <t>https://www.sydney.edu.au/handbooks/archive/2025/business-school/advanced-computing-commerce.html</t>
        </is>
      </c>
      <c r="G4" t="inlineStr">
        <is>
          <t>https://www.sydney.edu.au/handbooks/archive/2025/business-school/advanced-computing-commerce.html</t>
        </is>
      </c>
      <c r="H4" t="inlineStr">
        <is>
          <t>Read</t>
        </is>
      </c>
      <c r="I4" t="inlineStr">
        <is>
          <t>CRICOS code on page</t>
        </is>
      </c>
      <c r="J4" t="inlineStr"/>
      <c r="K4" t="inlineStr">
        <is>
          <t>Not sent to re-link</t>
        </is>
      </c>
      <c r="L4" t="inlineStr">
        <is>
          <t>Filled</t>
        </is>
      </c>
      <c r="M4" t="inlineStr">
        <is>
          <t>Not stated on course page</t>
        </is>
      </c>
      <c r="N4" t="inlineStr"/>
      <c r="O4" t="n">
        <v>0</v>
      </c>
      <c r="P4" t="inlineStr"/>
      <c r="Q4" t="inlineStr">
        <is>
          <t>Filled</t>
        </is>
      </c>
      <c r="R4" t="n">
        <v>6.5</v>
      </c>
      <c r="S4" t="inlineStr">
        <is>
          <t>Central English policy</t>
        </is>
      </c>
      <c r="T4" t="inlineStr">
        <is>
          <t>Central rule applies (value agrees)</t>
        </is>
      </c>
      <c r="U4" t="inlineStr"/>
      <c r="V4" t="inlineStr">
        <is>
          <t>Not stated on course page</t>
        </is>
      </c>
      <c r="W4" t="inlineStr"/>
      <c r="X4" t="inlineStr"/>
      <c r="Y4" t="n">
        <v>2</v>
      </c>
      <c r="Z4" t="inlineStr">
        <is>
          <t>Yes</t>
        </is>
      </c>
      <c r="AA4" t="inlineStr">
        <is>
          <t>Not stated on course page</t>
        </is>
      </c>
      <c r="AB4" t="inlineStr"/>
      <c r="AC4" t="inlineStr">
        <is>
          <t>Skipped: the page does not state it</t>
        </is>
      </c>
      <c r="AD4" t="n">
        <v>0</v>
      </c>
      <c r="AE4" t="inlineStr"/>
      <c r="AF4" t="inlineStr"/>
      <c r="AG4" t="inlineStr"/>
      <c r="AH4" t="inlineStr">
        <is>
          <t>Yes</t>
        </is>
      </c>
      <c r="AI4" t="inlineStr"/>
      <c r="AJ4" t="inlineStr"/>
      <c r="AK4" t="inlineStr"/>
      <c r="AL4" t="inlineStr"/>
      <c r="AM4" t="inlineStr"/>
    </row>
    <row r="5">
      <c r="A5" t="inlineStr">
        <is>
          <t>093856D</t>
        </is>
      </c>
      <c r="B5" t="inlineStr">
        <is>
          <t>Bachelor of Advanced Computing/Bachelor of Science</t>
        </is>
      </c>
      <c r="C5" t="inlineStr">
        <is>
          <t>Bachelor</t>
        </is>
      </c>
      <c r="D5" t="inlineStr">
        <is>
          <t>Undergraduate</t>
        </is>
      </c>
      <c r="E5" t="inlineStr">
        <is>
          <t>Page address no longer works</t>
        </is>
      </c>
      <c r="F5" t="inlineStr"/>
      <c r="G5" t="inlineStr">
        <is>
          <t>https://www.sydney.edu.au/courses/courses/uc/bachelor-of-advanced-computing-bachelor-of-science.html</t>
        </is>
      </c>
      <c r="H5" t="inlineStr">
        <is>
          <t>Address no longer works</t>
        </is>
      </c>
      <c r="I5" t="inlineStr"/>
      <c r="J5" t="inlineStr"/>
      <c r="K5" t="inlineStr">
        <is>
          <t>Finished, no page: every candidate address was refused by the reader or did not</t>
        </is>
      </c>
      <c r="L5" t="inlineStr">
        <is>
          <t>Page found, being read</t>
        </is>
      </c>
      <c r="M5" t="inlineStr">
        <is>
          <t>Page found, being read</t>
        </is>
      </c>
      <c r="N5" t="inlineStr"/>
      <c r="O5" t="n">
        <v>0</v>
      </c>
      <c r="P5" t="inlineStr"/>
      <c r="Q5" t="inlineStr">
        <is>
          <t>Filled</t>
        </is>
      </c>
      <c r="R5" t="n">
        <v>6.5</v>
      </c>
      <c r="S5" t="inlineStr">
        <is>
          <t>Central English policy</t>
        </is>
      </c>
      <c r="T5" t="inlineStr">
        <is>
          <t>Central rule applies (value agrees)</t>
        </is>
      </c>
      <c r="U5" t="inlineStr"/>
      <c r="V5" t="inlineStr">
        <is>
          <t>Page found, being read</t>
        </is>
      </c>
      <c r="W5" t="inlineStr"/>
      <c r="X5" t="inlineStr"/>
      <c r="Y5" t="n">
        <v>0</v>
      </c>
      <c r="Z5" t="inlineStr">
        <is>
          <t>Yes</t>
        </is>
      </c>
      <c r="AA5" t="inlineStr">
        <is>
          <t>Not stated on course page</t>
        </is>
      </c>
      <c r="AB5" t="inlineStr"/>
      <c r="AC5" t="inlineStr">
        <is>
          <t>Skipped: no allowed source had a value</t>
        </is>
      </c>
      <c r="AD5" t="n">
        <v>1</v>
      </c>
      <c r="AE5" t="inlineStr"/>
      <c r="AF5" t="inlineStr"/>
      <c r="AG5" t="inlineStr"/>
      <c r="AH5" t="inlineStr"/>
      <c r="AI5" t="inlineStr"/>
      <c r="AJ5" t="inlineStr"/>
      <c r="AK5" t="inlineStr"/>
      <c r="AL5" t="inlineStr"/>
      <c r="AM5" t="inlineStr"/>
    </row>
    <row r="6">
      <c r="A6" t="inlineStr">
        <is>
          <t>099884G</t>
        </is>
      </c>
      <c r="B6" t="inlineStr">
        <is>
          <t>Bachelor of Advanced Studies</t>
        </is>
      </c>
      <c r="C6" t="inlineStr">
        <is>
          <t>Bachelor</t>
        </is>
      </c>
      <c r="D6" t="inlineStr">
        <is>
          <t>Undergraduate</t>
        </is>
      </c>
      <c r="E6" t="inlineStr">
        <is>
          <t>Advertised: official page in place</t>
        </is>
      </c>
      <c r="F6" t="inlineStr">
        <is>
          <t>https://www.sydney.edu.au/handbooks/interdisciplinary-studies/b-advanced-studies-honours/overview.html</t>
        </is>
      </c>
      <c r="G6" t="inlineStr">
        <is>
          <t>https://www.sydney.edu.au/handbooks/interdisciplinary-studies/b-advanced-studies-honours/overview.html</t>
        </is>
      </c>
      <c r="H6" t="inlineStr">
        <is>
          <t>Read</t>
        </is>
      </c>
      <c r="I6" t="inlineStr">
        <is>
          <t>Exact title match</t>
        </is>
      </c>
      <c r="J6" t="inlineStr"/>
      <c r="K6" t="inlineStr">
        <is>
          <t>Not sent to re-link</t>
        </is>
      </c>
      <c r="L6" t="inlineStr">
        <is>
          <t>Filled</t>
        </is>
      </c>
      <c r="M6" t="inlineStr">
        <is>
          <t>Not stated on course page</t>
        </is>
      </c>
      <c r="N6" t="inlineStr"/>
      <c r="O6" t="n">
        <v>0</v>
      </c>
      <c r="P6" t="inlineStr"/>
      <c r="Q6" t="inlineStr">
        <is>
          <t>Filled</t>
        </is>
      </c>
      <c r="R6" t="n">
        <v>6.5</v>
      </c>
      <c r="S6" t="inlineStr">
        <is>
          <t>Central English policy</t>
        </is>
      </c>
      <c r="T6" t="inlineStr">
        <is>
          <t>Central rule applies (value agrees)</t>
        </is>
      </c>
      <c r="U6" t="inlineStr"/>
      <c r="V6" t="inlineStr">
        <is>
          <t>Not stated on course page</t>
        </is>
      </c>
      <c r="W6" t="inlineStr"/>
      <c r="X6" t="inlineStr"/>
      <c r="Y6" t="n">
        <v>2</v>
      </c>
      <c r="Z6" t="inlineStr">
        <is>
          <t>Yes</t>
        </is>
      </c>
      <c r="AA6" t="inlineStr">
        <is>
          <t>Not stated on course page</t>
        </is>
      </c>
      <c r="AB6" t="inlineStr"/>
      <c r="AC6" t="inlineStr">
        <is>
          <t>Skipped: the page does not state it</t>
        </is>
      </c>
      <c r="AD6" t="n">
        <v>0</v>
      </c>
      <c r="AE6" t="inlineStr"/>
      <c r="AF6" t="inlineStr"/>
      <c r="AG6" t="inlineStr"/>
      <c r="AH6" t="inlineStr">
        <is>
          <t>Yes</t>
        </is>
      </c>
      <c r="AI6" t="inlineStr"/>
      <c r="AJ6" t="inlineStr"/>
      <c r="AK6" t="inlineStr"/>
      <c r="AL6" t="inlineStr"/>
      <c r="AM6" t="inlineStr"/>
    </row>
    <row r="7">
      <c r="A7" t="inlineStr">
        <is>
          <t>0100199</t>
        </is>
      </c>
      <c r="B7" t="inlineStr">
        <is>
          <t>Bachelor of Advanced Studies (Honours)</t>
        </is>
      </c>
      <c r="C7" t="inlineStr">
        <is>
          <t>Bachelor Honours Degree</t>
        </is>
      </c>
      <c r="D7" t="inlineStr">
        <is>
          <t>Undergraduate</t>
        </is>
      </c>
      <c r="E7" t="inlineStr">
        <is>
          <t>Advertised: official page in place</t>
        </is>
      </c>
      <c r="F7" t="inlineStr">
        <is>
          <t>https://www.sydney.edu.au/handbooks/interdisciplinary-studies/b-advanced-studies-honours/overview.html</t>
        </is>
      </c>
      <c r="G7" t="inlineStr">
        <is>
          <t>https://www.sydney.edu.au/handbooks/interdisciplinary-studies/b-advanced-studies-honours/overview.html</t>
        </is>
      </c>
      <c r="H7" t="inlineStr">
        <is>
          <t>Read</t>
        </is>
      </c>
      <c r="I7" t="inlineStr">
        <is>
          <t>Exact title match</t>
        </is>
      </c>
      <c r="J7" t="inlineStr"/>
      <c r="K7" t="inlineStr">
        <is>
          <t>Not sent to re-link</t>
        </is>
      </c>
      <c r="L7" t="inlineStr">
        <is>
          <t>Filled</t>
        </is>
      </c>
      <c r="M7" t="inlineStr">
        <is>
          <t>Not stated on course page</t>
        </is>
      </c>
      <c r="N7" t="inlineStr"/>
      <c r="O7" t="n">
        <v>0</v>
      </c>
      <c r="P7" t="inlineStr"/>
      <c r="Q7" t="inlineStr">
        <is>
          <t>Filled</t>
        </is>
      </c>
      <c r="R7" t="n">
        <v>6.5</v>
      </c>
      <c r="S7" t="inlineStr">
        <is>
          <t>Central English policy</t>
        </is>
      </c>
      <c r="T7" t="inlineStr">
        <is>
          <t>Central rule applies (value agrees)</t>
        </is>
      </c>
      <c r="U7" t="inlineStr"/>
      <c r="V7" t="inlineStr">
        <is>
          <t>Not stated on course page</t>
        </is>
      </c>
      <c r="W7" t="inlineStr"/>
      <c r="X7" t="inlineStr"/>
      <c r="Y7" t="n">
        <v>2</v>
      </c>
      <c r="Z7" t="inlineStr">
        <is>
          <t>Yes</t>
        </is>
      </c>
      <c r="AA7" t="inlineStr">
        <is>
          <t>Not stated on course page</t>
        </is>
      </c>
      <c r="AB7" t="inlineStr"/>
      <c r="AC7" t="inlineStr">
        <is>
          <t>Skipped: the page does not state it</t>
        </is>
      </c>
      <c r="AD7" t="n">
        <v>0</v>
      </c>
      <c r="AE7" t="inlineStr"/>
      <c r="AF7" t="inlineStr"/>
      <c r="AG7" t="inlineStr"/>
      <c r="AH7" t="inlineStr">
        <is>
          <t>Yes</t>
        </is>
      </c>
      <c r="AI7" t="inlineStr"/>
      <c r="AJ7" t="inlineStr"/>
      <c r="AK7" t="inlineStr"/>
      <c r="AL7" t="inlineStr"/>
      <c r="AM7" t="inlineStr"/>
    </row>
    <row r="8">
      <c r="A8" t="inlineStr">
        <is>
          <t>115606C</t>
        </is>
      </c>
      <c r="B8" t="inlineStr">
        <is>
          <t>Bachelor of Advanced Studies (Honours) (Food and Agribusiness)</t>
        </is>
      </c>
      <c r="C8" t="inlineStr">
        <is>
          <t>Bachelor Honours Degree</t>
        </is>
      </c>
      <c r="D8" t="inlineStr">
        <is>
          <t>Undergraduate</t>
        </is>
      </c>
      <c r="E8" t="inlineStr">
        <is>
          <t>Advertised: official page in place</t>
        </is>
      </c>
      <c r="F8" t="inlineStr">
        <is>
          <t>https://www.sydney.edu.au/content/dam/students/documents/honours/bas-flyers/bas-hons-foodag-dom.pdf</t>
        </is>
      </c>
      <c r="G8" t="inlineStr">
        <is>
          <t>https://www.sydney.edu.au/content/dam/students/documents/honours/bas-flyers/bas-hons-foodag-dom.pdf</t>
        </is>
      </c>
      <c r="H8" t="inlineStr">
        <is>
          <t>Read</t>
        </is>
      </c>
      <c r="I8" t="inlineStr">
        <is>
          <t>CRICOS code on page</t>
        </is>
      </c>
      <c r="J8" t="inlineStr"/>
      <c r="K8" t="inlineStr">
        <is>
          <t>Not sent to re-link</t>
        </is>
      </c>
      <c r="L8" t="inlineStr">
        <is>
          <t>Filled</t>
        </is>
      </c>
      <c r="M8" t="inlineStr">
        <is>
          <t>Not stated on course page</t>
        </is>
      </c>
      <c r="N8" t="inlineStr"/>
      <c r="O8" t="n">
        <v>0</v>
      </c>
      <c r="P8" t="inlineStr"/>
      <c r="Q8" t="inlineStr">
        <is>
          <t>Filled</t>
        </is>
      </c>
      <c r="R8" t="n">
        <v>6.5</v>
      </c>
      <c r="S8" t="inlineStr">
        <is>
          <t>Central English policy</t>
        </is>
      </c>
      <c r="T8" t="inlineStr">
        <is>
          <t>Central rule applies (value agrees)</t>
        </is>
      </c>
      <c r="U8" t="inlineStr"/>
      <c r="V8" t="inlineStr">
        <is>
          <t>Not stated on course page</t>
        </is>
      </c>
      <c r="W8" t="inlineStr"/>
      <c r="X8" t="inlineStr"/>
      <c r="Y8" t="n">
        <v>2</v>
      </c>
      <c r="Z8" t="inlineStr">
        <is>
          <t>Yes</t>
        </is>
      </c>
      <c r="AA8" t="inlineStr">
        <is>
          <t>Filled</t>
        </is>
      </c>
      <c r="AB8" t="inlineStr">
        <is>
          <t>on campus</t>
        </is>
      </c>
      <c r="AC8" t="inlineStr">
        <is>
          <t>Filled</t>
        </is>
      </c>
      <c r="AD8" t="n">
        <v>0</v>
      </c>
      <c r="AE8" t="inlineStr"/>
      <c r="AF8" t="inlineStr"/>
      <c r="AG8" t="inlineStr"/>
      <c r="AH8" t="inlineStr">
        <is>
          <t>Yes</t>
        </is>
      </c>
      <c r="AI8" t="inlineStr"/>
      <c r="AJ8" t="inlineStr"/>
      <c r="AK8" t="inlineStr"/>
      <c r="AL8" t="inlineStr"/>
      <c r="AM8" t="inlineStr"/>
    </row>
    <row r="9">
      <c r="A9" t="inlineStr">
        <is>
          <t>118538H</t>
        </is>
      </c>
      <c r="B9" t="inlineStr">
        <is>
          <t>Bachelor of Advanced Studies (Honours) (Taronga Wildlife Conservation)</t>
        </is>
      </c>
      <c r="C9" t="inlineStr">
        <is>
          <t>Bachelor Honours Degree</t>
        </is>
      </c>
      <c r="D9" t="inlineStr">
        <is>
          <t>Undergraduate</t>
        </is>
      </c>
      <c r="E9" t="inlineStr">
        <is>
          <t>Page address no longer works</t>
        </is>
      </c>
      <c r="F9" t="inlineStr"/>
      <c r="G9" t="inlineStr">
        <is>
          <t>https://www.sydney.edu.au/courses/courses/uc/bachelor-of-advanced-studies-honours-taronga-wildlife-conservation.html</t>
        </is>
      </c>
      <c r="H9" t="inlineStr">
        <is>
          <t>Address no longer works</t>
        </is>
      </c>
      <c r="I9" t="inlineStr"/>
      <c r="J9" t="inlineStr"/>
      <c r="K9" t="inlineStr">
        <is>
          <t>Finished, no page: every candidate address was refused by the reader or did not</t>
        </is>
      </c>
      <c r="L9" t="inlineStr">
        <is>
          <t>Page found, being read</t>
        </is>
      </c>
      <c r="M9" t="inlineStr">
        <is>
          <t>Page found, being read</t>
        </is>
      </c>
      <c r="N9" t="inlineStr"/>
      <c r="O9" t="n">
        <v>0</v>
      </c>
      <c r="P9" t="inlineStr"/>
      <c r="Q9" t="inlineStr">
        <is>
          <t>Filled</t>
        </is>
      </c>
      <c r="R9" t="n">
        <v>6.5</v>
      </c>
      <c r="S9" t="inlineStr">
        <is>
          <t>Central English policy</t>
        </is>
      </c>
      <c r="T9" t="inlineStr">
        <is>
          <t>Central rule applies (value agrees)</t>
        </is>
      </c>
      <c r="U9" t="inlineStr"/>
      <c r="V9" t="inlineStr">
        <is>
          <t>Page found, being read</t>
        </is>
      </c>
      <c r="W9" t="inlineStr"/>
      <c r="X9" t="inlineStr"/>
      <c r="Y9" t="n">
        <v>0</v>
      </c>
      <c r="Z9" t="inlineStr">
        <is>
          <t>Yes</t>
        </is>
      </c>
      <c r="AA9" t="inlineStr">
        <is>
          <t>Not stated on course page</t>
        </is>
      </c>
      <c r="AB9" t="inlineStr"/>
      <c r="AC9" t="inlineStr">
        <is>
          <t>Skipped: no allowed source had a value</t>
        </is>
      </c>
      <c r="AD9" t="n">
        <v>1</v>
      </c>
      <c r="AE9" t="inlineStr"/>
      <c r="AF9" t="inlineStr"/>
      <c r="AG9" t="inlineStr"/>
      <c r="AH9" t="inlineStr"/>
      <c r="AI9" t="inlineStr"/>
      <c r="AJ9" t="inlineStr"/>
      <c r="AK9" t="inlineStr"/>
      <c r="AL9" t="inlineStr"/>
      <c r="AM9" t="inlineStr"/>
    </row>
    <row r="10">
      <c r="A10" t="inlineStr">
        <is>
          <t>0102151</t>
        </is>
      </c>
      <c r="B10" t="inlineStr">
        <is>
          <t>Bachelor of Advanced Studies (Media and Communications)</t>
        </is>
      </c>
      <c r="C10" t="inlineStr">
        <is>
          <t>Bachelor</t>
        </is>
      </c>
      <c r="D10" t="inlineStr">
        <is>
          <t>Undergraduate</t>
        </is>
      </c>
      <c r="E10" t="inlineStr">
        <is>
          <t>Advertised: official page in place</t>
        </is>
      </c>
      <c r="F10" t="inlineStr">
        <is>
          <t>https://www.sydney.edu.au/courses/courses/uc/bachelor-of-advanced-studies-media-and-communications0.html</t>
        </is>
      </c>
      <c r="G10" t="inlineStr">
        <is>
          <t>https://www.sydney.edu.au/courses/courses/uc/bachelor-of-advanced-studies-media-and-communications0.html</t>
        </is>
      </c>
      <c r="H10" t="inlineStr">
        <is>
          <t>Read</t>
        </is>
      </c>
      <c r="I10" t="inlineStr">
        <is>
          <t>Exact title match</t>
        </is>
      </c>
      <c r="J10" t="inlineStr"/>
      <c r="K10" t="inlineStr">
        <is>
          <t>Not sent to re-link</t>
        </is>
      </c>
      <c r="L10" t="inlineStr">
        <is>
          <t>Filled</t>
        </is>
      </c>
      <c r="M10" t="inlineStr">
        <is>
          <t>Not stated on course page</t>
        </is>
      </c>
      <c r="N10" t="inlineStr"/>
      <c r="O10" t="n">
        <v>0</v>
      </c>
      <c r="P10" t="inlineStr"/>
      <c r="Q10" t="inlineStr">
        <is>
          <t>Filled</t>
        </is>
      </c>
      <c r="R10" t="n">
        <v>6.5</v>
      </c>
      <c r="S10" t="inlineStr">
        <is>
          <t>Central English policy</t>
        </is>
      </c>
      <c r="T10" t="inlineStr">
        <is>
          <t>Central rule applies (value agrees)</t>
        </is>
      </c>
      <c r="U10" t="inlineStr"/>
      <c r="V10" t="inlineStr">
        <is>
          <t>Not stated on course page</t>
        </is>
      </c>
      <c r="W10" t="inlineStr"/>
      <c r="X10" t="inlineStr"/>
      <c r="Y10" t="n">
        <v>2</v>
      </c>
      <c r="Z10" t="inlineStr">
        <is>
          <t>Yes</t>
        </is>
      </c>
      <c r="AA10" t="inlineStr">
        <is>
          <t>Filled</t>
        </is>
      </c>
      <c r="AB10" t="inlineStr">
        <is>
          <t>on campus</t>
        </is>
      </c>
      <c r="AC10" t="inlineStr"/>
      <c r="AD10" t="n">
        <v>0</v>
      </c>
      <c r="AE10" t="inlineStr"/>
      <c r="AF10" t="inlineStr"/>
      <c r="AG10" t="inlineStr"/>
      <c r="AH10" t="inlineStr">
        <is>
          <t>Yes</t>
        </is>
      </c>
      <c r="AI10" t="inlineStr"/>
      <c r="AJ10" t="inlineStr"/>
      <c r="AK10" t="inlineStr"/>
      <c r="AL10" t="inlineStr"/>
      <c r="AM10" t="inlineStr"/>
    </row>
    <row r="11">
      <c r="A11" t="inlineStr">
        <is>
          <t>114098D</t>
        </is>
      </c>
      <c r="B11" t="inlineStr">
        <is>
          <t>Bachelor of Advanced Studies (Media and Communications) (Honours)</t>
        </is>
      </c>
      <c r="C11" t="inlineStr">
        <is>
          <t>Bachelor Honours Degree</t>
        </is>
      </c>
      <c r="D11" t="inlineStr">
        <is>
          <t>Undergraduate</t>
        </is>
      </c>
      <c r="E11" t="inlineStr">
        <is>
          <t>Advertised: official page in place</t>
        </is>
      </c>
      <c r="F11" t="inlineStr">
        <is>
          <t>https://www.sydney.edu.au/handbooks/arts/coursework/honours-advanced-studies-media-communications/overview.html</t>
        </is>
      </c>
      <c r="G11" t="inlineStr">
        <is>
          <t>https://www.sydney.edu.au/handbooks/arts/coursework/honours-advanced-studies-media-communications/overview.html</t>
        </is>
      </c>
      <c r="H11" t="inlineStr">
        <is>
          <t>Read</t>
        </is>
      </c>
      <c r="I11" t="inlineStr">
        <is>
          <t>Exact title match</t>
        </is>
      </c>
      <c r="J11" t="inlineStr"/>
      <c r="K11" t="inlineStr">
        <is>
          <t>Not sent to re-link</t>
        </is>
      </c>
      <c r="L11" t="inlineStr">
        <is>
          <t>Filled</t>
        </is>
      </c>
      <c r="M11" t="inlineStr">
        <is>
          <t>Not stated on course page</t>
        </is>
      </c>
      <c r="N11" t="inlineStr"/>
      <c r="O11" t="n">
        <v>0</v>
      </c>
      <c r="P11" t="inlineStr"/>
      <c r="Q11" t="inlineStr">
        <is>
          <t>Filled</t>
        </is>
      </c>
      <c r="R11" t="n">
        <v>6.5</v>
      </c>
      <c r="S11" t="inlineStr">
        <is>
          <t>Central English policy</t>
        </is>
      </c>
      <c r="T11" t="inlineStr">
        <is>
          <t>Central rule applies (value agrees)</t>
        </is>
      </c>
      <c r="U11" t="inlineStr"/>
      <c r="V11" t="inlineStr">
        <is>
          <t>Not stated on course page</t>
        </is>
      </c>
      <c r="W11" t="inlineStr"/>
      <c r="X11" t="inlineStr"/>
      <c r="Y11" t="n">
        <v>2</v>
      </c>
      <c r="Z11" t="inlineStr">
        <is>
          <t>Yes</t>
        </is>
      </c>
      <c r="AA11" t="inlineStr">
        <is>
          <t>Not stated on course page</t>
        </is>
      </c>
      <c r="AB11" t="inlineStr"/>
      <c r="AC11" t="inlineStr">
        <is>
          <t>Skipped: the page does not state it</t>
        </is>
      </c>
      <c r="AD11" t="n">
        <v>0</v>
      </c>
      <c r="AE11" t="inlineStr"/>
      <c r="AF11" t="inlineStr"/>
      <c r="AG11" t="inlineStr"/>
      <c r="AH11" t="inlineStr">
        <is>
          <t>Yes</t>
        </is>
      </c>
      <c r="AI11" t="inlineStr"/>
      <c r="AJ11" t="inlineStr"/>
      <c r="AK11" t="inlineStr"/>
      <c r="AL11" t="inlineStr"/>
      <c r="AM11" t="inlineStr"/>
    </row>
    <row r="12">
      <c r="A12" t="inlineStr">
        <is>
          <t>0102152</t>
        </is>
      </c>
      <c r="B12" t="inlineStr">
        <is>
          <t>Bachelor of Advanced Studies (Media and Communications) (Honours)</t>
        </is>
      </c>
      <c r="C12" t="inlineStr">
        <is>
          <t>Bachelor Honours Degree</t>
        </is>
      </c>
      <c r="D12" t="inlineStr">
        <is>
          <t>Undergraduate</t>
        </is>
      </c>
      <c r="E12" t="inlineStr">
        <is>
          <t>Advertised: official page in place</t>
        </is>
      </c>
      <c r="F12" t="inlineStr">
        <is>
          <t>https://www.sydney.edu.au/handbooks/arts/coursework/honours-advanced-studies-media-communications/overview.html</t>
        </is>
      </c>
      <c r="G12" t="inlineStr">
        <is>
          <t>https://www.sydney.edu.au/handbooks/arts/coursework/honours-advanced-studies-media-communications/overview.html</t>
        </is>
      </c>
      <c r="H12" t="inlineStr">
        <is>
          <t>Read</t>
        </is>
      </c>
      <c r="I12" t="inlineStr">
        <is>
          <t>Exact title match</t>
        </is>
      </c>
      <c r="J12" t="inlineStr"/>
      <c r="K12" t="inlineStr">
        <is>
          <t>Not sent to re-link</t>
        </is>
      </c>
      <c r="L12" t="inlineStr">
        <is>
          <t>Filled</t>
        </is>
      </c>
      <c r="M12" t="inlineStr">
        <is>
          <t>Not stated on course page</t>
        </is>
      </c>
      <c r="N12" t="inlineStr"/>
      <c r="O12" t="n">
        <v>0</v>
      </c>
      <c r="P12" t="inlineStr"/>
      <c r="Q12" t="inlineStr">
        <is>
          <t>Filled</t>
        </is>
      </c>
      <c r="R12" t="n">
        <v>6.5</v>
      </c>
      <c r="S12" t="inlineStr">
        <is>
          <t>Central English policy</t>
        </is>
      </c>
      <c r="T12" t="inlineStr">
        <is>
          <t>Central rule applies (value agrees)</t>
        </is>
      </c>
      <c r="U12" t="inlineStr"/>
      <c r="V12" t="inlineStr">
        <is>
          <t>Not stated on course page</t>
        </is>
      </c>
      <c r="W12" t="inlineStr"/>
      <c r="X12" t="inlineStr"/>
      <c r="Y12" t="n">
        <v>2</v>
      </c>
      <c r="Z12" t="inlineStr">
        <is>
          <t>Yes</t>
        </is>
      </c>
      <c r="AA12" t="inlineStr">
        <is>
          <t>Not stated on course page</t>
        </is>
      </c>
      <c r="AB12" t="inlineStr"/>
      <c r="AC12" t="inlineStr">
        <is>
          <t>Skipped: the page does not state it</t>
        </is>
      </c>
      <c r="AD12" t="n">
        <v>0</v>
      </c>
      <c r="AE12" t="inlineStr"/>
      <c r="AF12" t="inlineStr"/>
      <c r="AG12" t="inlineStr"/>
      <c r="AH12" t="inlineStr">
        <is>
          <t>Yes</t>
        </is>
      </c>
      <c r="AI12" t="inlineStr"/>
      <c r="AJ12" t="inlineStr"/>
      <c r="AK12" t="inlineStr"/>
      <c r="AL12" t="inlineStr"/>
      <c r="AM12" t="inlineStr"/>
    </row>
    <row r="13">
      <c r="A13" t="inlineStr">
        <is>
          <t>000658B</t>
        </is>
      </c>
      <c r="B13" t="inlineStr">
        <is>
          <t>Bachelor of Agricultural Economics</t>
        </is>
      </c>
      <c r="C13" t="inlineStr">
        <is>
          <t>Bachelor</t>
        </is>
      </c>
      <c r="D13" t="inlineStr">
        <is>
          <t>Undergraduate</t>
        </is>
      </c>
      <c r="E13" t="inlineStr">
        <is>
          <t>No-page record (no page), awaiting review</t>
        </is>
      </c>
      <c r="F13" t="inlineStr"/>
      <c r="G13" t="inlineStr">
        <is>
          <t>https://rp-handbooks.sydney.edu.au/handbooks/archive/2016/agriculture/undergraduate/b_agricultural_economics_units_of_study.shtml.html</t>
        </is>
      </c>
      <c r="H13" t="inlineStr">
        <is>
          <t>Not a course page</t>
        </is>
      </c>
      <c r="I13" t="inlineStr"/>
      <c r="J13" t="inlineStr">
        <is>
          <t>No page (proposed)</t>
        </is>
      </c>
      <c r="K13" t="inlineStr">
        <is>
          <t>Not sent to re-link</t>
        </is>
      </c>
      <c r="L13" t="inlineStr">
        <is>
          <t>Not stated on course page</t>
        </is>
      </c>
      <c r="M13" t="inlineStr">
        <is>
          <t>Not stated on course page</t>
        </is>
      </c>
      <c r="N13" t="inlineStr"/>
      <c r="O13" t="n">
        <v>0</v>
      </c>
      <c r="P13" t="inlineStr"/>
      <c r="Q13" t="inlineStr">
        <is>
          <t>Filled</t>
        </is>
      </c>
      <c r="R13" t="n">
        <v>6.5</v>
      </c>
      <c r="S13" t="inlineStr">
        <is>
          <t>Central English policy</t>
        </is>
      </c>
      <c r="T13" t="inlineStr">
        <is>
          <t>Central rule applies (value agrees)</t>
        </is>
      </c>
      <c r="U13" t="inlineStr"/>
      <c r="V13" t="inlineStr">
        <is>
          <t>Not stated on course page</t>
        </is>
      </c>
      <c r="W13" t="inlineStr"/>
      <c r="X13" t="inlineStr"/>
      <c r="Y13" t="n">
        <v>2</v>
      </c>
      <c r="Z13" t="inlineStr">
        <is>
          <t>Yes</t>
        </is>
      </c>
      <c r="AA13" t="inlineStr">
        <is>
          <t>Not stated on course page</t>
        </is>
      </c>
      <c r="AB13" t="inlineStr"/>
      <c r="AC13" t="inlineStr">
        <is>
          <t>Skipped: taken back: the page read was another course's page</t>
        </is>
      </c>
      <c r="AD13" t="n">
        <v>1</v>
      </c>
      <c r="AE13" t="inlineStr"/>
      <c r="AF13" t="inlineStr"/>
      <c r="AG13" t="inlineStr"/>
      <c r="AH13" t="inlineStr"/>
      <c r="AI13" t="inlineStr"/>
      <c r="AJ13" t="inlineStr"/>
      <c r="AK13" t="inlineStr"/>
      <c r="AL13" t="inlineStr"/>
      <c r="AM13" t="inlineStr">
        <is>
          <t>Yes</t>
        </is>
      </c>
    </row>
    <row r="14">
      <c r="A14" t="inlineStr">
        <is>
          <t>111866D</t>
        </is>
      </c>
      <c r="B14" t="inlineStr">
        <is>
          <t>Bachelor of Agricultural Science</t>
        </is>
      </c>
      <c r="C14" t="inlineStr">
        <is>
          <t>Bachelor</t>
        </is>
      </c>
      <c r="D14" t="inlineStr">
        <is>
          <t>Undergraduate</t>
        </is>
      </c>
      <c r="E14" t="inlineStr">
        <is>
          <t>Advertised: official page in place</t>
        </is>
      </c>
      <c r="F14" t="inlineStr">
        <is>
          <t>https://www.sydney.edu.au/courses/courses/uc/bachelor-of-agricultural-science.html</t>
        </is>
      </c>
      <c r="G14" t="inlineStr">
        <is>
          <t>https://www.sydney.edu.au/courses/courses/uc/bachelor-of-agricultural-science.html</t>
        </is>
      </c>
      <c r="H14" t="inlineStr">
        <is>
          <t>Read</t>
        </is>
      </c>
      <c r="I14" t="inlineStr">
        <is>
          <t>Exact title match</t>
        </is>
      </c>
      <c r="J14" t="inlineStr"/>
      <c r="K14" t="inlineStr">
        <is>
          <t>Not sent to re-link</t>
        </is>
      </c>
      <c r="L14" t="inlineStr">
        <is>
          <t>Filled</t>
        </is>
      </c>
      <c r="M14" t="inlineStr">
        <is>
          <t>Not stated on course page</t>
        </is>
      </c>
      <c r="N14" t="inlineStr"/>
      <c r="O14" t="n">
        <v>0</v>
      </c>
      <c r="P14" t="inlineStr"/>
      <c r="Q14" t="inlineStr">
        <is>
          <t>Filled</t>
        </is>
      </c>
      <c r="R14" t="n">
        <v>6.5</v>
      </c>
      <c r="S14" t="inlineStr">
        <is>
          <t>Central English policy</t>
        </is>
      </c>
      <c r="T14" t="inlineStr">
        <is>
          <t>Central rule applies (value agrees)</t>
        </is>
      </c>
      <c r="U14" t="inlineStr"/>
      <c r="V14" t="inlineStr">
        <is>
          <t>Not stated on course page</t>
        </is>
      </c>
      <c r="W14" t="inlineStr"/>
      <c r="X14" t="inlineStr"/>
      <c r="Y14" t="n">
        <v>2</v>
      </c>
      <c r="Z14" t="inlineStr">
        <is>
          <t>Yes</t>
        </is>
      </c>
      <c r="AA14" t="inlineStr">
        <is>
          <t>Filled</t>
        </is>
      </c>
      <c r="AB14" t="inlineStr">
        <is>
          <t>on campus</t>
        </is>
      </c>
      <c r="AC14" t="inlineStr"/>
      <c r="AD14" t="n">
        <v>0</v>
      </c>
      <c r="AE14" t="inlineStr"/>
      <c r="AF14" t="inlineStr"/>
      <c r="AG14" t="inlineStr"/>
      <c r="AH14" t="inlineStr">
        <is>
          <t>Yes</t>
        </is>
      </c>
      <c r="AI14" t="inlineStr"/>
      <c r="AJ14" t="inlineStr"/>
      <c r="AK14" t="inlineStr"/>
      <c r="AL14" t="inlineStr"/>
      <c r="AM14" t="inlineStr"/>
    </row>
    <row r="15">
      <c r="A15" t="inlineStr">
        <is>
          <t>111869A</t>
        </is>
      </c>
      <c r="B15" t="inlineStr">
        <is>
          <t>Bachelor of Agricultural Science Honours</t>
        </is>
      </c>
      <c r="C15" t="inlineStr">
        <is>
          <t>Bachelor Honours Degree</t>
        </is>
      </c>
      <c r="D15" t="inlineStr">
        <is>
          <t>Undergraduate</t>
        </is>
      </c>
      <c r="E15" t="inlineStr">
        <is>
          <t>Advertised: official page in place</t>
        </is>
      </c>
      <c r="F15" t="inlineStr">
        <is>
          <t>https://www.sydney.edu.au/courses/courses/uc/bachelor-of-agricultural-science-honours.html</t>
        </is>
      </c>
      <c r="G15" t="inlineStr">
        <is>
          <t>https://www.sydney.edu.au/courses/courses/uc/bachelor-of-agricultural-science-honours.html</t>
        </is>
      </c>
      <c r="H15" t="inlineStr">
        <is>
          <t>Read</t>
        </is>
      </c>
      <c r="I15" t="inlineStr">
        <is>
          <t>Exact title match</t>
        </is>
      </c>
      <c r="J15" t="inlineStr"/>
      <c r="K15" t="inlineStr">
        <is>
          <t>Not sent to re-link</t>
        </is>
      </c>
      <c r="L15" t="inlineStr">
        <is>
          <t>Filled</t>
        </is>
      </c>
      <c r="M15" t="inlineStr">
        <is>
          <t>Not stated on course page</t>
        </is>
      </c>
      <c r="N15" t="inlineStr"/>
      <c r="O15" t="n">
        <v>0</v>
      </c>
      <c r="P15" t="inlineStr"/>
      <c r="Q15" t="inlineStr">
        <is>
          <t>Filled</t>
        </is>
      </c>
      <c r="R15" t="n">
        <v>6.5</v>
      </c>
      <c r="S15" t="inlineStr">
        <is>
          <t>Central English policy</t>
        </is>
      </c>
      <c r="T15" t="inlineStr">
        <is>
          <t>Central rule applies (value agrees)</t>
        </is>
      </c>
      <c r="U15" t="inlineStr"/>
      <c r="V15" t="inlineStr">
        <is>
          <t>Not stated on course page</t>
        </is>
      </c>
      <c r="W15" t="inlineStr"/>
      <c r="X15" t="inlineStr"/>
      <c r="Y15" t="n">
        <v>2</v>
      </c>
      <c r="Z15" t="inlineStr">
        <is>
          <t>Yes</t>
        </is>
      </c>
      <c r="AA15" t="inlineStr">
        <is>
          <t>Filled</t>
        </is>
      </c>
      <c r="AB15" t="inlineStr">
        <is>
          <t>on campus</t>
        </is>
      </c>
      <c r="AC15" t="inlineStr"/>
      <c r="AD15" t="n">
        <v>0</v>
      </c>
      <c r="AE15" t="inlineStr"/>
      <c r="AF15" t="inlineStr"/>
      <c r="AG15" t="inlineStr"/>
      <c r="AH15" t="inlineStr">
        <is>
          <t>Yes</t>
        </is>
      </c>
      <c r="AI15" t="inlineStr"/>
      <c r="AJ15" t="inlineStr"/>
      <c r="AK15" t="inlineStr"/>
      <c r="AL15" t="inlineStr"/>
      <c r="AM15" t="inlineStr"/>
    </row>
    <row r="16">
      <c r="A16" t="inlineStr">
        <is>
          <t>116443J</t>
        </is>
      </c>
      <c r="B16" t="inlineStr">
        <is>
          <t>Bachelor of Animal and Veterinary Bioscience</t>
        </is>
      </c>
      <c r="C16" t="inlineStr">
        <is>
          <t>Bachelor</t>
        </is>
      </c>
      <c r="D16" t="inlineStr">
        <is>
          <t>Undergraduate</t>
        </is>
      </c>
      <c r="E16" t="inlineStr">
        <is>
          <t>Advertised: official page in place</t>
        </is>
      </c>
      <c r="F16" t="inlineStr">
        <is>
          <t>https://www.sydney.edu.au/courses/courses/uc/bachelor-of-animal-and-veterinary-bioscience.html</t>
        </is>
      </c>
      <c r="G16" t="inlineStr">
        <is>
          <t>https://www.sydney.edu.au/courses/courses/uc/bachelor-of-animal-and-veterinary-bioscience.html</t>
        </is>
      </c>
      <c r="H16" t="inlineStr">
        <is>
          <t>Read</t>
        </is>
      </c>
      <c r="I16" t="inlineStr">
        <is>
          <t>Exact title match</t>
        </is>
      </c>
      <c r="J16" t="inlineStr"/>
      <c r="K16" t="inlineStr">
        <is>
          <t>Not sent to re-link</t>
        </is>
      </c>
      <c r="L16" t="inlineStr">
        <is>
          <t>Filled</t>
        </is>
      </c>
      <c r="M16" t="inlineStr">
        <is>
          <t>Not stated on course page</t>
        </is>
      </c>
      <c r="N16" t="inlineStr"/>
      <c r="O16" t="n">
        <v>0</v>
      </c>
      <c r="P16" t="inlineStr"/>
      <c r="Q16" t="inlineStr">
        <is>
          <t>Filled</t>
        </is>
      </c>
      <c r="R16" t="n">
        <v>6.5</v>
      </c>
      <c r="S16" t="inlineStr">
        <is>
          <t>Central English policy</t>
        </is>
      </c>
      <c r="T16" t="inlineStr">
        <is>
          <t>Central rule applies (value agrees)</t>
        </is>
      </c>
      <c r="U16" t="inlineStr"/>
      <c r="V16" t="inlineStr">
        <is>
          <t>Not stated on course page</t>
        </is>
      </c>
      <c r="W16" t="inlineStr"/>
      <c r="X16" t="inlineStr"/>
      <c r="Y16" t="n">
        <v>2</v>
      </c>
      <c r="Z16" t="inlineStr">
        <is>
          <t>Yes</t>
        </is>
      </c>
      <c r="AA16" t="inlineStr">
        <is>
          <t>Filled</t>
        </is>
      </c>
      <c r="AB16" t="inlineStr">
        <is>
          <t>on campus</t>
        </is>
      </c>
      <c r="AC16" t="inlineStr"/>
      <c r="AD16" t="n">
        <v>0</v>
      </c>
      <c r="AE16" t="inlineStr"/>
      <c r="AF16" t="inlineStr"/>
      <c r="AG16" t="inlineStr"/>
      <c r="AH16" t="inlineStr">
        <is>
          <t>Yes</t>
        </is>
      </c>
      <c r="AI16" t="inlineStr"/>
      <c r="AJ16" t="inlineStr"/>
      <c r="AK16" t="inlineStr"/>
      <c r="AL16" t="inlineStr"/>
      <c r="AM16" t="inlineStr"/>
    </row>
    <row r="17">
      <c r="A17" t="inlineStr">
        <is>
          <t>053423E</t>
        </is>
      </c>
      <c r="B17" t="inlineStr">
        <is>
          <t>Bachelor of Animal and Veterinary Bioscience</t>
        </is>
      </c>
      <c r="C17" t="inlineStr">
        <is>
          <t>Bachelor</t>
        </is>
      </c>
      <c r="D17" t="inlineStr">
        <is>
          <t>Undergraduate</t>
        </is>
      </c>
      <c r="E17" t="inlineStr">
        <is>
          <t>Advertised: official page in place</t>
        </is>
      </c>
      <c r="F17" t="inlineStr">
        <is>
          <t>https://www.sydney.edu.au/courses/courses/uc/bachelor-of-animal-and-veterinary-bioscience.html</t>
        </is>
      </c>
      <c r="G17" t="inlineStr">
        <is>
          <t>https://www.sydney.edu.au/courses/courses/uc/bachelor-of-animal-and-veterinary-bioscience.html</t>
        </is>
      </c>
      <c r="H17" t="inlineStr">
        <is>
          <t>Read</t>
        </is>
      </c>
      <c r="I17" t="inlineStr">
        <is>
          <t>Exact title match</t>
        </is>
      </c>
      <c r="J17" t="inlineStr"/>
      <c r="K17" t="inlineStr">
        <is>
          <t>Not sent to re-link</t>
        </is>
      </c>
      <c r="L17" t="inlineStr">
        <is>
          <t>Filled</t>
        </is>
      </c>
      <c r="M17" t="inlineStr">
        <is>
          <t>Not stated on course page</t>
        </is>
      </c>
      <c r="N17" t="inlineStr"/>
      <c r="O17" t="n">
        <v>0</v>
      </c>
      <c r="P17" t="inlineStr"/>
      <c r="Q17" t="inlineStr">
        <is>
          <t>Filled</t>
        </is>
      </c>
      <c r="R17" t="n">
        <v>6.5</v>
      </c>
      <c r="S17" t="inlineStr">
        <is>
          <t>Central English policy</t>
        </is>
      </c>
      <c r="T17" t="inlineStr">
        <is>
          <t>Central rule applies (value agrees)</t>
        </is>
      </c>
      <c r="U17" t="inlineStr"/>
      <c r="V17" t="inlineStr">
        <is>
          <t>Not stated on course page</t>
        </is>
      </c>
      <c r="W17" t="inlineStr"/>
      <c r="X17" t="inlineStr"/>
      <c r="Y17" t="n">
        <v>2</v>
      </c>
      <c r="Z17" t="inlineStr">
        <is>
          <t>Yes</t>
        </is>
      </c>
      <c r="AA17" t="inlineStr">
        <is>
          <t>Filled</t>
        </is>
      </c>
      <c r="AB17" t="inlineStr">
        <is>
          <t>on campus</t>
        </is>
      </c>
      <c r="AC17" t="inlineStr"/>
      <c r="AD17" t="n">
        <v>0</v>
      </c>
      <c r="AE17" t="inlineStr"/>
      <c r="AF17" t="inlineStr"/>
      <c r="AG17" t="inlineStr"/>
      <c r="AH17" t="inlineStr">
        <is>
          <t>Yes</t>
        </is>
      </c>
      <c r="AI17" t="inlineStr"/>
      <c r="AJ17" t="inlineStr"/>
      <c r="AK17" t="inlineStr"/>
      <c r="AL17" t="inlineStr"/>
      <c r="AM17" t="inlineStr"/>
    </row>
    <row r="18">
      <c r="A18" t="inlineStr">
        <is>
          <t>116442K</t>
        </is>
      </c>
      <c r="B18" t="inlineStr">
        <is>
          <t>Bachelor of Animal and Veterinary Bioscience (Honours)</t>
        </is>
      </c>
      <c r="C18" t="inlineStr">
        <is>
          <t>Bachelor Honours Degree</t>
        </is>
      </c>
      <c r="D18" t="inlineStr">
        <is>
          <t>Undergraduate</t>
        </is>
      </c>
      <c r="E18" t="inlineStr">
        <is>
          <t>Advertised: official page in place</t>
        </is>
      </c>
      <c r="F18" t="inlineStr">
        <is>
          <t>https://www.sydney.edu.au/courses/courses/uc/bachelor-of-animal-and-veterinary-bioscience-honours.html</t>
        </is>
      </c>
      <c r="G18" t="inlineStr">
        <is>
          <t>https://www.sydney.edu.au/courses/courses/uc/bachelor-of-animal-and-veterinary-bioscience-honours.html</t>
        </is>
      </c>
      <c r="H18" t="inlineStr">
        <is>
          <t>Read</t>
        </is>
      </c>
      <c r="I18" t="inlineStr">
        <is>
          <t>Exact title match</t>
        </is>
      </c>
      <c r="J18" t="inlineStr"/>
      <c r="K18" t="inlineStr">
        <is>
          <t>Not sent to re-link</t>
        </is>
      </c>
      <c r="L18" t="inlineStr">
        <is>
          <t>Filled</t>
        </is>
      </c>
      <c r="M18" t="inlineStr">
        <is>
          <t>Not stated on course page</t>
        </is>
      </c>
      <c r="N18" t="inlineStr"/>
      <c r="O18" t="n">
        <v>0</v>
      </c>
      <c r="P18" t="inlineStr"/>
      <c r="Q18" t="inlineStr">
        <is>
          <t>Filled</t>
        </is>
      </c>
      <c r="R18" t="n">
        <v>6.5</v>
      </c>
      <c r="S18" t="inlineStr">
        <is>
          <t>Central English policy</t>
        </is>
      </c>
      <c r="T18" t="inlineStr">
        <is>
          <t>Central rule applies (value agrees)</t>
        </is>
      </c>
      <c r="U18" t="inlineStr"/>
      <c r="V18" t="inlineStr">
        <is>
          <t>Filled</t>
        </is>
      </c>
      <c r="W18" t="inlineStr">
        <is>
          <t>January, June</t>
        </is>
      </c>
      <c r="X18" t="inlineStr">
        <is>
          <t>Other</t>
        </is>
      </c>
      <c r="Y18" t="n">
        <v>0</v>
      </c>
      <c r="Z18" t="inlineStr">
        <is>
          <t>Yes</t>
        </is>
      </c>
      <c r="AA18" t="inlineStr">
        <is>
          <t>Filled</t>
        </is>
      </c>
      <c r="AB18" t="inlineStr">
        <is>
          <t>on campus</t>
        </is>
      </c>
      <c r="AC18" t="inlineStr"/>
      <c r="AD18" t="n">
        <v>0</v>
      </c>
      <c r="AE18" t="inlineStr"/>
      <c r="AF18" t="inlineStr"/>
      <c r="AG18" t="inlineStr"/>
      <c r="AH18" t="inlineStr"/>
      <c r="AI18" t="inlineStr"/>
      <c r="AJ18" t="inlineStr"/>
      <c r="AK18" t="inlineStr"/>
      <c r="AL18" t="inlineStr"/>
      <c r="AM18" t="inlineStr"/>
    </row>
    <row r="19">
      <c r="A19" t="inlineStr">
        <is>
          <t>079215K</t>
        </is>
      </c>
      <c r="B19" t="inlineStr">
        <is>
          <t>Bachelor of Applied Science (Diagnostic Radiography)</t>
        </is>
      </c>
      <c r="C19" t="inlineStr">
        <is>
          <t>Bachelor</t>
        </is>
      </c>
      <c r="D19" t="inlineStr">
        <is>
          <t>Undergraduate</t>
        </is>
      </c>
      <c r="E19" t="inlineStr">
        <is>
          <t>Advertised: official page in place</t>
        </is>
      </c>
      <c r="F19" t="inlineStr">
        <is>
          <t>https://www.sydney.edu.au/courses/courses/uc/bachelor-of-applied-science-diagnostic-radiography.html</t>
        </is>
      </c>
      <c r="G19" t="inlineStr">
        <is>
          <t>https://www.sydney.edu.au/courses/courses/uc/bachelor-of-applied-science-diagnostic-radiography.html</t>
        </is>
      </c>
      <c r="H19" t="inlineStr">
        <is>
          <t>Read</t>
        </is>
      </c>
      <c r="I19" t="inlineStr">
        <is>
          <t>Exact title match</t>
        </is>
      </c>
      <c r="J19" t="inlineStr"/>
      <c r="K19" t="inlineStr">
        <is>
          <t>Not sent to re-link</t>
        </is>
      </c>
      <c r="L19" t="inlineStr">
        <is>
          <t>Filled</t>
        </is>
      </c>
      <c r="M19" t="inlineStr">
        <is>
          <t>Not stated on course page</t>
        </is>
      </c>
      <c r="N19" t="inlineStr"/>
      <c r="O19" t="n">
        <v>0</v>
      </c>
      <c r="P19" t="inlineStr"/>
      <c r="Q19" t="inlineStr">
        <is>
          <t>Filled</t>
        </is>
      </c>
      <c r="R19" t="n">
        <v>6.5</v>
      </c>
      <c r="S19" t="inlineStr">
        <is>
          <t>Central English policy</t>
        </is>
      </c>
      <c r="T19" t="inlineStr">
        <is>
          <t>Central rule applies (value agrees)</t>
        </is>
      </c>
      <c r="U19" t="inlineStr"/>
      <c r="V19" t="inlineStr">
        <is>
          <t>Not stated on course page</t>
        </is>
      </c>
      <c r="W19" t="inlineStr"/>
      <c r="X19" t="inlineStr"/>
      <c r="Y19" t="n">
        <v>2</v>
      </c>
      <c r="Z19" t="inlineStr">
        <is>
          <t>Yes</t>
        </is>
      </c>
      <c r="AA19" t="inlineStr">
        <is>
          <t>Filled</t>
        </is>
      </c>
      <c r="AB19" t="inlineStr">
        <is>
          <t>on campus</t>
        </is>
      </c>
      <c r="AC19" t="inlineStr"/>
      <c r="AD19" t="n">
        <v>0</v>
      </c>
      <c r="AE19" t="inlineStr"/>
      <c r="AF19" t="inlineStr"/>
      <c r="AG19" t="inlineStr"/>
      <c r="AH19" t="inlineStr">
        <is>
          <t>Yes</t>
        </is>
      </c>
      <c r="AI19" t="inlineStr"/>
      <c r="AJ19" t="inlineStr"/>
      <c r="AK19" t="inlineStr"/>
      <c r="AL19" t="inlineStr"/>
      <c r="AM19" t="inlineStr"/>
    </row>
    <row r="20">
      <c r="A20" t="inlineStr">
        <is>
          <t>022306M</t>
        </is>
      </c>
      <c r="B20" t="inlineStr">
        <is>
          <t>Bachelor of Applied Science (Exercise and Sport Science)</t>
        </is>
      </c>
      <c r="C20" t="inlineStr">
        <is>
          <t>Bachelor</t>
        </is>
      </c>
      <c r="D20" t="inlineStr">
        <is>
          <t>Undergraduate</t>
        </is>
      </c>
      <c r="E20" t="inlineStr">
        <is>
          <t>Advertised: official page in place</t>
        </is>
      </c>
      <c r="F20" t="inlineStr">
        <is>
          <t>https://www.sydney.edu.au/courses/courses/uc/bachelor-of-applied-science-exercise-and-sport-science0.html</t>
        </is>
      </c>
      <c r="G20" t="inlineStr">
        <is>
          <t>https://www.sydney.edu.au/courses/courses/uc/bachelor-of-applied-science-exercise-and-sport-science0.html</t>
        </is>
      </c>
      <c r="H20" t="inlineStr">
        <is>
          <t>Read</t>
        </is>
      </c>
      <c r="I20" t="inlineStr">
        <is>
          <t>Exact title match</t>
        </is>
      </c>
      <c r="J20" t="inlineStr"/>
      <c r="K20" t="inlineStr">
        <is>
          <t>Not sent to re-link</t>
        </is>
      </c>
      <c r="L20" t="inlineStr">
        <is>
          <t>Filled</t>
        </is>
      </c>
      <c r="M20" t="inlineStr">
        <is>
          <t>Not stated on course page</t>
        </is>
      </c>
      <c r="N20" t="inlineStr"/>
      <c r="O20" t="n">
        <v>0</v>
      </c>
      <c r="P20" t="inlineStr"/>
      <c r="Q20" t="inlineStr">
        <is>
          <t>Filled</t>
        </is>
      </c>
      <c r="R20" t="n">
        <v>6.5</v>
      </c>
      <c r="S20" t="inlineStr">
        <is>
          <t>Central English policy</t>
        </is>
      </c>
      <c r="T20" t="inlineStr">
        <is>
          <t>Central rule applies (value agrees)</t>
        </is>
      </c>
      <c r="U20" t="inlineStr"/>
      <c r="V20" t="inlineStr">
        <is>
          <t>Not stated on course page</t>
        </is>
      </c>
      <c r="W20" t="inlineStr"/>
      <c r="X20" t="inlineStr"/>
      <c r="Y20" t="n">
        <v>2</v>
      </c>
      <c r="Z20" t="inlineStr">
        <is>
          <t>Yes</t>
        </is>
      </c>
      <c r="AA20" t="inlineStr">
        <is>
          <t>Filled</t>
        </is>
      </c>
      <c r="AB20" t="inlineStr">
        <is>
          <t>on campus</t>
        </is>
      </c>
      <c r="AC20" t="inlineStr"/>
      <c r="AD20" t="n">
        <v>0</v>
      </c>
      <c r="AE20" t="inlineStr"/>
      <c r="AF20" t="inlineStr"/>
      <c r="AG20" t="inlineStr"/>
      <c r="AH20" t="inlineStr">
        <is>
          <t>Yes</t>
        </is>
      </c>
      <c r="AI20" t="inlineStr"/>
      <c r="AJ20" t="inlineStr"/>
      <c r="AK20" t="inlineStr"/>
      <c r="AL20" t="inlineStr"/>
      <c r="AM20" t="inlineStr"/>
    </row>
    <row r="21">
      <c r="A21" t="inlineStr">
        <is>
          <t>028770E</t>
        </is>
      </c>
      <c r="B21" t="inlineStr">
        <is>
          <t>Bachelor of Applied Science (Exercise and Sport Science) Honours</t>
        </is>
      </c>
      <c r="C21" t="inlineStr">
        <is>
          <t>Bachelor Honours Degree</t>
        </is>
      </c>
      <c r="D21" t="inlineStr">
        <is>
          <t>Undergraduate</t>
        </is>
      </c>
      <c r="E21" t="inlineStr">
        <is>
          <t>Advertised: official page in place</t>
        </is>
      </c>
      <c r="F21" t="inlineStr">
        <is>
          <t>https://www.sydney.edu.au/courses/courses/uc/bachelor-of-applied-science-exercise-and-sport-science-honours.html</t>
        </is>
      </c>
      <c r="G21" t="inlineStr">
        <is>
          <t>https://www.sydney.edu.au/courses/courses/uc/bachelor-of-applied-science-exercise-and-sport-science-honours.html</t>
        </is>
      </c>
      <c r="H21" t="inlineStr">
        <is>
          <t>Read</t>
        </is>
      </c>
      <c r="I21" t="inlineStr">
        <is>
          <t>Exact title match</t>
        </is>
      </c>
      <c r="J21" t="inlineStr"/>
      <c r="K21" t="inlineStr">
        <is>
          <t>Not sent to re-link</t>
        </is>
      </c>
      <c r="L21" t="inlineStr">
        <is>
          <t>Filled</t>
        </is>
      </c>
      <c r="M21" t="inlineStr">
        <is>
          <t>Not stated on course page</t>
        </is>
      </c>
      <c r="N21" t="inlineStr"/>
      <c r="O21" t="n">
        <v>0</v>
      </c>
      <c r="P21" t="inlineStr"/>
      <c r="Q21" t="inlineStr">
        <is>
          <t>Filled</t>
        </is>
      </c>
      <c r="R21" t="n">
        <v>6.5</v>
      </c>
      <c r="S21" t="inlineStr">
        <is>
          <t>Central English policy</t>
        </is>
      </c>
      <c r="T21" t="inlineStr">
        <is>
          <t>Central rule applies (value agrees)</t>
        </is>
      </c>
      <c r="U21" t="inlineStr"/>
      <c r="V21" t="inlineStr">
        <is>
          <t>Not stated on course page</t>
        </is>
      </c>
      <c r="W21" t="inlineStr"/>
      <c r="X21" t="inlineStr"/>
      <c r="Y21" t="n">
        <v>2</v>
      </c>
      <c r="Z21" t="inlineStr">
        <is>
          <t>Yes</t>
        </is>
      </c>
      <c r="AA21" t="inlineStr">
        <is>
          <t>Filled</t>
        </is>
      </c>
      <c r="AB21" t="inlineStr">
        <is>
          <t>on campus</t>
        </is>
      </c>
      <c r="AC21" t="inlineStr"/>
      <c r="AD21" t="n">
        <v>0</v>
      </c>
      <c r="AE21" t="inlineStr"/>
      <c r="AF21" t="inlineStr"/>
      <c r="AG21" t="inlineStr"/>
      <c r="AH21" t="inlineStr">
        <is>
          <t>Yes</t>
        </is>
      </c>
      <c r="AI21" t="inlineStr"/>
      <c r="AJ21" t="inlineStr"/>
      <c r="AK21" t="inlineStr"/>
      <c r="AL21" t="inlineStr"/>
      <c r="AM21" t="inlineStr"/>
    </row>
    <row r="22">
      <c r="A22" t="inlineStr">
        <is>
          <t>074245M</t>
        </is>
      </c>
      <c r="B22" t="inlineStr">
        <is>
          <t>Bachelor of Applied Science (Exercise Physiology)</t>
        </is>
      </c>
      <c r="C22" t="inlineStr">
        <is>
          <t>Bachelor</t>
        </is>
      </c>
      <c r="D22" t="inlineStr">
        <is>
          <t>Undergraduate</t>
        </is>
      </c>
      <c r="E22" t="inlineStr">
        <is>
          <t>Advertised: official page in place</t>
        </is>
      </c>
      <c r="F22" t="inlineStr">
        <is>
          <t>https://www.sydney.edu.au/courses/courses/uc/bachelor-of-applied-science-exercise-physiology7.html</t>
        </is>
      </c>
      <c r="G22" t="inlineStr">
        <is>
          <t>https://www.sydney.edu.au/courses/courses/uc/bachelor-of-applied-science-exercise-physiology7.html</t>
        </is>
      </c>
      <c r="H22" t="inlineStr">
        <is>
          <t>Read</t>
        </is>
      </c>
      <c r="I22" t="inlineStr">
        <is>
          <t>Exact title match</t>
        </is>
      </c>
      <c r="J22" t="inlineStr"/>
      <c r="K22" t="inlineStr">
        <is>
          <t>Not sent to re-link</t>
        </is>
      </c>
      <c r="L22" t="inlineStr">
        <is>
          <t>Filled</t>
        </is>
      </c>
      <c r="M22" t="inlineStr">
        <is>
          <t>Not stated on course page</t>
        </is>
      </c>
      <c r="N22" t="inlineStr"/>
      <c r="O22" t="n">
        <v>0</v>
      </c>
      <c r="P22" t="inlineStr"/>
      <c r="Q22" t="inlineStr">
        <is>
          <t>Filled</t>
        </is>
      </c>
      <c r="R22" t="n">
        <v>6.5</v>
      </c>
      <c r="S22" t="inlineStr">
        <is>
          <t>Central English policy</t>
        </is>
      </c>
      <c r="T22" t="inlineStr">
        <is>
          <t>Central rule applies (value agrees)</t>
        </is>
      </c>
      <c r="U22" t="inlineStr"/>
      <c r="V22" t="inlineStr">
        <is>
          <t>Not stated on course page</t>
        </is>
      </c>
      <c r="W22" t="inlineStr"/>
      <c r="X22" t="inlineStr"/>
      <c r="Y22" t="n">
        <v>2</v>
      </c>
      <c r="Z22" t="inlineStr">
        <is>
          <t>Yes</t>
        </is>
      </c>
      <c r="AA22" t="inlineStr">
        <is>
          <t>Filled</t>
        </is>
      </c>
      <c r="AB22" t="inlineStr">
        <is>
          <t>on campus</t>
        </is>
      </c>
      <c r="AC22" t="inlineStr"/>
      <c r="AD22" t="n">
        <v>0</v>
      </c>
      <c r="AE22" t="inlineStr"/>
      <c r="AF22" t="inlineStr"/>
      <c r="AG22" t="inlineStr"/>
      <c r="AH22" t="inlineStr">
        <is>
          <t>Yes</t>
        </is>
      </c>
      <c r="AI22" t="inlineStr"/>
      <c r="AJ22" t="inlineStr"/>
      <c r="AK22" t="inlineStr"/>
      <c r="AL22" t="inlineStr"/>
      <c r="AM22" t="inlineStr"/>
    </row>
    <row r="23">
      <c r="A23" t="inlineStr">
        <is>
          <t>088106G</t>
        </is>
      </c>
      <c r="B23" t="inlineStr">
        <is>
          <t>Bachelor of Applied Science (Exercise Physiology)</t>
        </is>
      </c>
      <c r="C23" t="inlineStr">
        <is>
          <t>Bachelor</t>
        </is>
      </c>
      <c r="D23" t="inlineStr">
        <is>
          <t>Undergraduate</t>
        </is>
      </c>
      <c r="E23" t="inlineStr">
        <is>
          <t>Advertised: official page in place</t>
        </is>
      </c>
      <c r="F23" t="inlineStr">
        <is>
          <t>https://www.sydney.edu.au/courses/courses/uc/bachelor-of-applied-science-exercise-physiology7.html</t>
        </is>
      </c>
      <c r="G23" t="inlineStr">
        <is>
          <t>https://www.sydney.edu.au/courses/courses/uc/bachelor-of-applied-science-exercise-physiology7.html</t>
        </is>
      </c>
      <c r="H23" t="inlineStr">
        <is>
          <t>Read</t>
        </is>
      </c>
      <c r="I23" t="inlineStr">
        <is>
          <t>Exact title match</t>
        </is>
      </c>
      <c r="J23" t="inlineStr"/>
      <c r="K23" t="inlineStr">
        <is>
          <t>Not sent to re-link</t>
        </is>
      </c>
      <c r="L23" t="inlineStr">
        <is>
          <t>Filled</t>
        </is>
      </c>
      <c r="M23" t="inlineStr">
        <is>
          <t>Not stated on course page</t>
        </is>
      </c>
      <c r="N23" t="inlineStr"/>
      <c r="O23" t="n">
        <v>0</v>
      </c>
      <c r="P23" t="inlineStr"/>
      <c r="Q23" t="inlineStr">
        <is>
          <t>Filled</t>
        </is>
      </c>
      <c r="R23" t="n">
        <v>6.5</v>
      </c>
      <c r="S23" t="inlineStr">
        <is>
          <t>Central English policy</t>
        </is>
      </c>
      <c r="T23" t="inlineStr">
        <is>
          <t>Central rule applies (value agrees)</t>
        </is>
      </c>
      <c r="U23" t="inlineStr"/>
      <c r="V23" t="inlineStr">
        <is>
          <t>Not stated on course page</t>
        </is>
      </c>
      <c r="W23" t="inlineStr"/>
      <c r="X23" t="inlineStr"/>
      <c r="Y23" t="n">
        <v>2</v>
      </c>
      <c r="Z23" t="inlineStr">
        <is>
          <t>Yes</t>
        </is>
      </c>
      <c r="AA23" t="inlineStr">
        <is>
          <t>Filled</t>
        </is>
      </c>
      <c r="AB23" t="inlineStr">
        <is>
          <t>on campus</t>
        </is>
      </c>
      <c r="AC23" t="inlineStr"/>
      <c r="AD23" t="n">
        <v>0</v>
      </c>
      <c r="AE23" t="inlineStr"/>
      <c r="AF23" t="inlineStr"/>
      <c r="AG23" t="inlineStr"/>
      <c r="AH23" t="inlineStr">
        <is>
          <t>Yes</t>
        </is>
      </c>
      <c r="AI23" t="inlineStr"/>
      <c r="AJ23" t="inlineStr"/>
      <c r="AK23" t="inlineStr"/>
      <c r="AL23" t="inlineStr"/>
      <c r="AM23" t="inlineStr"/>
    </row>
    <row r="24">
      <c r="A24" t="inlineStr">
        <is>
          <t>063849G</t>
        </is>
      </c>
      <c r="B24" t="inlineStr">
        <is>
          <t>Bachelor of Applied Science (Occupational Therapy)</t>
        </is>
      </c>
      <c r="C24" t="inlineStr">
        <is>
          <t>Bachelor</t>
        </is>
      </c>
      <c r="D24" t="inlineStr">
        <is>
          <t>Undergraduate</t>
        </is>
      </c>
      <c r="E24" t="inlineStr">
        <is>
          <t>Advertised: official page in place</t>
        </is>
      </c>
      <c r="F24" t="inlineStr">
        <is>
          <t>https://www.sydney.edu.au/courses/courses/uc/bachelor-of-applied-science-occupational-therapy0.html</t>
        </is>
      </c>
      <c r="G24" t="inlineStr">
        <is>
          <t>https://www.sydney.edu.au/courses/courses/uc/bachelor-of-applied-science-occupational-therapy0.html</t>
        </is>
      </c>
      <c r="H24" t="inlineStr">
        <is>
          <t>Read</t>
        </is>
      </c>
      <c r="I24" t="inlineStr">
        <is>
          <t>Exact title match</t>
        </is>
      </c>
      <c r="J24" t="inlineStr"/>
      <c r="K24" t="inlineStr">
        <is>
          <t>Not sent to re-link</t>
        </is>
      </c>
      <c r="L24" t="inlineStr">
        <is>
          <t>Filled</t>
        </is>
      </c>
      <c r="M24" t="inlineStr">
        <is>
          <t>Not stated on course page</t>
        </is>
      </c>
      <c r="N24" t="inlineStr"/>
      <c r="O24" t="n">
        <v>0</v>
      </c>
      <c r="P24" t="inlineStr"/>
      <c r="Q24" t="inlineStr">
        <is>
          <t>Filled</t>
        </is>
      </c>
      <c r="R24" t="n">
        <v>6.5</v>
      </c>
      <c r="S24" t="inlineStr">
        <is>
          <t>Central English policy</t>
        </is>
      </c>
      <c r="T24" t="inlineStr">
        <is>
          <t>Central rule applies (value agrees)</t>
        </is>
      </c>
      <c r="U24" t="inlineStr"/>
      <c r="V24" t="inlineStr">
        <is>
          <t>Not stated on course page</t>
        </is>
      </c>
      <c r="W24" t="inlineStr"/>
      <c r="X24" t="inlineStr"/>
      <c r="Y24" t="n">
        <v>2</v>
      </c>
      <c r="Z24" t="inlineStr">
        <is>
          <t>Yes</t>
        </is>
      </c>
      <c r="AA24" t="inlineStr">
        <is>
          <t>Filled</t>
        </is>
      </c>
      <c r="AB24" t="inlineStr">
        <is>
          <t>on campus</t>
        </is>
      </c>
      <c r="AC24" t="inlineStr"/>
      <c r="AD24" t="n">
        <v>0</v>
      </c>
      <c r="AE24" t="inlineStr"/>
      <c r="AF24" t="inlineStr"/>
      <c r="AG24" t="inlineStr"/>
      <c r="AH24" t="inlineStr">
        <is>
          <t>Yes</t>
        </is>
      </c>
      <c r="AI24" t="inlineStr"/>
      <c r="AJ24" t="inlineStr"/>
      <c r="AK24" t="inlineStr"/>
      <c r="AL24" t="inlineStr"/>
      <c r="AM24" t="inlineStr"/>
    </row>
    <row r="25">
      <c r="A25" t="inlineStr">
        <is>
          <t>063847J</t>
        </is>
      </c>
      <c r="B25" t="inlineStr">
        <is>
          <t>Bachelor of Applied Science (Physiotherapy)</t>
        </is>
      </c>
      <c r="C25" t="inlineStr">
        <is>
          <t>Bachelor</t>
        </is>
      </c>
      <c r="D25" t="inlineStr">
        <is>
          <t>Undergraduate</t>
        </is>
      </c>
      <c r="E25" t="inlineStr">
        <is>
          <t>Advertised: official page in place</t>
        </is>
      </c>
      <c r="F25" t="inlineStr">
        <is>
          <t>https://www.sydney.edu.au/courses/courses/uc/bachelor-of-applied-science-physiotherapy.html</t>
        </is>
      </c>
      <c r="G25" t="inlineStr">
        <is>
          <t>https://www.sydney.edu.au/courses/courses/uc/bachelor-of-applied-science-physiotherapy.html</t>
        </is>
      </c>
      <c r="H25" t="inlineStr">
        <is>
          <t>Read</t>
        </is>
      </c>
      <c r="I25" t="inlineStr">
        <is>
          <t>Exact title match</t>
        </is>
      </c>
      <c r="J25" t="inlineStr"/>
      <c r="K25" t="inlineStr">
        <is>
          <t>Not sent to re-link</t>
        </is>
      </c>
      <c r="L25" t="inlineStr">
        <is>
          <t>Filled</t>
        </is>
      </c>
      <c r="M25" t="inlineStr">
        <is>
          <t>Not stated on course page</t>
        </is>
      </c>
      <c r="N25" t="inlineStr"/>
      <c r="O25" t="n">
        <v>0</v>
      </c>
      <c r="P25" t="inlineStr"/>
      <c r="Q25" t="inlineStr">
        <is>
          <t>Filled</t>
        </is>
      </c>
      <c r="R25" t="n">
        <v>6.5</v>
      </c>
      <c r="S25" t="inlineStr">
        <is>
          <t>Central English policy</t>
        </is>
      </c>
      <c r="T25" t="inlineStr">
        <is>
          <t>Central rule applies (value agrees)</t>
        </is>
      </c>
      <c r="U25" t="inlineStr"/>
      <c r="V25" t="inlineStr">
        <is>
          <t>Not stated on course page</t>
        </is>
      </c>
      <c r="W25" t="inlineStr"/>
      <c r="X25" t="inlineStr"/>
      <c r="Y25" t="n">
        <v>2</v>
      </c>
      <c r="Z25" t="inlineStr">
        <is>
          <t>Yes</t>
        </is>
      </c>
      <c r="AA25" t="inlineStr">
        <is>
          <t>Filled</t>
        </is>
      </c>
      <c r="AB25" t="inlineStr">
        <is>
          <t>on campus</t>
        </is>
      </c>
      <c r="AC25" t="inlineStr"/>
      <c r="AD25" t="n">
        <v>0</v>
      </c>
      <c r="AE25" t="inlineStr"/>
      <c r="AF25" t="inlineStr"/>
      <c r="AG25" t="inlineStr"/>
      <c r="AH25" t="inlineStr">
        <is>
          <t>Yes</t>
        </is>
      </c>
      <c r="AI25" t="inlineStr"/>
      <c r="AJ25" t="inlineStr"/>
      <c r="AK25" t="inlineStr"/>
      <c r="AL25" t="inlineStr"/>
      <c r="AM25" t="inlineStr"/>
    </row>
    <row r="26">
      <c r="A26" t="inlineStr">
        <is>
          <t>012825D</t>
        </is>
      </c>
      <c r="B26" t="inlineStr">
        <is>
          <t>Bachelor of Applied Science (Speech Pathology)</t>
        </is>
      </c>
      <c r="C26" t="inlineStr">
        <is>
          <t>Bachelor</t>
        </is>
      </c>
      <c r="D26" t="inlineStr">
        <is>
          <t>Undergraduate</t>
        </is>
      </c>
      <c r="E26" t="inlineStr">
        <is>
          <t>Advertised: official page in place</t>
        </is>
      </c>
      <c r="F26" t="inlineStr">
        <is>
          <t>https://www.sydney.edu.au/courses/courses/uc/bachelor-of-applied-science-speech-pathology.html</t>
        </is>
      </c>
      <c r="G26" t="inlineStr">
        <is>
          <t>https://www.sydney.edu.au/courses/courses/uc/bachelor-of-applied-science-speech-pathology.html</t>
        </is>
      </c>
      <c r="H26" t="inlineStr">
        <is>
          <t>Read</t>
        </is>
      </c>
      <c r="I26" t="inlineStr">
        <is>
          <t>Exact title match</t>
        </is>
      </c>
      <c r="J26" t="inlineStr"/>
      <c r="K26" t="inlineStr">
        <is>
          <t>Not sent to re-link</t>
        </is>
      </c>
      <c r="L26" t="inlineStr">
        <is>
          <t>Filled</t>
        </is>
      </c>
      <c r="M26" t="inlineStr">
        <is>
          <t>Not stated on course page</t>
        </is>
      </c>
      <c r="N26" t="inlineStr"/>
      <c r="O26" t="n">
        <v>0</v>
      </c>
      <c r="P26" t="inlineStr"/>
      <c r="Q26" t="inlineStr">
        <is>
          <t>Filled</t>
        </is>
      </c>
      <c r="R26" t="n">
        <v>6.5</v>
      </c>
      <c r="S26" t="inlineStr">
        <is>
          <t>Central English policy</t>
        </is>
      </c>
      <c r="T26" t="inlineStr">
        <is>
          <t>Central rule applies (value agrees)</t>
        </is>
      </c>
      <c r="U26" t="inlineStr"/>
      <c r="V26" t="inlineStr">
        <is>
          <t>Not stated on course page</t>
        </is>
      </c>
      <c r="W26" t="inlineStr"/>
      <c r="X26" t="inlineStr"/>
      <c r="Y26" t="n">
        <v>2</v>
      </c>
      <c r="Z26" t="inlineStr">
        <is>
          <t>Yes</t>
        </is>
      </c>
      <c r="AA26" t="inlineStr">
        <is>
          <t>Filled</t>
        </is>
      </c>
      <c r="AB26" t="inlineStr">
        <is>
          <t>on campus</t>
        </is>
      </c>
      <c r="AC26" t="inlineStr"/>
      <c r="AD26" t="n">
        <v>0</v>
      </c>
      <c r="AE26" t="inlineStr"/>
      <c r="AF26" t="inlineStr"/>
      <c r="AG26" t="inlineStr"/>
      <c r="AH26" t="inlineStr">
        <is>
          <t>Yes</t>
        </is>
      </c>
      <c r="AI26" t="inlineStr"/>
      <c r="AJ26" t="inlineStr"/>
      <c r="AK26" t="inlineStr"/>
      <c r="AL26" t="inlineStr"/>
      <c r="AM26" t="inlineStr"/>
    </row>
    <row r="27">
      <c r="A27" t="inlineStr">
        <is>
          <t>082879K</t>
        </is>
      </c>
      <c r="B27" t="inlineStr">
        <is>
          <t>Bachelor of Architecture and Environments</t>
        </is>
      </c>
      <c r="C27" t="inlineStr">
        <is>
          <t>Bachelor</t>
        </is>
      </c>
      <c r="D27" t="inlineStr">
        <is>
          <t>Undergraduate</t>
        </is>
      </c>
      <c r="E27" t="inlineStr">
        <is>
          <t>Advertised: official page in place</t>
        </is>
      </c>
      <c r="F27" t="inlineStr">
        <is>
          <t>https://www.sydney.edu.au/courses/courses/uc/bachelor-of-architecture-and-environments.html</t>
        </is>
      </c>
      <c r="G27" t="inlineStr">
        <is>
          <t>https://www.sydney.edu.au/courses/courses/uc/bachelor-of-architecture-and-environments.html</t>
        </is>
      </c>
      <c r="H27" t="inlineStr">
        <is>
          <t>Read</t>
        </is>
      </c>
      <c r="I27" t="inlineStr">
        <is>
          <t>Exact title match</t>
        </is>
      </c>
      <c r="J27" t="inlineStr"/>
      <c r="K27" t="inlineStr">
        <is>
          <t>Not sent to re-link</t>
        </is>
      </c>
      <c r="L27" t="inlineStr">
        <is>
          <t>Filled</t>
        </is>
      </c>
      <c r="M27" t="inlineStr">
        <is>
          <t>Not stated on course page</t>
        </is>
      </c>
      <c r="N27" t="inlineStr"/>
      <c r="O27" t="n">
        <v>0</v>
      </c>
      <c r="P27" t="inlineStr"/>
      <c r="Q27" t="inlineStr">
        <is>
          <t>Filled</t>
        </is>
      </c>
      <c r="R27" t="n">
        <v>6.5</v>
      </c>
      <c r="S27" t="inlineStr">
        <is>
          <t>Central English policy</t>
        </is>
      </c>
      <c r="T27" t="inlineStr">
        <is>
          <t>Central rule applies (value agrees)</t>
        </is>
      </c>
      <c r="U27" t="inlineStr"/>
      <c r="V27" t="inlineStr">
        <is>
          <t>Not stated on course page</t>
        </is>
      </c>
      <c r="W27" t="inlineStr"/>
      <c r="X27" t="inlineStr"/>
      <c r="Y27" t="n">
        <v>2</v>
      </c>
      <c r="Z27" t="inlineStr">
        <is>
          <t>Yes</t>
        </is>
      </c>
      <c r="AA27" t="inlineStr">
        <is>
          <t>Filled</t>
        </is>
      </c>
      <c r="AB27" t="inlineStr">
        <is>
          <t>on campus</t>
        </is>
      </c>
      <c r="AC27" t="inlineStr"/>
      <c r="AD27" t="n">
        <v>0</v>
      </c>
      <c r="AE27" t="inlineStr"/>
      <c r="AF27" t="inlineStr"/>
      <c r="AG27" t="inlineStr"/>
      <c r="AH27" t="inlineStr">
        <is>
          <t>Yes</t>
        </is>
      </c>
      <c r="AI27" t="inlineStr"/>
      <c r="AJ27" t="inlineStr"/>
      <c r="AK27" t="inlineStr"/>
      <c r="AL27" t="inlineStr"/>
      <c r="AM27" t="inlineStr"/>
    </row>
    <row r="28">
      <c r="A28" t="inlineStr">
        <is>
          <t>082893A</t>
        </is>
      </c>
      <c r="B28" t="inlineStr">
        <is>
          <t>Bachelor of Architecture and Environments (Honours)</t>
        </is>
      </c>
      <c r="C28" t="inlineStr">
        <is>
          <t>Bachelor Honours Degree</t>
        </is>
      </c>
      <c r="D28" t="inlineStr">
        <is>
          <t>Undergraduate</t>
        </is>
      </c>
      <c r="E28" t="inlineStr">
        <is>
          <t>Advertised: official page in place</t>
        </is>
      </c>
      <c r="F28" t="inlineStr">
        <is>
          <t>https://www.sydney.edu.au/courses/courses/uc/bachelor-of-architecture-and-environments-honours.html</t>
        </is>
      </c>
      <c r="G28" t="inlineStr">
        <is>
          <t>https://www.sydney.edu.au/courses/courses/uc/bachelor-of-architecture-and-environments-honours.html</t>
        </is>
      </c>
      <c r="H28" t="inlineStr">
        <is>
          <t>Read</t>
        </is>
      </c>
      <c r="I28" t="inlineStr">
        <is>
          <t>Exact title match</t>
        </is>
      </c>
      <c r="J28" t="inlineStr"/>
      <c r="K28" t="inlineStr">
        <is>
          <t>Not sent to re-link</t>
        </is>
      </c>
      <c r="L28" t="inlineStr">
        <is>
          <t>Filled</t>
        </is>
      </c>
      <c r="M28" t="inlineStr">
        <is>
          <t>Not stated on course page</t>
        </is>
      </c>
      <c r="N28" t="inlineStr"/>
      <c r="O28" t="n">
        <v>0</v>
      </c>
      <c r="P28" t="inlineStr"/>
      <c r="Q28" t="inlineStr">
        <is>
          <t>Filled</t>
        </is>
      </c>
      <c r="R28" t="n">
        <v>6.5</v>
      </c>
      <c r="S28" t="inlineStr">
        <is>
          <t>Central English policy</t>
        </is>
      </c>
      <c r="T28" t="inlineStr">
        <is>
          <t>Central rule applies (value agrees)</t>
        </is>
      </c>
      <c r="U28" t="inlineStr"/>
      <c r="V28" t="inlineStr">
        <is>
          <t>Filled</t>
        </is>
      </c>
      <c r="W28" t="inlineStr">
        <is>
          <t>February, August</t>
        </is>
      </c>
      <c r="X28" t="inlineStr">
        <is>
          <t>Other</t>
        </is>
      </c>
      <c r="Y28" t="n">
        <v>0</v>
      </c>
      <c r="Z28" t="inlineStr">
        <is>
          <t>Yes</t>
        </is>
      </c>
      <c r="AA28" t="inlineStr">
        <is>
          <t>Filled</t>
        </is>
      </c>
      <c r="AB28" t="inlineStr">
        <is>
          <t>on campus</t>
        </is>
      </c>
      <c r="AC28" t="inlineStr"/>
      <c r="AD28" t="n">
        <v>0</v>
      </c>
      <c r="AE28" t="inlineStr"/>
      <c r="AF28" t="inlineStr"/>
      <c r="AG28" t="inlineStr"/>
      <c r="AH28" t="inlineStr"/>
      <c r="AI28" t="inlineStr"/>
      <c r="AJ28" t="inlineStr"/>
      <c r="AK28" t="inlineStr"/>
      <c r="AL28" t="inlineStr"/>
      <c r="AM28" t="inlineStr"/>
    </row>
    <row r="29">
      <c r="A29" t="inlineStr">
        <is>
          <t>000705M</t>
        </is>
      </c>
      <c r="B29" t="inlineStr">
        <is>
          <t>Bachelor of Arts</t>
        </is>
      </c>
      <c r="C29" t="inlineStr">
        <is>
          <t>Bachelor</t>
        </is>
      </c>
      <c r="D29" t="inlineStr">
        <is>
          <t>Undergraduate</t>
        </is>
      </c>
      <c r="E29" t="inlineStr">
        <is>
          <t>Advertised: official page in place</t>
        </is>
      </c>
      <c r="F29" t="inlineStr">
        <is>
          <t>https://www.sydney.edu.au/courses/courses/uc/bachelor-of-arts.html</t>
        </is>
      </c>
      <c r="G29" t="inlineStr">
        <is>
          <t>https://www.sydney.edu.au/courses/courses/uc/bachelor-of-arts.html</t>
        </is>
      </c>
      <c r="H29" t="inlineStr">
        <is>
          <t>Read</t>
        </is>
      </c>
      <c r="I29" t="inlineStr">
        <is>
          <t>Exact title match</t>
        </is>
      </c>
      <c r="J29" t="inlineStr"/>
      <c r="K29" t="inlineStr">
        <is>
          <t>Not sent to re-link</t>
        </is>
      </c>
      <c r="L29" t="inlineStr">
        <is>
          <t>Filled</t>
        </is>
      </c>
      <c r="M29" t="inlineStr">
        <is>
          <t>Not stated on course page</t>
        </is>
      </c>
      <c r="N29" t="inlineStr"/>
      <c r="O29" t="n">
        <v>0</v>
      </c>
      <c r="P29" t="inlineStr"/>
      <c r="Q29" t="inlineStr">
        <is>
          <t>Filled</t>
        </is>
      </c>
      <c r="R29" t="n">
        <v>6.5</v>
      </c>
      <c r="S29" t="inlineStr">
        <is>
          <t>Central English policy</t>
        </is>
      </c>
      <c r="T29" t="inlineStr">
        <is>
          <t>Central rule applies (value agrees)</t>
        </is>
      </c>
      <c r="U29" t="inlineStr"/>
      <c r="V29" t="inlineStr">
        <is>
          <t>Not stated on course page</t>
        </is>
      </c>
      <c r="W29" t="inlineStr"/>
      <c r="X29" t="inlineStr"/>
      <c r="Y29" t="n">
        <v>2</v>
      </c>
      <c r="Z29" t="inlineStr">
        <is>
          <t>Yes</t>
        </is>
      </c>
      <c r="AA29" t="inlineStr">
        <is>
          <t>Filled</t>
        </is>
      </c>
      <c r="AB29" t="inlineStr">
        <is>
          <t>on campus</t>
        </is>
      </c>
      <c r="AC29" t="inlineStr"/>
      <c r="AD29" t="n">
        <v>0</v>
      </c>
      <c r="AE29" t="inlineStr"/>
      <c r="AF29" t="inlineStr"/>
      <c r="AG29" t="inlineStr"/>
      <c r="AH29" t="inlineStr">
        <is>
          <t>Yes</t>
        </is>
      </c>
      <c r="AI29" t="inlineStr"/>
      <c r="AJ29" t="inlineStr"/>
      <c r="AK29" t="inlineStr"/>
      <c r="AL29" t="inlineStr"/>
      <c r="AM29" t="inlineStr"/>
    </row>
    <row r="30">
      <c r="A30" t="inlineStr">
        <is>
          <t>058960F</t>
        </is>
      </c>
      <c r="B30" t="inlineStr">
        <is>
          <t>Bachelor of Arts (Advanced) (Honours)</t>
        </is>
      </c>
      <c r="C30" t="inlineStr">
        <is>
          <t>Bachelor Honours Degree</t>
        </is>
      </c>
      <c r="D30" t="inlineStr">
        <is>
          <t>Undergraduate</t>
        </is>
      </c>
      <c r="E30" t="inlineStr">
        <is>
          <t>Page address no longer works</t>
        </is>
      </c>
      <c r="F30" t="inlineStr"/>
      <c r="G30" t="inlineStr">
        <is>
          <t>https://www.sydney.edu.au/courses/courses/uc/bachelor-of-arts-advanced-honours.html</t>
        </is>
      </c>
      <c r="H30" t="inlineStr">
        <is>
          <t>Address no longer works</t>
        </is>
      </c>
      <c r="I30" t="inlineStr"/>
      <c r="J30" t="inlineStr"/>
      <c r="K30" t="inlineStr">
        <is>
          <t>Finished, no page: every candidate address was refused by the reader or did not</t>
        </is>
      </c>
      <c r="L30" t="inlineStr">
        <is>
          <t>Page found, being read</t>
        </is>
      </c>
      <c r="M30" t="inlineStr">
        <is>
          <t>Page found, being read</t>
        </is>
      </c>
      <c r="N30" t="inlineStr"/>
      <c r="O30" t="n">
        <v>0</v>
      </c>
      <c r="P30" t="inlineStr"/>
      <c r="Q30" t="inlineStr">
        <is>
          <t>Filled</t>
        </is>
      </c>
      <c r="R30" t="n">
        <v>6.5</v>
      </c>
      <c r="S30" t="inlineStr">
        <is>
          <t>Central English policy</t>
        </is>
      </c>
      <c r="T30" t="inlineStr">
        <is>
          <t>Central rule applies (value agrees)</t>
        </is>
      </c>
      <c r="U30" t="inlineStr"/>
      <c r="V30" t="inlineStr">
        <is>
          <t>Page found, being read</t>
        </is>
      </c>
      <c r="W30" t="inlineStr"/>
      <c r="X30" t="inlineStr"/>
      <c r="Y30" t="n">
        <v>0</v>
      </c>
      <c r="Z30" t="inlineStr">
        <is>
          <t>Yes</t>
        </is>
      </c>
      <c r="AA30" t="inlineStr">
        <is>
          <t>Not stated on course page</t>
        </is>
      </c>
      <c r="AB30" t="inlineStr"/>
      <c r="AC30" t="inlineStr">
        <is>
          <t>Skipped: no allowed source had a value</t>
        </is>
      </c>
      <c r="AD30" t="n">
        <v>1</v>
      </c>
      <c r="AE30" t="inlineStr"/>
      <c r="AF30" t="inlineStr"/>
      <c r="AG30" t="inlineStr"/>
      <c r="AH30" t="inlineStr"/>
      <c r="AI30" t="inlineStr"/>
      <c r="AJ30" t="inlineStr"/>
      <c r="AK30" t="inlineStr"/>
      <c r="AL30" t="inlineStr"/>
      <c r="AM30" t="inlineStr"/>
    </row>
    <row r="31">
      <c r="A31" t="inlineStr">
        <is>
          <t>036736G</t>
        </is>
      </c>
      <c r="B31" t="inlineStr">
        <is>
          <t>Bachelor of Arts (Honours)</t>
        </is>
      </c>
      <c r="C31" t="inlineStr">
        <is>
          <t>Bachelor Honours Degree</t>
        </is>
      </c>
      <c r="D31" t="inlineStr">
        <is>
          <t>Undergraduate</t>
        </is>
      </c>
      <c r="E31" t="inlineStr">
        <is>
          <t>Advertised: official page in place</t>
        </is>
      </c>
      <c r="F31" t="inlineStr">
        <is>
          <t>https://www.sydney.edu.au/courses/courses/uc/bachelor-of-arts-honours.html</t>
        </is>
      </c>
      <c r="G31" t="inlineStr">
        <is>
          <t>https://www.sydney.edu.au/courses/courses/uc/bachelor-of-arts-honours.html</t>
        </is>
      </c>
      <c r="H31" t="inlineStr">
        <is>
          <t>Read</t>
        </is>
      </c>
      <c r="I31" t="inlineStr">
        <is>
          <t>Exact title match</t>
        </is>
      </c>
      <c r="J31" t="inlineStr"/>
      <c r="K31" t="inlineStr">
        <is>
          <t>Not sent to re-link</t>
        </is>
      </c>
      <c r="L31" t="inlineStr">
        <is>
          <t>Filled</t>
        </is>
      </c>
      <c r="M31" t="inlineStr">
        <is>
          <t>Not stated on course page</t>
        </is>
      </c>
      <c r="N31" t="inlineStr"/>
      <c r="O31" t="n">
        <v>0</v>
      </c>
      <c r="P31" t="inlineStr"/>
      <c r="Q31" t="inlineStr">
        <is>
          <t>Filled</t>
        </is>
      </c>
      <c r="R31" t="n">
        <v>6.5</v>
      </c>
      <c r="S31" t="inlineStr">
        <is>
          <t>Central English policy</t>
        </is>
      </c>
      <c r="T31" t="inlineStr">
        <is>
          <t>Central rule applies (value agrees)</t>
        </is>
      </c>
      <c r="U31" t="inlineStr"/>
      <c r="V31" t="inlineStr">
        <is>
          <t>Filled</t>
        </is>
      </c>
      <c r="W31" t="inlineStr">
        <is>
          <t>February, August</t>
        </is>
      </c>
      <c r="X31" t="inlineStr">
        <is>
          <t>Other</t>
        </is>
      </c>
      <c r="Y31" t="n">
        <v>0</v>
      </c>
      <c r="Z31" t="inlineStr">
        <is>
          <t>Yes</t>
        </is>
      </c>
      <c r="AA31" t="inlineStr">
        <is>
          <t>Filled</t>
        </is>
      </c>
      <c r="AB31" t="inlineStr">
        <is>
          <t>on campus</t>
        </is>
      </c>
      <c r="AC31" t="inlineStr"/>
      <c r="AD31" t="n">
        <v>0</v>
      </c>
      <c r="AE31" t="inlineStr"/>
      <c r="AF31" t="inlineStr"/>
      <c r="AG31" t="inlineStr"/>
      <c r="AH31" t="inlineStr"/>
      <c r="AI31" t="inlineStr"/>
      <c r="AJ31" t="inlineStr"/>
      <c r="AK31" t="inlineStr"/>
      <c r="AL31" t="inlineStr"/>
      <c r="AM31" t="inlineStr"/>
    </row>
    <row r="32">
      <c r="A32" t="inlineStr">
        <is>
          <t>031316A</t>
        </is>
      </c>
      <c r="B32" t="inlineStr">
        <is>
          <t>Bachelor of Arts (Informatics)</t>
        </is>
      </c>
      <c r="C32" t="inlineStr">
        <is>
          <t>Bachelor</t>
        </is>
      </c>
      <c r="D32" t="inlineStr">
        <is>
          <t>Undergraduate</t>
        </is>
      </c>
      <c r="E32" t="inlineStr">
        <is>
          <t>Page address no longer works</t>
        </is>
      </c>
      <c r="F32" t="inlineStr"/>
      <c r="G32" t="inlineStr">
        <is>
          <t>https://www.sydney.edu.au/courses/courses/uc/bachelor-of-arts-informatics.html</t>
        </is>
      </c>
      <c r="H32" t="inlineStr">
        <is>
          <t>Address no longer works</t>
        </is>
      </c>
      <c r="I32" t="inlineStr"/>
      <c r="J32" t="inlineStr"/>
      <c r="K32" t="inlineStr">
        <is>
          <t>Finished, no page: every candidate address was refused by the reader or did not</t>
        </is>
      </c>
      <c r="L32" t="inlineStr">
        <is>
          <t>Page found, being read</t>
        </is>
      </c>
      <c r="M32" t="inlineStr">
        <is>
          <t>Page found, being read</t>
        </is>
      </c>
      <c r="N32" t="inlineStr"/>
      <c r="O32" t="n">
        <v>0</v>
      </c>
      <c r="P32" t="inlineStr"/>
      <c r="Q32" t="inlineStr">
        <is>
          <t>Filled</t>
        </is>
      </c>
      <c r="R32" t="n">
        <v>6.5</v>
      </c>
      <c r="S32" t="inlineStr">
        <is>
          <t>Central English policy</t>
        </is>
      </c>
      <c r="T32" t="inlineStr">
        <is>
          <t>Central rule applies (value agrees)</t>
        </is>
      </c>
      <c r="U32" t="inlineStr"/>
      <c r="V32" t="inlineStr">
        <is>
          <t>Page found, being read</t>
        </is>
      </c>
      <c r="W32" t="inlineStr"/>
      <c r="X32" t="inlineStr"/>
      <c r="Y32" t="n">
        <v>0</v>
      </c>
      <c r="Z32" t="inlineStr">
        <is>
          <t>Yes</t>
        </is>
      </c>
      <c r="AA32" t="inlineStr">
        <is>
          <t>Not stated on course page</t>
        </is>
      </c>
      <c r="AB32" t="inlineStr"/>
      <c r="AC32" t="inlineStr">
        <is>
          <t>Skipped: the page does not state it</t>
        </is>
      </c>
      <c r="AD32" t="n">
        <v>0</v>
      </c>
      <c r="AE32" t="inlineStr"/>
      <c r="AF32" t="inlineStr"/>
      <c r="AG32" t="inlineStr"/>
      <c r="AH32" t="inlineStr"/>
      <c r="AI32" t="inlineStr"/>
      <c r="AJ32" t="inlineStr"/>
      <c r="AK32" t="inlineStr"/>
      <c r="AL32" t="inlineStr"/>
      <c r="AM32" t="inlineStr"/>
    </row>
    <row r="33">
      <c r="A33" t="inlineStr">
        <is>
          <t>030523B</t>
        </is>
      </c>
      <c r="B33" t="inlineStr">
        <is>
          <t>Bachelor of Arts (Languages)</t>
        </is>
      </c>
      <c r="C33" t="inlineStr">
        <is>
          <t>Bachelor</t>
        </is>
      </c>
      <c r="D33" t="inlineStr">
        <is>
          <t>Undergraduate</t>
        </is>
      </c>
      <c r="E33" t="inlineStr">
        <is>
          <t>Page address no longer works</t>
        </is>
      </c>
      <c r="F33" t="inlineStr"/>
      <c r="G33" t="inlineStr">
        <is>
          <t>https://www.sydney.edu.au/courses/courses/uc/bachelor-of-arts-languages.html</t>
        </is>
      </c>
      <c r="H33" t="inlineStr">
        <is>
          <t>Address no longer works</t>
        </is>
      </c>
      <c r="I33" t="inlineStr"/>
      <c r="J33" t="inlineStr"/>
      <c r="K33" t="inlineStr">
        <is>
          <t>Finished, no page: every candidate address was refused by the reader or did not</t>
        </is>
      </c>
      <c r="L33" t="inlineStr">
        <is>
          <t>Page found, being read</t>
        </is>
      </c>
      <c r="M33" t="inlineStr">
        <is>
          <t>Page found, being read</t>
        </is>
      </c>
      <c r="N33" t="inlineStr"/>
      <c r="O33" t="n">
        <v>0</v>
      </c>
      <c r="P33" t="inlineStr"/>
      <c r="Q33" t="inlineStr">
        <is>
          <t>Filled</t>
        </is>
      </c>
      <c r="R33" t="n">
        <v>6.5</v>
      </c>
      <c r="S33" t="inlineStr">
        <is>
          <t>Central English policy</t>
        </is>
      </c>
      <c r="T33" t="inlineStr">
        <is>
          <t>Central rule applies (value agrees)</t>
        </is>
      </c>
      <c r="U33" t="inlineStr"/>
      <c r="V33" t="inlineStr">
        <is>
          <t>Page found, being read</t>
        </is>
      </c>
      <c r="W33" t="inlineStr"/>
      <c r="X33" t="inlineStr"/>
      <c r="Y33" t="n">
        <v>0</v>
      </c>
      <c r="Z33" t="inlineStr">
        <is>
          <t>Yes</t>
        </is>
      </c>
      <c r="AA33" t="inlineStr">
        <is>
          <t>Not stated on course page</t>
        </is>
      </c>
      <c r="AB33" t="inlineStr"/>
      <c r="AC33" t="inlineStr">
        <is>
          <t>Skipped: the page does not state it</t>
        </is>
      </c>
      <c r="AD33" t="n">
        <v>0</v>
      </c>
      <c r="AE33" t="inlineStr"/>
      <c r="AF33" t="inlineStr"/>
      <c r="AG33" t="inlineStr"/>
      <c r="AH33" t="inlineStr"/>
      <c r="AI33" t="inlineStr"/>
      <c r="AJ33" t="inlineStr"/>
      <c r="AK33" t="inlineStr"/>
      <c r="AL33" t="inlineStr"/>
      <c r="AM33" t="inlineStr"/>
    </row>
    <row r="34">
      <c r="A34" t="inlineStr">
        <is>
          <t>062483G</t>
        </is>
      </c>
      <c r="B34" t="inlineStr">
        <is>
          <t>Bachelor of Arts (Languages) (Honours)</t>
        </is>
      </c>
      <c r="C34" t="inlineStr">
        <is>
          <t>Bachelor Honours Degree</t>
        </is>
      </c>
      <c r="D34" t="inlineStr">
        <is>
          <t>Undergraduate</t>
        </is>
      </c>
      <c r="E34" t="inlineStr">
        <is>
          <t>Page found, needs a rendered read</t>
        </is>
      </c>
      <c r="F34" t="inlineStr"/>
      <c r="G34" t="inlineStr">
        <is>
          <t>https://www.sydney.edu.au/courses/courses/uc/bachelor-of-arts-languages-honours.html</t>
        </is>
      </c>
      <c r="H34" t="inlineStr">
        <is>
          <t>Needs a rendered read</t>
        </is>
      </c>
      <c r="I34" t="inlineStr"/>
      <c r="J34" t="inlineStr"/>
      <c r="K34" t="inlineStr">
        <is>
          <t>Finished, no page: every candidate address was refused by the reader or did not</t>
        </is>
      </c>
      <c r="L34" t="inlineStr">
        <is>
          <t>Page found, being read</t>
        </is>
      </c>
      <c r="M34" t="inlineStr">
        <is>
          <t>Page found, being read</t>
        </is>
      </c>
      <c r="N34" t="inlineStr"/>
      <c r="O34" t="n">
        <v>0</v>
      </c>
      <c r="P34" t="inlineStr"/>
      <c r="Q34" t="inlineStr">
        <is>
          <t>Filled</t>
        </is>
      </c>
      <c r="R34" t="n">
        <v>6.5</v>
      </c>
      <c r="S34" t="inlineStr">
        <is>
          <t>Central English policy</t>
        </is>
      </c>
      <c r="T34" t="inlineStr">
        <is>
          <t>Central rule applies (value agrees)</t>
        </is>
      </c>
      <c r="U34" t="inlineStr"/>
      <c r="V34" t="inlineStr">
        <is>
          <t>Page found, being read</t>
        </is>
      </c>
      <c r="W34" t="inlineStr"/>
      <c r="X34" t="inlineStr"/>
      <c r="Y34" t="n">
        <v>0</v>
      </c>
      <c r="Z34" t="inlineStr">
        <is>
          <t>Yes</t>
        </is>
      </c>
      <c r="AA34" t="inlineStr">
        <is>
          <t>Not stated on course page</t>
        </is>
      </c>
      <c r="AB34" t="inlineStr"/>
      <c r="AC34" t="inlineStr">
        <is>
          <t>Skipped: no allowed source had a value</t>
        </is>
      </c>
      <c r="AD34" t="n">
        <v>1</v>
      </c>
      <c r="AE34" t="inlineStr">
        <is>
          <t>Yes</t>
        </is>
      </c>
      <c r="AF34" t="inlineStr"/>
      <c r="AG34" t="inlineStr"/>
      <c r="AH34" t="inlineStr"/>
      <c r="AI34" t="inlineStr"/>
      <c r="AJ34" t="inlineStr"/>
      <c r="AK34" t="inlineStr"/>
      <c r="AL34" t="inlineStr"/>
      <c r="AM34" t="inlineStr"/>
    </row>
    <row r="35">
      <c r="A35" t="inlineStr">
        <is>
          <t>031315B</t>
        </is>
      </c>
      <c r="B35" t="inlineStr">
        <is>
          <t>Bachelor of Arts (Media and Communications)</t>
        </is>
      </c>
      <c r="C35" t="inlineStr">
        <is>
          <t>Bachelor</t>
        </is>
      </c>
      <c r="D35" t="inlineStr">
        <is>
          <t>Undergraduate</t>
        </is>
      </c>
      <c r="E35" t="inlineStr">
        <is>
          <t>Page address no longer works</t>
        </is>
      </c>
      <c r="F35" t="inlineStr"/>
      <c r="G35" t="inlineStr">
        <is>
          <t>https://www.sydney.edu.au/courses/courses/uc/bachelor-of-arts-media-and-communications.html</t>
        </is>
      </c>
      <c r="H35" t="inlineStr">
        <is>
          <t>Address no longer works</t>
        </is>
      </c>
      <c r="I35" t="inlineStr"/>
      <c r="J35" t="inlineStr"/>
      <c r="K35" t="inlineStr">
        <is>
          <t>Finished, no page: every candidate address was refused by the reader or did not</t>
        </is>
      </c>
      <c r="L35" t="inlineStr">
        <is>
          <t>Not stated on course page</t>
        </is>
      </c>
      <c r="M35" t="inlineStr">
        <is>
          <t>Not stated on course page</t>
        </is>
      </c>
      <c r="N35" t="inlineStr"/>
      <c r="O35" t="n">
        <v>0</v>
      </c>
      <c r="P35" t="inlineStr"/>
      <c r="Q35" t="inlineStr">
        <is>
          <t>Filled</t>
        </is>
      </c>
      <c r="R35" t="n">
        <v>6.5</v>
      </c>
      <c r="S35" t="inlineStr">
        <is>
          <t>Central English policy</t>
        </is>
      </c>
      <c r="T35" t="inlineStr">
        <is>
          <t>Central rule applies (value agrees)</t>
        </is>
      </c>
      <c r="U35" t="inlineStr"/>
      <c r="V35" t="inlineStr">
        <is>
          <t>Not stated on course page</t>
        </is>
      </c>
      <c r="W35" t="inlineStr"/>
      <c r="X35" t="inlineStr"/>
      <c r="Y35" t="n">
        <v>1</v>
      </c>
      <c r="Z35" t="inlineStr">
        <is>
          <t>Yes</t>
        </is>
      </c>
      <c r="AA35" t="inlineStr">
        <is>
          <t>Not stated on course page</t>
        </is>
      </c>
      <c r="AB35" t="inlineStr"/>
      <c r="AC35" t="inlineStr">
        <is>
          <t>Skipped: the quote is not on the page</t>
        </is>
      </c>
      <c r="AD35" t="n">
        <v>0</v>
      </c>
      <c r="AE35" t="inlineStr"/>
      <c r="AF35" t="inlineStr"/>
      <c r="AG35" t="inlineStr"/>
      <c r="AH35" t="inlineStr"/>
      <c r="AI35" t="inlineStr"/>
      <c r="AJ35" t="inlineStr"/>
      <c r="AK35" t="inlineStr">
        <is>
          <t>Yes</t>
        </is>
      </c>
      <c r="AL35" t="inlineStr"/>
      <c r="AM35" t="inlineStr"/>
    </row>
    <row r="36">
      <c r="A36" t="inlineStr">
        <is>
          <t>040576F</t>
        </is>
      </c>
      <c r="B36" t="inlineStr">
        <is>
          <t>Bachelor of Arts (Media and Communications) (Honours)</t>
        </is>
      </c>
      <c r="C36" t="inlineStr">
        <is>
          <t>Bachelor Honours Degree</t>
        </is>
      </c>
      <c r="D36" t="inlineStr">
        <is>
          <t>Undergraduate</t>
        </is>
      </c>
      <c r="E36" t="inlineStr">
        <is>
          <t>Advertised: official page in place</t>
        </is>
      </c>
      <c r="F36" t="inlineStr">
        <is>
          <t>https://www.sydney.edu.au/courses/courses/uc/bachelor-of-arts-media-and-communications-honours.html</t>
        </is>
      </c>
      <c r="G36" t="inlineStr">
        <is>
          <t>https://www.sydney.edu.au/courses/courses/uc/bachelor-of-arts-media-and-communications-honours.html</t>
        </is>
      </c>
      <c r="H36" t="inlineStr">
        <is>
          <t>Read</t>
        </is>
      </c>
      <c r="I36" t="inlineStr">
        <is>
          <t>Exact title match</t>
        </is>
      </c>
      <c r="J36" t="inlineStr"/>
      <c r="K36" t="inlineStr">
        <is>
          <t>Not sent to re-link</t>
        </is>
      </c>
      <c r="L36" t="inlineStr">
        <is>
          <t>Filled</t>
        </is>
      </c>
      <c r="M36" t="inlineStr">
        <is>
          <t>Not stated on course page</t>
        </is>
      </c>
      <c r="N36" t="inlineStr"/>
      <c r="O36" t="n">
        <v>0</v>
      </c>
      <c r="P36" t="inlineStr"/>
      <c r="Q36" t="inlineStr">
        <is>
          <t>Filled</t>
        </is>
      </c>
      <c r="R36" t="n">
        <v>6.5</v>
      </c>
      <c r="S36" t="inlineStr">
        <is>
          <t>Central English policy</t>
        </is>
      </c>
      <c r="T36" t="inlineStr">
        <is>
          <t>Central rule applies (value agrees)</t>
        </is>
      </c>
      <c r="U36" t="inlineStr"/>
      <c r="V36" t="inlineStr">
        <is>
          <t>Filled</t>
        </is>
      </c>
      <c r="W36" t="inlineStr">
        <is>
          <t>February</t>
        </is>
      </c>
      <c r="X36" t="inlineStr">
        <is>
          <t>Other</t>
        </is>
      </c>
      <c r="Y36" t="n">
        <v>0</v>
      </c>
      <c r="Z36" t="inlineStr">
        <is>
          <t>Yes</t>
        </is>
      </c>
      <c r="AA36" t="inlineStr">
        <is>
          <t>Filled</t>
        </is>
      </c>
      <c r="AB36" t="inlineStr">
        <is>
          <t>on campus</t>
        </is>
      </c>
      <c r="AC36" t="inlineStr">
        <is>
          <t>Filled</t>
        </is>
      </c>
      <c r="AD36" t="n">
        <v>0</v>
      </c>
      <c r="AE36" t="inlineStr"/>
      <c r="AF36" t="inlineStr"/>
      <c r="AG36" t="inlineStr"/>
      <c r="AH36" t="inlineStr"/>
      <c r="AI36" t="inlineStr"/>
      <c r="AJ36" t="inlineStr"/>
      <c r="AK36" t="inlineStr"/>
      <c r="AL36" t="inlineStr"/>
      <c r="AM36" t="inlineStr"/>
    </row>
    <row r="37">
      <c r="A37" t="inlineStr">
        <is>
          <t>060620G</t>
        </is>
      </c>
      <c r="B37" t="inlineStr">
        <is>
          <t>Bachelor of Arts (Media and Communications) and Bachelor of Laws</t>
        </is>
      </c>
      <c r="C37" t="inlineStr">
        <is>
          <t>Bachelor</t>
        </is>
      </c>
      <c r="D37" t="inlineStr">
        <is>
          <t>Undergraduate</t>
        </is>
      </c>
      <c r="E37" t="inlineStr">
        <is>
          <t>Page address no longer works</t>
        </is>
      </c>
      <c r="F37" t="inlineStr"/>
      <c r="G37" t="inlineStr">
        <is>
          <t>https://www.sydney.edu.au/courses/courses/uc/bachelor-of-arts-media-and-communications-and-bachelor-of-laws.html</t>
        </is>
      </c>
      <c r="H37" t="inlineStr">
        <is>
          <t>Address no longer works</t>
        </is>
      </c>
      <c r="I37" t="inlineStr"/>
      <c r="J37" t="inlineStr"/>
      <c r="K37" t="inlineStr">
        <is>
          <t>Finished, no page: every candidate address was refused by the reader or did not</t>
        </is>
      </c>
      <c r="L37" t="inlineStr">
        <is>
          <t>Page found, being read</t>
        </is>
      </c>
      <c r="M37" t="inlineStr">
        <is>
          <t>Page found, being read</t>
        </is>
      </c>
      <c r="N37" t="inlineStr"/>
      <c r="O37" t="n">
        <v>0</v>
      </c>
      <c r="P37" t="inlineStr"/>
      <c r="Q37" t="inlineStr">
        <is>
          <t>Filled</t>
        </is>
      </c>
      <c r="R37" t="n">
        <v>6.5</v>
      </c>
      <c r="S37" t="inlineStr">
        <is>
          <t>Central English policy</t>
        </is>
      </c>
      <c r="T37" t="inlineStr">
        <is>
          <t>Central rule applies (value agrees)</t>
        </is>
      </c>
      <c r="U37" t="inlineStr"/>
      <c r="V37" t="inlineStr">
        <is>
          <t>Page found, being read</t>
        </is>
      </c>
      <c r="W37" t="inlineStr"/>
      <c r="X37" t="inlineStr"/>
      <c r="Y37" t="n">
        <v>0</v>
      </c>
      <c r="Z37" t="inlineStr">
        <is>
          <t>Yes</t>
        </is>
      </c>
      <c r="AA37" t="inlineStr">
        <is>
          <t>Not stated on course page</t>
        </is>
      </c>
      <c r="AB37" t="inlineStr"/>
      <c r="AC37" t="inlineStr">
        <is>
          <t>Skipped: the page does not state it</t>
        </is>
      </c>
      <c r="AD37" t="n">
        <v>0</v>
      </c>
      <c r="AE37" t="inlineStr"/>
      <c r="AF37" t="inlineStr"/>
      <c r="AG37" t="inlineStr"/>
      <c r="AH37" t="inlineStr"/>
      <c r="AI37" t="inlineStr"/>
      <c r="AJ37" t="inlineStr"/>
      <c r="AK37" t="inlineStr"/>
      <c r="AL37" t="inlineStr"/>
      <c r="AM37" t="inlineStr"/>
    </row>
    <row r="38">
      <c r="A38" t="inlineStr">
        <is>
          <t>006441D</t>
        </is>
      </c>
      <c r="B38" t="inlineStr">
        <is>
          <t>Bachelor of Arts / Bachelor of Laws</t>
        </is>
      </c>
      <c r="C38" t="inlineStr">
        <is>
          <t>Bachelor</t>
        </is>
      </c>
      <c r="D38" t="inlineStr">
        <is>
          <t>Undergraduate</t>
        </is>
      </c>
      <c r="E38" t="inlineStr">
        <is>
          <t>Page address no longer works</t>
        </is>
      </c>
      <c r="F38" t="inlineStr"/>
      <c r="G38" t="inlineStr">
        <is>
          <t>https://www.sydney.edu.au/courses/courses/uc/bachelor-of-arts-bachelor-of-laws.html</t>
        </is>
      </c>
      <c r="H38" t="inlineStr">
        <is>
          <t>Address no longer works</t>
        </is>
      </c>
      <c r="I38" t="inlineStr"/>
      <c r="J38" t="inlineStr"/>
      <c r="K38" t="inlineStr">
        <is>
          <t>Finished, no page: every candidate address was refused by the reader or did not</t>
        </is>
      </c>
      <c r="L38" t="inlineStr">
        <is>
          <t>Page found, being read</t>
        </is>
      </c>
      <c r="M38" t="inlineStr">
        <is>
          <t>Page found, being read</t>
        </is>
      </c>
      <c r="N38" t="inlineStr"/>
      <c r="O38" t="n">
        <v>0</v>
      </c>
      <c r="P38" t="inlineStr"/>
      <c r="Q38" t="inlineStr">
        <is>
          <t>Filled</t>
        </is>
      </c>
      <c r="R38" t="n">
        <v>6.5</v>
      </c>
      <c r="S38" t="inlineStr">
        <is>
          <t>Central English policy</t>
        </is>
      </c>
      <c r="T38" t="inlineStr">
        <is>
          <t>Central rule applies (value agrees)</t>
        </is>
      </c>
      <c r="U38" t="inlineStr"/>
      <c r="V38" t="inlineStr">
        <is>
          <t>Page found, being read</t>
        </is>
      </c>
      <c r="W38" t="inlineStr"/>
      <c r="X38" t="inlineStr"/>
      <c r="Y38" t="n">
        <v>0</v>
      </c>
      <c r="Z38" t="inlineStr">
        <is>
          <t>Yes</t>
        </is>
      </c>
      <c r="AA38" t="inlineStr">
        <is>
          <t>Not stated on course page</t>
        </is>
      </c>
      <c r="AB38" t="inlineStr"/>
      <c r="AC38" t="inlineStr">
        <is>
          <t>Skipped: no allowed source had a value</t>
        </is>
      </c>
      <c r="AD38" t="n">
        <v>1</v>
      </c>
      <c r="AE38" t="inlineStr"/>
      <c r="AF38" t="inlineStr"/>
      <c r="AG38" t="inlineStr"/>
      <c r="AH38" t="inlineStr"/>
      <c r="AI38" t="inlineStr"/>
      <c r="AJ38" t="inlineStr"/>
      <c r="AK38" t="inlineStr"/>
      <c r="AL38" t="inlineStr"/>
      <c r="AM38" t="inlineStr"/>
    </row>
    <row r="39">
      <c r="A39" t="inlineStr">
        <is>
          <t>012851B</t>
        </is>
      </c>
      <c r="B39" t="inlineStr">
        <is>
          <t>Bachelor of Arts / Bachelor of Social Work</t>
        </is>
      </c>
      <c r="C39" t="inlineStr">
        <is>
          <t>Bachelor</t>
        </is>
      </c>
      <c r="D39" t="inlineStr">
        <is>
          <t>Undergraduate</t>
        </is>
      </c>
      <c r="E39" t="inlineStr">
        <is>
          <t>Page address no longer works</t>
        </is>
      </c>
      <c r="F39" t="inlineStr"/>
      <c r="G39" t="inlineStr">
        <is>
          <t>https://www.sydney.edu.au/courses/courses/uc/bachelor-of-arts-bachelor-of-social-work.html</t>
        </is>
      </c>
      <c r="H39" t="inlineStr">
        <is>
          <t>Address no longer works</t>
        </is>
      </c>
      <c r="I39" t="inlineStr"/>
      <c r="J39" t="inlineStr"/>
      <c r="K39" t="inlineStr">
        <is>
          <t>Finished, no page: every candidate address was refused by the reader or did not</t>
        </is>
      </c>
      <c r="L39" t="inlineStr">
        <is>
          <t>Page found, being read</t>
        </is>
      </c>
      <c r="M39" t="inlineStr">
        <is>
          <t>Page found, being read</t>
        </is>
      </c>
      <c r="N39" t="inlineStr"/>
      <c r="O39" t="n">
        <v>0</v>
      </c>
      <c r="P39" t="inlineStr"/>
      <c r="Q39" t="inlineStr">
        <is>
          <t>Filled</t>
        </is>
      </c>
      <c r="R39" t="n">
        <v>6.5</v>
      </c>
      <c r="S39" t="inlineStr">
        <is>
          <t>Central English policy</t>
        </is>
      </c>
      <c r="T39" t="inlineStr">
        <is>
          <t>Central rule applies (value agrees)</t>
        </is>
      </c>
      <c r="U39" t="inlineStr"/>
      <c r="V39" t="inlineStr">
        <is>
          <t>Page found, being read</t>
        </is>
      </c>
      <c r="W39" t="inlineStr"/>
      <c r="X39" t="inlineStr"/>
      <c r="Y39" t="n">
        <v>0</v>
      </c>
      <c r="Z39" t="inlineStr">
        <is>
          <t>Yes</t>
        </is>
      </c>
      <c r="AA39" t="inlineStr">
        <is>
          <t>Not stated on course page</t>
        </is>
      </c>
      <c r="AB39" t="inlineStr"/>
      <c r="AC39" t="inlineStr">
        <is>
          <t>Skipped: the page does not state it</t>
        </is>
      </c>
      <c r="AD39" t="n">
        <v>0</v>
      </c>
      <c r="AE39" t="inlineStr"/>
      <c r="AF39" t="inlineStr"/>
      <c r="AG39" t="inlineStr"/>
      <c r="AH39" t="inlineStr"/>
      <c r="AI39" t="inlineStr"/>
      <c r="AJ39" t="inlineStr"/>
      <c r="AK39" t="inlineStr"/>
      <c r="AL39" t="inlineStr"/>
      <c r="AM39" t="inlineStr"/>
    </row>
    <row r="40">
      <c r="A40" t="inlineStr">
        <is>
          <t>093741D</t>
        </is>
      </c>
      <c r="B40" t="inlineStr">
        <is>
          <t>Bachelor of Arts and Bachelor of Advanced Studies</t>
        </is>
      </c>
      <c r="C40" t="inlineStr">
        <is>
          <t>Bachelor</t>
        </is>
      </c>
      <c r="D40" t="inlineStr">
        <is>
          <t>Undergraduate</t>
        </is>
      </c>
      <c r="E40" t="inlineStr">
        <is>
          <t>Advertised: official page in place</t>
        </is>
      </c>
      <c r="F40" t="inlineStr">
        <is>
          <t>https://www.sydney.edu.au/courses/courses/uc/bachelor-of-arts-and-bachelor-of-advanced-studies.html</t>
        </is>
      </c>
      <c r="G40" t="inlineStr">
        <is>
          <t>https://www.sydney.edu.au/courses/courses/uc/bachelor-of-arts-and-bachelor-of-advanced-studies.html</t>
        </is>
      </c>
      <c r="H40" t="inlineStr">
        <is>
          <t>Read</t>
        </is>
      </c>
      <c r="I40" t="inlineStr">
        <is>
          <t>Exact title match</t>
        </is>
      </c>
      <c r="J40" t="inlineStr"/>
      <c r="K40" t="inlineStr">
        <is>
          <t>Not sent to re-link</t>
        </is>
      </c>
      <c r="L40" t="inlineStr">
        <is>
          <t>Filled</t>
        </is>
      </c>
      <c r="M40" t="inlineStr">
        <is>
          <t>Not stated on course page</t>
        </is>
      </c>
      <c r="N40" t="inlineStr"/>
      <c r="O40" t="n">
        <v>0</v>
      </c>
      <c r="P40" t="inlineStr"/>
      <c r="Q40" t="inlineStr">
        <is>
          <t>Filled</t>
        </is>
      </c>
      <c r="R40" t="n">
        <v>6.5</v>
      </c>
      <c r="S40" t="inlineStr">
        <is>
          <t>Central English policy</t>
        </is>
      </c>
      <c r="T40" t="inlineStr">
        <is>
          <t>Central rule applies (value agrees)</t>
        </is>
      </c>
      <c r="U40" t="inlineStr"/>
      <c r="V40" t="inlineStr">
        <is>
          <t>Not stated on course page</t>
        </is>
      </c>
      <c r="W40" t="inlineStr"/>
      <c r="X40" t="inlineStr"/>
      <c r="Y40" t="n">
        <v>2</v>
      </c>
      <c r="Z40" t="inlineStr">
        <is>
          <t>Yes</t>
        </is>
      </c>
      <c r="AA40" t="inlineStr">
        <is>
          <t>Filled</t>
        </is>
      </c>
      <c r="AB40" t="inlineStr">
        <is>
          <t>on campus</t>
        </is>
      </c>
      <c r="AC40" t="inlineStr"/>
      <c r="AD40" t="n">
        <v>0</v>
      </c>
      <c r="AE40" t="inlineStr"/>
      <c r="AF40" t="inlineStr"/>
      <c r="AG40" t="inlineStr"/>
      <c r="AH40" t="inlineStr">
        <is>
          <t>Yes</t>
        </is>
      </c>
      <c r="AI40" t="inlineStr"/>
      <c r="AJ40" t="inlineStr"/>
      <c r="AK40" t="inlineStr"/>
      <c r="AL40" t="inlineStr"/>
      <c r="AM40" t="inlineStr"/>
    </row>
    <row r="41">
      <c r="A41" t="inlineStr">
        <is>
          <t>114097E</t>
        </is>
      </c>
      <c r="B41" t="inlineStr">
        <is>
          <t>Bachelor of Arts and Bachelor of Advanced Studies (Media and Communications)</t>
        </is>
      </c>
      <c r="C41" t="inlineStr">
        <is>
          <t>Bachelor</t>
        </is>
      </c>
      <c r="D41" t="inlineStr">
        <is>
          <t>Undergraduate</t>
        </is>
      </c>
      <c r="E41" t="inlineStr">
        <is>
          <t>Page address no longer works</t>
        </is>
      </c>
      <c r="F41" t="inlineStr"/>
      <c r="G41" t="inlineStr">
        <is>
          <t>https://www.sydney.edu.au/courses/courses/uc/bachelor-of-arts-and-bachelor-of-advanced-studies-media-and-communications0.html</t>
        </is>
      </c>
      <c r="H41" t="inlineStr">
        <is>
          <t>Address no longer works</t>
        </is>
      </c>
      <c r="I41" t="inlineStr"/>
      <c r="J41" t="inlineStr"/>
      <c r="K41" t="inlineStr">
        <is>
          <t>Not sent to re-link</t>
        </is>
      </c>
      <c r="L41" t="inlineStr">
        <is>
          <t>Not stated on course page</t>
        </is>
      </c>
      <c r="M41" t="inlineStr">
        <is>
          <t>Not stated on course page</t>
        </is>
      </c>
      <c r="N41" t="inlineStr"/>
      <c r="O41" t="n">
        <v>0</v>
      </c>
      <c r="P41" t="inlineStr"/>
      <c r="Q41" t="inlineStr">
        <is>
          <t>Filled</t>
        </is>
      </c>
      <c r="R41" t="n">
        <v>6.5</v>
      </c>
      <c r="S41" t="inlineStr">
        <is>
          <t>Central English policy</t>
        </is>
      </c>
      <c r="T41" t="inlineStr">
        <is>
          <t>Central rule applies (value agrees)</t>
        </is>
      </c>
      <c r="U41" t="inlineStr"/>
      <c r="V41" t="inlineStr">
        <is>
          <t>Not stated on course page</t>
        </is>
      </c>
      <c r="W41" t="inlineStr"/>
      <c r="X41" t="inlineStr"/>
      <c r="Y41" t="n">
        <v>0</v>
      </c>
      <c r="Z41" t="inlineStr">
        <is>
          <t>Yes</t>
        </is>
      </c>
      <c r="AA41" t="inlineStr">
        <is>
          <t>Not stated on course page</t>
        </is>
      </c>
      <c r="AB41" t="inlineStr"/>
      <c r="AC41" t="inlineStr">
        <is>
          <t>Skipped: no allowed source had a value</t>
        </is>
      </c>
      <c r="AD41" t="n">
        <v>0</v>
      </c>
      <c r="AE41" t="inlineStr"/>
      <c r="AF41" t="inlineStr"/>
      <c r="AG41" t="inlineStr"/>
      <c r="AH41" t="inlineStr"/>
      <c r="AI41" t="inlineStr"/>
      <c r="AJ41" t="inlineStr"/>
      <c r="AK41" t="inlineStr"/>
      <c r="AL41" t="inlineStr"/>
      <c r="AM41" t="inlineStr"/>
    </row>
    <row r="42">
      <c r="A42" t="inlineStr">
        <is>
          <t>0100133</t>
        </is>
      </c>
      <c r="B42" t="inlineStr">
        <is>
          <t>Bachelor of Arts and Bachelor of Advanced Studies (Media and Communications)</t>
        </is>
      </c>
      <c r="C42" t="inlineStr">
        <is>
          <t>Bachelor</t>
        </is>
      </c>
      <c r="D42" t="inlineStr">
        <is>
          <t>Undergraduate</t>
        </is>
      </c>
      <c r="E42" t="inlineStr">
        <is>
          <t>Page address no longer works</t>
        </is>
      </c>
      <c r="F42" t="inlineStr"/>
      <c r="G42" t="inlineStr">
        <is>
          <t>https://www.sydney.edu.au/courses/courses/uc/bachelor-of-arts-and-bachelor-of-advanced-studies-media-and-communications0.html</t>
        </is>
      </c>
      <c r="H42" t="inlineStr">
        <is>
          <t>Address no longer works</t>
        </is>
      </c>
      <c r="I42" t="inlineStr"/>
      <c r="J42" t="inlineStr"/>
      <c r="K42" t="inlineStr">
        <is>
          <t>Not sent to re-link</t>
        </is>
      </c>
      <c r="L42" t="inlineStr">
        <is>
          <t>Not stated on course page</t>
        </is>
      </c>
      <c r="M42" t="inlineStr">
        <is>
          <t>Not stated on course page</t>
        </is>
      </c>
      <c r="N42" t="inlineStr"/>
      <c r="O42" t="n">
        <v>0</v>
      </c>
      <c r="P42" t="inlineStr"/>
      <c r="Q42" t="inlineStr">
        <is>
          <t>Filled</t>
        </is>
      </c>
      <c r="R42" t="n">
        <v>6.5</v>
      </c>
      <c r="S42" t="inlineStr">
        <is>
          <t>Central English policy</t>
        </is>
      </c>
      <c r="T42" t="inlineStr">
        <is>
          <t>Central rule applies (value agrees)</t>
        </is>
      </c>
      <c r="U42" t="inlineStr"/>
      <c r="V42" t="inlineStr">
        <is>
          <t>Not stated on course page</t>
        </is>
      </c>
      <c r="W42" t="inlineStr"/>
      <c r="X42" t="inlineStr"/>
      <c r="Y42" t="n">
        <v>0</v>
      </c>
      <c r="Z42" t="inlineStr">
        <is>
          <t>Yes</t>
        </is>
      </c>
      <c r="AA42" t="inlineStr">
        <is>
          <t>Not stated on course page</t>
        </is>
      </c>
      <c r="AB42" t="inlineStr"/>
      <c r="AC42" t="inlineStr">
        <is>
          <t>Skipped: no allowed source had a value</t>
        </is>
      </c>
      <c r="AD42" t="n">
        <v>0</v>
      </c>
      <c r="AE42" t="inlineStr"/>
      <c r="AF42" t="inlineStr"/>
      <c r="AG42" t="inlineStr"/>
      <c r="AH42" t="inlineStr"/>
      <c r="AI42" t="inlineStr"/>
      <c r="AJ42" t="inlineStr"/>
      <c r="AK42" t="inlineStr"/>
      <c r="AL42" t="inlineStr"/>
      <c r="AM42" t="inlineStr"/>
    </row>
    <row r="43">
      <c r="A43" t="inlineStr">
        <is>
          <t>093751B</t>
        </is>
      </c>
      <c r="B43" t="inlineStr">
        <is>
          <t>Bachelor of Arts and Doctor of Medicine</t>
        </is>
      </c>
      <c r="C43" t="inlineStr">
        <is>
          <t>Masters Degree (Extended)</t>
        </is>
      </c>
      <c r="D43" t="inlineStr">
        <is>
          <t>Postgraduate coursework</t>
        </is>
      </c>
      <c r="E43" t="inlineStr">
        <is>
          <t>Advertised: official page in place</t>
        </is>
      </c>
      <c r="F43" t="inlineStr">
        <is>
          <t>https://www.sydney.edu.au/courses/courses/uc/bachelor-of-arts-and-doctor-of-medicine.html</t>
        </is>
      </c>
      <c r="G43" t="inlineStr">
        <is>
          <t>https://www.sydney.edu.au/courses/courses/uc/bachelor-of-arts-and-doctor-of-medicine.html</t>
        </is>
      </c>
      <c r="H43" t="inlineStr">
        <is>
          <t>Read</t>
        </is>
      </c>
      <c r="I43" t="inlineStr">
        <is>
          <t>Exact title match</t>
        </is>
      </c>
      <c r="J43" t="inlineStr"/>
      <c r="K43" t="inlineStr">
        <is>
          <t>Not sent to re-link</t>
        </is>
      </c>
      <c r="L43" t="inlineStr">
        <is>
          <t>Filled</t>
        </is>
      </c>
      <c r="M43" t="inlineStr">
        <is>
          <t>Not stated on course page</t>
        </is>
      </c>
      <c r="N43" t="inlineStr"/>
      <c r="O43" t="n">
        <v>0</v>
      </c>
      <c r="P43" t="inlineStr"/>
      <c r="Q43" t="inlineStr">
        <is>
          <t>Not stated on course page</t>
        </is>
      </c>
      <c r="S43" t="inlineStr"/>
      <c r="T43" t="inlineStr">
        <is>
          <t>Held: double degree (its parts are at different levels)</t>
        </is>
      </c>
      <c r="U43" t="inlineStr"/>
      <c r="V43" t="inlineStr">
        <is>
          <t>Filled</t>
        </is>
      </c>
      <c r="W43" t="inlineStr">
        <is>
          <t>April, September</t>
        </is>
      </c>
      <c r="X43" t="inlineStr">
        <is>
          <t>Page reader</t>
        </is>
      </c>
      <c r="Y43" t="n">
        <v>0</v>
      </c>
      <c r="Z43" t="inlineStr">
        <is>
          <t>No</t>
        </is>
      </c>
      <c r="AA43" t="inlineStr">
        <is>
          <t>Filled</t>
        </is>
      </c>
      <c r="AB43" t="inlineStr">
        <is>
          <t>on campus</t>
        </is>
      </c>
      <c r="AC43" t="inlineStr"/>
      <c r="AD43" t="n">
        <v>0</v>
      </c>
      <c r="AE43" t="inlineStr"/>
      <c r="AF43" t="inlineStr"/>
      <c r="AG43" t="inlineStr"/>
      <c r="AH43" t="inlineStr"/>
      <c r="AI43" t="inlineStr"/>
      <c r="AJ43" t="inlineStr">
        <is>
          <t>Yes</t>
        </is>
      </c>
      <c r="AK43" t="inlineStr"/>
      <c r="AL43" t="inlineStr"/>
      <c r="AM43" t="inlineStr"/>
    </row>
    <row r="44">
      <c r="A44" t="inlineStr">
        <is>
          <t>069877K</t>
        </is>
      </c>
      <c r="B44" t="inlineStr">
        <is>
          <t>Bachelor of Arts and Master of Nursing</t>
        </is>
      </c>
      <c r="C44" t="inlineStr">
        <is>
          <t>Masters Degree (Coursework)</t>
        </is>
      </c>
      <c r="D44" t="inlineStr">
        <is>
          <t>Postgraduate coursework</t>
        </is>
      </c>
      <c r="E44" t="inlineStr">
        <is>
          <t>Advertised: official page in place</t>
        </is>
      </c>
      <c r="F44" t="inlineStr">
        <is>
          <t>https://www.sydney.edu.au/courses/courses/uc/bachelor-of-arts-and-master-of-nursing0.html</t>
        </is>
      </c>
      <c r="G44" t="inlineStr">
        <is>
          <t>https://www.sydney.edu.au/courses/courses/uc/bachelor-of-arts-and-master-of-nursing0.html</t>
        </is>
      </c>
      <c r="H44" t="inlineStr">
        <is>
          <t>Read</t>
        </is>
      </c>
      <c r="I44" t="inlineStr">
        <is>
          <t>Exact title match</t>
        </is>
      </c>
      <c r="J44" t="inlineStr"/>
      <c r="K44" t="inlineStr">
        <is>
          <t>Not sent to re-link</t>
        </is>
      </c>
      <c r="L44" t="inlineStr">
        <is>
          <t>Filled</t>
        </is>
      </c>
      <c r="M44" t="inlineStr">
        <is>
          <t>Not stated on course page</t>
        </is>
      </c>
      <c r="N44" t="inlineStr"/>
      <c r="O44" t="n">
        <v>0</v>
      </c>
      <c r="P44" t="inlineStr"/>
      <c r="Q44" t="inlineStr">
        <is>
          <t>Not stated on course page</t>
        </is>
      </c>
      <c r="S44" t="inlineStr"/>
      <c r="T44" t="inlineStr">
        <is>
          <t>Held: double degree (its parts are at different levels)</t>
        </is>
      </c>
      <c r="U44" t="inlineStr"/>
      <c r="V44" t="inlineStr">
        <is>
          <t>Not stated on course page</t>
        </is>
      </c>
      <c r="W44" t="inlineStr"/>
      <c r="X44" t="inlineStr"/>
      <c r="Y44" t="n">
        <v>0</v>
      </c>
      <c r="Z44" t="inlineStr">
        <is>
          <t>No</t>
        </is>
      </c>
      <c r="AA44" t="inlineStr">
        <is>
          <t>Filled</t>
        </is>
      </c>
      <c r="AB44" t="inlineStr">
        <is>
          <t>on campus</t>
        </is>
      </c>
      <c r="AC44" t="inlineStr"/>
      <c r="AD44" t="n">
        <v>0</v>
      </c>
      <c r="AE44" t="inlineStr"/>
      <c r="AF44" t="inlineStr"/>
      <c r="AG44" t="inlineStr"/>
      <c r="AH44" t="inlineStr"/>
      <c r="AI44" t="inlineStr">
        <is>
          <t>Yes</t>
        </is>
      </c>
      <c r="AJ44" t="inlineStr">
        <is>
          <t>Yes</t>
        </is>
      </c>
      <c r="AK44" t="inlineStr"/>
      <c r="AL44" t="inlineStr"/>
      <c r="AM44" t="inlineStr"/>
    </row>
    <row r="45">
      <c r="A45" t="inlineStr">
        <is>
          <t>117619D</t>
        </is>
      </c>
      <c r="B45" t="inlineStr">
        <is>
          <t>Bachelor of Arts and Master of Nursing</t>
        </is>
      </c>
      <c r="C45" t="inlineStr">
        <is>
          <t>Masters Degree (Coursework)</t>
        </is>
      </c>
      <c r="D45" t="inlineStr">
        <is>
          <t>Postgraduate coursework</t>
        </is>
      </c>
      <c r="E45" t="inlineStr">
        <is>
          <t>Advertised: official page in place</t>
        </is>
      </c>
      <c r="F45" t="inlineStr">
        <is>
          <t>https://www.sydney.edu.au/courses/courses/uc/bachelor-of-arts-and-master-of-nursing0.html</t>
        </is>
      </c>
      <c r="G45" t="inlineStr">
        <is>
          <t>https://www.sydney.edu.au/courses/courses/uc/bachelor-of-arts-and-master-of-nursing0.html</t>
        </is>
      </c>
      <c r="H45" t="inlineStr">
        <is>
          <t>Read</t>
        </is>
      </c>
      <c r="I45" t="inlineStr">
        <is>
          <t>Exact title match</t>
        </is>
      </c>
      <c r="J45" t="inlineStr"/>
      <c r="K45" t="inlineStr">
        <is>
          <t>Not sent to re-link</t>
        </is>
      </c>
      <c r="L45" t="inlineStr">
        <is>
          <t>Filled</t>
        </is>
      </c>
      <c r="M45" t="inlineStr">
        <is>
          <t>Not stated on course page</t>
        </is>
      </c>
      <c r="N45" t="inlineStr"/>
      <c r="O45" t="n">
        <v>0</v>
      </c>
      <c r="P45" t="inlineStr"/>
      <c r="Q45" t="inlineStr">
        <is>
          <t>Not stated on course page</t>
        </is>
      </c>
      <c r="S45" t="inlineStr"/>
      <c r="T45" t="inlineStr">
        <is>
          <t>Held: double degree (its parts are at different levels)</t>
        </is>
      </c>
      <c r="U45" t="inlineStr"/>
      <c r="V45" t="inlineStr">
        <is>
          <t>Not stated on course page</t>
        </is>
      </c>
      <c r="W45" t="inlineStr"/>
      <c r="X45" t="inlineStr"/>
      <c r="Y45" t="n">
        <v>0</v>
      </c>
      <c r="Z45" t="inlineStr">
        <is>
          <t>No</t>
        </is>
      </c>
      <c r="AA45" t="inlineStr">
        <is>
          <t>Filled</t>
        </is>
      </c>
      <c r="AB45" t="inlineStr">
        <is>
          <t>on campus</t>
        </is>
      </c>
      <c r="AC45" t="inlineStr"/>
      <c r="AD45" t="n">
        <v>0</v>
      </c>
      <c r="AE45" t="inlineStr"/>
      <c r="AF45" t="inlineStr"/>
      <c r="AG45" t="inlineStr"/>
      <c r="AH45" t="inlineStr"/>
      <c r="AI45" t="inlineStr">
        <is>
          <t>Yes</t>
        </is>
      </c>
      <c r="AJ45" t="inlineStr">
        <is>
          <t>Yes</t>
        </is>
      </c>
      <c r="AK45" t="inlineStr"/>
      <c r="AL45" t="inlineStr"/>
      <c r="AM45" t="inlineStr"/>
    </row>
    <row r="46">
      <c r="A46" t="inlineStr">
        <is>
          <t>117352D</t>
        </is>
      </c>
      <c r="B46" t="inlineStr">
        <is>
          <t>Bachelor of Biomedicine and Health</t>
        </is>
      </c>
      <c r="C46" t="inlineStr">
        <is>
          <t>Bachelor</t>
        </is>
      </c>
      <c r="D46" t="inlineStr">
        <is>
          <t>Undergraduate</t>
        </is>
      </c>
      <c r="E46" t="inlineStr">
        <is>
          <t>Advertised: official page in place</t>
        </is>
      </c>
      <c r="F46" t="inlineStr">
        <is>
          <t>https://www.sydney.edu.au/courses/courses/uc/bachelor-of-biomedicine-and-health.html</t>
        </is>
      </c>
      <c r="G46" t="inlineStr">
        <is>
          <t>https://www.sydney.edu.au/courses/courses/uc/bachelor-of-biomedicine-and-health.html</t>
        </is>
      </c>
      <c r="H46" t="inlineStr">
        <is>
          <t>Read</t>
        </is>
      </c>
      <c r="I46" t="inlineStr">
        <is>
          <t>Exact title match</t>
        </is>
      </c>
      <c r="J46" t="inlineStr"/>
      <c r="K46" t="inlineStr">
        <is>
          <t>Not sent to re-link</t>
        </is>
      </c>
      <c r="L46" t="inlineStr">
        <is>
          <t>Filled</t>
        </is>
      </c>
      <c r="M46" t="inlineStr">
        <is>
          <t>Not stated on course page</t>
        </is>
      </c>
      <c r="N46" t="inlineStr"/>
      <c r="O46" t="n">
        <v>0</v>
      </c>
      <c r="P46" t="inlineStr"/>
      <c r="Q46" t="inlineStr">
        <is>
          <t>Filled</t>
        </is>
      </c>
      <c r="R46" t="n">
        <v>6.5</v>
      </c>
      <c r="S46" t="inlineStr">
        <is>
          <t>Central English policy</t>
        </is>
      </c>
      <c r="T46" t="inlineStr">
        <is>
          <t>Central rule applies (value agrees)</t>
        </is>
      </c>
      <c r="U46" t="inlineStr"/>
      <c r="V46" t="inlineStr">
        <is>
          <t>Not stated on course page</t>
        </is>
      </c>
      <c r="W46" t="inlineStr"/>
      <c r="X46" t="inlineStr"/>
      <c r="Y46" t="n">
        <v>2</v>
      </c>
      <c r="Z46" t="inlineStr">
        <is>
          <t>Yes</t>
        </is>
      </c>
      <c r="AA46" t="inlineStr">
        <is>
          <t>Filled</t>
        </is>
      </c>
      <c r="AB46" t="inlineStr">
        <is>
          <t>on campus</t>
        </is>
      </c>
      <c r="AC46" t="inlineStr"/>
      <c r="AD46" t="n">
        <v>0</v>
      </c>
      <c r="AE46" t="inlineStr"/>
      <c r="AF46" t="inlineStr"/>
      <c r="AG46" t="inlineStr"/>
      <c r="AH46" t="inlineStr">
        <is>
          <t>Yes</t>
        </is>
      </c>
      <c r="AI46" t="inlineStr"/>
      <c r="AJ46" t="inlineStr"/>
      <c r="AK46" t="inlineStr"/>
      <c r="AL46" t="inlineStr"/>
      <c r="AM46" t="inlineStr"/>
    </row>
    <row r="47">
      <c r="A47" t="inlineStr">
        <is>
          <t>012849G</t>
        </is>
      </c>
      <c r="B47" t="inlineStr">
        <is>
          <t>Bachelor of Commerce</t>
        </is>
      </c>
      <c r="C47" t="inlineStr">
        <is>
          <t>Bachelor</t>
        </is>
      </c>
      <c r="D47" t="inlineStr">
        <is>
          <t>Undergraduate</t>
        </is>
      </c>
      <c r="E47" t="inlineStr">
        <is>
          <t>Advertised: official page in place</t>
        </is>
      </c>
      <c r="F47" t="inlineStr">
        <is>
          <t>https://www.sydney.edu.au/courses/courses/uc/bachelor-of-commerce0.html</t>
        </is>
      </c>
      <c r="G47" t="inlineStr">
        <is>
          <t>https://www.sydney.edu.au/courses/courses/uc/bachelor-of-commerce0.html</t>
        </is>
      </c>
      <c r="H47" t="inlineStr">
        <is>
          <t>Read</t>
        </is>
      </c>
      <c r="I47" t="inlineStr">
        <is>
          <t>Exact title match</t>
        </is>
      </c>
      <c r="J47" t="inlineStr"/>
      <c r="K47" t="inlineStr">
        <is>
          <t>Not sent to re-link</t>
        </is>
      </c>
      <c r="L47" t="inlineStr">
        <is>
          <t>Filled</t>
        </is>
      </c>
      <c r="M47" t="inlineStr">
        <is>
          <t>Not stated on course page</t>
        </is>
      </c>
      <c r="N47" t="inlineStr"/>
      <c r="O47" t="n">
        <v>0</v>
      </c>
      <c r="P47" t="inlineStr"/>
      <c r="Q47" t="inlineStr">
        <is>
          <t>Filled</t>
        </is>
      </c>
      <c r="R47" t="n">
        <v>6.5</v>
      </c>
      <c r="S47" t="inlineStr">
        <is>
          <t>Central English policy</t>
        </is>
      </c>
      <c r="T47" t="inlineStr">
        <is>
          <t>Central rule applies (value agrees)</t>
        </is>
      </c>
      <c r="U47" t="inlineStr"/>
      <c r="V47" t="inlineStr">
        <is>
          <t>Not stated on course page</t>
        </is>
      </c>
      <c r="W47" t="inlineStr"/>
      <c r="X47" t="inlineStr"/>
      <c r="Y47" t="n">
        <v>2</v>
      </c>
      <c r="Z47" t="inlineStr">
        <is>
          <t>Yes</t>
        </is>
      </c>
      <c r="AA47" t="inlineStr">
        <is>
          <t>Filled</t>
        </is>
      </c>
      <c r="AB47" t="inlineStr">
        <is>
          <t>on campus</t>
        </is>
      </c>
      <c r="AC47" t="inlineStr"/>
      <c r="AD47" t="n">
        <v>0</v>
      </c>
      <c r="AE47" t="inlineStr"/>
      <c r="AF47" t="inlineStr"/>
      <c r="AG47" t="inlineStr"/>
      <c r="AH47" t="inlineStr">
        <is>
          <t>Yes</t>
        </is>
      </c>
      <c r="AI47" t="inlineStr"/>
      <c r="AJ47" t="inlineStr"/>
      <c r="AK47" t="inlineStr"/>
      <c r="AL47" t="inlineStr"/>
      <c r="AM47" t="inlineStr"/>
    </row>
    <row r="48">
      <c r="A48" t="inlineStr">
        <is>
          <t>036741K</t>
        </is>
      </c>
      <c r="B48" t="inlineStr">
        <is>
          <t>Bachelor of Commerce (Honours)</t>
        </is>
      </c>
      <c r="C48" t="inlineStr">
        <is>
          <t>Bachelor Honours Degree</t>
        </is>
      </c>
      <c r="D48" t="inlineStr">
        <is>
          <t>Undergraduate</t>
        </is>
      </c>
      <c r="E48" t="inlineStr">
        <is>
          <t>Advertised: official page in place</t>
        </is>
      </c>
      <c r="F48" t="inlineStr">
        <is>
          <t>https://www.sydney.edu.au/courses/courses/uc/bachelor-of-commerce-honours.html</t>
        </is>
      </c>
      <c r="G48" t="inlineStr">
        <is>
          <t>https://www.sydney.edu.au/courses/courses/uc/bachelor-of-commerce-honours.html</t>
        </is>
      </c>
      <c r="H48" t="inlineStr">
        <is>
          <t>Read</t>
        </is>
      </c>
      <c r="I48" t="inlineStr">
        <is>
          <t>Exact title match</t>
        </is>
      </c>
      <c r="J48" t="inlineStr"/>
      <c r="K48" t="inlineStr">
        <is>
          <t>Not sent to re-link</t>
        </is>
      </c>
      <c r="L48" t="inlineStr">
        <is>
          <t>Filled</t>
        </is>
      </c>
      <c r="M48" t="inlineStr">
        <is>
          <t>Not stated on course page</t>
        </is>
      </c>
      <c r="N48" t="inlineStr"/>
      <c r="O48" t="n">
        <v>0</v>
      </c>
      <c r="P48" t="inlineStr"/>
      <c r="Q48" t="inlineStr">
        <is>
          <t>Filled</t>
        </is>
      </c>
      <c r="R48" t="n">
        <v>6.5</v>
      </c>
      <c r="S48" t="inlineStr">
        <is>
          <t>Central English policy</t>
        </is>
      </c>
      <c r="T48" t="inlineStr">
        <is>
          <t>Central rule applies (value agrees)</t>
        </is>
      </c>
      <c r="U48" t="inlineStr"/>
      <c r="V48" t="inlineStr">
        <is>
          <t>Filled</t>
        </is>
      </c>
      <c r="W48" t="inlineStr">
        <is>
          <t>February</t>
        </is>
      </c>
      <c r="X48" t="inlineStr">
        <is>
          <t>Other</t>
        </is>
      </c>
      <c r="Y48" t="n">
        <v>0</v>
      </c>
      <c r="Z48" t="inlineStr">
        <is>
          <t>Yes</t>
        </is>
      </c>
      <c r="AA48" t="inlineStr">
        <is>
          <t>Filled</t>
        </is>
      </c>
      <c r="AB48" t="inlineStr">
        <is>
          <t>on campus</t>
        </is>
      </c>
      <c r="AC48" t="inlineStr"/>
      <c r="AD48" t="n">
        <v>0</v>
      </c>
      <c r="AE48" t="inlineStr"/>
      <c r="AF48" t="inlineStr"/>
      <c r="AG48" t="inlineStr"/>
      <c r="AH48" t="inlineStr"/>
      <c r="AI48" t="inlineStr"/>
      <c r="AJ48" t="inlineStr"/>
      <c r="AK48" t="inlineStr"/>
      <c r="AL48" t="inlineStr"/>
      <c r="AM48" t="inlineStr"/>
    </row>
    <row r="49">
      <c r="A49" t="inlineStr">
        <is>
          <t>025098A</t>
        </is>
      </c>
      <c r="B49" t="inlineStr">
        <is>
          <t>Bachelor of Commerce (Liberal Studies)</t>
        </is>
      </c>
      <c r="C49" t="inlineStr">
        <is>
          <t>Bachelor</t>
        </is>
      </c>
      <c r="D49" t="inlineStr">
        <is>
          <t>Undergraduate</t>
        </is>
      </c>
      <c r="E49" t="inlineStr">
        <is>
          <t>Held: page found is for another course</t>
        </is>
      </c>
      <c r="F49" t="inlineStr"/>
      <c r="G49" t="inlineStr">
        <is>
          <t>https://rp-handbooks.sydney.edu.au/handbooks/archive/2014/business_school/b_commerce_liberal/b_commerce_liberal.shtml.html</t>
        </is>
      </c>
      <c r="H49" t="inlineStr">
        <is>
          <t>Not a course page</t>
        </is>
      </c>
      <c r="I49" t="inlineStr"/>
      <c r="J49" t="inlineStr"/>
      <c r="K49" t="inlineStr">
        <is>
          <t>Not sent to re-link</t>
        </is>
      </c>
      <c r="L49" t="inlineStr">
        <is>
          <t>Not stated on course page</t>
        </is>
      </c>
      <c r="M49" t="inlineStr">
        <is>
          <t>Not stated on course page</t>
        </is>
      </c>
      <c r="N49" t="inlineStr"/>
      <c r="O49" t="n">
        <v>0</v>
      </c>
      <c r="P49" t="inlineStr"/>
      <c r="Q49" t="inlineStr">
        <is>
          <t>Filled</t>
        </is>
      </c>
      <c r="R49" t="n">
        <v>6.5</v>
      </c>
      <c r="S49" t="inlineStr">
        <is>
          <t>Central English policy</t>
        </is>
      </c>
      <c r="T49" t="inlineStr">
        <is>
          <t>Central rule applies (value agrees)</t>
        </is>
      </c>
      <c r="U49" t="inlineStr"/>
      <c r="V49" t="inlineStr">
        <is>
          <t>Not stated on course page</t>
        </is>
      </c>
      <c r="W49" t="inlineStr"/>
      <c r="X49" t="inlineStr"/>
      <c r="Y49" t="n">
        <v>2</v>
      </c>
      <c r="Z49" t="inlineStr">
        <is>
          <t>Yes</t>
        </is>
      </c>
      <c r="AA49" t="inlineStr">
        <is>
          <t>Not stated on course page</t>
        </is>
      </c>
      <c r="AB49" t="inlineStr"/>
      <c r="AC49" t="inlineStr">
        <is>
          <t>Skipped: taken back: the page read was another course's page</t>
        </is>
      </c>
      <c r="AD49" t="n">
        <v>1</v>
      </c>
      <c r="AE49" t="inlineStr"/>
      <c r="AF49" t="inlineStr"/>
      <c r="AG49" t="inlineStr"/>
      <c r="AH49" t="inlineStr"/>
      <c r="AI49" t="inlineStr"/>
      <c r="AJ49" t="inlineStr"/>
      <c r="AK49" t="inlineStr"/>
      <c r="AL49" t="inlineStr"/>
      <c r="AM49" t="inlineStr"/>
    </row>
    <row r="50">
      <c r="A50" t="inlineStr">
        <is>
          <t>036742J</t>
        </is>
      </c>
      <c r="B50" t="inlineStr">
        <is>
          <t>Bachelor of Commerce (Liberal Studies) (Honours)</t>
        </is>
      </c>
      <c r="C50" t="inlineStr">
        <is>
          <t>Bachelor Honours Degree</t>
        </is>
      </c>
      <c r="D50" t="inlineStr">
        <is>
          <t>Undergraduate</t>
        </is>
      </c>
      <c r="E50" t="inlineStr">
        <is>
          <t>Held: page found is for another course</t>
        </is>
      </c>
      <c r="F50" t="inlineStr"/>
      <c r="G50" t="inlineStr">
        <is>
          <t>https://rp-handbooks.sydney.edu.au/handbooks/archive/2014/business_school/b_commerce_liberal/b_commerce_liberal.shtml.html</t>
        </is>
      </c>
      <c r="H50" t="inlineStr">
        <is>
          <t>Not a course page</t>
        </is>
      </c>
      <c r="I50" t="inlineStr"/>
      <c r="J50" t="inlineStr"/>
      <c r="K50" t="inlineStr">
        <is>
          <t>Not sent to re-link</t>
        </is>
      </c>
      <c r="L50" t="inlineStr">
        <is>
          <t>Not stated on course page</t>
        </is>
      </c>
      <c r="M50" t="inlineStr">
        <is>
          <t>Not stated on course page</t>
        </is>
      </c>
      <c r="N50" t="inlineStr"/>
      <c r="O50" t="n">
        <v>0</v>
      </c>
      <c r="P50" t="inlineStr"/>
      <c r="Q50" t="inlineStr">
        <is>
          <t>Filled</t>
        </is>
      </c>
      <c r="R50" t="n">
        <v>6.5</v>
      </c>
      <c r="S50" t="inlineStr">
        <is>
          <t>Central English policy</t>
        </is>
      </c>
      <c r="T50" t="inlineStr">
        <is>
          <t>Central rule applies (value agrees)</t>
        </is>
      </c>
      <c r="U50" t="inlineStr"/>
      <c r="V50" t="inlineStr">
        <is>
          <t>Not stated on course page</t>
        </is>
      </c>
      <c r="W50" t="inlineStr"/>
      <c r="X50" t="inlineStr"/>
      <c r="Y50" t="n">
        <v>2</v>
      </c>
      <c r="Z50" t="inlineStr">
        <is>
          <t>Yes</t>
        </is>
      </c>
      <c r="AA50" t="inlineStr">
        <is>
          <t>Not stated on course page</t>
        </is>
      </c>
      <c r="AB50" t="inlineStr"/>
      <c r="AC50" t="inlineStr">
        <is>
          <t>Skipped: taken back: the page read was another course's page</t>
        </is>
      </c>
      <c r="AD50" t="n">
        <v>1</v>
      </c>
      <c r="AE50" t="inlineStr"/>
      <c r="AF50" t="inlineStr"/>
      <c r="AG50" t="inlineStr"/>
      <c r="AH50" t="inlineStr"/>
      <c r="AI50" t="inlineStr"/>
      <c r="AJ50" t="inlineStr"/>
      <c r="AK50" t="inlineStr"/>
      <c r="AL50" t="inlineStr"/>
      <c r="AM50" t="inlineStr"/>
    </row>
    <row r="51">
      <c r="A51" t="inlineStr">
        <is>
          <t>093743B</t>
        </is>
      </c>
      <c r="B51" t="inlineStr">
        <is>
          <t>Bachelor of Commerce and Bachelor of Advanced Studies</t>
        </is>
      </c>
      <c r="C51" t="inlineStr">
        <is>
          <t>Bachelor</t>
        </is>
      </c>
      <c r="D51" t="inlineStr">
        <is>
          <t>Undergraduate</t>
        </is>
      </c>
      <c r="E51" t="inlineStr">
        <is>
          <t>Advertised: official page in place</t>
        </is>
      </c>
      <c r="F51" t="inlineStr">
        <is>
          <t>https://www.sydney.edu.au/courses/courses/uc/bachelor-of-commerce-and-bachelor-of-advanced-studies.html</t>
        </is>
      </c>
      <c r="G51" t="inlineStr">
        <is>
          <t>https://www.sydney.edu.au/courses/courses/uc/bachelor-of-commerce-and-bachelor-of-advanced-studies.html</t>
        </is>
      </c>
      <c r="H51" t="inlineStr">
        <is>
          <t>Read</t>
        </is>
      </c>
      <c r="I51" t="inlineStr">
        <is>
          <t>Exact title match</t>
        </is>
      </c>
      <c r="J51" t="inlineStr"/>
      <c r="K51" t="inlineStr">
        <is>
          <t>Not sent to re-link</t>
        </is>
      </c>
      <c r="L51" t="inlineStr">
        <is>
          <t>Filled</t>
        </is>
      </c>
      <c r="M51" t="inlineStr">
        <is>
          <t>Not stated on course page</t>
        </is>
      </c>
      <c r="N51" t="inlineStr"/>
      <c r="O51" t="n">
        <v>0</v>
      </c>
      <c r="P51" t="inlineStr"/>
      <c r="Q51" t="inlineStr">
        <is>
          <t>Filled</t>
        </is>
      </c>
      <c r="R51" t="n">
        <v>6.5</v>
      </c>
      <c r="S51" t="inlineStr">
        <is>
          <t>Central English policy</t>
        </is>
      </c>
      <c r="T51" t="inlineStr">
        <is>
          <t>Central rule applies (value agrees)</t>
        </is>
      </c>
      <c r="U51" t="inlineStr"/>
      <c r="V51" t="inlineStr">
        <is>
          <t>Not stated on course page</t>
        </is>
      </c>
      <c r="W51" t="inlineStr"/>
      <c r="X51" t="inlineStr"/>
      <c r="Y51" t="n">
        <v>2</v>
      </c>
      <c r="Z51" t="inlineStr">
        <is>
          <t>Yes</t>
        </is>
      </c>
      <c r="AA51" t="inlineStr">
        <is>
          <t>Filled</t>
        </is>
      </c>
      <c r="AB51" t="inlineStr">
        <is>
          <t>on campus</t>
        </is>
      </c>
      <c r="AC51" t="inlineStr"/>
      <c r="AD51" t="n">
        <v>0</v>
      </c>
      <c r="AE51" t="inlineStr"/>
      <c r="AF51" t="inlineStr"/>
      <c r="AG51" t="inlineStr"/>
      <c r="AH51" t="inlineStr">
        <is>
          <t>Yes</t>
        </is>
      </c>
      <c r="AI51" t="inlineStr"/>
      <c r="AJ51" t="inlineStr"/>
      <c r="AK51" t="inlineStr"/>
      <c r="AL51" t="inlineStr"/>
      <c r="AM51" t="inlineStr"/>
    </row>
    <row r="52">
      <c r="A52" t="inlineStr">
        <is>
          <t>115417H</t>
        </is>
      </c>
      <c r="B52" t="inlineStr">
        <is>
          <t>Bachelor of Commerce and Bachelor of Arts</t>
        </is>
      </c>
      <c r="C52" t="inlineStr">
        <is>
          <t>Bachelor</t>
        </is>
      </c>
      <c r="D52" t="inlineStr">
        <is>
          <t>Undergraduate</t>
        </is>
      </c>
      <c r="E52" t="inlineStr">
        <is>
          <t>Advertised: official page in place</t>
        </is>
      </c>
      <c r="F52" t="inlineStr">
        <is>
          <t>https://www.sydney.edu.au/courses/courses/uc/bachelor-of-commerce-and-bachelor-of-arts0.html</t>
        </is>
      </c>
      <c r="G52" t="inlineStr">
        <is>
          <t>https://www.sydney.edu.au/courses/courses/uc/bachelor-of-commerce-and-bachelor-of-arts0.html</t>
        </is>
      </c>
      <c r="H52" t="inlineStr">
        <is>
          <t>Read</t>
        </is>
      </c>
      <c r="I52" t="inlineStr">
        <is>
          <t>Exact title match</t>
        </is>
      </c>
      <c r="J52" t="inlineStr"/>
      <c r="K52" t="inlineStr">
        <is>
          <t>Not sent to re-link</t>
        </is>
      </c>
      <c r="L52" t="inlineStr">
        <is>
          <t>Filled</t>
        </is>
      </c>
      <c r="M52" t="inlineStr">
        <is>
          <t>Not stated on course page</t>
        </is>
      </c>
      <c r="N52" t="inlineStr"/>
      <c r="O52" t="n">
        <v>0</v>
      </c>
      <c r="P52" t="inlineStr"/>
      <c r="Q52" t="inlineStr">
        <is>
          <t>Filled</t>
        </is>
      </c>
      <c r="R52" t="n">
        <v>6.5</v>
      </c>
      <c r="S52" t="inlineStr">
        <is>
          <t>Central English policy</t>
        </is>
      </c>
      <c r="T52" t="inlineStr">
        <is>
          <t>Central rule applies (value agrees)</t>
        </is>
      </c>
      <c r="U52" t="inlineStr"/>
      <c r="V52" t="inlineStr">
        <is>
          <t>Not stated on course page</t>
        </is>
      </c>
      <c r="W52" t="inlineStr"/>
      <c r="X52" t="inlineStr"/>
      <c r="Y52" t="n">
        <v>2</v>
      </c>
      <c r="Z52" t="inlineStr">
        <is>
          <t>Yes</t>
        </is>
      </c>
      <c r="AA52" t="inlineStr">
        <is>
          <t>Filled</t>
        </is>
      </c>
      <c r="AB52" t="inlineStr">
        <is>
          <t>on campus</t>
        </is>
      </c>
      <c r="AC52" t="inlineStr"/>
      <c r="AD52" t="n">
        <v>0</v>
      </c>
      <c r="AE52" t="inlineStr"/>
      <c r="AF52" t="inlineStr"/>
      <c r="AG52" t="inlineStr"/>
      <c r="AH52" t="inlineStr">
        <is>
          <t>Yes</t>
        </is>
      </c>
      <c r="AI52" t="inlineStr"/>
      <c r="AJ52" t="inlineStr"/>
      <c r="AK52" t="inlineStr"/>
      <c r="AL52" t="inlineStr"/>
      <c r="AM52" t="inlineStr"/>
    </row>
    <row r="53">
      <c r="A53" t="inlineStr">
        <is>
          <t>017835F</t>
        </is>
      </c>
      <c r="B53" t="inlineStr">
        <is>
          <t>Bachelor of Commerce and Bachelor of Laws</t>
        </is>
      </c>
      <c r="C53" t="inlineStr">
        <is>
          <t>Bachelor</t>
        </is>
      </c>
      <c r="D53" t="inlineStr">
        <is>
          <t>Undergraduate</t>
        </is>
      </c>
      <c r="E53" t="inlineStr">
        <is>
          <t>Advertised: official page in place</t>
        </is>
      </c>
      <c r="F53" t="inlineStr">
        <is>
          <t>https://www.sydney.edu.au/courses/courses/uc/bachelor-of-commerce-and-bachelor-of-laws0.html</t>
        </is>
      </c>
      <c r="G53" t="inlineStr">
        <is>
          <t>https://www.sydney.edu.au/courses/courses/uc/bachelor-of-commerce-and-bachelor-of-laws0.html</t>
        </is>
      </c>
      <c r="H53" t="inlineStr">
        <is>
          <t>Read</t>
        </is>
      </c>
      <c r="I53" t="inlineStr">
        <is>
          <t>Exact title match</t>
        </is>
      </c>
      <c r="J53" t="inlineStr"/>
      <c r="K53" t="inlineStr">
        <is>
          <t>Not sent to re-link</t>
        </is>
      </c>
      <c r="L53" t="inlineStr">
        <is>
          <t>Filled</t>
        </is>
      </c>
      <c r="M53" t="inlineStr">
        <is>
          <t>Not stated on course page</t>
        </is>
      </c>
      <c r="N53" t="inlineStr"/>
      <c r="O53" t="n">
        <v>0</v>
      </c>
      <c r="P53" t="inlineStr"/>
      <c r="Q53" t="inlineStr">
        <is>
          <t>Filled</t>
        </is>
      </c>
      <c r="R53" t="n">
        <v>6.5</v>
      </c>
      <c r="S53" t="inlineStr">
        <is>
          <t>Central English policy</t>
        </is>
      </c>
      <c r="T53" t="inlineStr">
        <is>
          <t>Central rule applies (value agrees)</t>
        </is>
      </c>
      <c r="U53" t="inlineStr"/>
      <c r="V53" t="inlineStr">
        <is>
          <t>Not stated on course page</t>
        </is>
      </c>
      <c r="W53" t="inlineStr"/>
      <c r="X53" t="inlineStr"/>
      <c r="Y53" t="n">
        <v>2</v>
      </c>
      <c r="Z53" t="inlineStr">
        <is>
          <t>Yes</t>
        </is>
      </c>
      <c r="AA53" t="inlineStr">
        <is>
          <t>Filled</t>
        </is>
      </c>
      <c r="AB53" t="inlineStr">
        <is>
          <t>on campus</t>
        </is>
      </c>
      <c r="AC53" t="inlineStr"/>
      <c r="AD53" t="n">
        <v>0</v>
      </c>
      <c r="AE53" t="inlineStr"/>
      <c r="AF53" t="inlineStr"/>
      <c r="AG53" t="inlineStr"/>
      <c r="AH53" t="inlineStr">
        <is>
          <t>Yes</t>
        </is>
      </c>
      <c r="AI53" t="inlineStr"/>
      <c r="AJ53" t="inlineStr"/>
      <c r="AK53" t="inlineStr"/>
      <c r="AL53" t="inlineStr"/>
      <c r="AM53" t="inlineStr"/>
    </row>
    <row r="54">
      <c r="A54" t="inlineStr">
        <is>
          <t>115416J</t>
        </is>
      </c>
      <c r="B54" t="inlineStr">
        <is>
          <t>Bachelor of Commerce and Bachelor of Science</t>
        </is>
      </c>
      <c r="C54" t="inlineStr">
        <is>
          <t>Bachelor</t>
        </is>
      </c>
      <c r="D54" t="inlineStr">
        <is>
          <t>Undergraduate</t>
        </is>
      </c>
      <c r="E54" t="inlineStr">
        <is>
          <t>Advertised: official page in place</t>
        </is>
      </c>
      <c r="F54" t="inlineStr">
        <is>
          <t>https://www.sydney.edu.au/courses/courses/uc/bachelor-of-commerce-and-bachelor-of-science0.html</t>
        </is>
      </c>
      <c r="G54" t="inlineStr">
        <is>
          <t>https://www.sydney.edu.au/courses/courses/uc/bachelor-of-commerce-and-bachelor-of-science0.html</t>
        </is>
      </c>
      <c r="H54" t="inlineStr">
        <is>
          <t>Read</t>
        </is>
      </c>
      <c r="I54" t="inlineStr">
        <is>
          <t>Exact title match</t>
        </is>
      </c>
      <c r="J54" t="inlineStr"/>
      <c r="K54" t="inlineStr">
        <is>
          <t>Not sent to re-link</t>
        </is>
      </c>
      <c r="L54" t="inlineStr">
        <is>
          <t>Filled</t>
        </is>
      </c>
      <c r="M54" t="inlineStr">
        <is>
          <t>Not stated on course page</t>
        </is>
      </c>
      <c r="N54" t="inlineStr"/>
      <c r="O54" t="n">
        <v>0</v>
      </c>
      <c r="P54" t="inlineStr"/>
      <c r="Q54" t="inlineStr">
        <is>
          <t>Filled</t>
        </is>
      </c>
      <c r="R54" t="n">
        <v>6.5</v>
      </c>
      <c r="S54" t="inlineStr">
        <is>
          <t>Central English policy</t>
        </is>
      </c>
      <c r="T54" t="inlineStr">
        <is>
          <t>Central rule applies (value agrees)</t>
        </is>
      </c>
      <c r="U54" t="inlineStr"/>
      <c r="V54" t="inlineStr">
        <is>
          <t>Not stated on course page</t>
        </is>
      </c>
      <c r="W54" t="inlineStr"/>
      <c r="X54" t="inlineStr"/>
      <c r="Y54" t="n">
        <v>2</v>
      </c>
      <c r="Z54" t="inlineStr">
        <is>
          <t>Yes</t>
        </is>
      </c>
      <c r="AA54" t="inlineStr">
        <is>
          <t>Filled</t>
        </is>
      </c>
      <c r="AB54" t="inlineStr">
        <is>
          <t>on campus</t>
        </is>
      </c>
      <c r="AC54" t="inlineStr"/>
      <c r="AD54" t="n">
        <v>0</v>
      </c>
      <c r="AE54" t="inlineStr"/>
      <c r="AF54" t="inlineStr"/>
      <c r="AG54" t="inlineStr"/>
      <c r="AH54" t="inlineStr">
        <is>
          <t>Yes</t>
        </is>
      </c>
      <c r="AI54" t="inlineStr"/>
      <c r="AJ54" t="inlineStr"/>
      <c r="AK54" t="inlineStr"/>
      <c r="AL54" t="inlineStr"/>
      <c r="AM54" t="inlineStr"/>
    </row>
    <row r="55">
      <c r="A55" t="inlineStr">
        <is>
          <t>019183K</t>
        </is>
      </c>
      <c r="B55" t="inlineStr">
        <is>
          <t>Bachelor of Computer Science and Technology</t>
        </is>
      </c>
      <c r="C55" t="inlineStr">
        <is>
          <t>Bachelor</t>
        </is>
      </c>
      <c r="D55" t="inlineStr">
        <is>
          <t>Undergraduate</t>
        </is>
      </c>
      <c r="E55" t="inlineStr">
        <is>
          <t>No-page record (no page), awaiting review</t>
        </is>
      </c>
      <c r="F55" t="inlineStr"/>
      <c r="G55" t="inlineStr">
        <is>
          <t>https://rp-handbooks.sydney.edu.au/handbooks/archive/2014/engineering/schools/information_technology/computer_science_technology_advanced.shtml.html</t>
        </is>
      </c>
      <c r="H55" t="inlineStr">
        <is>
          <t>Not a course page</t>
        </is>
      </c>
      <c r="I55" t="inlineStr"/>
      <c r="J55" t="inlineStr">
        <is>
          <t>No page (proposed)</t>
        </is>
      </c>
      <c r="K55" t="inlineStr">
        <is>
          <t>Not sent to re-link</t>
        </is>
      </c>
      <c r="L55" t="inlineStr">
        <is>
          <t>Not stated on course page</t>
        </is>
      </c>
      <c r="M55" t="inlineStr">
        <is>
          <t>Not stated on course page</t>
        </is>
      </c>
      <c r="N55" t="inlineStr"/>
      <c r="O55" t="n">
        <v>0</v>
      </c>
      <c r="P55" t="inlineStr"/>
      <c r="Q55" t="inlineStr">
        <is>
          <t>Filled</t>
        </is>
      </c>
      <c r="R55" t="n">
        <v>6.5</v>
      </c>
      <c r="S55" t="inlineStr">
        <is>
          <t>Central English policy</t>
        </is>
      </c>
      <c r="T55" t="inlineStr">
        <is>
          <t>Central rule applies (value agrees)</t>
        </is>
      </c>
      <c r="U55" t="inlineStr"/>
      <c r="V55" t="inlineStr">
        <is>
          <t>Not stated on course page</t>
        </is>
      </c>
      <c r="W55" t="inlineStr"/>
      <c r="X55" t="inlineStr"/>
      <c r="Y55" t="n">
        <v>2</v>
      </c>
      <c r="Z55" t="inlineStr">
        <is>
          <t>Yes</t>
        </is>
      </c>
      <c r="AA55" t="inlineStr">
        <is>
          <t>Not stated on course page</t>
        </is>
      </c>
      <c r="AB55" t="inlineStr"/>
      <c r="AC55" t="inlineStr">
        <is>
          <t>Skipped: the page does not state it</t>
        </is>
      </c>
      <c r="AD55" t="n">
        <v>0</v>
      </c>
      <c r="AE55" t="inlineStr"/>
      <c r="AF55" t="inlineStr"/>
      <c r="AG55" t="inlineStr"/>
      <c r="AH55" t="inlineStr"/>
      <c r="AI55" t="inlineStr"/>
      <c r="AJ55" t="inlineStr"/>
      <c r="AK55" t="inlineStr"/>
      <c r="AL55" t="inlineStr"/>
      <c r="AM55" t="inlineStr">
        <is>
          <t>Yes</t>
        </is>
      </c>
    </row>
    <row r="56">
      <c r="A56" t="inlineStr">
        <is>
          <t>027158M</t>
        </is>
      </c>
      <c r="B56" t="inlineStr">
        <is>
          <t>Bachelor of Computer Science and Technology (Honours)</t>
        </is>
      </c>
      <c r="C56" t="inlineStr">
        <is>
          <t>Bachelor Honours Degree</t>
        </is>
      </c>
      <c r="D56" t="inlineStr">
        <is>
          <t>Undergraduate</t>
        </is>
      </c>
      <c r="E56" t="inlineStr">
        <is>
          <t>Page found, needs a rendered read</t>
        </is>
      </c>
      <c r="F56" t="inlineStr"/>
      <c r="G56" t="inlineStr">
        <is>
          <t>https://www.sydney.edu.au/courses/courses/uc/bachelor-of-computer-science-and-technology-honours.html</t>
        </is>
      </c>
      <c r="H56" t="inlineStr">
        <is>
          <t>Needs a rendered read</t>
        </is>
      </c>
      <c r="I56" t="inlineStr"/>
      <c r="J56" t="inlineStr"/>
      <c r="K56" t="inlineStr">
        <is>
          <t>Finished, no page: every candidate address was refused by the reader or did not</t>
        </is>
      </c>
      <c r="L56" t="inlineStr">
        <is>
          <t>Page found, being read</t>
        </is>
      </c>
      <c r="M56" t="inlineStr">
        <is>
          <t>Page found, being read</t>
        </is>
      </c>
      <c r="N56" t="inlineStr"/>
      <c r="O56" t="n">
        <v>0</v>
      </c>
      <c r="P56" t="inlineStr"/>
      <c r="Q56" t="inlineStr">
        <is>
          <t>Filled</t>
        </is>
      </c>
      <c r="R56" t="n">
        <v>6.5</v>
      </c>
      <c r="S56" t="inlineStr">
        <is>
          <t>Central English policy</t>
        </is>
      </c>
      <c r="T56" t="inlineStr">
        <is>
          <t>Central rule applies (value agrees)</t>
        </is>
      </c>
      <c r="U56" t="inlineStr"/>
      <c r="V56" t="inlineStr">
        <is>
          <t>Page found, being read</t>
        </is>
      </c>
      <c r="W56" t="inlineStr"/>
      <c r="X56" t="inlineStr"/>
      <c r="Y56" t="n">
        <v>0</v>
      </c>
      <c r="Z56" t="inlineStr">
        <is>
          <t>Yes</t>
        </is>
      </c>
      <c r="AA56" t="inlineStr">
        <is>
          <t>Not stated on course page</t>
        </is>
      </c>
      <c r="AB56" t="inlineStr"/>
      <c r="AC56" t="inlineStr">
        <is>
          <t>Skipped: no allowed source had a value</t>
        </is>
      </c>
      <c r="AD56" t="n">
        <v>1</v>
      </c>
      <c r="AE56" t="inlineStr">
        <is>
          <t>Yes</t>
        </is>
      </c>
      <c r="AF56" t="inlineStr"/>
      <c r="AG56" t="inlineStr"/>
      <c r="AH56" t="inlineStr"/>
      <c r="AI56" t="inlineStr"/>
      <c r="AJ56" t="inlineStr"/>
      <c r="AK56" t="inlineStr"/>
      <c r="AL56" t="inlineStr"/>
      <c r="AM56" t="inlineStr"/>
    </row>
    <row r="57">
      <c r="A57" t="inlineStr">
        <is>
          <t>093749G</t>
        </is>
      </c>
      <c r="B57" t="inlineStr">
        <is>
          <t>Bachelor of Computing</t>
        </is>
      </c>
      <c r="C57" t="inlineStr">
        <is>
          <t>Bachelor</t>
        </is>
      </c>
      <c r="D57" t="inlineStr">
        <is>
          <t>Undergraduate</t>
        </is>
      </c>
      <c r="E57" t="inlineStr">
        <is>
          <t>Page address no longer works</t>
        </is>
      </c>
      <c r="F57" t="inlineStr"/>
      <c r="G57" t="inlineStr">
        <is>
          <t>https://www.sydney.edu.au/courses/courses/uc/bachelor-of-computing.html</t>
        </is>
      </c>
      <c r="H57" t="inlineStr">
        <is>
          <t>Address no longer works</t>
        </is>
      </c>
      <c r="I57" t="inlineStr"/>
      <c r="J57" t="inlineStr"/>
      <c r="K57" t="inlineStr">
        <is>
          <t>Finished, no page: every candidate address was refused by the reader or did not</t>
        </is>
      </c>
      <c r="L57" t="inlineStr">
        <is>
          <t>Page found, being read</t>
        </is>
      </c>
      <c r="M57" t="inlineStr">
        <is>
          <t>Page found, being read</t>
        </is>
      </c>
      <c r="N57" t="inlineStr"/>
      <c r="O57" t="n">
        <v>0</v>
      </c>
      <c r="P57" t="inlineStr"/>
      <c r="Q57" t="inlineStr">
        <is>
          <t>Filled</t>
        </is>
      </c>
      <c r="R57" t="n">
        <v>6.5</v>
      </c>
      <c r="S57" t="inlineStr">
        <is>
          <t>Central English policy</t>
        </is>
      </c>
      <c r="T57" t="inlineStr">
        <is>
          <t>Central rule applies (value agrees)</t>
        </is>
      </c>
      <c r="U57" t="inlineStr"/>
      <c r="V57" t="inlineStr">
        <is>
          <t>Page found, being read</t>
        </is>
      </c>
      <c r="W57" t="inlineStr"/>
      <c r="X57" t="inlineStr"/>
      <c r="Y57" t="n">
        <v>0</v>
      </c>
      <c r="Z57" t="inlineStr">
        <is>
          <t>Yes</t>
        </is>
      </c>
      <c r="AA57" t="inlineStr">
        <is>
          <t>Not stated on course page</t>
        </is>
      </c>
      <c r="AB57" t="inlineStr"/>
      <c r="AC57" t="inlineStr">
        <is>
          <t>Skipped: the page does not state it</t>
        </is>
      </c>
      <c r="AD57" t="n">
        <v>0</v>
      </c>
      <c r="AE57" t="inlineStr"/>
      <c r="AF57" t="inlineStr"/>
      <c r="AG57" t="inlineStr"/>
      <c r="AH57" t="inlineStr"/>
      <c r="AI57" t="inlineStr"/>
      <c r="AJ57" t="inlineStr"/>
      <c r="AK57" t="inlineStr"/>
      <c r="AL57" t="inlineStr"/>
      <c r="AM57" t="inlineStr"/>
    </row>
    <row r="58">
      <c r="A58" t="inlineStr">
        <is>
          <t>108334C</t>
        </is>
      </c>
      <c r="B58" t="inlineStr">
        <is>
          <t>Bachelor of Design</t>
        </is>
      </c>
      <c r="C58" t="inlineStr">
        <is>
          <t>Bachelor</t>
        </is>
      </c>
      <c r="D58" t="inlineStr">
        <is>
          <t>Undergraduate</t>
        </is>
      </c>
      <c r="E58" t="inlineStr">
        <is>
          <t>Advertised: official page in place</t>
        </is>
      </c>
      <c r="F58" t="inlineStr">
        <is>
          <t>https://www.sydney.edu.au/courses/courses/uc/bachelor-of-design-in-architecture.html</t>
        </is>
      </c>
      <c r="G58" t="inlineStr">
        <is>
          <t>https://www.sydney.edu.au/courses/courses/uc/bachelor-of-design-in-architecture-honours.html</t>
        </is>
      </c>
      <c r="H58" t="inlineStr">
        <is>
          <t>Read</t>
        </is>
      </c>
      <c r="I58" t="inlineStr">
        <is>
          <t>Exact title match</t>
        </is>
      </c>
      <c r="J58" t="inlineStr"/>
      <c r="K58" t="inlineStr">
        <is>
          <t>Not sent to re-link</t>
        </is>
      </c>
      <c r="L58" t="inlineStr">
        <is>
          <t>Filled</t>
        </is>
      </c>
      <c r="M58" t="inlineStr">
        <is>
          <t>Not stated on course page</t>
        </is>
      </c>
      <c r="N58" t="inlineStr"/>
      <c r="O58" t="n">
        <v>0</v>
      </c>
      <c r="P58" t="inlineStr"/>
      <c r="Q58" t="inlineStr">
        <is>
          <t>Filled</t>
        </is>
      </c>
      <c r="R58" t="n">
        <v>6.5</v>
      </c>
      <c r="S58" t="inlineStr">
        <is>
          <t>Central English policy</t>
        </is>
      </c>
      <c r="T58" t="inlineStr">
        <is>
          <t>Central rule applies (value agrees)</t>
        </is>
      </c>
      <c r="U58" t="inlineStr"/>
      <c r="V58" t="inlineStr">
        <is>
          <t>Filled</t>
        </is>
      </c>
      <c r="W58" t="inlineStr">
        <is>
          <t>February, August</t>
        </is>
      </c>
      <c r="X58" t="inlineStr">
        <is>
          <t>University adapter</t>
        </is>
      </c>
      <c r="Y58" t="n">
        <v>0</v>
      </c>
      <c r="Z58" t="inlineStr">
        <is>
          <t>Yes</t>
        </is>
      </c>
      <c r="AA58" t="inlineStr">
        <is>
          <t>Filled</t>
        </is>
      </c>
      <c r="AB58" t="inlineStr">
        <is>
          <t>on campus</t>
        </is>
      </c>
      <c r="AC58" t="inlineStr"/>
      <c r="AD58" t="n">
        <v>0</v>
      </c>
      <c r="AE58" t="inlineStr"/>
      <c r="AF58" t="inlineStr"/>
      <c r="AG58" t="inlineStr"/>
      <c r="AH58" t="inlineStr"/>
      <c r="AI58" t="inlineStr"/>
      <c r="AJ58" t="inlineStr"/>
      <c r="AK58" t="inlineStr"/>
      <c r="AL58" t="inlineStr"/>
      <c r="AM58" t="inlineStr"/>
    </row>
    <row r="59">
      <c r="A59" t="inlineStr">
        <is>
          <t>108335B</t>
        </is>
      </c>
      <c r="B59" t="inlineStr">
        <is>
          <t>Bachelor of Design (Honours)</t>
        </is>
      </c>
      <c r="C59" t="inlineStr">
        <is>
          <t>Bachelor Honours Degree</t>
        </is>
      </c>
      <c r="D59" t="inlineStr">
        <is>
          <t>Undergraduate</t>
        </is>
      </c>
      <c r="E59" t="inlineStr">
        <is>
          <t>Advertised: official page in place</t>
        </is>
      </c>
      <c r="F59" t="inlineStr">
        <is>
          <t>https://www.sydney.edu.au/courses/courses/uc/bachelor-of-design-honours.html</t>
        </is>
      </c>
      <c r="G59" t="inlineStr">
        <is>
          <t>https://www.sydney.edu.au/courses/courses/uc/bachelor-of-design-honours.html</t>
        </is>
      </c>
      <c r="H59" t="inlineStr">
        <is>
          <t>Read</t>
        </is>
      </c>
      <c r="I59" t="inlineStr">
        <is>
          <t>Exact title match</t>
        </is>
      </c>
      <c r="J59" t="inlineStr"/>
      <c r="K59" t="inlineStr">
        <is>
          <t>Not sent to re-link</t>
        </is>
      </c>
      <c r="L59" t="inlineStr">
        <is>
          <t>Filled</t>
        </is>
      </c>
      <c r="M59" t="inlineStr">
        <is>
          <t>Not stated on course page</t>
        </is>
      </c>
      <c r="N59" t="inlineStr"/>
      <c r="O59" t="n">
        <v>0</v>
      </c>
      <c r="P59" t="inlineStr"/>
      <c r="Q59" t="inlineStr">
        <is>
          <t>Filled</t>
        </is>
      </c>
      <c r="R59" t="n">
        <v>6.5</v>
      </c>
      <c r="S59" t="inlineStr">
        <is>
          <t>Central English policy</t>
        </is>
      </c>
      <c r="T59" t="inlineStr">
        <is>
          <t>Central rule applies (value agrees)</t>
        </is>
      </c>
      <c r="U59" t="inlineStr"/>
      <c r="V59" t="inlineStr">
        <is>
          <t>Filled</t>
        </is>
      </c>
      <c r="W59" t="inlineStr">
        <is>
          <t>February, August</t>
        </is>
      </c>
      <c r="X59" t="inlineStr">
        <is>
          <t>Other</t>
        </is>
      </c>
      <c r="Y59" t="n">
        <v>0</v>
      </c>
      <c r="Z59" t="inlineStr">
        <is>
          <t>Yes</t>
        </is>
      </c>
      <c r="AA59" t="inlineStr">
        <is>
          <t>Filled</t>
        </is>
      </c>
      <c r="AB59" t="inlineStr">
        <is>
          <t>on campus</t>
        </is>
      </c>
      <c r="AC59" t="inlineStr"/>
      <c r="AD59" t="n">
        <v>0</v>
      </c>
      <c r="AE59" t="inlineStr"/>
      <c r="AF59" t="inlineStr"/>
      <c r="AG59" t="inlineStr"/>
      <c r="AH59" t="inlineStr"/>
      <c r="AI59" t="inlineStr"/>
      <c r="AJ59" t="inlineStr"/>
      <c r="AK59" t="inlineStr"/>
      <c r="AL59" t="inlineStr"/>
      <c r="AM59" t="inlineStr"/>
    </row>
    <row r="60">
      <c r="A60" t="inlineStr">
        <is>
          <t>108336A</t>
        </is>
      </c>
      <c r="B60" t="inlineStr">
        <is>
          <t>Bachelor of Design and Bachelor of Advanced Studies</t>
        </is>
      </c>
      <c r="C60" t="inlineStr">
        <is>
          <t>Bachelor</t>
        </is>
      </c>
      <c r="D60" t="inlineStr">
        <is>
          <t>Undergraduate</t>
        </is>
      </c>
      <c r="E60" t="inlineStr">
        <is>
          <t>Advertised: official page in place</t>
        </is>
      </c>
      <c r="F60" t="inlineStr">
        <is>
          <t>https://www.sydney.edu.au/handbooks/architecture/undergraduate/b-interaction-design-advanced-studies/design-advanced-studies-unit-of-study-table.html</t>
        </is>
      </c>
      <c r="G60" t="inlineStr">
        <is>
          <t>https://www.sydney.edu.au/handbooks/architecture/undergraduate/b-interaction-design-advanced-studies/design-advanced-studies-unit-of-study-table.html</t>
        </is>
      </c>
      <c r="H60" t="inlineStr">
        <is>
          <t>Read</t>
        </is>
      </c>
      <c r="I60" t="inlineStr">
        <is>
          <t>Exact title match</t>
        </is>
      </c>
      <c r="J60" t="inlineStr"/>
      <c r="K60" t="inlineStr">
        <is>
          <t>Not sent to re-link</t>
        </is>
      </c>
      <c r="L60" t="inlineStr">
        <is>
          <t>Filled</t>
        </is>
      </c>
      <c r="M60" t="inlineStr">
        <is>
          <t>Not stated on course page</t>
        </is>
      </c>
      <c r="N60" t="inlineStr"/>
      <c r="O60" t="n">
        <v>0</v>
      </c>
      <c r="P60" t="inlineStr"/>
      <c r="Q60" t="inlineStr">
        <is>
          <t>Filled</t>
        </is>
      </c>
      <c r="R60" t="n">
        <v>6.5</v>
      </c>
      <c r="S60" t="inlineStr">
        <is>
          <t>Central English policy</t>
        </is>
      </c>
      <c r="T60" t="inlineStr">
        <is>
          <t>Central rule applies (value agrees)</t>
        </is>
      </c>
      <c r="U60" t="inlineStr"/>
      <c r="V60" t="inlineStr">
        <is>
          <t>Not stated on course page</t>
        </is>
      </c>
      <c r="W60" t="inlineStr"/>
      <c r="X60" t="inlineStr"/>
      <c r="Y60" t="n">
        <v>2</v>
      </c>
      <c r="Z60" t="inlineStr">
        <is>
          <t>Yes</t>
        </is>
      </c>
      <c r="AA60" t="inlineStr">
        <is>
          <t>Not stated on course page</t>
        </is>
      </c>
      <c r="AB60" t="inlineStr"/>
      <c r="AC60" t="inlineStr">
        <is>
          <t>Skipped: the page does not state it</t>
        </is>
      </c>
      <c r="AD60" t="n">
        <v>0</v>
      </c>
      <c r="AE60" t="inlineStr"/>
      <c r="AF60" t="inlineStr"/>
      <c r="AG60" t="inlineStr"/>
      <c r="AH60" t="inlineStr">
        <is>
          <t>Yes</t>
        </is>
      </c>
      <c r="AI60" t="inlineStr"/>
      <c r="AJ60" t="inlineStr"/>
      <c r="AK60" t="inlineStr"/>
      <c r="AL60" t="inlineStr"/>
      <c r="AM60" t="inlineStr"/>
    </row>
    <row r="61">
      <c r="A61" t="inlineStr">
        <is>
          <t>036730B</t>
        </is>
      </c>
      <c r="B61" t="inlineStr">
        <is>
          <t>Bachelor of Design Computing</t>
        </is>
      </c>
      <c r="C61" t="inlineStr">
        <is>
          <t>Bachelor</t>
        </is>
      </c>
      <c r="D61" t="inlineStr">
        <is>
          <t>Undergraduate</t>
        </is>
      </c>
      <c r="E61" t="inlineStr">
        <is>
          <t>Advertised: official page in place</t>
        </is>
      </c>
      <c r="F61" t="inlineStr">
        <is>
          <t>https://www.sydney.edu.au/handbooks/archive/2024/architecture/undergraduate/b_design_computing_honours.html</t>
        </is>
      </c>
      <c r="G61" t="inlineStr">
        <is>
          <t>https://www.sydney.edu.au/handbooks/archive/2024/architecture/undergraduate/b_design_computing_honours.html</t>
        </is>
      </c>
      <c r="H61" t="inlineStr">
        <is>
          <t>Read</t>
        </is>
      </c>
      <c r="I61" t="inlineStr">
        <is>
          <t>Exact title match</t>
        </is>
      </c>
      <c r="J61" t="inlineStr"/>
      <c r="K61" t="inlineStr">
        <is>
          <t>Not sent to re-link</t>
        </is>
      </c>
      <c r="L61" t="inlineStr">
        <is>
          <t>Filled</t>
        </is>
      </c>
      <c r="M61" t="inlineStr">
        <is>
          <t>Not stated on course page</t>
        </is>
      </c>
      <c r="N61" t="inlineStr"/>
      <c r="O61" t="n">
        <v>0</v>
      </c>
      <c r="P61" t="inlineStr"/>
      <c r="Q61" t="inlineStr">
        <is>
          <t>Filled</t>
        </is>
      </c>
      <c r="R61" t="n">
        <v>6.5</v>
      </c>
      <c r="S61" t="inlineStr">
        <is>
          <t>Central English policy</t>
        </is>
      </c>
      <c r="T61" t="inlineStr">
        <is>
          <t>Central rule applies (value agrees)</t>
        </is>
      </c>
      <c r="U61" t="inlineStr"/>
      <c r="V61" t="inlineStr">
        <is>
          <t>Not stated on course page</t>
        </is>
      </c>
      <c r="W61" t="inlineStr"/>
      <c r="X61" t="inlineStr"/>
      <c r="Y61" t="n">
        <v>2</v>
      </c>
      <c r="Z61" t="inlineStr">
        <is>
          <t>Yes</t>
        </is>
      </c>
      <c r="AA61" t="inlineStr">
        <is>
          <t>Not stated on course page</t>
        </is>
      </c>
      <c r="AB61" t="inlineStr"/>
      <c r="AC61" t="inlineStr">
        <is>
          <t>Skipped: the page does not state it</t>
        </is>
      </c>
      <c r="AD61" t="n">
        <v>0</v>
      </c>
      <c r="AE61" t="inlineStr"/>
      <c r="AF61" t="inlineStr"/>
      <c r="AG61" t="inlineStr"/>
      <c r="AH61" t="inlineStr">
        <is>
          <t>Yes</t>
        </is>
      </c>
      <c r="AI61" t="inlineStr"/>
      <c r="AJ61" t="inlineStr"/>
      <c r="AK61" t="inlineStr"/>
      <c r="AL61" t="inlineStr"/>
      <c r="AM61" t="inlineStr"/>
    </row>
    <row r="62">
      <c r="A62" t="inlineStr">
        <is>
          <t>055691B</t>
        </is>
      </c>
      <c r="B62" t="inlineStr">
        <is>
          <t>Bachelor of Design Computing (Honours)</t>
        </is>
      </c>
      <c r="C62" t="inlineStr">
        <is>
          <t>Bachelor Honours Degree</t>
        </is>
      </c>
      <c r="D62" t="inlineStr">
        <is>
          <t>Undergraduate</t>
        </is>
      </c>
      <c r="E62" t="inlineStr">
        <is>
          <t>Advertised: official page in place</t>
        </is>
      </c>
      <c r="F62" t="inlineStr">
        <is>
          <t>https://www.sydney.edu.au/handbooks/archive/2024/architecture/undergraduate/b_design_computing_honours.html</t>
        </is>
      </c>
      <c r="G62" t="inlineStr">
        <is>
          <t>https://www.sydney.edu.au/handbooks/archive/2024/architecture/undergraduate/b_design_computing_honours.html</t>
        </is>
      </c>
      <c r="H62" t="inlineStr">
        <is>
          <t>Read</t>
        </is>
      </c>
      <c r="I62" t="inlineStr">
        <is>
          <t>Exact title match</t>
        </is>
      </c>
      <c r="J62" t="inlineStr"/>
      <c r="K62" t="inlineStr">
        <is>
          <t>Not sent to re-link</t>
        </is>
      </c>
      <c r="L62" t="inlineStr">
        <is>
          <t>Filled</t>
        </is>
      </c>
      <c r="M62" t="inlineStr">
        <is>
          <t>Not stated on course page</t>
        </is>
      </c>
      <c r="N62" t="inlineStr"/>
      <c r="O62" t="n">
        <v>0</v>
      </c>
      <c r="P62" t="inlineStr"/>
      <c r="Q62" t="inlineStr">
        <is>
          <t>Filled</t>
        </is>
      </c>
      <c r="R62" t="n">
        <v>6.5</v>
      </c>
      <c r="S62" t="inlineStr">
        <is>
          <t>Central English policy</t>
        </is>
      </c>
      <c r="T62" t="inlineStr">
        <is>
          <t>Central rule applies (value agrees)</t>
        </is>
      </c>
      <c r="U62" t="inlineStr"/>
      <c r="V62" t="inlineStr">
        <is>
          <t>Not stated on course page</t>
        </is>
      </c>
      <c r="W62" t="inlineStr"/>
      <c r="X62" t="inlineStr"/>
      <c r="Y62" t="n">
        <v>2</v>
      </c>
      <c r="Z62" t="inlineStr">
        <is>
          <t>Yes</t>
        </is>
      </c>
      <c r="AA62" t="inlineStr">
        <is>
          <t>Not stated on course page</t>
        </is>
      </c>
      <c r="AB62" t="inlineStr"/>
      <c r="AC62" t="inlineStr">
        <is>
          <t>Skipped: the page does not state it</t>
        </is>
      </c>
      <c r="AD62" t="n">
        <v>0</v>
      </c>
      <c r="AE62" t="inlineStr"/>
      <c r="AF62" t="inlineStr"/>
      <c r="AG62" t="inlineStr"/>
      <c r="AH62" t="inlineStr">
        <is>
          <t>Yes</t>
        </is>
      </c>
      <c r="AI62" t="inlineStr"/>
      <c r="AJ62" t="inlineStr"/>
      <c r="AK62" t="inlineStr"/>
      <c r="AL62" t="inlineStr"/>
      <c r="AM62" t="inlineStr"/>
    </row>
    <row r="63">
      <c r="A63" t="inlineStr">
        <is>
          <t>093745M</t>
        </is>
      </c>
      <c r="B63" t="inlineStr">
        <is>
          <t>Bachelor of Design Computing and Bachelor of Advanced Studies</t>
        </is>
      </c>
      <c r="C63" t="inlineStr">
        <is>
          <t>Bachelor</t>
        </is>
      </c>
      <c r="D63" t="inlineStr">
        <is>
          <t>Undergraduate</t>
        </is>
      </c>
      <c r="E63" t="inlineStr">
        <is>
          <t>Page address no longer works</t>
        </is>
      </c>
      <c r="F63" t="inlineStr"/>
      <c r="G63" t="inlineStr">
        <is>
          <t>https://www.sydney.edu.au/courses/courses/uc/bachelor-of-design-computing-and-bachelor-of-advanced-studies.html</t>
        </is>
      </c>
      <c r="H63" t="inlineStr">
        <is>
          <t>Address no longer works</t>
        </is>
      </c>
      <c r="I63" t="inlineStr"/>
      <c r="J63" t="inlineStr"/>
      <c r="K63" t="inlineStr">
        <is>
          <t>Finished, no page: every candidate address was refused by the reader or did not</t>
        </is>
      </c>
      <c r="L63" t="inlineStr">
        <is>
          <t>Page found, being read</t>
        </is>
      </c>
      <c r="M63" t="inlineStr">
        <is>
          <t>Page found, being read</t>
        </is>
      </c>
      <c r="N63" t="inlineStr"/>
      <c r="O63" t="n">
        <v>0</v>
      </c>
      <c r="P63" t="inlineStr"/>
      <c r="Q63" t="inlineStr">
        <is>
          <t>Filled</t>
        </is>
      </c>
      <c r="R63" t="n">
        <v>6.5</v>
      </c>
      <c r="S63" t="inlineStr">
        <is>
          <t>Central English policy</t>
        </is>
      </c>
      <c r="T63" t="inlineStr">
        <is>
          <t>Central rule applies (value agrees)</t>
        </is>
      </c>
      <c r="U63" t="inlineStr"/>
      <c r="V63" t="inlineStr">
        <is>
          <t>Page found, being read</t>
        </is>
      </c>
      <c r="W63" t="inlineStr"/>
      <c r="X63" t="inlineStr"/>
      <c r="Y63" t="n">
        <v>0</v>
      </c>
      <c r="Z63" t="inlineStr">
        <is>
          <t>Yes</t>
        </is>
      </c>
      <c r="AA63" t="inlineStr">
        <is>
          <t>Not stated on course page</t>
        </is>
      </c>
      <c r="AB63" t="inlineStr"/>
      <c r="AC63" t="inlineStr">
        <is>
          <t>Skipped: the page does not state it</t>
        </is>
      </c>
      <c r="AD63" t="n">
        <v>0</v>
      </c>
      <c r="AE63" t="inlineStr"/>
      <c r="AF63" t="inlineStr"/>
      <c r="AG63" t="inlineStr"/>
      <c r="AH63" t="inlineStr"/>
      <c r="AI63" t="inlineStr"/>
      <c r="AJ63" t="inlineStr"/>
      <c r="AK63" t="inlineStr"/>
      <c r="AL63" t="inlineStr"/>
      <c r="AM63" t="inlineStr"/>
    </row>
    <row r="64">
      <c r="A64" t="inlineStr">
        <is>
          <t>052456D</t>
        </is>
      </c>
      <c r="B64" t="inlineStr">
        <is>
          <t>Bachelor of Design in Architecture</t>
        </is>
      </c>
      <c r="C64" t="inlineStr">
        <is>
          <t>Bachelor</t>
        </is>
      </c>
      <c r="D64" t="inlineStr">
        <is>
          <t>Undergraduate</t>
        </is>
      </c>
      <c r="E64" t="inlineStr">
        <is>
          <t>Advertised: official page in place</t>
        </is>
      </c>
      <c r="F64" t="inlineStr">
        <is>
          <t>https://www.sydney.edu.au/courses/courses/uc/bachelor-of-design-in-architecture.html</t>
        </is>
      </c>
      <c r="G64" t="inlineStr">
        <is>
          <t>https://www.sydney.edu.au/courses/courses/uc/bachelor-of-design-in-architecture.html</t>
        </is>
      </c>
      <c r="H64" t="inlineStr">
        <is>
          <t>Read</t>
        </is>
      </c>
      <c r="I64" t="inlineStr">
        <is>
          <t>Exact title match</t>
        </is>
      </c>
      <c r="J64" t="inlineStr"/>
      <c r="K64" t="inlineStr">
        <is>
          <t>Not sent to re-link</t>
        </is>
      </c>
      <c r="L64" t="inlineStr">
        <is>
          <t>Filled</t>
        </is>
      </c>
      <c r="M64" t="inlineStr">
        <is>
          <t>Not stated on course page</t>
        </is>
      </c>
      <c r="N64" t="inlineStr"/>
      <c r="O64" t="n">
        <v>0</v>
      </c>
      <c r="P64" t="inlineStr"/>
      <c r="Q64" t="inlineStr">
        <is>
          <t>Filled</t>
        </is>
      </c>
      <c r="R64" t="n">
        <v>6.5</v>
      </c>
      <c r="S64" t="inlineStr">
        <is>
          <t>Central English policy</t>
        </is>
      </c>
      <c r="T64" t="inlineStr">
        <is>
          <t>Central rule applies (value agrees)</t>
        </is>
      </c>
      <c r="U64" t="inlineStr"/>
      <c r="V64" t="inlineStr">
        <is>
          <t>Not stated on course page</t>
        </is>
      </c>
      <c r="W64" t="inlineStr"/>
      <c r="X64" t="inlineStr"/>
      <c r="Y64" t="n">
        <v>2</v>
      </c>
      <c r="Z64" t="inlineStr">
        <is>
          <t>Yes</t>
        </is>
      </c>
      <c r="AA64" t="inlineStr">
        <is>
          <t>Filled</t>
        </is>
      </c>
      <c r="AB64" t="inlineStr">
        <is>
          <t>on campus</t>
        </is>
      </c>
      <c r="AC64" t="inlineStr"/>
      <c r="AD64" t="n">
        <v>0</v>
      </c>
      <c r="AE64" t="inlineStr"/>
      <c r="AF64" t="inlineStr"/>
      <c r="AG64" t="inlineStr"/>
      <c r="AH64" t="inlineStr">
        <is>
          <t>Yes</t>
        </is>
      </c>
      <c r="AI64" t="inlineStr"/>
      <c r="AJ64" t="inlineStr"/>
      <c r="AK64" t="inlineStr"/>
      <c r="AL64" t="inlineStr"/>
      <c r="AM64" t="inlineStr"/>
    </row>
    <row r="65">
      <c r="A65" t="inlineStr">
        <is>
          <t>055693M</t>
        </is>
      </c>
      <c r="B65" t="inlineStr">
        <is>
          <t>Bachelor of Design in Architecture (Honours)</t>
        </is>
      </c>
      <c r="C65" t="inlineStr">
        <is>
          <t>Bachelor Honours Degree</t>
        </is>
      </c>
      <c r="D65" t="inlineStr">
        <is>
          <t>Undergraduate</t>
        </is>
      </c>
      <c r="E65" t="inlineStr">
        <is>
          <t>Advertised: official page in place</t>
        </is>
      </c>
      <c r="F65" t="inlineStr">
        <is>
          <t>https://www.sydney.edu.au/courses/courses/uc/bachelor-of-design-in-architecture-honours.html</t>
        </is>
      </c>
      <c r="G65" t="inlineStr">
        <is>
          <t>https://www.sydney.edu.au/courses/courses/uc/bachelor-of-design-in-architecture-honours.html</t>
        </is>
      </c>
      <c r="H65" t="inlineStr">
        <is>
          <t>Read</t>
        </is>
      </c>
      <c r="I65" t="inlineStr">
        <is>
          <t>Exact title match</t>
        </is>
      </c>
      <c r="J65" t="inlineStr"/>
      <c r="K65" t="inlineStr">
        <is>
          <t>Not sent to re-link</t>
        </is>
      </c>
      <c r="L65" t="inlineStr">
        <is>
          <t>Filled</t>
        </is>
      </c>
      <c r="M65" t="inlineStr">
        <is>
          <t>Not stated on course page</t>
        </is>
      </c>
      <c r="N65" t="inlineStr"/>
      <c r="O65" t="n">
        <v>0</v>
      </c>
      <c r="P65" t="inlineStr"/>
      <c r="Q65" t="inlineStr">
        <is>
          <t>Filled</t>
        </is>
      </c>
      <c r="R65" t="n">
        <v>6.5</v>
      </c>
      <c r="S65" t="inlineStr">
        <is>
          <t>Central English policy</t>
        </is>
      </c>
      <c r="T65" t="inlineStr">
        <is>
          <t>Central rule applies (value agrees)</t>
        </is>
      </c>
      <c r="U65" t="inlineStr"/>
      <c r="V65" t="inlineStr">
        <is>
          <t>Filled</t>
        </is>
      </c>
      <c r="W65" t="inlineStr">
        <is>
          <t>February, August</t>
        </is>
      </c>
      <c r="X65" t="inlineStr">
        <is>
          <t>Other</t>
        </is>
      </c>
      <c r="Y65" t="n">
        <v>0</v>
      </c>
      <c r="Z65" t="inlineStr">
        <is>
          <t>Yes</t>
        </is>
      </c>
      <c r="AA65" t="inlineStr">
        <is>
          <t>Filled</t>
        </is>
      </c>
      <c r="AB65" t="inlineStr">
        <is>
          <t>on campus</t>
        </is>
      </c>
      <c r="AC65" t="inlineStr"/>
      <c r="AD65" t="n">
        <v>0</v>
      </c>
      <c r="AE65" t="inlineStr"/>
      <c r="AF65" t="inlineStr"/>
      <c r="AG65" t="inlineStr"/>
      <c r="AH65" t="inlineStr"/>
      <c r="AI65" t="inlineStr"/>
      <c r="AJ65" t="inlineStr"/>
      <c r="AK65" t="inlineStr"/>
      <c r="AL65" t="inlineStr"/>
      <c r="AM65" t="inlineStr"/>
    </row>
    <row r="66">
      <c r="A66" t="inlineStr">
        <is>
          <t>090781J</t>
        </is>
      </c>
      <c r="B66" t="inlineStr">
        <is>
          <t>Bachelor of Design in Architecture (Honours) and Master of Architecture</t>
        </is>
      </c>
      <c r="C66" t="inlineStr">
        <is>
          <t>Masters Degree (Coursework)</t>
        </is>
      </c>
      <c r="D66" t="inlineStr">
        <is>
          <t>Postgraduate coursework</t>
        </is>
      </c>
      <c r="E66" t="inlineStr">
        <is>
          <t>Advertised: official page in place</t>
        </is>
      </c>
      <c r="F66" t="inlineStr">
        <is>
          <t>https://www.sydney.edu.au/courses/courses/uc/bachelor-of-design-in-architecture-honours-and-master-of-architecture.html</t>
        </is>
      </c>
      <c r="G66" t="inlineStr">
        <is>
          <t>https://www.sydney.edu.au/courses/courses/uc/bachelor-of-design-in-architecture-honours-and-master-of-architecture.html</t>
        </is>
      </c>
      <c r="H66" t="inlineStr">
        <is>
          <t>Read</t>
        </is>
      </c>
      <c r="I66" t="inlineStr">
        <is>
          <t>Exact title match</t>
        </is>
      </c>
      <c r="J66" t="inlineStr"/>
      <c r="K66" t="inlineStr">
        <is>
          <t>Not sent to re-link</t>
        </is>
      </c>
      <c r="L66" t="inlineStr">
        <is>
          <t>Filled</t>
        </is>
      </c>
      <c r="M66" t="inlineStr">
        <is>
          <t>Not stated on course page</t>
        </is>
      </c>
      <c r="N66" t="inlineStr"/>
      <c r="O66" t="n">
        <v>0</v>
      </c>
      <c r="P66" t="inlineStr"/>
      <c r="Q66" t="inlineStr">
        <is>
          <t>Not stated on course page</t>
        </is>
      </c>
      <c r="S66" t="inlineStr"/>
      <c r="T66" t="inlineStr">
        <is>
          <t>Held: double degree (its parts are at different levels)</t>
        </is>
      </c>
      <c r="U66" t="inlineStr"/>
      <c r="V66" t="inlineStr">
        <is>
          <t>Filled</t>
        </is>
      </c>
      <c r="W66" t="inlineStr">
        <is>
          <t>February</t>
        </is>
      </c>
      <c r="X66" t="inlineStr">
        <is>
          <t>Page reader</t>
        </is>
      </c>
      <c r="Y66" t="n">
        <v>0</v>
      </c>
      <c r="Z66" t="inlineStr">
        <is>
          <t>No</t>
        </is>
      </c>
      <c r="AA66" t="inlineStr">
        <is>
          <t>Filled</t>
        </is>
      </c>
      <c r="AB66" t="inlineStr">
        <is>
          <t>on campus</t>
        </is>
      </c>
      <c r="AC66" t="inlineStr"/>
      <c r="AD66" t="n">
        <v>0</v>
      </c>
      <c r="AE66" t="inlineStr"/>
      <c r="AF66" t="inlineStr"/>
      <c r="AG66" t="inlineStr"/>
      <c r="AH66" t="inlineStr"/>
      <c r="AI66" t="inlineStr"/>
      <c r="AJ66" t="inlineStr">
        <is>
          <t>Yes</t>
        </is>
      </c>
      <c r="AK66" t="inlineStr"/>
      <c r="AL66" t="inlineStr"/>
      <c r="AM66" t="inlineStr"/>
    </row>
    <row r="67">
      <c r="A67" t="inlineStr">
        <is>
          <t>075305G</t>
        </is>
      </c>
      <c r="B67" t="inlineStr">
        <is>
          <t>Bachelor of Design in Architecture/Bachelor of Laws</t>
        </is>
      </c>
      <c r="C67" t="inlineStr">
        <is>
          <t>Bachelor</t>
        </is>
      </c>
      <c r="D67" t="inlineStr">
        <is>
          <t>Undergraduate</t>
        </is>
      </c>
      <c r="E67" t="inlineStr">
        <is>
          <t>Page address no longer works</t>
        </is>
      </c>
      <c r="F67" t="inlineStr"/>
      <c r="G67" t="inlineStr">
        <is>
          <t>https://www.sydney.edu.au/courses/courses/uc/bachelor-of-design-in-architecture-bachelor-of-laws.html</t>
        </is>
      </c>
      <c r="H67" t="inlineStr">
        <is>
          <t>Address no longer works</t>
        </is>
      </c>
      <c r="I67" t="inlineStr"/>
      <c r="J67" t="inlineStr"/>
      <c r="K67" t="inlineStr">
        <is>
          <t>Finished, no page: every candidate address was refused by the reader or did not</t>
        </is>
      </c>
      <c r="L67" t="inlineStr">
        <is>
          <t>Page found, being read</t>
        </is>
      </c>
      <c r="M67" t="inlineStr">
        <is>
          <t>Page found, being read</t>
        </is>
      </c>
      <c r="N67" t="inlineStr"/>
      <c r="O67" t="n">
        <v>0</v>
      </c>
      <c r="P67" t="inlineStr"/>
      <c r="Q67" t="inlineStr">
        <is>
          <t>Filled</t>
        </is>
      </c>
      <c r="R67" t="n">
        <v>6.5</v>
      </c>
      <c r="S67" t="inlineStr">
        <is>
          <t>Central English policy</t>
        </is>
      </c>
      <c r="T67" t="inlineStr">
        <is>
          <t>Central rule applies (value agrees)</t>
        </is>
      </c>
      <c r="U67" t="inlineStr"/>
      <c r="V67" t="inlineStr">
        <is>
          <t>Page found, being read</t>
        </is>
      </c>
      <c r="W67" t="inlineStr"/>
      <c r="X67" t="inlineStr"/>
      <c r="Y67" t="n">
        <v>0</v>
      </c>
      <c r="Z67" t="inlineStr">
        <is>
          <t>Yes</t>
        </is>
      </c>
      <c r="AA67" t="inlineStr">
        <is>
          <t>Not stated on course page</t>
        </is>
      </c>
      <c r="AB67" t="inlineStr"/>
      <c r="AC67" t="inlineStr">
        <is>
          <t>Skipped: no allowed source had a value</t>
        </is>
      </c>
      <c r="AD67" t="n">
        <v>1</v>
      </c>
      <c r="AE67" t="inlineStr"/>
      <c r="AF67" t="inlineStr"/>
      <c r="AG67" t="inlineStr"/>
      <c r="AH67" t="inlineStr"/>
      <c r="AI67" t="inlineStr"/>
      <c r="AJ67" t="inlineStr"/>
      <c r="AK67" t="inlineStr"/>
      <c r="AL67" t="inlineStr"/>
      <c r="AM67" t="inlineStr"/>
    </row>
    <row r="68">
      <c r="A68" t="inlineStr">
        <is>
          <t>003336G</t>
        </is>
      </c>
      <c r="B68" t="inlineStr">
        <is>
          <t>Bachelor of Economics</t>
        </is>
      </c>
      <c r="C68" t="inlineStr">
        <is>
          <t>Bachelor</t>
        </is>
      </c>
      <c r="D68" t="inlineStr">
        <is>
          <t>Undergraduate</t>
        </is>
      </c>
      <c r="E68" t="inlineStr">
        <is>
          <t>Advertised: official page in place</t>
        </is>
      </c>
      <c r="F68" t="inlineStr">
        <is>
          <t>https://www.sydney.edu.au/courses/courses/uc/bachelor-of-economics.html</t>
        </is>
      </c>
      <c r="G68" t="inlineStr">
        <is>
          <t>https://www.sydney.edu.au/courses/courses/uc/bachelor-of-economics.html</t>
        </is>
      </c>
      <c r="H68" t="inlineStr">
        <is>
          <t>Read</t>
        </is>
      </c>
      <c r="I68" t="inlineStr">
        <is>
          <t>Exact title match</t>
        </is>
      </c>
      <c r="J68" t="inlineStr"/>
      <c r="K68" t="inlineStr">
        <is>
          <t>Not sent to re-link</t>
        </is>
      </c>
      <c r="L68" t="inlineStr">
        <is>
          <t>Filled</t>
        </is>
      </c>
      <c r="M68" t="inlineStr">
        <is>
          <t>Not stated on course page</t>
        </is>
      </c>
      <c r="N68" t="inlineStr"/>
      <c r="O68" t="n">
        <v>0</v>
      </c>
      <c r="P68" t="inlineStr"/>
      <c r="Q68" t="inlineStr">
        <is>
          <t>Filled</t>
        </is>
      </c>
      <c r="R68" t="n">
        <v>6.5</v>
      </c>
      <c r="S68" t="inlineStr">
        <is>
          <t>Central English policy</t>
        </is>
      </c>
      <c r="T68" t="inlineStr">
        <is>
          <t>Central rule applies (value agrees)</t>
        </is>
      </c>
      <c r="U68" t="inlineStr"/>
      <c r="V68" t="inlineStr">
        <is>
          <t>Not stated on course page</t>
        </is>
      </c>
      <c r="W68" t="inlineStr"/>
      <c r="X68" t="inlineStr"/>
      <c r="Y68" t="n">
        <v>2</v>
      </c>
      <c r="Z68" t="inlineStr">
        <is>
          <t>Yes</t>
        </is>
      </c>
      <c r="AA68" t="inlineStr">
        <is>
          <t>Filled</t>
        </is>
      </c>
      <c r="AB68" t="inlineStr">
        <is>
          <t>on campus</t>
        </is>
      </c>
      <c r="AC68" t="inlineStr"/>
      <c r="AD68" t="n">
        <v>0</v>
      </c>
      <c r="AE68" t="inlineStr"/>
      <c r="AF68" t="inlineStr"/>
      <c r="AG68" t="inlineStr"/>
      <c r="AH68" t="inlineStr">
        <is>
          <t>Yes</t>
        </is>
      </c>
      <c r="AI68" t="inlineStr"/>
      <c r="AJ68" t="inlineStr"/>
      <c r="AK68" t="inlineStr"/>
      <c r="AL68" t="inlineStr"/>
      <c r="AM68" t="inlineStr"/>
    </row>
    <row r="69">
      <c r="A69" t="inlineStr">
        <is>
          <t>036739D</t>
        </is>
      </c>
      <c r="B69" t="inlineStr">
        <is>
          <t>Bachelor of Economics (Honours)</t>
        </is>
      </c>
      <c r="C69" t="inlineStr">
        <is>
          <t>Bachelor Honours Degree</t>
        </is>
      </c>
      <c r="D69" t="inlineStr">
        <is>
          <t>Undergraduate</t>
        </is>
      </c>
      <c r="E69" t="inlineStr">
        <is>
          <t>Advertised: official page in place</t>
        </is>
      </c>
      <c r="F69" t="inlineStr">
        <is>
          <t>https://www.sydney.edu.au/courses/courses/uc/bachelor-of-economics-honours.html</t>
        </is>
      </c>
      <c r="G69" t="inlineStr">
        <is>
          <t>https://www.sydney.edu.au/courses/courses/uc/bachelor-of-economics-honours.html</t>
        </is>
      </c>
      <c r="H69" t="inlineStr">
        <is>
          <t>Read</t>
        </is>
      </c>
      <c r="I69" t="inlineStr">
        <is>
          <t>Exact title match</t>
        </is>
      </c>
      <c r="J69" t="inlineStr"/>
      <c r="K69" t="inlineStr">
        <is>
          <t>Not sent to re-link</t>
        </is>
      </c>
      <c r="L69" t="inlineStr">
        <is>
          <t>Filled</t>
        </is>
      </c>
      <c r="M69" t="inlineStr">
        <is>
          <t>Not stated on course page</t>
        </is>
      </c>
      <c r="N69" t="inlineStr"/>
      <c r="O69" t="n">
        <v>0</v>
      </c>
      <c r="P69" t="inlineStr"/>
      <c r="Q69" t="inlineStr">
        <is>
          <t>Filled</t>
        </is>
      </c>
      <c r="R69" t="n">
        <v>6.5</v>
      </c>
      <c r="S69" t="inlineStr">
        <is>
          <t>Central English policy</t>
        </is>
      </c>
      <c r="T69" t="inlineStr">
        <is>
          <t>Central rule applies (value agrees)</t>
        </is>
      </c>
      <c r="U69" t="inlineStr"/>
      <c r="V69" t="inlineStr">
        <is>
          <t>Filled</t>
        </is>
      </c>
      <c r="W69" t="inlineStr">
        <is>
          <t>February, August</t>
        </is>
      </c>
      <c r="X69" t="inlineStr">
        <is>
          <t>Other</t>
        </is>
      </c>
      <c r="Y69" t="n">
        <v>0</v>
      </c>
      <c r="Z69" t="inlineStr">
        <is>
          <t>Yes</t>
        </is>
      </c>
      <c r="AA69" t="inlineStr">
        <is>
          <t>Filled</t>
        </is>
      </c>
      <c r="AB69" t="inlineStr">
        <is>
          <t>on campus</t>
        </is>
      </c>
      <c r="AC69" t="inlineStr"/>
      <c r="AD69" t="n">
        <v>0</v>
      </c>
      <c r="AE69" t="inlineStr"/>
      <c r="AF69" t="inlineStr"/>
      <c r="AG69" t="inlineStr"/>
      <c r="AH69" t="inlineStr"/>
      <c r="AI69" t="inlineStr"/>
      <c r="AJ69" t="inlineStr"/>
      <c r="AK69" t="inlineStr"/>
      <c r="AL69" t="inlineStr"/>
      <c r="AM69" t="inlineStr"/>
    </row>
    <row r="70">
      <c r="A70" t="inlineStr">
        <is>
          <t>093742C</t>
        </is>
      </c>
      <c r="B70" t="inlineStr">
        <is>
          <t>Bachelor of Economics and Bachelor of Advanced Studies</t>
        </is>
      </c>
      <c r="C70" t="inlineStr">
        <is>
          <t>Bachelor</t>
        </is>
      </c>
      <c r="D70" t="inlineStr">
        <is>
          <t>Undergraduate</t>
        </is>
      </c>
      <c r="E70" t="inlineStr">
        <is>
          <t>Advertised: official page in place</t>
        </is>
      </c>
      <c r="F70" t="inlineStr">
        <is>
          <t>https://www.sydney.edu.au/courses/courses/uc/bachelor-of-economics-and-bachelor-of-advanced-studies.html</t>
        </is>
      </c>
      <c r="G70" t="inlineStr">
        <is>
          <t>https://www.sydney.edu.au/courses/courses/uc/bachelor-of-economics-and-bachelor-of-advanced-studies.html</t>
        </is>
      </c>
      <c r="H70" t="inlineStr">
        <is>
          <t>Read</t>
        </is>
      </c>
      <c r="I70" t="inlineStr">
        <is>
          <t>Exact title match</t>
        </is>
      </c>
      <c r="J70" t="inlineStr"/>
      <c r="K70" t="inlineStr">
        <is>
          <t>Not sent to re-link</t>
        </is>
      </c>
      <c r="L70" t="inlineStr">
        <is>
          <t>Filled</t>
        </is>
      </c>
      <c r="M70" t="inlineStr">
        <is>
          <t>Not stated on course page</t>
        </is>
      </c>
      <c r="N70" t="inlineStr"/>
      <c r="O70" t="n">
        <v>0</v>
      </c>
      <c r="P70" t="inlineStr"/>
      <c r="Q70" t="inlineStr">
        <is>
          <t>Filled</t>
        </is>
      </c>
      <c r="R70" t="n">
        <v>6.5</v>
      </c>
      <c r="S70" t="inlineStr">
        <is>
          <t>Central English policy</t>
        </is>
      </c>
      <c r="T70" t="inlineStr">
        <is>
          <t>Central rule applies (value agrees)</t>
        </is>
      </c>
      <c r="U70" t="inlineStr"/>
      <c r="V70" t="inlineStr">
        <is>
          <t>Not stated on course page</t>
        </is>
      </c>
      <c r="W70" t="inlineStr"/>
      <c r="X70" t="inlineStr"/>
      <c r="Y70" t="n">
        <v>2</v>
      </c>
      <c r="Z70" t="inlineStr">
        <is>
          <t>Yes</t>
        </is>
      </c>
      <c r="AA70" t="inlineStr">
        <is>
          <t>Filled</t>
        </is>
      </c>
      <c r="AB70" t="inlineStr">
        <is>
          <t>on campus</t>
        </is>
      </c>
      <c r="AC70" t="inlineStr"/>
      <c r="AD70" t="n">
        <v>0</v>
      </c>
      <c r="AE70" t="inlineStr"/>
      <c r="AF70" t="inlineStr"/>
      <c r="AG70" t="inlineStr"/>
      <c r="AH70" t="inlineStr">
        <is>
          <t>Yes</t>
        </is>
      </c>
      <c r="AI70" t="inlineStr"/>
      <c r="AJ70" t="inlineStr"/>
      <c r="AK70" t="inlineStr"/>
      <c r="AL70" t="inlineStr"/>
      <c r="AM70" t="inlineStr"/>
    </row>
    <row r="71">
      <c r="A71" t="inlineStr">
        <is>
          <t>115414M</t>
        </is>
      </c>
      <c r="B71" t="inlineStr">
        <is>
          <t>Bachelor of Economics and Bachelor of Arts</t>
        </is>
      </c>
      <c r="C71" t="inlineStr">
        <is>
          <t>Bachelor</t>
        </is>
      </c>
      <c r="D71" t="inlineStr">
        <is>
          <t>Undergraduate</t>
        </is>
      </c>
      <c r="E71" t="inlineStr">
        <is>
          <t>Advertised: official page in place</t>
        </is>
      </c>
      <c r="F71" t="inlineStr">
        <is>
          <t>https://www.sydney.edu.au/courses/courses/uc/bachelor-of-economics-and-bachelor-of-arts.html</t>
        </is>
      </c>
      <c r="G71" t="inlineStr">
        <is>
          <t>https://www.sydney.edu.au/courses/courses/uc/bachelor-of-economics-and-bachelor-of-arts.html</t>
        </is>
      </c>
      <c r="H71" t="inlineStr">
        <is>
          <t>Read</t>
        </is>
      </c>
      <c r="I71" t="inlineStr">
        <is>
          <t>Exact title match</t>
        </is>
      </c>
      <c r="J71" t="inlineStr"/>
      <c r="K71" t="inlineStr">
        <is>
          <t>Not sent to re-link</t>
        </is>
      </c>
      <c r="L71" t="inlineStr">
        <is>
          <t>Filled</t>
        </is>
      </c>
      <c r="M71" t="inlineStr">
        <is>
          <t>Not stated on course page</t>
        </is>
      </c>
      <c r="N71" t="inlineStr"/>
      <c r="O71" t="n">
        <v>0</v>
      </c>
      <c r="P71" t="inlineStr"/>
      <c r="Q71" t="inlineStr">
        <is>
          <t>Filled</t>
        </is>
      </c>
      <c r="R71" t="n">
        <v>6.5</v>
      </c>
      <c r="S71" t="inlineStr">
        <is>
          <t>Central English policy</t>
        </is>
      </c>
      <c r="T71" t="inlineStr">
        <is>
          <t>Central rule applies (value agrees)</t>
        </is>
      </c>
      <c r="U71" t="inlineStr"/>
      <c r="V71" t="inlineStr">
        <is>
          <t>Not stated on course page</t>
        </is>
      </c>
      <c r="W71" t="inlineStr"/>
      <c r="X71" t="inlineStr"/>
      <c r="Y71" t="n">
        <v>2</v>
      </c>
      <c r="Z71" t="inlineStr">
        <is>
          <t>Yes</t>
        </is>
      </c>
      <c r="AA71" t="inlineStr">
        <is>
          <t>Filled</t>
        </is>
      </c>
      <c r="AB71" t="inlineStr">
        <is>
          <t>on campus</t>
        </is>
      </c>
      <c r="AC71" t="inlineStr"/>
      <c r="AD71" t="n">
        <v>0</v>
      </c>
      <c r="AE71" t="inlineStr"/>
      <c r="AF71" t="inlineStr"/>
      <c r="AG71" t="inlineStr"/>
      <c r="AH71" t="inlineStr">
        <is>
          <t>Yes</t>
        </is>
      </c>
      <c r="AI71" t="inlineStr"/>
      <c r="AJ71" t="inlineStr"/>
      <c r="AK71" t="inlineStr"/>
      <c r="AL71" t="inlineStr"/>
      <c r="AM71" t="inlineStr"/>
    </row>
    <row r="72">
      <c r="A72" t="inlineStr">
        <is>
          <t>006443B</t>
        </is>
      </c>
      <c r="B72" t="inlineStr">
        <is>
          <t>Bachelor of Economics and Bachelor of Laws</t>
        </is>
      </c>
      <c r="C72" t="inlineStr">
        <is>
          <t>Bachelor</t>
        </is>
      </c>
      <c r="D72" t="inlineStr">
        <is>
          <t>Undergraduate</t>
        </is>
      </c>
      <c r="E72" t="inlineStr">
        <is>
          <t>Advertised: official page in place</t>
        </is>
      </c>
      <c r="F72" t="inlineStr">
        <is>
          <t>https://www.sydney.edu.au/courses/courses/uc/bachelor-of-economics-and-bachelor-of-laws.html</t>
        </is>
      </c>
      <c r="G72" t="inlineStr">
        <is>
          <t>https://www.sydney.edu.au/courses/courses/uc/bachelor-of-economics-and-bachelor-of-laws.html</t>
        </is>
      </c>
      <c r="H72" t="inlineStr">
        <is>
          <t>Read</t>
        </is>
      </c>
      <c r="I72" t="inlineStr">
        <is>
          <t>Exact title match</t>
        </is>
      </c>
      <c r="J72" t="inlineStr"/>
      <c r="K72" t="inlineStr">
        <is>
          <t>Not sent to re-link</t>
        </is>
      </c>
      <c r="L72" t="inlineStr">
        <is>
          <t>Filled</t>
        </is>
      </c>
      <c r="M72" t="inlineStr">
        <is>
          <t>Not stated on course page</t>
        </is>
      </c>
      <c r="N72" t="inlineStr"/>
      <c r="O72" t="n">
        <v>0</v>
      </c>
      <c r="P72" t="inlineStr"/>
      <c r="Q72" t="inlineStr">
        <is>
          <t>Filled</t>
        </is>
      </c>
      <c r="R72" t="n">
        <v>6.5</v>
      </c>
      <c r="S72" t="inlineStr">
        <is>
          <t>Central English policy</t>
        </is>
      </c>
      <c r="T72" t="inlineStr">
        <is>
          <t>Central rule applies (value agrees)</t>
        </is>
      </c>
      <c r="U72" t="inlineStr"/>
      <c r="V72" t="inlineStr">
        <is>
          <t>Not stated on course page</t>
        </is>
      </c>
      <c r="W72" t="inlineStr"/>
      <c r="X72" t="inlineStr"/>
      <c r="Y72" t="n">
        <v>2</v>
      </c>
      <c r="Z72" t="inlineStr">
        <is>
          <t>Yes</t>
        </is>
      </c>
      <c r="AA72" t="inlineStr">
        <is>
          <t>Filled</t>
        </is>
      </c>
      <c r="AB72" t="inlineStr">
        <is>
          <t>on campus</t>
        </is>
      </c>
      <c r="AC72" t="inlineStr"/>
      <c r="AD72" t="n">
        <v>0</v>
      </c>
      <c r="AE72" t="inlineStr"/>
      <c r="AF72" t="inlineStr"/>
      <c r="AG72" t="inlineStr"/>
      <c r="AH72" t="inlineStr">
        <is>
          <t>Yes</t>
        </is>
      </c>
      <c r="AI72" t="inlineStr"/>
      <c r="AJ72" t="inlineStr"/>
      <c r="AK72" t="inlineStr"/>
      <c r="AL72" t="inlineStr"/>
      <c r="AM72" t="inlineStr"/>
    </row>
    <row r="73">
      <c r="A73" t="inlineStr">
        <is>
          <t>056658F</t>
        </is>
      </c>
      <c r="B73" t="inlineStr">
        <is>
          <t>Bachelor of Economics and Social Sciences (Honours)</t>
        </is>
      </c>
      <c r="C73" t="inlineStr">
        <is>
          <t>Bachelor Honours Degree</t>
        </is>
      </c>
      <c r="D73" t="inlineStr">
        <is>
          <t>Undergraduate</t>
        </is>
      </c>
      <c r="E73" t="inlineStr">
        <is>
          <t>Page address no longer works</t>
        </is>
      </c>
      <c r="F73" t="inlineStr"/>
      <c r="G73" t="inlineStr">
        <is>
          <t>https://www.sydney.edu.au/courses/courses/uc/bachelor-of-economics-and-social-sciences-honours.html</t>
        </is>
      </c>
      <c r="H73" t="inlineStr">
        <is>
          <t>Address no longer works</t>
        </is>
      </c>
      <c r="I73" t="inlineStr"/>
      <c r="J73" t="inlineStr"/>
      <c r="K73" t="inlineStr">
        <is>
          <t>Finished, no page: every candidate address was refused by the reader or did not</t>
        </is>
      </c>
      <c r="L73" t="inlineStr">
        <is>
          <t>Page found, being read</t>
        </is>
      </c>
      <c r="M73" t="inlineStr">
        <is>
          <t>Page found, being read</t>
        </is>
      </c>
      <c r="N73" t="inlineStr"/>
      <c r="O73" t="n">
        <v>0</v>
      </c>
      <c r="P73" t="inlineStr"/>
      <c r="Q73" t="inlineStr">
        <is>
          <t>Filled</t>
        </is>
      </c>
      <c r="R73" t="n">
        <v>6.5</v>
      </c>
      <c r="S73" t="inlineStr">
        <is>
          <t>Central English policy</t>
        </is>
      </c>
      <c r="T73" t="inlineStr">
        <is>
          <t>Central rule applies (value agrees)</t>
        </is>
      </c>
      <c r="U73" t="inlineStr"/>
      <c r="V73" t="inlineStr">
        <is>
          <t>Page found, being read</t>
        </is>
      </c>
      <c r="W73" t="inlineStr"/>
      <c r="X73" t="inlineStr"/>
      <c r="Y73" t="n">
        <v>0</v>
      </c>
      <c r="Z73" t="inlineStr">
        <is>
          <t>Yes</t>
        </is>
      </c>
      <c r="AA73" t="inlineStr">
        <is>
          <t>Not stated on course page</t>
        </is>
      </c>
      <c r="AB73" t="inlineStr"/>
      <c r="AC73" t="inlineStr">
        <is>
          <t>Skipped: the page does not state it</t>
        </is>
      </c>
      <c r="AD73" t="n">
        <v>0</v>
      </c>
      <c r="AE73" t="inlineStr"/>
      <c r="AF73" t="inlineStr"/>
      <c r="AG73" t="inlineStr"/>
      <c r="AH73" t="inlineStr"/>
      <c r="AI73" t="inlineStr"/>
      <c r="AJ73" t="inlineStr"/>
      <c r="AK73" t="inlineStr"/>
      <c r="AL73" t="inlineStr"/>
      <c r="AM73" t="inlineStr"/>
    </row>
    <row r="74">
      <c r="A74" t="inlineStr">
        <is>
          <t>103482J</t>
        </is>
      </c>
      <c r="B74" t="inlineStr">
        <is>
          <t>Bachelor of Education (Early Childhood)</t>
        </is>
      </c>
      <c r="C74" t="inlineStr">
        <is>
          <t>Bachelor</t>
        </is>
      </c>
      <c r="D74" t="inlineStr">
        <is>
          <t>Undergraduate</t>
        </is>
      </c>
      <c r="E74" t="inlineStr">
        <is>
          <t>Advertised: official page in place</t>
        </is>
      </c>
      <c r="F74" t="inlineStr">
        <is>
          <t>https://www.sydney.edu.au/courses/courses/uc/bachelor-of-education-early-childhood0.html</t>
        </is>
      </c>
      <c r="G74" t="inlineStr">
        <is>
          <t>https://www.sydney.edu.au/courses/courses/uc/bachelor-of-education-early-childhood0.html</t>
        </is>
      </c>
      <c r="H74" t="inlineStr">
        <is>
          <t>Read</t>
        </is>
      </c>
      <c r="I74" t="inlineStr">
        <is>
          <t>Exact title match</t>
        </is>
      </c>
      <c r="J74" t="inlineStr"/>
      <c r="K74" t="inlineStr">
        <is>
          <t>Not sent to re-link</t>
        </is>
      </c>
      <c r="L74" t="inlineStr">
        <is>
          <t>Filled</t>
        </is>
      </c>
      <c r="M74" t="inlineStr">
        <is>
          <t>Not stated on course page</t>
        </is>
      </c>
      <c r="N74" t="inlineStr"/>
      <c r="O74" t="n">
        <v>0</v>
      </c>
      <c r="P74" t="inlineStr"/>
      <c r="Q74" t="inlineStr">
        <is>
          <t>Filled</t>
        </is>
      </c>
      <c r="R74" t="n">
        <v>6.5</v>
      </c>
      <c r="S74" t="inlineStr">
        <is>
          <t>Central English policy</t>
        </is>
      </c>
      <c r="T74" t="inlineStr">
        <is>
          <t>Central rule applies (value agrees)</t>
        </is>
      </c>
      <c r="U74" t="inlineStr"/>
      <c r="V74" t="inlineStr">
        <is>
          <t>Not stated on course page</t>
        </is>
      </c>
      <c r="W74" t="inlineStr"/>
      <c r="X74" t="inlineStr"/>
      <c r="Y74" t="n">
        <v>2</v>
      </c>
      <c r="Z74" t="inlineStr">
        <is>
          <t>Yes</t>
        </is>
      </c>
      <c r="AA74" t="inlineStr">
        <is>
          <t>Filled</t>
        </is>
      </c>
      <c r="AB74" t="inlineStr">
        <is>
          <t>on campus</t>
        </is>
      </c>
      <c r="AC74" t="inlineStr"/>
      <c r="AD74" t="n">
        <v>0</v>
      </c>
      <c r="AE74" t="inlineStr"/>
      <c r="AF74" t="inlineStr"/>
      <c r="AG74" t="inlineStr"/>
      <c r="AH74" t="inlineStr">
        <is>
          <t>Yes</t>
        </is>
      </c>
      <c r="AI74" t="inlineStr"/>
      <c r="AJ74" t="inlineStr"/>
      <c r="AK74" t="inlineStr"/>
      <c r="AL74" t="inlineStr"/>
      <c r="AM74" t="inlineStr"/>
    </row>
    <row r="75">
      <c r="A75" t="inlineStr">
        <is>
          <t>068551G</t>
        </is>
      </c>
      <c r="B75" t="inlineStr">
        <is>
          <t>Bachelor of Education (Early Childhood)</t>
        </is>
      </c>
      <c r="C75" t="inlineStr">
        <is>
          <t>Bachelor</t>
        </is>
      </c>
      <c r="D75" t="inlineStr">
        <is>
          <t>Undergraduate</t>
        </is>
      </c>
      <c r="E75" t="inlineStr">
        <is>
          <t>Advertised: official page in place</t>
        </is>
      </c>
      <c r="F75" t="inlineStr">
        <is>
          <t>https://www.sydney.edu.au/courses/courses/uc/bachelor-of-education-early-childhood0.html</t>
        </is>
      </c>
      <c r="G75" t="inlineStr">
        <is>
          <t>https://www.sydney.edu.au/courses/courses/uc/bachelor-of-education-early-childhood0.html</t>
        </is>
      </c>
      <c r="H75" t="inlineStr">
        <is>
          <t>Read</t>
        </is>
      </c>
      <c r="I75" t="inlineStr">
        <is>
          <t>Exact title match</t>
        </is>
      </c>
      <c r="J75" t="inlineStr"/>
      <c r="K75" t="inlineStr">
        <is>
          <t>Not sent to re-link</t>
        </is>
      </c>
      <c r="L75" t="inlineStr">
        <is>
          <t>Filled</t>
        </is>
      </c>
      <c r="M75" t="inlineStr">
        <is>
          <t>Not stated on course page</t>
        </is>
      </c>
      <c r="N75" t="inlineStr"/>
      <c r="O75" t="n">
        <v>0</v>
      </c>
      <c r="P75" t="inlineStr"/>
      <c r="Q75" t="inlineStr">
        <is>
          <t>Filled</t>
        </is>
      </c>
      <c r="R75" t="n">
        <v>6.5</v>
      </c>
      <c r="S75" t="inlineStr">
        <is>
          <t>Central English policy</t>
        </is>
      </c>
      <c r="T75" t="inlineStr">
        <is>
          <t>Central rule applies (value agrees)</t>
        </is>
      </c>
      <c r="U75" t="inlineStr"/>
      <c r="V75" t="inlineStr">
        <is>
          <t>Not stated on course page</t>
        </is>
      </c>
      <c r="W75" t="inlineStr"/>
      <c r="X75" t="inlineStr"/>
      <c r="Y75" t="n">
        <v>2</v>
      </c>
      <c r="Z75" t="inlineStr">
        <is>
          <t>Yes</t>
        </is>
      </c>
      <c r="AA75" t="inlineStr">
        <is>
          <t>Filled</t>
        </is>
      </c>
      <c r="AB75" t="inlineStr">
        <is>
          <t>on campus</t>
        </is>
      </c>
      <c r="AC75" t="inlineStr"/>
      <c r="AD75" t="n">
        <v>0</v>
      </c>
      <c r="AE75" t="inlineStr"/>
      <c r="AF75" t="inlineStr"/>
      <c r="AG75" t="inlineStr"/>
      <c r="AH75" t="inlineStr">
        <is>
          <t>Yes</t>
        </is>
      </c>
      <c r="AI75" t="inlineStr"/>
      <c r="AJ75" t="inlineStr"/>
      <c r="AK75" t="inlineStr"/>
      <c r="AL75" t="inlineStr"/>
      <c r="AM75" t="inlineStr"/>
    </row>
    <row r="76">
      <c r="A76" t="inlineStr">
        <is>
          <t>090281G</t>
        </is>
      </c>
      <c r="B76" t="inlineStr">
        <is>
          <t>Bachelor of Education (Health and Physical Education)</t>
        </is>
      </c>
      <c r="C76" t="inlineStr">
        <is>
          <t>Bachelor</t>
        </is>
      </c>
      <c r="D76" t="inlineStr">
        <is>
          <t>Undergraduate</t>
        </is>
      </c>
      <c r="E76" t="inlineStr">
        <is>
          <t>Advertised: official page in place</t>
        </is>
      </c>
      <c r="F76" t="inlineStr">
        <is>
          <t>https://www.sydney.edu.au/courses/courses/uc/bachelor-of-education-health-and-physical-education0.html</t>
        </is>
      </c>
      <c r="G76" t="inlineStr">
        <is>
          <t>https://www.sydney.edu.au/courses/courses/uc/bachelor-of-education-health-and-physical-education0.html</t>
        </is>
      </c>
      <c r="H76" t="inlineStr">
        <is>
          <t>Read</t>
        </is>
      </c>
      <c r="I76" t="inlineStr">
        <is>
          <t>Exact title match</t>
        </is>
      </c>
      <c r="J76" t="inlineStr"/>
      <c r="K76" t="inlineStr">
        <is>
          <t>Not sent to re-link</t>
        </is>
      </c>
      <c r="L76" t="inlineStr">
        <is>
          <t>Filled</t>
        </is>
      </c>
      <c r="M76" t="inlineStr">
        <is>
          <t>Not stated on course page</t>
        </is>
      </c>
      <c r="N76" t="inlineStr"/>
      <c r="O76" t="n">
        <v>0</v>
      </c>
      <c r="P76" t="inlineStr"/>
      <c r="Q76" t="inlineStr">
        <is>
          <t>Filled</t>
        </is>
      </c>
      <c r="R76" t="n">
        <v>6.5</v>
      </c>
      <c r="S76" t="inlineStr">
        <is>
          <t>Central English policy</t>
        </is>
      </c>
      <c r="T76" t="inlineStr">
        <is>
          <t>Central rule applies (value agrees)</t>
        </is>
      </c>
      <c r="U76" t="inlineStr"/>
      <c r="V76" t="inlineStr">
        <is>
          <t>Not stated on course page</t>
        </is>
      </c>
      <c r="W76" t="inlineStr"/>
      <c r="X76" t="inlineStr"/>
      <c r="Y76" t="n">
        <v>2</v>
      </c>
      <c r="Z76" t="inlineStr">
        <is>
          <t>Yes</t>
        </is>
      </c>
      <c r="AA76" t="inlineStr">
        <is>
          <t>Filled</t>
        </is>
      </c>
      <c r="AB76" t="inlineStr">
        <is>
          <t>on campus</t>
        </is>
      </c>
      <c r="AC76" t="inlineStr"/>
      <c r="AD76" t="n">
        <v>0</v>
      </c>
      <c r="AE76" t="inlineStr"/>
      <c r="AF76" t="inlineStr"/>
      <c r="AG76" t="inlineStr"/>
      <c r="AH76" t="inlineStr">
        <is>
          <t>Yes</t>
        </is>
      </c>
      <c r="AI76" t="inlineStr"/>
      <c r="AJ76" t="inlineStr"/>
      <c r="AK76" t="inlineStr"/>
      <c r="AL76" t="inlineStr"/>
      <c r="AM76" t="inlineStr"/>
    </row>
    <row r="77">
      <c r="A77" t="inlineStr">
        <is>
          <t>103483H</t>
        </is>
      </c>
      <c r="B77" t="inlineStr">
        <is>
          <t>Bachelor of Education (Health and Physical Education)</t>
        </is>
      </c>
      <c r="C77" t="inlineStr">
        <is>
          <t>Bachelor</t>
        </is>
      </c>
      <c r="D77" t="inlineStr">
        <is>
          <t>Undergraduate</t>
        </is>
      </c>
      <c r="E77" t="inlineStr">
        <is>
          <t>Advertised: official page in place</t>
        </is>
      </c>
      <c r="F77" t="inlineStr">
        <is>
          <t>https://www.sydney.edu.au/courses/courses/uc/bachelor-of-education-health-and-physical-education0.html</t>
        </is>
      </c>
      <c r="G77" t="inlineStr">
        <is>
          <t>https://www.sydney.edu.au/courses/courses/uc/bachelor-of-education-health-and-physical-education0.html</t>
        </is>
      </c>
      <c r="H77" t="inlineStr">
        <is>
          <t>Read</t>
        </is>
      </c>
      <c r="I77" t="inlineStr">
        <is>
          <t>Exact title match</t>
        </is>
      </c>
      <c r="J77" t="inlineStr"/>
      <c r="K77" t="inlineStr">
        <is>
          <t>Not sent to re-link</t>
        </is>
      </c>
      <c r="L77" t="inlineStr">
        <is>
          <t>Filled</t>
        </is>
      </c>
      <c r="M77" t="inlineStr">
        <is>
          <t>Not stated on course page</t>
        </is>
      </c>
      <c r="N77" t="inlineStr"/>
      <c r="O77" t="n">
        <v>0</v>
      </c>
      <c r="P77" t="inlineStr"/>
      <c r="Q77" t="inlineStr">
        <is>
          <t>Filled</t>
        </is>
      </c>
      <c r="R77" t="n">
        <v>6.5</v>
      </c>
      <c r="S77" t="inlineStr">
        <is>
          <t>Central English policy</t>
        </is>
      </c>
      <c r="T77" t="inlineStr">
        <is>
          <t>Central rule applies (value agrees)</t>
        </is>
      </c>
      <c r="U77" t="inlineStr"/>
      <c r="V77" t="inlineStr">
        <is>
          <t>Not stated on course page</t>
        </is>
      </c>
      <c r="W77" t="inlineStr"/>
      <c r="X77" t="inlineStr"/>
      <c r="Y77" t="n">
        <v>2</v>
      </c>
      <c r="Z77" t="inlineStr">
        <is>
          <t>Yes</t>
        </is>
      </c>
      <c r="AA77" t="inlineStr">
        <is>
          <t>Filled</t>
        </is>
      </c>
      <c r="AB77" t="inlineStr">
        <is>
          <t>on campus</t>
        </is>
      </c>
      <c r="AC77" t="inlineStr"/>
      <c r="AD77" t="n">
        <v>0</v>
      </c>
      <c r="AE77" t="inlineStr"/>
      <c r="AF77" t="inlineStr"/>
      <c r="AG77" t="inlineStr"/>
      <c r="AH77" t="inlineStr">
        <is>
          <t>Yes</t>
        </is>
      </c>
      <c r="AI77" t="inlineStr"/>
      <c r="AJ77" t="inlineStr"/>
      <c r="AK77" t="inlineStr"/>
      <c r="AL77" t="inlineStr"/>
      <c r="AM77" t="inlineStr"/>
    </row>
    <row r="78">
      <c r="A78" t="inlineStr">
        <is>
          <t>001292G</t>
        </is>
      </c>
      <c r="B78" t="inlineStr">
        <is>
          <t>Bachelor of Education (Primary)</t>
        </is>
      </c>
      <c r="C78" t="inlineStr">
        <is>
          <t>Bachelor</t>
        </is>
      </c>
      <c r="D78" t="inlineStr">
        <is>
          <t>Undergraduate</t>
        </is>
      </c>
      <c r="E78" t="inlineStr">
        <is>
          <t>Advertised: official page in place</t>
        </is>
      </c>
      <c r="F78" t="inlineStr">
        <is>
          <t>https://www.sydney.edu.au/courses/courses/uc/bachelor-of-education-primary0.html</t>
        </is>
      </c>
      <c r="G78" t="inlineStr">
        <is>
          <t>https://www.sydney.edu.au/courses/courses/uc/bachelor-of-education-primary0.html</t>
        </is>
      </c>
      <c r="H78" t="inlineStr">
        <is>
          <t>Read</t>
        </is>
      </c>
      <c r="I78" t="inlineStr">
        <is>
          <t>Exact title match</t>
        </is>
      </c>
      <c r="J78" t="inlineStr"/>
      <c r="K78" t="inlineStr">
        <is>
          <t>Not sent to re-link</t>
        </is>
      </c>
      <c r="L78" t="inlineStr">
        <is>
          <t>Filled</t>
        </is>
      </c>
      <c r="M78" t="inlineStr">
        <is>
          <t>Not stated on course page</t>
        </is>
      </c>
      <c r="N78" t="inlineStr"/>
      <c r="O78" t="n">
        <v>0</v>
      </c>
      <c r="P78" t="inlineStr"/>
      <c r="Q78" t="inlineStr">
        <is>
          <t>Filled</t>
        </is>
      </c>
      <c r="R78" t="n">
        <v>6.5</v>
      </c>
      <c r="S78" t="inlineStr">
        <is>
          <t>Central English policy</t>
        </is>
      </c>
      <c r="T78" t="inlineStr">
        <is>
          <t>Central rule applies (value agrees)</t>
        </is>
      </c>
      <c r="U78" t="inlineStr"/>
      <c r="V78" t="inlineStr">
        <is>
          <t>Not stated on course page</t>
        </is>
      </c>
      <c r="W78" t="inlineStr"/>
      <c r="X78" t="inlineStr"/>
      <c r="Y78" t="n">
        <v>2</v>
      </c>
      <c r="Z78" t="inlineStr">
        <is>
          <t>Yes</t>
        </is>
      </c>
      <c r="AA78" t="inlineStr">
        <is>
          <t>Filled</t>
        </is>
      </c>
      <c r="AB78" t="inlineStr">
        <is>
          <t>on campus</t>
        </is>
      </c>
      <c r="AC78" t="inlineStr"/>
      <c r="AD78" t="n">
        <v>0</v>
      </c>
      <c r="AE78" t="inlineStr"/>
      <c r="AF78" t="inlineStr"/>
      <c r="AG78" t="inlineStr"/>
      <c r="AH78" t="inlineStr">
        <is>
          <t>Yes</t>
        </is>
      </c>
      <c r="AI78" t="inlineStr"/>
      <c r="AJ78" t="inlineStr"/>
      <c r="AK78" t="inlineStr"/>
      <c r="AL78" t="inlineStr"/>
      <c r="AM78" t="inlineStr"/>
    </row>
    <row r="79">
      <c r="A79" t="inlineStr">
        <is>
          <t>103484G</t>
        </is>
      </c>
      <c r="B79" t="inlineStr">
        <is>
          <t>Bachelor of Education (Primary)</t>
        </is>
      </c>
      <c r="C79" t="inlineStr">
        <is>
          <t>Bachelor</t>
        </is>
      </c>
      <c r="D79" t="inlineStr">
        <is>
          <t>Undergraduate</t>
        </is>
      </c>
      <c r="E79" t="inlineStr">
        <is>
          <t>Advertised: official page in place</t>
        </is>
      </c>
      <c r="F79" t="inlineStr">
        <is>
          <t>https://www.sydney.edu.au/courses/courses/uc/bachelor-of-education-primary0.html</t>
        </is>
      </c>
      <c r="G79" t="inlineStr">
        <is>
          <t>https://www.sydney.edu.au/courses/courses/uc/bachelor-of-education-primary0.html</t>
        </is>
      </c>
      <c r="H79" t="inlineStr">
        <is>
          <t>Read</t>
        </is>
      </c>
      <c r="I79" t="inlineStr">
        <is>
          <t>Exact title match</t>
        </is>
      </c>
      <c r="J79" t="inlineStr"/>
      <c r="K79" t="inlineStr">
        <is>
          <t>Not sent to re-link</t>
        </is>
      </c>
      <c r="L79" t="inlineStr">
        <is>
          <t>Filled</t>
        </is>
      </c>
      <c r="M79" t="inlineStr">
        <is>
          <t>Not stated on course page</t>
        </is>
      </c>
      <c r="N79" t="inlineStr"/>
      <c r="O79" t="n">
        <v>0</v>
      </c>
      <c r="P79" t="inlineStr"/>
      <c r="Q79" t="inlineStr">
        <is>
          <t>Filled</t>
        </is>
      </c>
      <c r="R79" t="n">
        <v>6.5</v>
      </c>
      <c r="S79" t="inlineStr">
        <is>
          <t>Central English policy</t>
        </is>
      </c>
      <c r="T79" t="inlineStr">
        <is>
          <t>Central rule applies (value agrees)</t>
        </is>
      </c>
      <c r="U79" t="inlineStr"/>
      <c r="V79" t="inlineStr">
        <is>
          <t>Not stated on course page</t>
        </is>
      </c>
      <c r="W79" t="inlineStr"/>
      <c r="X79" t="inlineStr"/>
      <c r="Y79" t="n">
        <v>2</v>
      </c>
      <c r="Z79" t="inlineStr">
        <is>
          <t>Yes</t>
        </is>
      </c>
      <c r="AA79" t="inlineStr">
        <is>
          <t>Filled</t>
        </is>
      </c>
      <c r="AB79" t="inlineStr">
        <is>
          <t>on campus</t>
        </is>
      </c>
      <c r="AC79" t="inlineStr"/>
      <c r="AD79" t="n">
        <v>0</v>
      </c>
      <c r="AE79" t="inlineStr"/>
      <c r="AF79" t="inlineStr"/>
      <c r="AG79" t="inlineStr"/>
      <c r="AH79" t="inlineStr">
        <is>
          <t>Yes</t>
        </is>
      </c>
      <c r="AI79" t="inlineStr"/>
      <c r="AJ79" t="inlineStr"/>
      <c r="AK79" t="inlineStr"/>
      <c r="AL79" t="inlineStr"/>
      <c r="AM79" t="inlineStr"/>
    </row>
    <row r="80">
      <c r="A80" t="inlineStr">
        <is>
          <t>036748C</t>
        </is>
      </c>
      <c r="B80" t="inlineStr">
        <is>
          <t>Bachelor of Education (Secondary Humanities) B Arts</t>
        </is>
      </c>
      <c r="C80" t="inlineStr">
        <is>
          <t>Bachelor</t>
        </is>
      </c>
      <c r="D80" t="inlineStr">
        <is>
          <t>Undergraduate</t>
        </is>
      </c>
      <c r="E80" t="inlineStr">
        <is>
          <t>Page address no longer works</t>
        </is>
      </c>
      <c r="F80" t="inlineStr"/>
      <c r="G80" t="inlineStr">
        <is>
          <t>https://www.sydney.edu.au/courses/courses/uc/bachelor-of-education-secondary-humanities-b-arts.html</t>
        </is>
      </c>
      <c r="H80" t="inlineStr">
        <is>
          <t>Address no longer works</t>
        </is>
      </c>
      <c r="I80" t="inlineStr"/>
      <c r="J80" t="inlineStr"/>
      <c r="K80" t="inlineStr">
        <is>
          <t>Finished, no page: every candidate address was refused by the reader or did not</t>
        </is>
      </c>
      <c r="L80" t="inlineStr">
        <is>
          <t>Page found, being read</t>
        </is>
      </c>
      <c r="M80" t="inlineStr">
        <is>
          <t>Page found, being read</t>
        </is>
      </c>
      <c r="N80" t="inlineStr"/>
      <c r="O80" t="n">
        <v>0</v>
      </c>
      <c r="P80" t="inlineStr"/>
      <c r="Q80" t="inlineStr">
        <is>
          <t>Filled</t>
        </is>
      </c>
      <c r="R80" t="n">
        <v>6.5</v>
      </c>
      <c r="S80" t="inlineStr">
        <is>
          <t>Central English policy</t>
        </is>
      </c>
      <c r="T80" t="inlineStr">
        <is>
          <t>Central rule applies (value agrees)</t>
        </is>
      </c>
      <c r="U80" t="inlineStr"/>
      <c r="V80" t="inlineStr">
        <is>
          <t>Page found, being read</t>
        </is>
      </c>
      <c r="W80" t="inlineStr"/>
      <c r="X80" t="inlineStr"/>
      <c r="Y80" t="n">
        <v>0</v>
      </c>
      <c r="Z80" t="inlineStr">
        <is>
          <t>Yes</t>
        </is>
      </c>
      <c r="AA80" t="inlineStr">
        <is>
          <t>Not stated on course page</t>
        </is>
      </c>
      <c r="AB80" t="inlineStr"/>
      <c r="AC80" t="inlineStr">
        <is>
          <t>Skipped: no allowed source had a value</t>
        </is>
      </c>
      <c r="AD80" t="n">
        <v>1</v>
      </c>
      <c r="AE80" t="inlineStr"/>
      <c r="AF80" t="inlineStr"/>
      <c r="AG80" t="inlineStr"/>
      <c r="AH80" t="inlineStr"/>
      <c r="AI80" t="inlineStr"/>
      <c r="AJ80" t="inlineStr"/>
      <c r="AK80" t="inlineStr"/>
      <c r="AL80" t="inlineStr"/>
      <c r="AM80" t="inlineStr"/>
    </row>
    <row r="81">
      <c r="A81" t="inlineStr">
        <is>
          <t>033069F</t>
        </is>
      </c>
      <c r="B81" t="inlineStr">
        <is>
          <t>Bachelor of Education (Secondary Mathematics) / Bachelor of Science</t>
        </is>
      </c>
      <c r="C81" t="inlineStr">
        <is>
          <t>Bachelor</t>
        </is>
      </c>
      <c r="D81" t="inlineStr">
        <is>
          <t>Undergraduate</t>
        </is>
      </c>
      <c r="E81" t="inlineStr">
        <is>
          <t>No-page record (conjoint), awaiting review</t>
        </is>
      </c>
      <c r="F81" t="inlineStr"/>
      <c r="G81" t="inlineStr">
        <is>
          <t>https://rp-handbooks.sydney.edu.au/handbooks/archive/2011/education_social_work/b_education/mathematics.shtml</t>
        </is>
      </c>
      <c r="H81" t="inlineStr">
        <is>
          <t>Not a course page</t>
        </is>
      </c>
      <c r="I81" t="inlineStr"/>
      <c r="J81" t="inlineStr">
        <is>
          <t>Conjoint (proposed)</t>
        </is>
      </c>
      <c r="K81" t="inlineStr">
        <is>
          <t>Not sent to re-link</t>
        </is>
      </c>
      <c r="L81" t="inlineStr">
        <is>
          <t>Not stated on course page</t>
        </is>
      </c>
      <c r="M81" t="inlineStr">
        <is>
          <t>Not stated on course page</t>
        </is>
      </c>
      <c r="N81" t="inlineStr"/>
      <c r="O81" t="n">
        <v>0</v>
      </c>
      <c r="P81" t="inlineStr"/>
      <c r="Q81" t="inlineStr">
        <is>
          <t>Filled</t>
        </is>
      </c>
      <c r="R81" t="n">
        <v>6.5</v>
      </c>
      <c r="S81" t="inlineStr">
        <is>
          <t>Central English policy</t>
        </is>
      </c>
      <c r="T81" t="inlineStr">
        <is>
          <t>Central rule applies (value agrees)</t>
        </is>
      </c>
      <c r="U81" t="inlineStr"/>
      <c r="V81" t="inlineStr">
        <is>
          <t>Not stated on course page</t>
        </is>
      </c>
      <c r="W81" t="inlineStr"/>
      <c r="X81" t="inlineStr"/>
      <c r="Y81" t="n">
        <v>2</v>
      </c>
      <c r="Z81" t="inlineStr">
        <is>
          <t>Yes</t>
        </is>
      </c>
      <c r="AA81" t="inlineStr">
        <is>
          <t>Not stated on course page</t>
        </is>
      </c>
      <c r="AB81" t="inlineStr"/>
      <c r="AC81" t="inlineStr">
        <is>
          <t>Skipped: taken back: the page read was another course's page</t>
        </is>
      </c>
      <c r="AD81" t="n">
        <v>1</v>
      </c>
      <c r="AE81" t="inlineStr"/>
      <c r="AF81" t="inlineStr"/>
      <c r="AG81" t="inlineStr"/>
      <c r="AH81" t="inlineStr"/>
      <c r="AI81" t="inlineStr"/>
      <c r="AJ81" t="inlineStr"/>
      <c r="AK81" t="inlineStr"/>
      <c r="AL81" t="inlineStr"/>
      <c r="AM81" t="inlineStr">
        <is>
          <t>Yes</t>
        </is>
      </c>
    </row>
    <row r="82">
      <c r="A82" t="inlineStr">
        <is>
          <t>055968M</t>
        </is>
      </c>
      <c r="B82" t="inlineStr">
        <is>
          <t>Bachelor of Education (Secondary: Humanities) / Bachelor of Arts</t>
        </is>
      </c>
      <c r="C82" t="inlineStr">
        <is>
          <t>Bachelor</t>
        </is>
      </c>
      <c r="D82" t="inlineStr">
        <is>
          <t>Undergraduate</t>
        </is>
      </c>
      <c r="E82" t="inlineStr">
        <is>
          <t>Page address no longer works</t>
        </is>
      </c>
      <c r="F82" t="inlineStr"/>
      <c r="G82" t="inlineStr">
        <is>
          <t>https://www.sydney.edu.au/courses/courses/uc/bachelor-of-education-secondary-humanities-bachelor-of-arts.html</t>
        </is>
      </c>
      <c r="H82" t="inlineStr">
        <is>
          <t>Address no longer works</t>
        </is>
      </c>
      <c r="I82" t="inlineStr"/>
      <c r="J82" t="inlineStr"/>
      <c r="K82" t="inlineStr">
        <is>
          <t>Finished, no page: every candidate address was refused by the reader or did not</t>
        </is>
      </c>
      <c r="L82" t="inlineStr">
        <is>
          <t>Page found, being read</t>
        </is>
      </c>
      <c r="M82" t="inlineStr">
        <is>
          <t>Page found, being read</t>
        </is>
      </c>
      <c r="N82" t="inlineStr"/>
      <c r="O82" t="n">
        <v>0</v>
      </c>
      <c r="P82" t="inlineStr"/>
      <c r="Q82" t="inlineStr">
        <is>
          <t>Filled</t>
        </is>
      </c>
      <c r="R82" t="n">
        <v>6.5</v>
      </c>
      <c r="S82" t="inlineStr">
        <is>
          <t>Central English policy</t>
        </is>
      </c>
      <c r="T82" t="inlineStr">
        <is>
          <t>Central rule applies (value agrees)</t>
        </is>
      </c>
      <c r="U82" t="inlineStr"/>
      <c r="V82" t="inlineStr">
        <is>
          <t>Page found, being read</t>
        </is>
      </c>
      <c r="W82" t="inlineStr"/>
      <c r="X82" t="inlineStr"/>
      <c r="Y82" t="n">
        <v>0</v>
      </c>
      <c r="Z82" t="inlineStr">
        <is>
          <t>Yes</t>
        </is>
      </c>
      <c r="AA82" t="inlineStr">
        <is>
          <t>Not stated on course page</t>
        </is>
      </c>
      <c r="AB82" t="inlineStr"/>
      <c r="AC82" t="inlineStr">
        <is>
          <t>Skipped: no allowed source had a value</t>
        </is>
      </c>
      <c r="AD82" t="n">
        <v>1</v>
      </c>
      <c r="AE82" t="inlineStr"/>
      <c r="AF82" t="inlineStr"/>
      <c r="AG82" t="inlineStr"/>
      <c r="AH82" t="inlineStr"/>
      <c r="AI82" t="inlineStr"/>
      <c r="AJ82" t="inlineStr"/>
      <c r="AK82" t="inlineStr"/>
      <c r="AL82" t="inlineStr"/>
      <c r="AM82" t="inlineStr"/>
    </row>
    <row r="83">
      <c r="A83" t="inlineStr">
        <is>
          <t>055967A</t>
        </is>
      </c>
      <c r="B83" t="inlineStr">
        <is>
          <t>Bachelor of Education (Secondary: Mathematics) / Bachelor of Science</t>
        </is>
      </c>
      <c r="C83" t="inlineStr">
        <is>
          <t>Bachelor</t>
        </is>
      </c>
      <c r="D83" t="inlineStr">
        <is>
          <t>Undergraduate</t>
        </is>
      </c>
      <c r="E83" t="inlineStr">
        <is>
          <t>No-page record (conjoint), awaiting review</t>
        </is>
      </c>
      <c r="F83" t="inlineStr"/>
      <c r="G83" t="inlineStr">
        <is>
          <t>https://rp-handbooks.sydney.edu.au/handbooks/archive/2011/education_social_work/b_education/mathematics.shtml</t>
        </is>
      </c>
      <c r="H83" t="inlineStr">
        <is>
          <t>Not a course page</t>
        </is>
      </c>
      <c r="I83" t="inlineStr"/>
      <c r="J83" t="inlineStr">
        <is>
          <t>Conjoint (proposed)</t>
        </is>
      </c>
      <c r="K83" t="inlineStr">
        <is>
          <t>Not sent to re-link</t>
        </is>
      </c>
      <c r="L83" t="inlineStr">
        <is>
          <t>Not stated on course page</t>
        </is>
      </c>
      <c r="M83" t="inlineStr">
        <is>
          <t>Not stated on course page</t>
        </is>
      </c>
      <c r="N83" t="inlineStr"/>
      <c r="O83" t="n">
        <v>0</v>
      </c>
      <c r="P83" t="inlineStr"/>
      <c r="Q83" t="inlineStr">
        <is>
          <t>Filled</t>
        </is>
      </c>
      <c r="R83" t="n">
        <v>6.5</v>
      </c>
      <c r="S83" t="inlineStr">
        <is>
          <t>Central English policy</t>
        </is>
      </c>
      <c r="T83" t="inlineStr">
        <is>
          <t>Central rule applies (value agrees)</t>
        </is>
      </c>
      <c r="U83" t="inlineStr"/>
      <c r="V83" t="inlineStr">
        <is>
          <t>Not stated on course page</t>
        </is>
      </c>
      <c r="W83" t="inlineStr"/>
      <c r="X83" t="inlineStr"/>
      <c r="Y83" t="n">
        <v>2</v>
      </c>
      <c r="Z83" t="inlineStr">
        <is>
          <t>Yes</t>
        </is>
      </c>
      <c r="AA83" t="inlineStr">
        <is>
          <t>Not stated on course page</t>
        </is>
      </c>
      <c r="AB83" t="inlineStr"/>
      <c r="AC83" t="inlineStr">
        <is>
          <t>Skipped: taken back: the page read was another course's page</t>
        </is>
      </c>
      <c r="AD83" t="n">
        <v>1</v>
      </c>
      <c r="AE83" t="inlineStr"/>
      <c r="AF83" t="inlineStr"/>
      <c r="AG83" t="inlineStr"/>
      <c r="AH83" t="inlineStr"/>
      <c r="AI83" t="inlineStr"/>
      <c r="AJ83" t="inlineStr"/>
      <c r="AK83" t="inlineStr"/>
      <c r="AL83" t="inlineStr"/>
      <c r="AM83" t="inlineStr">
        <is>
          <t>Yes</t>
        </is>
      </c>
    </row>
    <row r="84">
      <c r="A84" t="inlineStr">
        <is>
          <t>055966B</t>
        </is>
      </c>
      <c r="B84" t="inlineStr">
        <is>
          <t>Bachelor of Education (Secondary: Science) / Bachelor of Science</t>
        </is>
      </c>
      <c r="C84" t="inlineStr">
        <is>
          <t>Bachelor</t>
        </is>
      </c>
      <c r="D84" t="inlineStr">
        <is>
          <t>Undergraduate</t>
        </is>
      </c>
      <c r="E84" t="inlineStr">
        <is>
          <t>Page address no longer works</t>
        </is>
      </c>
      <c r="F84" t="inlineStr"/>
      <c r="G84" t="inlineStr">
        <is>
          <t>https://www.sydney.edu.au/courses/courses/uc/bachelor-of-education-secondary-science-bachelor-of-science.html</t>
        </is>
      </c>
      <c r="H84" t="inlineStr">
        <is>
          <t>Address no longer works</t>
        </is>
      </c>
      <c r="I84" t="inlineStr"/>
      <c r="J84" t="inlineStr"/>
      <c r="K84" t="inlineStr">
        <is>
          <t>Finished, no page: every candidate address was refused by the reader or did not</t>
        </is>
      </c>
      <c r="L84" t="inlineStr">
        <is>
          <t>Page found, being read</t>
        </is>
      </c>
      <c r="M84" t="inlineStr">
        <is>
          <t>Page found, being read</t>
        </is>
      </c>
      <c r="N84" t="inlineStr"/>
      <c r="O84" t="n">
        <v>0</v>
      </c>
      <c r="P84" t="inlineStr"/>
      <c r="Q84" t="inlineStr">
        <is>
          <t>Filled</t>
        </is>
      </c>
      <c r="R84" t="n">
        <v>6.5</v>
      </c>
      <c r="S84" t="inlineStr">
        <is>
          <t>Central English policy</t>
        </is>
      </c>
      <c r="T84" t="inlineStr">
        <is>
          <t>Central rule applies (value agrees)</t>
        </is>
      </c>
      <c r="U84" t="inlineStr"/>
      <c r="V84" t="inlineStr">
        <is>
          <t>Page found, being read</t>
        </is>
      </c>
      <c r="W84" t="inlineStr"/>
      <c r="X84" t="inlineStr"/>
      <c r="Y84" t="n">
        <v>0</v>
      </c>
      <c r="Z84" t="inlineStr">
        <is>
          <t>Yes</t>
        </is>
      </c>
      <c r="AA84" t="inlineStr">
        <is>
          <t>Not stated on course page</t>
        </is>
      </c>
      <c r="AB84" t="inlineStr"/>
      <c r="AC84" t="inlineStr">
        <is>
          <t>Skipped: no allowed source had a value</t>
        </is>
      </c>
      <c r="AD84" t="n">
        <v>1</v>
      </c>
      <c r="AE84" t="inlineStr"/>
      <c r="AF84" t="inlineStr"/>
      <c r="AG84" t="inlineStr"/>
      <c r="AH84" t="inlineStr"/>
      <c r="AI84" t="inlineStr"/>
      <c r="AJ84" t="inlineStr"/>
      <c r="AK84" t="inlineStr"/>
      <c r="AL84" t="inlineStr"/>
      <c r="AM84" t="inlineStr"/>
    </row>
    <row r="85">
      <c r="A85" t="inlineStr">
        <is>
          <t>103485F</t>
        </is>
      </c>
      <c r="B85" t="inlineStr">
        <is>
          <t>Bachelor of Education (Secondary)</t>
        </is>
      </c>
      <c r="C85" t="inlineStr">
        <is>
          <t>Bachelor</t>
        </is>
      </c>
      <c r="D85" t="inlineStr">
        <is>
          <t>Undergraduate</t>
        </is>
      </c>
      <c r="E85" t="inlineStr">
        <is>
          <t>Advertised: official page in place</t>
        </is>
      </c>
      <c r="F85" t="inlineStr">
        <is>
          <t>https://www.sydney.edu.au/courses/courses/uc/bachelor-of-education-secondary.html</t>
        </is>
      </c>
      <c r="G85" t="inlineStr">
        <is>
          <t>https://www.sydney.edu.au/courses/courses/uc/bachelor-of-education-secondary.html</t>
        </is>
      </c>
      <c r="H85" t="inlineStr">
        <is>
          <t>Read</t>
        </is>
      </c>
      <c r="I85" t="inlineStr">
        <is>
          <t>Exact title match</t>
        </is>
      </c>
      <c r="J85" t="inlineStr"/>
      <c r="K85" t="inlineStr">
        <is>
          <t>Not sent to re-link</t>
        </is>
      </c>
      <c r="L85" t="inlineStr">
        <is>
          <t>Filled</t>
        </is>
      </c>
      <c r="M85" t="inlineStr">
        <is>
          <t>Not stated on course page</t>
        </is>
      </c>
      <c r="N85" t="inlineStr"/>
      <c r="O85" t="n">
        <v>0</v>
      </c>
      <c r="P85" t="inlineStr"/>
      <c r="Q85" t="inlineStr">
        <is>
          <t>Filled</t>
        </is>
      </c>
      <c r="R85" t="n">
        <v>6.5</v>
      </c>
      <c r="S85" t="inlineStr">
        <is>
          <t>Central English policy</t>
        </is>
      </c>
      <c r="T85" t="inlineStr">
        <is>
          <t>Central rule applies (value agrees)</t>
        </is>
      </c>
      <c r="U85" t="inlineStr"/>
      <c r="V85" t="inlineStr">
        <is>
          <t>Not stated on course page</t>
        </is>
      </c>
      <c r="W85" t="inlineStr"/>
      <c r="X85" t="inlineStr"/>
      <c r="Y85" t="n">
        <v>2</v>
      </c>
      <c r="Z85" t="inlineStr">
        <is>
          <t>Yes</t>
        </is>
      </c>
      <c r="AA85" t="inlineStr">
        <is>
          <t>Filled</t>
        </is>
      </c>
      <c r="AB85" t="inlineStr">
        <is>
          <t>on campus</t>
        </is>
      </c>
      <c r="AC85" t="inlineStr"/>
      <c r="AD85" t="n">
        <v>0</v>
      </c>
      <c r="AE85" t="inlineStr"/>
      <c r="AF85" t="inlineStr"/>
      <c r="AG85" t="inlineStr"/>
      <c r="AH85" t="inlineStr">
        <is>
          <t>Yes</t>
        </is>
      </c>
      <c r="AI85" t="inlineStr"/>
      <c r="AJ85" t="inlineStr"/>
      <c r="AK85" t="inlineStr"/>
      <c r="AL85" t="inlineStr"/>
      <c r="AM85" t="inlineStr"/>
    </row>
    <row r="86">
      <c r="A86" t="inlineStr">
        <is>
          <t>066825B</t>
        </is>
      </c>
      <c r="B86" t="inlineStr">
        <is>
          <t>Bachelor of Education (Secondary) (Human Movement and Health Education)</t>
        </is>
      </c>
      <c r="C86" t="inlineStr">
        <is>
          <t>Bachelor</t>
        </is>
      </c>
      <c r="D86" t="inlineStr">
        <is>
          <t>Undergraduate</t>
        </is>
      </c>
      <c r="E86" t="inlineStr">
        <is>
          <t>Held: page found is for another course</t>
        </is>
      </c>
      <c r="F86" t="inlineStr"/>
      <c r="G86" t="inlineStr">
        <is>
          <t>https://rp-handbooks.sydney.edu.au/handbooks/archive/2013/education_social_work/b_education/human_movement_health_education.shtml.html</t>
        </is>
      </c>
      <c r="H86" t="inlineStr">
        <is>
          <t>Not a course page</t>
        </is>
      </c>
      <c r="I86" t="inlineStr"/>
      <c r="J86" t="inlineStr"/>
      <c r="K86" t="inlineStr">
        <is>
          <t>Not sent to re-link</t>
        </is>
      </c>
      <c r="L86" t="inlineStr">
        <is>
          <t>Not stated on course page</t>
        </is>
      </c>
      <c r="M86" t="inlineStr">
        <is>
          <t>Not stated on course page</t>
        </is>
      </c>
      <c r="N86" t="inlineStr"/>
      <c r="O86" t="n">
        <v>0</v>
      </c>
      <c r="P86" t="inlineStr"/>
      <c r="Q86" t="inlineStr">
        <is>
          <t>Filled</t>
        </is>
      </c>
      <c r="R86" t="n">
        <v>6.5</v>
      </c>
      <c r="S86" t="inlineStr">
        <is>
          <t>Central English policy</t>
        </is>
      </c>
      <c r="T86" t="inlineStr">
        <is>
          <t>Central rule applies (value agrees)</t>
        </is>
      </c>
      <c r="U86" t="inlineStr"/>
      <c r="V86" t="inlineStr">
        <is>
          <t>Not stated on course page</t>
        </is>
      </c>
      <c r="W86" t="inlineStr"/>
      <c r="X86" t="inlineStr"/>
      <c r="Y86" t="n">
        <v>2</v>
      </c>
      <c r="Z86" t="inlineStr">
        <is>
          <t>Yes</t>
        </is>
      </c>
      <c r="AA86" t="inlineStr">
        <is>
          <t>Not stated on course page</t>
        </is>
      </c>
      <c r="AB86" t="inlineStr"/>
      <c r="AC86" t="inlineStr">
        <is>
          <t>Skipped: the page does not state it</t>
        </is>
      </c>
      <c r="AD86" t="n">
        <v>0</v>
      </c>
      <c r="AE86" t="inlineStr"/>
      <c r="AF86" t="inlineStr"/>
      <c r="AG86" t="inlineStr"/>
      <c r="AH86" t="inlineStr"/>
      <c r="AI86" t="inlineStr"/>
      <c r="AJ86" t="inlineStr"/>
      <c r="AK86" t="inlineStr"/>
      <c r="AL86" t="inlineStr"/>
      <c r="AM86" t="inlineStr"/>
    </row>
    <row r="87">
      <c r="A87" t="inlineStr">
        <is>
          <t>103487D</t>
        </is>
      </c>
      <c r="B87" t="inlineStr">
        <is>
          <t>Bachelor of Education and Bachelor of Advanced Studies (Secondary)</t>
        </is>
      </c>
      <c r="C87" t="inlineStr">
        <is>
          <t>Bachelor</t>
        </is>
      </c>
      <c r="D87" t="inlineStr">
        <is>
          <t>Undergraduate</t>
        </is>
      </c>
      <c r="E87" t="inlineStr">
        <is>
          <t>Advertised: official page in place</t>
        </is>
      </c>
      <c r="F87" t="inlineStr">
        <is>
          <t>https://www.sydney.edu.au/courses/courses/uc/bachelor-of-education-and-bachelor-of-advanced-studies-secondary.html</t>
        </is>
      </c>
      <c r="G87" t="inlineStr">
        <is>
          <t>https://www.sydney.edu.au/courses/courses/uc/bachelor-of-education-and-bachelor-of-advanced-studies-secondary.html</t>
        </is>
      </c>
      <c r="H87" t="inlineStr">
        <is>
          <t>Read</t>
        </is>
      </c>
      <c r="I87" t="inlineStr">
        <is>
          <t>Exact title match</t>
        </is>
      </c>
      <c r="J87" t="inlineStr"/>
      <c r="K87" t="inlineStr">
        <is>
          <t>Not sent to re-link</t>
        </is>
      </c>
      <c r="L87" t="inlineStr">
        <is>
          <t>Filled</t>
        </is>
      </c>
      <c r="M87" t="inlineStr">
        <is>
          <t>Not stated on course page</t>
        </is>
      </c>
      <c r="N87" t="inlineStr"/>
      <c r="O87" t="n">
        <v>0</v>
      </c>
      <c r="P87" t="inlineStr"/>
      <c r="Q87" t="inlineStr">
        <is>
          <t>Filled</t>
        </is>
      </c>
      <c r="R87" t="n">
        <v>6.5</v>
      </c>
      <c r="S87" t="inlineStr">
        <is>
          <t>Central English policy</t>
        </is>
      </c>
      <c r="T87" t="inlineStr">
        <is>
          <t>Central rule applies (value agrees)</t>
        </is>
      </c>
      <c r="U87" t="inlineStr"/>
      <c r="V87" t="inlineStr">
        <is>
          <t>Not stated on course page</t>
        </is>
      </c>
      <c r="W87" t="inlineStr"/>
      <c r="X87" t="inlineStr"/>
      <c r="Y87" t="n">
        <v>2</v>
      </c>
      <c r="Z87" t="inlineStr">
        <is>
          <t>Yes</t>
        </is>
      </c>
      <c r="AA87" t="inlineStr">
        <is>
          <t>Filled</t>
        </is>
      </c>
      <c r="AB87" t="inlineStr">
        <is>
          <t>on campus</t>
        </is>
      </c>
      <c r="AC87" t="inlineStr"/>
      <c r="AD87" t="n">
        <v>0</v>
      </c>
      <c r="AE87" t="inlineStr"/>
      <c r="AF87" t="inlineStr"/>
      <c r="AG87" t="inlineStr"/>
      <c r="AH87" t="inlineStr">
        <is>
          <t>Yes</t>
        </is>
      </c>
      <c r="AI87" t="inlineStr"/>
      <c r="AJ87" t="inlineStr"/>
      <c r="AK87" t="inlineStr"/>
      <c r="AL87" t="inlineStr"/>
      <c r="AM87" t="inlineStr"/>
    </row>
    <row r="88">
      <c r="A88" t="inlineStr">
        <is>
          <t>103486E</t>
        </is>
      </c>
      <c r="B88" t="inlineStr">
        <is>
          <t>Bachelor of Education Studies</t>
        </is>
      </c>
      <c r="C88" t="inlineStr">
        <is>
          <t>Bachelor</t>
        </is>
      </c>
      <c r="D88" t="inlineStr">
        <is>
          <t>Undergraduate</t>
        </is>
      </c>
      <c r="E88" t="inlineStr">
        <is>
          <t>Page address no longer works</t>
        </is>
      </c>
      <c r="F88" t="inlineStr"/>
      <c r="G88" t="inlineStr">
        <is>
          <t>https://www.sydney.edu.au/courses/courses/uc/bachelor-of-education-studies.html</t>
        </is>
      </c>
      <c r="H88" t="inlineStr">
        <is>
          <t>Address no longer works</t>
        </is>
      </c>
      <c r="I88" t="inlineStr"/>
      <c r="J88" t="inlineStr"/>
      <c r="K88" t="inlineStr">
        <is>
          <t>Finished, no page: every candidate address was refused by the reader or did not</t>
        </is>
      </c>
      <c r="L88" t="inlineStr">
        <is>
          <t>Page found, being read</t>
        </is>
      </c>
      <c r="M88" t="inlineStr">
        <is>
          <t>Page found, being read</t>
        </is>
      </c>
      <c r="N88" t="inlineStr"/>
      <c r="O88" t="n">
        <v>0</v>
      </c>
      <c r="P88" t="inlineStr"/>
      <c r="Q88" t="inlineStr">
        <is>
          <t>Filled</t>
        </is>
      </c>
      <c r="R88" t="n">
        <v>6.5</v>
      </c>
      <c r="S88" t="inlineStr">
        <is>
          <t>Central English policy</t>
        </is>
      </c>
      <c r="T88" t="inlineStr">
        <is>
          <t>Central rule applies (value agrees)</t>
        </is>
      </c>
      <c r="U88" t="inlineStr"/>
      <c r="V88" t="inlineStr">
        <is>
          <t>Page found, being read</t>
        </is>
      </c>
      <c r="W88" t="inlineStr"/>
      <c r="X88" t="inlineStr"/>
      <c r="Y88" t="n">
        <v>0</v>
      </c>
      <c r="Z88" t="inlineStr">
        <is>
          <t>Yes</t>
        </is>
      </c>
      <c r="AA88" t="inlineStr">
        <is>
          <t>Not stated on course page</t>
        </is>
      </c>
      <c r="AB88" t="inlineStr"/>
      <c r="AC88" t="inlineStr">
        <is>
          <t>Skipped: the page does not state it</t>
        </is>
      </c>
      <c r="AD88" t="n">
        <v>0</v>
      </c>
      <c r="AE88" t="inlineStr"/>
      <c r="AF88" t="inlineStr"/>
      <c r="AG88" t="inlineStr"/>
      <c r="AH88" t="inlineStr"/>
      <c r="AI88" t="inlineStr"/>
      <c r="AJ88" t="inlineStr"/>
      <c r="AK88" t="inlineStr"/>
      <c r="AL88" t="inlineStr"/>
      <c r="AM88" t="inlineStr"/>
    </row>
    <row r="89">
      <c r="A89" t="inlineStr">
        <is>
          <t>000718F</t>
        </is>
      </c>
      <c r="B89" t="inlineStr">
        <is>
          <t>Bachelor of Engineering</t>
        </is>
      </c>
      <c r="C89" t="inlineStr">
        <is>
          <t>Bachelor</t>
        </is>
      </c>
      <c r="D89" t="inlineStr">
        <is>
          <t>Undergraduate</t>
        </is>
      </c>
      <c r="E89" t="inlineStr">
        <is>
          <t>Advertised: official page in place</t>
        </is>
      </c>
      <c r="F89" t="inlineStr">
        <is>
          <t>https://www.sydney.edu.au/courses/courses/uc/bachelor-of-engineering-honours-mechanical-engineering2.html</t>
        </is>
      </c>
      <c r="G89" t="inlineStr">
        <is>
          <t>https://www.sydney.edu.au/courses/courses/uc/bachelor-of-engineering-honours-mechanical-engineering2.html</t>
        </is>
      </c>
      <c r="H89" t="inlineStr">
        <is>
          <t>Read</t>
        </is>
      </c>
      <c r="I89" t="inlineStr">
        <is>
          <t>Exact title match</t>
        </is>
      </c>
      <c r="J89" t="inlineStr"/>
      <c r="K89" t="inlineStr">
        <is>
          <t>Not sent to re-link</t>
        </is>
      </c>
      <c r="L89" t="inlineStr">
        <is>
          <t>Filled</t>
        </is>
      </c>
      <c r="M89" t="inlineStr">
        <is>
          <t>Not stated on course page</t>
        </is>
      </c>
      <c r="N89" t="inlineStr"/>
      <c r="O89" t="n">
        <v>0</v>
      </c>
      <c r="P89" t="inlineStr"/>
      <c r="Q89" t="inlineStr">
        <is>
          <t>Filled</t>
        </is>
      </c>
      <c r="R89" t="n">
        <v>6.5</v>
      </c>
      <c r="S89" t="inlineStr">
        <is>
          <t>Central English policy</t>
        </is>
      </c>
      <c r="T89" t="inlineStr">
        <is>
          <t>Central rule applies (value agrees)</t>
        </is>
      </c>
      <c r="U89" t="inlineStr"/>
      <c r="V89" t="inlineStr">
        <is>
          <t>Not stated on course page</t>
        </is>
      </c>
      <c r="W89" t="inlineStr"/>
      <c r="X89" t="inlineStr"/>
      <c r="Y89" t="n">
        <v>2</v>
      </c>
      <c r="Z89" t="inlineStr">
        <is>
          <t>Yes</t>
        </is>
      </c>
      <c r="AA89" t="inlineStr">
        <is>
          <t>Filled</t>
        </is>
      </c>
      <c r="AB89" t="inlineStr">
        <is>
          <t>on campus</t>
        </is>
      </c>
      <c r="AC89" t="inlineStr"/>
      <c r="AD89" t="n">
        <v>0</v>
      </c>
      <c r="AE89" t="inlineStr"/>
      <c r="AF89" t="inlineStr"/>
      <c r="AG89" t="inlineStr"/>
      <c r="AH89" t="inlineStr">
        <is>
          <t>Yes</t>
        </is>
      </c>
      <c r="AI89" t="inlineStr"/>
      <c r="AJ89" t="inlineStr"/>
      <c r="AK89" t="inlineStr"/>
      <c r="AL89" t="inlineStr"/>
      <c r="AM89" t="inlineStr"/>
    </row>
    <row r="90">
      <c r="A90" t="inlineStr">
        <is>
          <t>064106E</t>
        </is>
      </c>
      <c r="B90" t="inlineStr">
        <is>
          <t>Bachelor of Engineering (Civil) and Bachelor of Design in Architecture</t>
        </is>
      </c>
      <c r="C90" t="inlineStr">
        <is>
          <t>Bachelor</t>
        </is>
      </c>
      <c r="D90" t="inlineStr">
        <is>
          <t>Undergraduate</t>
        </is>
      </c>
      <c r="E90" t="inlineStr">
        <is>
          <t>Page address no longer works</t>
        </is>
      </c>
      <c r="F90" t="inlineStr"/>
      <c r="G90" t="inlineStr">
        <is>
          <t>https://www.sydney.edu.au/courses/courses/uc/bachelor-of-engineering-civil-and-bachelor-of-design-in-architecture.html</t>
        </is>
      </c>
      <c r="H90" t="inlineStr">
        <is>
          <t>Address no longer works</t>
        </is>
      </c>
      <c r="I90" t="inlineStr"/>
      <c r="J90" t="inlineStr"/>
      <c r="K90" t="inlineStr">
        <is>
          <t>Finished, no page: every candidate address was refused by the reader or did not</t>
        </is>
      </c>
      <c r="L90" t="inlineStr">
        <is>
          <t>Page found, being read</t>
        </is>
      </c>
      <c r="M90" t="inlineStr">
        <is>
          <t>Page found, being read</t>
        </is>
      </c>
      <c r="N90" t="inlineStr"/>
      <c r="O90" t="n">
        <v>0</v>
      </c>
      <c r="P90" t="inlineStr"/>
      <c r="Q90" t="inlineStr">
        <is>
          <t>Filled</t>
        </is>
      </c>
      <c r="R90" t="n">
        <v>6.5</v>
      </c>
      <c r="S90" t="inlineStr">
        <is>
          <t>Central English policy</t>
        </is>
      </c>
      <c r="T90" t="inlineStr">
        <is>
          <t>Central rule applies (value agrees)</t>
        </is>
      </c>
      <c r="U90" t="inlineStr"/>
      <c r="V90" t="inlineStr">
        <is>
          <t>Page found, being read</t>
        </is>
      </c>
      <c r="W90" t="inlineStr"/>
      <c r="X90" t="inlineStr"/>
      <c r="Y90" t="n">
        <v>0</v>
      </c>
      <c r="Z90" t="inlineStr">
        <is>
          <t>Yes</t>
        </is>
      </c>
      <c r="AA90" t="inlineStr">
        <is>
          <t>Not stated on course page</t>
        </is>
      </c>
      <c r="AB90" t="inlineStr"/>
      <c r="AC90" t="inlineStr">
        <is>
          <t>Skipped: no allowed source had a value</t>
        </is>
      </c>
      <c r="AD90" t="n">
        <v>1</v>
      </c>
      <c r="AE90" t="inlineStr"/>
      <c r="AF90" t="inlineStr"/>
      <c r="AG90" t="inlineStr"/>
      <c r="AH90" t="inlineStr"/>
      <c r="AI90" t="inlineStr"/>
      <c r="AJ90" t="inlineStr"/>
      <c r="AK90" t="inlineStr"/>
      <c r="AL90" t="inlineStr"/>
      <c r="AM90" t="inlineStr"/>
    </row>
    <row r="91">
      <c r="A91" t="inlineStr">
        <is>
          <t>083109M</t>
        </is>
      </c>
      <c r="B91" t="inlineStr">
        <is>
          <t>Bachelor of Engineering (Honours)</t>
        </is>
      </c>
      <c r="C91" t="inlineStr">
        <is>
          <t>Bachelor Honours Degree</t>
        </is>
      </c>
      <c r="D91" t="inlineStr">
        <is>
          <t>Undergraduate</t>
        </is>
      </c>
      <c r="E91" t="inlineStr">
        <is>
          <t>Advertised: official page in place</t>
        </is>
      </c>
      <c r="F91" t="inlineStr">
        <is>
          <t>https://www.sydney.edu.au/courses/courses/uc/bachelor-of-engineering-honours-mechanical-engineering2.html</t>
        </is>
      </c>
      <c r="G91" t="inlineStr">
        <is>
          <t>https://www.sydney.edu.au/courses/courses/uc/bachelor-of-engineering-honours-mechanical-engineering2.html</t>
        </is>
      </c>
      <c r="H91" t="inlineStr">
        <is>
          <t>Read</t>
        </is>
      </c>
      <c r="I91" t="inlineStr">
        <is>
          <t>Exact title match</t>
        </is>
      </c>
      <c r="J91" t="inlineStr"/>
      <c r="K91" t="inlineStr">
        <is>
          <t>Not sent to re-link</t>
        </is>
      </c>
      <c r="L91" t="inlineStr">
        <is>
          <t>Filled</t>
        </is>
      </c>
      <c r="M91" t="inlineStr">
        <is>
          <t>Not stated on course page</t>
        </is>
      </c>
      <c r="N91" t="inlineStr"/>
      <c r="O91" t="n">
        <v>0</v>
      </c>
      <c r="P91" t="inlineStr"/>
      <c r="Q91" t="inlineStr">
        <is>
          <t>Filled</t>
        </is>
      </c>
      <c r="R91" t="n">
        <v>6.5</v>
      </c>
      <c r="S91" t="inlineStr">
        <is>
          <t>Central English policy</t>
        </is>
      </c>
      <c r="T91" t="inlineStr">
        <is>
          <t>Central rule applies (value agrees)</t>
        </is>
      </c>
      <c r="U91" t="inlineStr"/>
      <c r="V91" t="inlineStr">
        <is>
          <t>Not stated on course page</t>
        </is>
      </c>
      <c r="W91" t="inlineStr"/>
      <c r="X91" t="inlineStr"/>
      <c r="Y91" t="n">
        <v>2</v>
      </c>
      <c r="Z91" t="inlineStr">
        <is>
          <t>Yes</t>
        </is>
      </c>
      <c r="AA91" t="inlineStr">
        <is>
          <t>Filled</t>
        </is>
      </c>
      <c r="AB91" t="inlineStr">
        <is>
          <t>on campus</t>
        </is>
      </c>
      <c r="AC91" t="inlineStr"/>
      <c r="AD91" t="n">
        <v>0</v>
      </c>
      <c r="AE91" t="inlineStr"/>
      <c r="AF91" t="inlineStr"/>
      <c r="AG91" t="inlineStr"/>
      <c r="AH91" t="inlineStr">
        <is>
          <t>Yes</t>
        </is>
      </c>
      <c r="AI91" t="inlineStr"/>
      <c r="AJ91" t="inlineStr"/>
      <c r="AK91" t="inlineStr"/>
      <c r="AL91" t="inlineStr"/>
      <c r="AM91" t="inlineStr"/>
    </row>
    <row r="92">
      <c r="A92" t="inlineStr">
        <is>
          <t>083631D</t>
        </is>
      </c>
      <c r="B92" t="inlineStr">
        <is>
          <t>Bachelor of Engineering (Honours) and Bachelor of Arts</t>
        </is>
      </c>
      <c r="C92" t="inlineStr">
        <is>
          <t>Bachelor Honours Degree</t>
        </is>
      </c>
      <c r="D92" t="inlineStr">
        <is>
          <t>Undergraduate</t>
        </is>
      </c>
      <c r="E92" t="inlineStr">
        <is>
          <t>Advertised: official page in place</t>
        </is>
      </c>
      <c r="F92" t="inlineStr">
        <is>
          <t>https://www.sydney.edu.au/courses/courses/uc/bachelor-of-engineering-honours-and-bachelor-of-arts1.html</t>
        </is>
      </c>
      <c r="G92" t="inlineStr">
        <is>
          <t>https://www.sydney.edu.au/courses/courses/uc/bachelor-of-engineering-honours-and-bachelor-of-arts1.html</t>
        </is>
      </c>
      <c r="H92" t="inlineStr">
        <is>
          <t>Read</t>
        </is>
      </c>
      <c r="I92" t="inlineStr">
        <is>
          <t>Exact title match</t>
        </is>
      </c>
      <c r="J92" t="inlineStr"/>
      <c r="K92" t="inlineStr">
        <is>
          <t>Not sent to re-link</t>
        </is>
      </c>
      <c r="L92" t="inlineStr">
        <is>
          <t>Filled</t>
        </is>
      </c>
      <c r="M92" t="inlineStr">
        <is>
          <t>Not stated on course page</t>
        </is>
      </c>
      <c r="N92" t="inlineStr"/>
      <c r="O92" t="n">
        <v>0</v>
      </c>
      <c r="P92" t="inlineStr"/>
      <c r="Q92" t="inlineStr">
        <is>
          <t>Filled</t>
        </is>
      </c>
      <c r="R92" t="n">
        <v>6.5</v>
      </c>
      <c r="S92" t="inlineStr">
        <is>
          <t>Central English policy</t>
        </is>
      </c>
      <c r="T92" t="inlineStr">
        <is>
          <t>Central rule applies (value agrees)</t>
        </is>
      </c>
      <c r="U92" t="inlineStr"/>
      <c r="V92" t="inlineStr">
        <is>
          <t>Not stated on course page</t>
        </is>
      </c>
      <c r="W92" t="inlineStr"/>
      <c r="X92" t="inlineStr"/>
      <c r="Y92" t="n">
        <v>2</v>
      </c>
      <c r="Z92" t="inlineStr">
        <is>
          <t>Yes</t>
        </is>
      </c>
      <c r="AA92" t="inlineStr">
        <is>
          <t>Filled</t>
        </is>
      </c>
      <c r="AB92" t="inlineStr">
        <is>
          <t>on campus</t>
        </is>
      </c>
      <c r="AC92" t="inlineStr"/>
      <c r="AD92" t="n">
        <v>0</v>
      </c>
      <c r="AE92" t="inlineStr"/>
      <c r="AF92" t="inlineStr"/>
      <c r="AG92" t="inlineStr"/>
      <c r="AH92" t="inlineStr">
        <is>
          <t>Yes</t>
        </is>
      </c>
      <c r="AI92" t="inlineStr"/>
      <c r="AJ92" t="inlineStr"/>
      <c r="AK92" t="inlineStr"/>
      <c r="AL92" t="inlineStr"/>
      <c r="AM92" t="inlineStr"/>
    </row>
    <row r="93">
      <c r="A93" t="inlineStr">
        <is>
          <t>083632C</t>
        </is>
      </c>
      <c r="B93" t="inlineStr">
        <is>
          <t>Bachelor of Engineering (Honours) and Bachelor of Commerce</t>
        </is>
      </c>
      <c r="C93" t="inlineStr">
        <is>
          <t>Bachelor Honours Degree</t>
        </is>
      </c>
      <c r="D93" t="inlineStr">
        <is>
          <t>Undergraduate</t>
        </is>
      </c>
      <c r="E93" t="inlineStr">
        <is>
          <t>Advertised: official page in place</t>
        </is>
      </c>
      <c r="F93" t="inlineStr">
        <is>
          <t>https://www.sydney.edu.au/courses/courses/uc/bachelor-of-engineering-honours-and-bachelor-of-commerce0.html</t>
        </is>
      </c>
      <c r="G93" t="inlineStr">
        <is>
          <t>https://www.sydney.edu.au/courses/courses/uc/bachelor-of-engineering-honours-and-bachelor-of-commerce0.html</t>
        </is>
      </c>
      <c r="H93" t="inlineStr">
        <is>
          <t>Read</t>
        </is>
      </c>
      <c r="I93" t="inlineStr">
        <is>
          <t>Exact title match</t>
        </is>
      </c>
      <c r="J93" t="inlineStr"/>
      <c r="K93" t="inlineStr">
        <is>
          <t>Not sent to re-link</t>
        </is>
      </c>
      <c r="L93" t="inlineStr">
        <is>
          <t>Filled</t>
        </is>
      </c>
      <c r="M93" t="inlineStr">
        <is>
          <t>Not stated on course page</t>
        </is>
      </c>
      <c r="N93" t="inlineStr"/>
      <c r="O93" t="n">
        <v>0</v>
      </c>
      <c r="P93" t="inlineStr"/>
      <c r="Q93" t="inlineStr">
        <is>
          <t>Filled</t>
        </is>
      </c>
      <c r="R93" t="n">
        <v>6.5</v>
      </c>
      <c r="S93" t="inlineStr">
        <is>
          <t>Central English policy</t>
        </is>
      </c>
      <c r="T93" t="inlineStr">
        <is>
          <t>Central rule applies (value agrees)</t>
        </is>
      </c>
      <c r="U93" t="inlineStr"/>
      <c r="V93" t="inlineStr">
        <is>
          <t>Not stated on course page</t>
        </is>
      </c>
      <c r="W93" t="inlineStr"/>
      <c r="X93" t="inlineStr"/>
      <c r="Y93" t="n">
        <v>2</v>
      </c>
      <c r="Z93" t="inlineStr">
        <is>
          <t>Yes</t>
        </is>
      </c>
      <c r="AA93" t="inlineStr">
        <is>
          <t>Filled</t>
        </is>
      </c>
      <c r="AB93" t="inlineStr">
        <is>
          <t>on campus</t>
        </is>
      </c>
      <c r="AC93" t="inlineStr"/>
      <c r="AD93" t="n">
        <v>0</v>
      </c>
      <c r="AE93" t="inlineStr"/>
      <c r="AF93" t="inlineStr"/>
      <c r="AG93" t="inlineStr"/>
      <c r="AH93" t="inlineStr">
        <is>
          <t>Yes</t>
        </is>
      </c>
      <c r="AI93" t="inlineStr"/>
      <c r="AJ93" t="inlineStr"/>
      <c r="AK93" t="inlineStr"/>
      <c r="AL93" t="inlineStr"/>
      <c r="AM93" t="inlineStr"/>
    </row>
    <row r="94">
      <c r="A94" t="inlineStr">
        <is>
          <t>083633B</t>
        </is>
      </c>
      <c r="B94" t="inlineStr">
        <is>
          <t>Bachelor of Engineering (Honours) and Bachelor of Design in Architecture</t>
        </is>
      </c>
      <c r="C94" t="inlineStr">
        <is>
          <t>Bachelor Honours Degree</t>
        </is>
      </c>
      <c r="D94" t="inlineStr">
        <is>
          <t>Undergraduate</t>
        </is>
      </c>
      <c r="E94" t="inlineStr">
        <is>
          <t>Page address no longer works</t>
        </is>
      </c>
      <c r="F94" t="inlineStr"/>
      <c r="G94" t="inlineStr">
        <is>
          <t>https://www.sydney.edu.au/courses/courses/uc/bachelor-of-engineering-honours-and-bachelor-of-design-in-architecture.html</t>
        </is>
      </c>
      <c r="H94" t="inlineStr">
        <is>
          <t>Address no longer works</t>
        </is>
      </c>
      <c r="I94" t="inlineStr"/>
      <c r="J94" t="inlineStr"/>
      <c r="K94" t="inlineStr">
        <is>
          <t>Finished, no page: every candidate address was refused by the reader or did not</t>
        </is>
      </c>
      <c r="L94" t="inlineStr">
        <is>
          <t>Page found, being read</t>
        </is>
      </c>
      <c r="M94" t="inlineStr">
        <is>
          <t>Page found, being read</t>
        </is>
      </c>
      <c r="N94" t="inlineStr"/>
      <c r="O94" t="n">
        <v>0</v>
      </c>
      <c r="P94" t="inlineStr"/>
      <c r="Q94" t="inlineStr">
        <is>
          <t>Filled</t>
        </is>
      </c>
      <c r="R94" t="n">
        <v>6.5</v>
      </c>
      <c r="S94" t="inlineStr">
        <is>
          <t>Central English policy</t>
        </is>
      </c>
      <c r="T94" t="inlineStr">
        <is>
          <t>Central rule applies (value agrees)</t>
        </is>
      </c>
      <c r="U94" t="inlineStr"/>
      <c r="V94" t="inlineStr">
        <is>
          <t>Page found, being read</t>
        </is>
      </c>
      <c r="W94" t="inlineStr"/>
      <c r="X94" t="inlineStr"/>
      <c r="Y94" t="n">
        <v>0</v>
      </c>
      <c r="Z94" t="inlineStr">
        <is>
          <t>Yes</t>
        </is>
      </c>
      <c r="AA94" t="inlineStr">
        <is>
          <t>Not stated on course page</t>
        </is>
      </c>
      <c r="AB94" t="inlineStr"/>
      <c r="AC94" t="inlineStr">
        <is>
          <t>Skipped: no allowed source had a value</t>
        </is>
      </c>
      <c r="AD94" t="n">
        <v>1</v>
      </c>
      <c r="AE94" t="inlineStr"/>
      <c r="AF94" t="inlineStr"/>
      <c r="AG94" t="inlineStr"/>
      <c r="AH94" t="inlineStr"/>
      <c r="AI94" t="inlineStr"/>
      <c r="AJ94" t="inlineStr"/>
      <c r="AK94" t="inlineStr"/>
      <c r="AL94" t="inlineStr"/>
      <c r="AM94" t="inlineStr"/>
    </row>
    <row r="95">
      <c r="A95" t="inlineStr">
        <is>
          <t>083634A</t>
        </is>
      </c>
      <c r="B95" t="inlineStr">
        <is>
          <t>Bachelor of Engineering (Honours) and Bachelor of Laws</t>
        </is>
      </c>
      <c r="C95" t="inlineStr">
        <is>
          <t>Bachelor Honours Degree</t>
        </is>
      </c>
      <c r="D95" t="inlineStr">
        <is>
          <t>Undergraduate</t>
        </is>
      </c>
      <c r="E95" t="inlineStr">
        <is>
          <t>Advertised: official page in place</t>
        </is>
      </c>
      <c r="F95" t="inlineStr">
        <is>
          <t>https://www.sydney.edu.au/courses/courses/uc/bachelor-of-engineering-honours-and-bachelor-of-laws1.html</t>
        </is>
      </c>
      <c r="G95" t="inlineStr">
        <is>
          <t>https://www.sydney.edu.au/courses/courses/uc/bachelor-of-engineering-honours-and-bachelor-of-laws1.html</t>
        </is>
      </c>
      <c r="H95" t="inlineStr">
        <is>
          <t>Read</t>
        </is>
      </c>
      <c r="I95" t="inlineStr">
        <is>
          <t>Exact title match</t>
        </is>
      </c>
      <c r="J95" t="inlineStr"/>
      <c r="K95" t="inlineStr">
        <is>
          <t>Not sent to re-link</t>
        </is>
      </c>
      <c r="L95" t="inlineStr">
        <is>
          <t>Filled</t>
        </is>
      </c>
      <c r="M95" t="inlineStr">
        <is>
          <t>Not stated on course page</t>
        </is>
      </c>
      <c r="N95" t="inlineStr"/>
      <c r="O95" t="n">
        <v>0</v>
      </c>
      <c r="P95" t="inlineStr"/>
      <c r="Q95" t="inlineStr">
        <is>
          <t>Filled</t>
        </is>
      </c>
      <c r="R95" t="n">
        <v>6.5</v>
      </c>
      <c r="S95" t="inlineStr">
        <is>
          <t>Central English policy</t>
        </is>
      </c>
      <c r="T95" t="inlineStr">
        <is>
          <t>Central rule applies (value agrees)</t>
        </is>
      </c>
      <c r="U95" t="inlineStr"/>
      <c r="V95" t="inlineStr">
        <is>
          <t>Not stated on course page</t>
        </is>
      </c>
      <c r="W95" t="inlineStr"/>
      <c r="X95" t="inlineStr"/>
      <c r="Y95" t="n">
        <v>2</v>
      </c>
      <c r="Z95" t="inlineStr">
        <is>
          <t>Yes</t>
        </is>
      </c>
      <c r="AA95" t="inlineStr">
        <is>
          <t>Filled</t>
        </is>
      </c>
      <c r="AB95" t="inlineStr">
        <is>
          <t>on campus</t>
        </is>
      </c>
      <c r="AC95" t="inlineStr"/>
      <c r="AD95" t="n">
        <v>0</v>
      </c>
      <c r="AE95" t="inlineStr"/>
      <c r="AF95" t="inlineStr"/>
      <c r="AG95" t="inlineStr"/>
      <c r="AH95" t="inlineStr">
        <is>
          <t>Yes</t>
        </is>
      </c>
      <c r="AI95" t="inlineStr"/>
      <c r="AJ95" t="inlineStr"/>
      <c r="AK95" t="inlineStr"/>
      <c r="AL95" t="inlineStr"/>
      <c r="AM95" t="inlineStr"/>
    </row>
    <row r="96">
      <c r="A96" t="inlineStr">
        <is>
          <t>083635M</t>
        </is>
      </c>
      <c r="B96" t="inlineStr">
        <is>
          <t>Bachelor of Engineering (Honours) and Bachelor of Medical Science</t>
        </is>
      </c>
      <c r="C96" t="inlineStr">
        <is>
          <t>Bachelor Honours Degree</t>
        </is>
      </c>
      <c r="D96" t="inlineStr">
        <is>
          <t>Undergraduate</t>
        </is>
      </c>
      <c r="E96" t="inlineStr">
        <is>
          <t>Page address no longer works</t>
        </is>
      </c>
      <c r="F96" t="inlineStr"/>
      <c r="G96" t="inlineStr">
        <is>
          <t>https://www.sydney.edu.au/courses/courses/uc/bachelor-of-engineering-honours-and-bachelor-of-medical-science.html</t>
        </is>
      </c>
      <c r="H96" t="inlineStr">
        <is>
          <t>Address no longer works</t>
        </is>
      </c>
      <c r="I96" t="inlineStr"/>
      <c r="J96" t="inlineStr"/>
      <c r="K96" t="inlineStr">
        <is>
          <t>Finished, no page: every candidate address was refused by the reader or did not</t>
        </is>
      </c>
      <c r="L96" t="inlineStr">
        <is>
          <t>Page found, being read</t>
        </is>
      </c>
      <c r="M96" t="inlineStr">
        <is>
          <t>Page found, being read</t>
        </is>
      </c>
      <c r="N96" t="inlineStr"/>
      <c r="O96" t="n">
        <v>0</v>
      </c>
      <c r="P96" t="inlineStr"/>
      <c r="Q96" t="inlineStr">
        <is>
          <t>Filled</t>
        </is>
      </c>
      <c r="R96" t="n">
        <v>6.5</v>
      </c>
      <c r="S96" t="inlineStr">
        <is>
          <t>Central English policy</t>
        </is>
      </c>
      <c r="T96" t="inlineStr">
        <is>
          <t>Central rule applies (value agrees)</t>
        </is>
      </c>
      <c r="U96" t="inlineStr"/>
      <c r="V96" t="inlineStr">
        <is>
          <t>Page found, being read</t>
        </is>
      </c>
      <c r="W96" t="inlineStr"/>
      <c r="X96" t="inlineStr"/>
      <c r="Y96" t="n">
        <v>0</v>
      </c>
      <c r="Z96" t="inlineStr">
        <is>
          <t>Yes</t>
        </is>
      </c>
      <c r="AA96" t="inlineStr">
        <is>
          <t>Not stated on course page</t>
        </is>
      </c>
      <c r="AB96" t="inlineStr"/>
      <c r="AC96" t="inlineStr">
        <is>
          <t>Skipped: no allowed source had a value</t>
        </is>
      </c>
      <c r="AD96" t="n">
        <v>1</v>
      </c>
      <c r="AE96" t="inlineStr"/>
      <c r="AF96" t="inlineStr"/>
      <c r="AG96" t="inlineStr"/>
      <c r="AH96" t="inlineStr"/>
      <c r="AI96" t="inlineStr"/>
      <c r="AJ96" t="inlineStr"/>
      <c r="AK96" t="inlineStr"/>
      <c r="AL96" t="inlineStr"/>
      <c r="AM96" t="inlineStr"/>
    </row>
    <row r="97">
      <c r="A97" t="inlineStr">
        <is>
          <t>086272J</t>
        </is>
      </c>
      <c r="B97" t="inlineStr">
        <is>
          <t>Bachelor of Engineering (Honours) and Bachelor of Music Studies</t>
        </is>
      </c>
      <c r="C97" t="inlineStr">
        <is>
          <t>Bachelor Honours Degree</t>
        </is>
      </c>
      <c r="D97" t="inlineStr">
        <is>
          <t>Undergraduate</t>
        </is>
      </c>
      <c r="E97" t="inlineStr">
        <is>
          <t>Page address no longer works</t>
        </is>
      </c>
      <c r="F97" t="inlineStr"/>
      <c r="G97" t="inlineStr">
        <is>
          <t>https://www.sydney.edu.au/courses/courses/uc/bachelor-of-engineering-honours-and-bachelor-of-music-studies.html</t>
        </is>
      </c>
      <c r="H97" t="inlineStr">
        <is>
          <t>Address no longer works</t>
        </is>
      </c>
      <c r="I97" t="inlineStr"/>
      <c r="J97" t="inlineStr"/>
      <c r="K97" t="inlineStr">
        <is>
          <t>Finished, no page: every candidate address was refused by the reader or did not</t>
        </is>
      </c>
      <c r="L97" t="inlineStr">
        <is>
          <t>Page found, being read</t>
        </is>
      </c>
      <c r="M97" t="inlineStr">
        <is>
          <t>Page found, being read</t>
        </is>
      </c>
      <c r="N97" t="inlineStr"/>
      <c r="O97" t="n">
        <v>0</v>
      </c>
      <c r="P97" t="inlineStr"/>
      <c r="Q97" t="inlineStr">
        <is>
          <t>Filled</t>
        </is>
      </c>
      <c r="R97" t="n">
        <v>6.5</v>
      </c>
      <c r="S97" t="inlineStr">
        <is>
          <t>Central English policy</t>
        </is>
      </c>
      <c r="T97" t="inlineStr">
        <is>
          <t>Central rule applies (value agrees)</t>
        </is>
      </c>
      <c r="U97" t="inlineStr"/>
      <c r="V97" t="inlineStr">
        <is>
          <t>Page found, being read</t>
        </is>
      </c>
      <c r="W97" t="inlineStr"/>
      <c r="X97" t="inlineStr"/>
      <c r="Y97" t="n">
        <v>0</v>
      </c>
      <c r="Z97" t="inlineStr">
        <is>
          <t>Yes</t>
        </is>
      </c>
      <c r="AA97" t="inlineStr">
        <is>
          <t>Not stated on course page</t>
        </is>
      </c>
      <c r="AB97" t="inlineStr"/>
      <c r="AC97" t="inlineStr">
        <is>
          <t>Skipped: no allowed source had a value</t>
        </is>
      </c>
      <c r="AD97" t="n">
        <v>1</v>
      </c>
      <c r="AE97" t="inlineStr"/>
      <c r="AF97" t="inlineStr"/>
      <c r="AG97" t="inlineStr"/>
      <c r="AH97" t="inlineStr"/>
      <c r="AI97" t="inlineStr"/>
      <c r="AJ97" t="inlineStr"/>
      <c r="AK97" t="inlineStr"/>
      <c r="AL97" t="inlineStr"/>
      <c r="AM97" t="inlineStr"/>
    </row>
    <row r="98">
      <c r="A98" t="inlineStr">
        <is>
          <t>083636K</t>
        </is>
      </c>
      <c r="B98" t="inlineStr">
        <is>
          <t>Bachelor of Engineering (Honours) and Bachelor of Project Management</t>
        </is>
      </c>
      <c r="C98" t="inlineStr">
        <is>
          <t>Bachelor Honours Degree</t>
        </is>
      </c>
      <c r="D98" t="inlineStr">
        <is>
          <t>Undergraduate</t>
        </is>
      </c>
      <c r="E98" t="inlineStr">
        <is>
          <t>Advertised: official page in place</t>
        </is>
      </c>
      <c r="F98" t="inlineStr">
        <is>
          <t>https://www.sydney.edu.au/courses/courses/uc/bachelor-of-engineering-honours-and-bachelor-of-project-management.html</t>
        </is>
      </c>
      <c r="G98" t="inlineStr">
        <is>
          <t>https://www.sydney.edu.au/courses/courses/uc/bachelor-of-engineering-honours-and-bachelor-of-project-management.html</t>
        </is>
      </c>
      <c r="H98" t="inlineStr">
        <is>
          <t>Read</t>
        </is>
      </c>
      <c r="I98" t="inlineStr">
        <is>
          <t>Exact title match</t>
        </is>
      </c>
      <c r="J98" t="inlineStr"/>
      <c r="K98" t="inlineStr">
        <is>
          <t>Not sent to re-link</t>
        </is>
      </c>
      <c r="L98" t="inlineStr">
        <is>
          <t>Filled</t>
        </is>
      </c>
      <c r="M98" t="inlineStr">
        <is>
          <t>Not stated on course page</t>
        </is>
      </c>
      <c r="N98" t="inlineStr"/>
      <c r="O98" t="n">
        <v>0</v>
      </c>
      <c r="P98" t="inlineStr"/>
      <c r="Q98" t="inlineStr">
        <is>
          <t>Filled</t>
        </is>
      </c>
      <c r="R98" t="n">
        <v>6.5</v>
      </c>
      <c r="S98" t="inlineStr">
        <is>
          <t>Central English policy</t>
        </is>
      </c>
      <c r="T98" t="inlineStr">
        <is>
          <t>Central rule applies (value agrees)</t>
        </is>
      </c>
      <c r="U98" t="inlineStr"/>
      <c r="V98" t="inlineStr">
        <is>
          <t>Not stated on course page</t>
        </is>
      </c>
      <c r="W98" t="inlineStr"/>
      <c r="X98" t="inlineStr"/>
      <c r="Y98" t="n">
        <v>2</v>
      </c>
      <c r="Z98" t="inlineStr">
        <is>
          <t>Yes</t>
        </is>
      </c>
      <c r="AA98" t="inlineStr">
        <is>
          <t>Filled</t>
        </is>
      </c>
      <c r="AB98" t="inlineStr">
        <is>
          <t>on campus</t>
        </is>
      </c>
      <c r="AC98" t="inlineStr"/>
      <c r="AD98" t="n">
        <v>0</v>
      </c>
      <c r="AE98" t="inlineStr"/>
      <c r="AF98" t="inlineStr"/>
      <c r="AG98" t="inlineStr"/>
      <c r="AH98" t="inlineStr">
        <is>
          <t>Yes</t>
        </is>
      </c>
      <c r="AI98" t="inlineStr"/>
      <c r="AJ98" t="inlineStr"/>
      <c r="AK98" t="inlineStr"/>
      <c r="AL98" t="inlineStr"/>
      <c r="AM98" t="inlineStr"/>
    </row>
    <row r="99">
      <c r="A99" t="inlineStr">
        <is>
          <t>083637J</t>
        </is>
      </c>
      <c r="B99" t="inlineStr">
        <is>
          <t>Bachelor of Engineering (Honours) and Bachelor of Science</t>
        </is>
      </c>
      <c r="C99" t="inlineStr">
        <is>
          <t>Bachelor Honours Degree</t>
        </is>
      </c>
      <c r="D99" t="inlineStr">
        <is>
          <t>Undergraduate</t>
        </is>
      </c>
      <c r="E99" t="inlineStr">
        <is>
          <t>Advertised: official page in place</t>
        </is>
      </c>
      <c r="F99" t="inlineStr">
        <is>
          <t>https://www.sydney.edu.au/courses/courses/uc/bachelor-of-engineering-honours-and-bachelor-of-science1.html</t>
        </is>
      </c>
      <c r="G99" t="inlineStr">
        <is>
          <t>https://www.sydney.edu.au/courses/courses/uc/bachelor-of-engineering-honours-and-bachelor-of-science1.html</t>
        </is>
      </c>
      <c r="H99" t="inlineStr">
        <is>
          <t>Read</t>
        </is>
      </c>
      <c r="I99" t="inlineStr">
        <is>
          <t>Exact title match</t>
        </is>
      </c>
      <c r="J99" t="inlineStr"/>
      <c r="K99" t="inlineStr">
        <is>
          <t>Not sent to re-link</t>
        </is>
      </c>
      <c r="L99" t="inlineStr">
        <is>
          <t>Filled</t>
        </is>
      </c>
      <c r="M99" t="inlineStr">
        <is>
          <t>Not stated on course page</t>
        </is>
      </c>
      <c r="N99" t="inlineStr"/>
      <c r="O99" t="n">
        <v>0</v>
      </c>
      <c r="P99" t="inlineStr"/>
      <c r="Q99" t="inlineStr">
        <is>
          <t>Filled</t>
        </is>
      </c>
      <c r="R99" t="n">
        <v>6.5</v>
      </c>
      <c r="S99" t="inlineStr">
        <is>
          <t>Central English policy</t>
        </is>
      </c>
      <c r="T99" t="inlineStr">
        <is>
          <t>Central rule applies (value agrees)</t>
        </is>
      </c>
      <c r="U99" t="inlineStr"/>
      <c r="V99" t="inlineStr">
        <is>
          <t>Not stated on course page</t>
        </is>
      </c>
      <c r="W99" t="inlineStr"/>
      <c r="X99" t="inlineStr"/>
      <c r="Y99" t="n">
        <v>2</v>
      </c>
      <c r="Z99" t="inlineStr">
        <is>
          <t>Yes</t>
        </is>
      </c>
      <c r="AA99" t="inlineStr">
        <is>
          <t>Filled</t>
        </is>
      </c>
      <c r="AB99" t="inlineStr">
        <is>
          <t>on campus</t>
        </is>
      </c>
      <c r="AC99" t="inlineStr"/>
      <c r="AD99" t="n">
        <v>0</v>
      </c>
      <c r="AE99" t="inlineStr"/>
      <c r="AF99" t="inlineStr"/>
      <c r="AG99" t="inlineStr"/>
      <c r="AH99" t="inlineStr">
        <is>
          <t>Yes</t>
        </is>
      </c>
      <c r="AI99" t="inlineStr"/>
      <c r="AJ99" t="inlineStr"/>
      <c r="AK99" t="inlineStr"/>
      <c r="AL99" t="inlineStr"/>
      <c r="AM99" t="inlineStr"/>
    </row>
    <row r="100">
      <c r="A100" t="inlineStr">
        <is>
          <t>025100A</t>
        </is>
      </c>
      <c r="B100" t="inlineStr">
        <is>
          <t>Bachelor of Engineering / Bachelor of Arts</t>
        </is>
      </c>
      <c r="C100" t="inlineStr">
        <is>
          <t>Bachelor</t>
        </is>
      </c>
      <c r="D100" t="inlineStr">
        <is>
          <t>Undergraduate</t>
        </is>
      </c>
      <c r="E100" t="inlineStr">
        <is>
          <t>Page address no longer works</t>
        </is>
      </c>
      <c r="F100" t="inlineStr"/>
      <c r="G100" t="inlineStr">
        <is>
          <t>https://www.sydney.edu.au/courses/courses/uc/bachelor-of-engineering-bachelor-of-arts.html</t>
        </is>
      </c>
      <c r="H100" t="inlineStr">
        <is>
          <t>Address no longer works</t>
        </is>
      </c>
      <c r="I100" t="inlineStr"/>
      <c r="J100" t="inlineStr"/>
      <c r="K100" t="inlineStr">
        <is>
          <t>Finished, no page: every candidate address was refused by the reader or did not</t>
        </is>
      </c>
      <c r="L100" t="inlineStr">
        <is>
          <t>Page found, being read</t>
        </is>
      </c>
      <c r="M100" t="inlineStr">
        <is>
          <t>Page found, being read</t>
        </is>
      </c>
      <c r="N100" t="inlineStr"/>
      <c r="O100" t="n">
        <v>0</v>
      </c>
      <c r="P100" t="inlineStr"/>
      <c r="Q100" t="inlineStr">
        <is>
          <t>Filled</t>
        </is>
      </c>
      <c r="R100" t="n">
        <v>6.5</v>
      </c>
      <c r="S100" t="inlineStr">
        <is>
          <t>Central English policy</t>
        </is>
      </c>
      <c r="T100" t="inlineStr">
        <is>
          <t>Central rule applies (value agrees)</t>
        </is>
      </c>
      <c r="U100" t="inlineStr"/>
      <c r="V100" t="inlineStr">
        <is>
          <t>Page found, being read</t>
        </is>
      </c>
      <c r="W100" t="inlineStr"/>
      <c r="X100" t="inlineStr"/>
      <c r="Y100" t="n">
        <v>0</v>
      </c>
      <c r="Z100" t="inlineStr">
        <is>
          <t>Yes</t>
        </is>
      </c>
      <c r="AA100" t="inlineStr">
        <is>
          <t>Not stated on course page</t>
        </is>
      </c>
      <c r="AB100" t="inlineStr"/>
      <c r="AC100" t="inlineStr">
        <is>
          <t>Skipped: no allowed source had a value</t>
        </is>
      </c>
      <c r="AD100" t="n">
        <v>1</v>
      </c>
      <c r="AE100" t="inlineStr"/>
      <c r="AF100" t="inlineStr"/>
      <c r="AG100" t="inlineStr"/>
      <c r="AH100" t="inlineStr"/>
      <c r="AI100" t="inlineStr"/>
      <c r="AJ100" t="inlineStr"/>
      <c r="AK100" t="inlineStr"/>
      <c r="AL100" t="inlineStr"/>
      <c r="AM100" t="inlineStr"/>
    </row>
    <row r="101">
      <c r="A101" t="inlineStr">
        <is>
          <t>025102K</t>
        </is>
      </c>
      <c r="B101" t="inlineStr">
        <is>
          <t>Bachelor of Engineering / Bachelor of Commerce</t>
        </is>
      </c>
      <c r="C101" t="inlineStr">
        <is>
          <t>Bachelor</t>
        </is>
      </c>
      <c r="D101" t="inlineStr">
        <is>
          <t>Undergraduate</t>
        </is>
      </c>
      <c r="E101" t="inlineStr">
        <is>
          <t>Advertised: official page in place</t>
        </is>
      </c>
      <c r="F101" t="inlineStr">
        <is>
          <t>https://rp-handbooks.sydney.edu.au/handbooks/archive/2022/business_school/commerce_engineering/engineering_commerce.shtml.html</t>
        </is>
      </c>
      <c r="G101" t="inlineStr">
        <is>
          <t>https://rp-handbooks.sydney.edu.au/handbooks/archive/2022/business_school/commerce_engineering/engineering_commerce.shtml.html</t>
        </is>
      </c>
      <c r="H101" t="inlineStr">
        <is>
          <t>Read</t>
        </is>
      </c>
      <c r="I101" t="inlineStr">
        <is>
          <t>CRICOS code on page</t>
        </is>
      </c>
      <c r="J101" t="inlineStr"/>
      <c r="K101" t="inlineStr">
        <is>
          <t>Not sent to re-link</t>
        </is>
      </c>
      <c r="L101" t="inlineStr">
        <is>
          <t>Filled</t>
        </is>
      </c>
      <c r="M101" t="inlineStr">
        <is>
          <t>Not stated on course page</t>
        </is>
      </c>
      <c r="N101" t="inlineStr"/>
      <c r="O101" t="n">
        <v>0</v>
      </c>
      <c r="P101" t="inlineStr"/>
      <c r="Q101" t="inlineStr">
        <is>
          <t>Filled</t>
        </is>
      </c>
      <c r="R101" t="n">
        <v>6.5</v>
      </c>
      <c r="S101" t="inlineStr">
        <is>
          <t>Central English policy</t>
        </is>
      </c>
      <c r="T101" t="inlineStr">
        <is>
          <t>Central rule applies (value agrees)</t>
        </is>
      </c>
      <c r="U101" t="inlineStr"/>
      <c r="V101" t="inlineStr">
        <is>
          <t>Value found, being checked</t>
        </is>
      </c>
      <c r="W101" t="inlineStr"/>
      <c r="X101" t="inlineStr"/>
      <c r="Y101" t="n">
        <v>2</v>
      </c>
      <c r="Z101" t="inlineStr">
        <is>
          <t>Yes</t>
        </is>
      </c>
      <c r="AA101" t="inlineStr">
        <is>
          <t>Filled</t>
        </is>
      </c>
      <c r="AB101" t="inlineStr">
        <is>
          <t>on campus</t>
        </is>
      </c>
      <c r="AC101" t="inlineStr">
        <is>
          <t>Filled</t>
        </is>
      </c>
      <c r="AD101" t="n">
        <v>0</v>
      </c>
      <c r="AE101" t="inlineStr"/>
      <c r="AF101" t="inlineStr">
        <is>
          <t>Yes</t>
        </is>
      </c>
      <c r="AG101" t="inlineStr"/>
      <c r="AH101" t="inlineStr">
        <is>
          <t>Yes</t>
        </is>
      </c>
      <c r="AI101" t="inlineStr"/>
      <c r="AJ101" t="inlineStr"/>
      <c r="AK101" t="inlineStr"/>
      <c r="AL101" t="inlineStr"/>
      <c r="AM101" t="inlineStr"/>
    </row>
    <row r="102">
      <c r="A102" t="inlineStr">
        <is>
          <t>032885D</t>
        </is>
      </c>
      <c r="B102" t="inlineStr">
        <is>
          <t>Bachelor of Engineering / Bachelor of Laws</t>
        </is>
      </c>
      <c r="C102" t="inlineStr">
        <is>
          <t>Bachelor</t>
        </is>
      </c>
      <c r="D102" t="inlineStr">
        <is>
          <t>Undergraduate</t>
        </is>
      </c>
      <c r="E102" t="inlineStr">
        <is>
          <t>Page address no longer works</t>
        </is>
      </c>
      <c r="F102" t="inlineStr"/>
      <c r="G102" t="inlineStr">
        <is>
          <t>https://www.sydney.edu.au/courses/courses/uc/bachelor-of-engineering-bachelor-of-laws.html</t>
        </is>
      </c>
      <c r="H102" t="inlineStr">
        <is>
          <t>Address no longer works</t>
        </is>
      </c>
      <c r="I102" t="inlineStr"/>
      <c r="J102" t="inlineStr"/>
      <c r="K102" t="inlineStr">
        <is>
          <t>Finished, no page: every candidate address was refused by the reader or did not</t>
        </is>
      </c>
      <c r="L102" t="inlineStr">
        <is>
          <t>Page found, being read</t>
        </is>
      </c>
      <c r="M102" t="inlineStr">
        <is>
          <t>Page found, being read</t>
        </is>
      </c>
      <c r="N102" t="inlineStr"/>
      <c r="O102" t="n">
        <v>0</v>
      </c>
      <c r="P102" t="inlineStr"/>
      <c r="Q102" t="inlineStr">
        <is>
          <t>Filled</t>
        </is>
      </c>
      <c r="R102" t="n">
        <v>6.5</v>
      </c>
      <c r="S102" t="inlineStr">
        <is>
          <t>Central English policy</t>
        </is>
      </c>
      <c r="T102" t="inlineStr">
        <is>
          <t>Central rule applies (value agrees)</t>
        </is>
      </c>
      <c r="U102" t="inlineStr"/>
      <c r="V102" t="inlineStr">
        <is>
          <t>Page found, being read</t>
        </is>
      </c>
      <c r="W102" t="inlineStr"/>
      <c r="X102" t="inlineStr"/>
      <c r="Y102" t="n">
        <v>0</v>
      </c>
      <c r="Z102" t="inlineStr">
        <is>
          <t>Yes</t>
        </is>
      </c>
      <c r="AA102" t="inlineStr">
        <is>
          <t>Not stated on course page</t>
        </is>
      </c>
      <c r="AB102" t="inlineStr"/>
      <c r="AC102" t="inlineStr">
        <is>
          <t>Skipped: no allowed source had a value</t>
        </is>
      </c>
      <c r="AD102" t="n">
        <v>1</v>
      </c>
      <c r="AE102" t="inlineStr"/>
      <c r="AF102" t="inlineStr"/>
      <c r="AG102" t="inlineStr"/>
      <c r="AH102" t="inlineStr"/>
      <c r="AI102" t="inlineStr"/>
      <c r="AJ102" t="inlineStr"/>
      <c r="AK102" t="inlineStr"/>
      <c r="AL102" t="inlineStr"/>
      <c r="AM102" t="inlineStr"/>
    </row>
    <row r="103">
      <c r="A103" t="inlineStr">
        <is>
          <t>037177C</t>
        </is>
      </c>
      <c r="B103" t="inlineStr">
        <is>
          <t>Bachelor of Engineering / Bachelor of Medical Science</t>
        </is>
      </c>
      <c r="C103" t="inlineStr">
        <is>
          <t>Bachelor</t>
        </is>
      </c>
      <c r="D103" t="inlineStr">
        <is>
          <t>Undergraduate</t>
        </is>
      </c>
      <c r="E103" t="inlineStr">
        <is>
          <t>Page address no longer works</t>
        </is>
      </c>
      <c r="F103" t="inlineStr"/>
      <c r="G103" t="inlineStr">
        <is>
          <t>https://www.sydney.edu.au/courses/courses/uc/bachelor-of-engineering-bachelor-of-medical-science.html</t>
        </is>
      </c>
      <c r="H103" t="inlineStr">
        <is>
          <t>Address no longer works</t>
        </is>
      </c>
      <c r="I103" t="inlineStr"/>
      <c r="J103" t="inlineStr"/>
      <c r="K103" t="inlineStr">
        <is>
          <t>Finished, no page: every candidate address was refused by the reader or did not</t>
        </is>
      </c>
      <c r="L103" t="inlineStr">
        <is>
          <t>Page found, being read</t>
        </is>
      </c>
      <c r="M103" t="inlineStr">
        <is>
          <t>Page found, being read</t>
        </is>
      </c>
      <c r="N103" t="inlineStr"/>
      <c r="O103" t="n">
        <v>0</v>
      </c>
      <c r="P103" t="inlineStr"/>
      <c r="Q103" t="inlineStr">
        <is>
          <t>Filled</t>
        </is>
      </c>
      <c r="R103" t="n">
        <v>6.5</v>
      </c>
      <c r="S103" t="inlineStr">
        <is>
          <t>Central English policy</t>
        </is>
      </c>
      <c r="T103" t="inlineStr">
        <is>
          <t>Central rule applies (value agrees)</t>
        </is>
      </c>
      <c r="U103" t="inlineStr"/>
      <c r="V103" t="inlineStr">
        <is>
          <t>Page found, being read</t>
        </is>
      </c>
      <c r="W103" t="inlineStr"/>
      <c r="X103" t="inlineStr"/>
      <c r="Y103" t="n">
        <v>0</v>
      </c>
      <c r="Z103" t="inlineStr">
        <is>
          <t>Yes</t>
        </is>
      </c>
      <c r="AA103" t="inlineStr">
        <is>
          <t>Not stated on course page</t>
        </is>
      </c>
      <c r="AB103" t="inlineStr"/>
      <c r="AC103" t="inlineStr">
        <is>
          <t>Skipped: no allowed source had a value</t>
        </is>
      </c>
      <c r="AD103" t="n">
        <v>1</v>
      </c>
      <c r="AE103" t="inlineStr"/>
      <c r="AF103" t="inlineStr"/>
      <c r="AG103" t="inlineStr"/>
      <c r="AH103" t="inlineStr"/>
      <c r="AI103" t="inlineStr"/>
      <c r="AJ103" t="inlineStr"/>
      <c r="AK103" t="inlineStr"/>
      <c r="AL103" t="inlineStr"/>
      <c r="AM103" t="inlineStr"/>
    </row>
    <row r="104">
      <c r="A104" t="inlineStr">
        <is>
          <t>025101M</t>
        </is>
      </c>
      <c r="B104" t="inlineStr">
        <is>
          <t>Bachelor of Engineering / Bachelor of Science</t>
        </is>
      </c>
      <c r="C104" t="inlineStr">
        <is>
          <t>Bachelor</t>
        </is>
      </c>
      <c r="D104" t="inlineStr">
        <is>
          <t>Undergraduate</t>
        </is>
      </c>
      <c r="E104" t="inlineStr">
        <is>
          <t>Page address no longer works</t>
        </is>
      </c>
      <c r="F104" t="inlineStr"/>
      <c r="G104" t="inlineStr">
        <is>
          <t>https://www.sydney.edu.au/courses/courses/uc/bachelor-of-engineering-bachelor-of-science.html</t>
        </is>
      </c>
      <c r="H104" t="inlineStr">
        <is>
          <t>Address no longer works</t>
        </is>
      </c>
      <c r="I104" t="inlineStr"/>
      <c r="J104" t="inlineStr"/>
      <c r="K104" t="inlineStr">
        <is>
          <t>Finished, no page: every candidate address was refused by the reader or did not</t>
        </is>
      </c>
      <c r="L104" t="inlineStr">
        <is>
          <t>Page found, being read</t>
        </is>
      </c>
      <c r="M104" t="inlineStr">
        <is>
          <t>Page found, being read</t>
        </is>
      </c>
      <c r="N104" t="inlineStr"/>
      <c r="O104" t="n">
        <v>0</v>
      </c>
      <c r="P104" t="inlineStr"/>
      <c r="Q104" t="inlineStr">
        <is>
          <t>Filled</t>
        </is>
      </c>
      <c r="R104" t="n">
        <v>6.5</v>
      </c>
      <c r="S104" t="inlineStr">
        <is>
          <t>Central English policy</t>
        </is>
      </c>
      <c r="T104" t="inlineStr">
        <is>
          <t>Central rule applies (value agrees)</t>
        </is>
      </c>
      <c r="U104" t="inlineStr"/>
      <c r="V104" t="inlineStr">
        <is>
          <t>Page found, being read</t>
        </is>
      </c>
      <c r="W104" t="inlineStr"/>
      <c r="X104" t="inlineStr"/>
      <c r="Y104" t="n">
        <v>0</v>
      </c>
      <c r="Z104" t="inlineStr">
        <is>
          <t>Yes</t>
        </is>
      </c>
      <c r="AA104" t="inlineStr">
        <is>
          <t>Not stated on course page</t>
        </is>
      </c>
      <c r="AB104" t="inlineStr"/>
      <c r="AC104" t="inlineStr">
        <is>
          <t>Skipped: no allowed source had a value</t>
        </is>
      </c>
      <c r="AD104" t="n">
        <v>1</v>
      </c>
      <c r="AE104" t="inlineStr"/>
      <c r="AF104" t="inlineStr"/>
      <c r="AG104" t="inlineStr"/>
      <c r="AH104" t="inlineStr"/>
      <c r="AI104" t="inlineStr"/>
      <c r="AJ104" t="inlineStr"/>
      <c r="AK104" t="inlineStr"/>
      <c r="AL104" t="inlineStr"/>
      <c r="AM104" t="inlineStr"/>
    </row>
    <row r="105">
      <c r="A105" t="inlineStr">
        <is>
          <t>074382B</t>
        </is>
      </c>
      <c r="B105" t="inlineStr">
        <is>
          <t>Bachelor of Engineering and Bachelor of Project Management</t>
        </is>
      </c>
      <c r="C105" t="inlineStr">
        <is>
          <t>Bachelor</t>
        </is>
      </c>
      <c r="D105" t="inlineStr">
        <is>
          <t>Undergraduate</t>
        </is>
      </c>
      <c r="E105" t="inlineStr">
        <is>
          <t>Page address no longer works</t>
        </is>
      </c>
      <c r="F105" t="inlineStr"/>
      <c r="G105" t="inlineStr">
        <is>
          <t>https://www.sydney.edu.au/courses/courses/uc/bachelor-of-engineering-and-bachelor-of-project-management.html</t>
        </is>
      </c>
      <c r="H105" t="inlineStr">
        <is>
          <t>Address no longer works</t>
        </is>
      </c>
      <c r="I105" t="inlineStr"/>
      <c r="J105" t="inlineStr"/>
      <c r="K105" t="inlineStr">
        <is>
          <t>Finished, no page: every candidate address was refused by the reader or did not</t>
        </is>
      </c>
      <c r="L105" t="inlineStr">
        <is>
          <t>Page found, being read</t>
        </is>
      </c>
      <c r="M105" t="inlineStr">
        <is>
          <t>Page found, being read</t>
        </is>
      </c>
      <c r="N105" t="inlineStr"/>
      <c r="O105" t="n">
        <v>0</v>
      </c>
      <c r="P105" t="inlineStr"/>
      <c r="Q105" t="inlineStr">
        <is>
          <t>Filled</t>
        </is>
      </c>
      <c r="R105" t="n">
        <v>6.5</v>
      </c>
      <c r="S105" t="inlineStr">
        <is>
          <t>Central English policy</t>
        </is>
      </c>
      <c r="T105" t="inlineStr">
        <is>
          <t>Central rule applies (value agrees)</t>
        </is>
      </c>
      <c r="U105" t="inlineStr"/>
      <c r="V105" t="inlineStr">
        <is>
          <t>Page found, being read</t>
        </is>
      </c>
      <c r="W105" t="inlineStr"/>
      <c r="X105" t="inlineStr"/>
      <c r="Y105" t="n">
        <v>0</v>
      </c>
      <c r="Z105" t="inlineStr">
        <is>
          <t>Yes</t>
        </is>
      </c>
      <c r="AA105" t="inlineStr">
        <is>
          <t>Not stated on course page</t>
        </is>
      </c>
      <c r="AB105" t="inlineStr"/>
      <c r="AC105" t="inlineStr">
        <is>
          <t>Skipped: no allowed source had a value</t>
        </is>
      </c>
      <c r="AD105" t="n">
        <v>1</v>
      </c>
      <c r="AE105" t="inlineStr"/>
      <c r="AF105" t="inlineStr"/>
      <c r="AG105" t="inlineStr"/>
      <c r="AH105" t="inlineStr"/>
      <c r="AI105" t="inlineStr"/>
      <c r="AJ105" t="inlineStr"/>
      <c r="AK105" t="inlineStr"/>
      <c r="AL105" t="inlineStr"/>
      <c r="AM105" t="inlineStr"/>
    </row>
    <row r="106">
      <c r="A106" t="inlineStr">
        <is>
          <t>107885B</t>
        </is>
      </c>
      <c r="B106" t="inlineStr">
        <is>
          <t>Bachelor of Engineering Honours and Bachelor of Arts</t>
        </is>
      </c>
      <c r="C106" t="inlineStr">
        <is>
          <t>Bachelor Honours Degree</t>
        </is>
      </c>
      <c r="D106" t="inlineStr">
        <is>
          <t>Undergraduate</t>
        </is>
      </c>
      <c r="E106" t="inlineStr">
        <is>
          <t>Advertised: official page in place</t>
        </is>
      </c>
      <c r="F106" t="inlineStr">
        <is>
          <t>https://www.sydney.edu.au/courses/courses/uc/bachelor-of-engineering-honours-and-bachelor-of-arts1.html</t>
        </is>
      </c>
      <c r="G106" t="inlineStr">
        <is>
          <t>https://www.sydney.edu.au/courses/courses/uc/bachelor-of-engineering-honours-and-bachelor-of-arts1.html</t>
        </is>
      </c>
      <c r="H106" t="inlineStr">
        <is>
          <t>Read</t>
        </is>
      </c>
      <c r="I106" t="inlineStr">
        <is>
          <t>Exact title match</t>
        </is>
      </c>
      <c r="J106" t="inlineStr"/>
      <c r="K106" t="inlineStr">
        <is>
          <t>Not sent to re-link</t>
        </is>
      </c>
      <c r="L106" t="inlineStr">
        <is>
          <t>Filled</t>
        </is>
      </c>
      <c r="M106" t="inlineStr">
        <is>
          <t>Not stated on course page</t>
        </is>
      </c>
      <c r="N106" t="inlineStr"/>
      <c r="O106" t="n">
        <v>0</v>
      </c>
      <c r="P106" t="inlineStr"/>
      <c r="Q106" t="inlineStr">
        <is>
          <t>Filled</t>
        </is>
      </c>
      <c r="R106" t="n">
        <v>6.5</v>
      </c>
      <c r="S106" t="inlineStr">
        <is>
          <t>Central English policy</t>
        </is>
      </c>
      <c r="T106" t="inlineStr">
        <is>
          <t>Central rule applies (value agrees)</t>
        </is>
      </c>
      <c r="U106" t="inlineStr"/>
      <c r="V106" t="inlineStr">
        <is>
          <t>Not stated on course page</t>
        </is>
      </c>
      <c r="W106" t="inlineStr"/>
      <c r="X106" t="inlineStr"/>
      <c r="Y106" t="n">
        <v>2</v>
      </c>
      <c r="Z106" t="inlineStr">
        <is>
          <t>Yes</t>
        </is>
      </c>
      <c r="AA106" t="inlineStr">
        <is>
          <t>Filled</t>
        </is>
      </c>
      <c r="AB106" t="inlineStr">
        <is>
          <t>on campus</t>
        </is>
      </c>
      <c r="AC106" t="inlineStr"/>
      <c r="AD106" t="n">
        <v>0</v>
      </c>
      <c r="AE106" t="inlineStr"/>
      <c r="AF106" t="inlineStr"/>
      <c r="AG106" t="inlineStr"/>
      <c r="AH106" t="inlineStr">
        <is>
          <t>Yes</t>
        </is>
      </c>
      <c r="AI106" t="inlineStr"/>
      <c r="AJ106" t="inlineStr"/>
      <c r="AK106" t="inlineStr"/>
      <c r="AL106" t="inlineStr"/>
      <c r="AM106" t="inlineStr"/>
    </row>
    <row r="107">
      <c r="A107" t="inlineStr">
        <is>
          <t>107886A</t>
        </is>
      </c>
      <c r="B107" t="inlineStr">
        <is>
          <t>Bachelor of Engineering Honours and Bachelor of Commerce</t>
        </is>
      </c>
      <c r="C107" t="inlineStr">
        <is>
          <t>Bachelor Honours Degree</t>
        </is>
      </c>
      <c r="D107" t="inlineStr">
        <is>
          <t>Undergraduate</t>
        </is>
      </c>
      <c r="E107" t="inlineStr">
        <is>
          <t>Advertised: official page in place</t>
        </is>
      </c>
      <c r="F107" t="inlineStr">
        <is>
          <t>https://www.sydney.edu.au/courses/courses/uc/bachelor-of-engineering-honours-and-bachelor-of-commerce0.html</t>
        </is>
      </c>
      <c r="G107" t="inlineStr">
        <is>
          <t>https://www.sydney.edu.au/courses/courses/uc/bachelor-of-engineering-honours-and-bachelor-of-commerce0.html</t>
        </is>
      </c>
      <c r="H107" t="inlineStr">
        <is>
          <t>Read</t>
        </is>
      </c>
      <c r="I107" t="inlineStr">
        <is>
          <t>Exact title match</t>
        </is>
      </c>
      <c r="J107" t="inlineStr"/>
      <c r="K107" t="inlineStr">
        <is>
          <t>Not sent to re-link</t>
        </is>
      </c>
      <c r="L107" t="inlineStr">
        <is>
          <t>Filled</t>
        </is>
      </c>
      <c r="M107" t="inlineStr">
        <is>
          <t>Not stated on course page</t>
        </is>
      </c>
      <c r="N107" t="inlineStr"/>
      <c r="O107" t="n">
        <v>0</v>
      </c>
      <c r="P107" t="inlineStr"/>
      <c r="Q107" t="inlineStr">
        <is>
          <t>Filled</t>
        </is>
      </c>
      <c r="R107" t="n">
        <v>6.5</v>
      </c>
      <c r="S107" t="inlineStr">
        <is>
          <t>Central English policy</t>
        </is>
      </c>
      <c r="T107" t="inlineStr">
        <is>
          <t>Central rule applies (value agrees)</t>
        </is>
      </c>
      <c r="U107" t="inlineStr"/>
      <c r="V107" t="inlineStr">
        <is>
          <t>Not stated on course page</t>
        </is>
      </c>
      <c r="W107" t="inlineStr"/>
      <c r="X107" t="inlineStr"/>
      <c r="Y107" t="n">
        <v>2</v>
      </c>
      <c r="Z107" t="inlineStr">
        <is>
          <t>Yes</t>
        </is>
      </c>
      <c r="AA107" t="inlineStr">
        <is>
          <t>Filled</t>
        </is>
      </c>
      <c r="AB107" t="inlineStr">
        <is>
          <t>on campus</t>
        </is>
      </c>
      <c r="AC107" t="inlineStr"/>
      <c r="AD107" t="n">
        <v>0</v>
      </c>
      <c r="AE107" t="inlineStr"/>
      <c r="AF107" t="inlineStr"/>
      <c r="AG107" t="inlineStr"/>
      <c r="AH107" t="inlineStr">
        <is>
          <t>Yes</t>
        </is>
      </c>
      <c r="AI107" t="inlineStr"/>
      <c r="AJ107" t="inlineStr"/>
      <c r="AK107" t="inlineStr"/>
      <c r="AL107" t="inlineStr"/>
      <c r="AM107" t="inlineStr"/>
    </row>
    <row r="108">
      <c r="A108" t="inlineStr">
        <is>
          <t>107888K</t>
        </is>
      </c>
      <c r="B108" t="inlineStr">
        <is>
          <t>Bachelor of Engineering Honours and Bachelor of Laws</t>
        </is>
      </c>
      <c r="C108" t="inlineStr">
        <is>
          <t>Bachelor Honours Degree</t>
        </is>
      </c>
      <c r="D108" t="inlineStr">
        <is>
          <t>Undergraduate</t>
        </is>
      </c>
      <c r="E108" t="inlineStr">
        <is>
          <t>Advertised: official page in place</t>
        </is>
      </c>
      <c r="F108" t="inlineStr">
        <is>
          <t>https://www.sydney.edu.au/courses/courses/uc/bachelor-of-engineering-honours-and-bachelor-of-laws1.html</t>
        </is>
      </c>
      <c r="G108" t="inlineStr">
        <is>
          <t>https://www.sydney.edu.au/courses/courses/uc/bachelor-of-engineering-honours-and-bachelor-of-laws1.html</t>
        </is>
      </c>
      <c r="H108" t="inlineStr">
        <is>
          <t>Read</t>
        </is>
      </c>
      <c r="I108" t="inlineStr">
        <is>
          <t>Exact title match</t>
        </is>
      </c>
      <c r="J108" t="inlineStr"/>
      <c r="K108" t="inlineStr">
        <is>
          <t>Not sent to re-link</t>
        </is>
      </c>
      <c r="L108" t="inlineStr">
        <is>
          <t>Filled</t>
        </is>
      </c>
      <c r="M108" t="inlineStr">
        <is>
          <t>Not stated on course page</t>
        </is>
      </c>
      <c r="N108" t="inlineStr"/>
      <c r="O108" t="n">
        <v>0</v>
      </c>
      <c r="P108" t="inlineStr"/>
      <c r="Q108" t="inlineStr">
        <is>
          <t>Filled</t>
        </is>
      </c>
      <c r="R108" t="n">
        <v>6.5</v>
      </c>
      <c r="S108" t="inlineStr">
        <is>
          <t>Central English policy</t>
        </is>
      </c>
      <c r="T108" t="inlineStr">
        <is>
          <t>Central rule applies (value agrees)</t>
        </is>
      </c>
      <c r="U108" t="inlineStr"/>
      <c r="V108" t="inlineStr">
        <is>
          <t>Not stated on course page</t>
        </is>
      </c>
      <c r="W108" t="inlineStr"/>
      <c r="X108" t="inlineStr"/>
      <c r="Y108" t="n">
        <v>2</v>
      </c>
      <c r="Z108" t="inlineStr">
        <is>
          <t>Yes</t>
        </is>
      </c>
      <c r="AA108" t="inlineStr">
        <is>
          <t>Filled</t>
        </is>
      </c>
      <c r="AB108" t="inlineStr">
        <is>
          <t>on campus</t>
        </is>
      </c>
      <c r="AC108" t="inlineStr"/>
      <c r="AD108" t="n">
        <v>0</v>
      </c>
      <c r="AE108" t="inlineStr"/>
      <c r="AF108" t="inlineStr"/>
      <c r="AG108" t="inlineStr"/>
      <c r="AH108" t="inlineStr">
        <is>
          <t>Yes</t>
        </is>
      </c>
      <c r="AI108" t="inlineStr"/>
      <c r="AJ108" t="inlineStr"/>
      <c r="AK108" t="inlineStr"/>
      <c r="AL108" t="inlineStr"/>
      <c r="AM108" t="inlineStr"/>
    </row>
    <row r="109">
      <c r="A109" t="inlineStr">
        <is>
          <t>068774C</t>
        </is>
      </c>
      <c r="B109" t="inlineStr">
        <is>
          <t>Bachelor of Environmental Systems</t>
        </is>
      </c>
      <c r="C109" t="inlineStr">
        <is>
          <t>Bachelor</t>
        </is>
      </c>
      <c r="D109" t="inlineStr">
        <is>
          <t>Undergraduate</t>
        </is>
      </c>
      <c r="E109" t="inlineStr">
        <is>
          <t>Held: page found is for another course</t>
        </is>
      </c>
      <c r="F109" t="inlineStr"/>
      <c r="G109" t="inlineStr">
        <is>
          <t>https://rp-handbooks.sydney.edu.au/handbooks/archive/2016/agriculture/undergraduate/b_environmental_systems_units_of_study_tables.shtml.html</t>
        </is>
      </c>
      <c r="H109" t="inlineStr">
        <is>
          <t>Not a course page</t>
        </is>
      </c>
      <c r="I109" t="inlineStr"/>
      <c r="J109" t="inlineStr"/>
      <c r="K109" t="inlineStr">
        <is>
          <t>Not sent to re-link</t>
        </is>
      </c>
      <c r="L109" t="inlineStr">
        <is>
          <t>Not stated on course page</t>
        </is>
      </c>
      <c r="M109" t="inlineStr">
        <is>
          <t>Not stated on course page</t>
        </is>
      </c>
      <c r="N109" t="inlineStr"/>
      <c r="O109" t="n">
        <v>0</v>
      </c>
      <c r="P109" t="inlineStr"/>
      <c r="Q109" t="inlineStr">
        <is>
          <t>Filled</t>
        </is>
      </c>
      <c r="R109" t="n">
        <v>6.5</v>
      </c>
      <c r="S109" t="inlineStr">
        <is>
          <t>Central English policy</t>
        </is>
      </c>
      <c r="T109" t="inlineStr">
        <is>
          <t>Central rule applies (value agrees)</t>
        </is>
      </c>
      <c r="U109" t="inlineStr"/>
      <c r="V109" t="inlineStr">
        <is>
          <t>Not stated on course page</t>
        </is>
      </c>
      <c r="W109" t="inlineStr"/>
      <c r="X109" t="inlineStr"/>
      <c r="Y109" t="n">
        <v>2</v>
      </c>
      <c r="Z109" t="inlineStr">
        <is>
          <t>Yes</t>
        </is>
      </c>
      <c r="AA109" t="inlineStr">
        <is>
          <t>Not stated on course page</t>
        </is>
      </c>
      <c r="AB109" t="inlineStr"/>
      <c r="AC109" t="inlineStr">
        <is>
          <t>Skipped: the page does not state it</t>
        </is>
      </c>
      <c r="AD109" t="n">
        <v>0</v>
      </c>
      <c r="AE109" t="inlineStr"/>
      <c r="AF109" t="inlineStr"/>
      <c r="AG109" t="inlineStr"/>
      <c r="AH109" t="inlineStr"/>
      <c r="AI109" t="inlineStr"/>
      <c r="AJ109" t="inlineStr"/>
      <c r="AK109" t="inlineStr"/>
      <c r="AL109" t="inlineStr"/>
      <c r="AM109" t="inlineStr"/>
    </row>
    <row r="110">
      <c r="A110" t="inlineStr">
        <is>
          <t>077462M</t>
        </is>
      </c>
      <c r="B110" t="inlineStr">
        <is>
          <t>Bachelor of Environmental Systems (Honours)</t>
        </is>
      </c>
      <c r="C110" t="inlineStr">
        <is>
          <t>Bachelor Honours Degree</t>
        </is>
      </c>
      <c r="D110" t="inlineStr">
        <is>
          <t>Undergraduate</t>
        </is>
      </c>
      <c r="E110" t="inlineStr">
        <is>
          <t>Page found, needs a rendered read</t>
        </is>
      </c>
      <c r="F110" t="inlineStr"/>
      <c r="G110" t="inlineStr">
        <is>
          <t>https://www.sydney.edu.au/courses/courses/uc/bachelor-of-environmental-systems-honours.html</t>
        </is>
      </c>
      <c r="H110" t="inlineStr">
        <is>
          <t>Needs a rendered read</t>
        </is>
      </c>
      <c r="I110" t="inlineStr"/>
      <c r="J110" t="inlineStr"/>
      <c r="K110" t="inlineStr">
        <is>
          <t>Finished, no page: every candidate address was refused by the reader or did not</t>
        </is>
      </c>
      <c r="L110" t="inlineStr">
        <is>
          <t>Page found, being read</t>
        </is>
      </c>
      <c r="M110" t="inlineStr">
        <is>
          <t>Page found, being read</t>
        </is>
      </c>
      <c r="N110" t="inlineStr"/>
      <c r="O110" t="n">
        <v>0</v>
      </c>
      <c r="P110" t="inlineStr"/>
      <c r="Q110" t="inlineStr">
        <is>
          <t>Filled</t>
        </is>
      </c>
      <c r="R110" t="n">
        <v>6.5</v>
      </c>
      <c r="S110" t="inlineStr">
        <is>
          <t>Central English policy</t>
        </is>
      </c>
      <c r="T110" t="inlineStr">
        <is>
          <t>Central rule applies (value agrees)</t>
        </is>
      </c>
      <c r="U110" t="inlineStr"/>
      <c r="V110" t="inlineStr">
        <is>
          <t>Page found, being read</t>
        </is>
      </c>
      <c r="W110" t="inlineStr"/>
      <c r="X110" t="inlineStr"/>
      <c r="Y110" t="n">
        <v>0</v>
      </c>
      <c r="Z110" t="inlineStr">
        <is>
          <t>Yes</t>
        </is>
      </c>
      <c r="AA110" t="inlineStr">
        <is>
          <t>Not stated on course page</t>
        </is>
      </c>
      <c r="AB110" t="inlineStr"/>
      <c r="AC110" t="inlineStr">
        <is>
          <t>Skipped: no allowed source had a value</t>
        </is>
      </c>
      <c r="AD110" t="n">
        <v>1</v>
      </c>
      <c r="AE110" t="inlineStr">
        <is>
          <t>Yes</t>
        </is>
      </c>
      <c r="AF110" t="inlineStr"/>
      <c r="AG110" t="inlineStr"/>
      <c r="AH110" t="inlineStr"/>
      <c r="AI110" t="inlineStr"/>
      <c r="AJ110" t="inlineStr"/>
      <c r="AK110" t="inlineStr"/>
      <c r="AL110" t="inlineStr"/>
      <c r="AM110" t="inlineStr"/>
    </row>
    <row r="111">
      <c r="A111" t="inlineStr">
        <is>
          <t>079022G</t>
        </is>
      </c>
      <c r="B111" t="inlineStr">
        <is>
          <t>Bachelor of Food and Agribusiness</t>
        </is>
      </c>
      <c r="C111" t="inlineStr">
        <is>
          <t>Bachelor</t>
        </is>
      </c>
      <c r="D111" t="inlineStr">
        <is>
          <t>Undergraduate</t>
        </is>
      </c>
      <c r="E111" t="inlineStr">
        <is>
          <t>Held: page found is for another course</t>
        </is>
      </c>
      <c r="F111" t="inlineStr"/>
      <c r="G111" t="inlineStr">
        <is>
          <t>https://rp-handbooks.sydney.edu.au/handbooks/archive/2016/agriculture/undergraduate/b_food_agribusiness_units_of_study.shtml.html</t>
        </is>
      </c>
      <c r="H111" t="inlineStr">
        <is>
          <t>Not a course page</t>
        </is>
      </c>
      <c r="I111" t="inlineStr"/>
      <c r="J111" t="inlineStr"/>
      <c r="K111" t="inlineStr">
        <is>
          <t>Not sent to re-link</t>
        </is>
      </c>
      <c r="L111" t="inlineStr">
        <is>
          <t>Not stated on course page</t>
        </is>
      </c>
      <c r="M111" t="inlineStr">
        <is>
          <t>Not stated on course page</t>
        </is>
      </c>
      <c r="N111" t="inlineStr"/>
      <c r="O111" t="n">
        <v>0</v>
      </c>
      <c r="P111" t="inlineStr"/>
      <c r="Q111" t="inlineStr">
        <is>
          <t>Filled</t>
        </is>
      </c>
      <c r="R111" t="n">
        <v>6.5</v>
      </c>
      <c r="S111" t="inlineStr">
        <is>
          <t>Central English policy</t>
        </is>
      </c>
      <c r="T111" t="inlineStr">
        <is>
          <t>Central rule applies (value agrees)</t>
        </is>
      </c>
      <c r="U111" t="inlineStr"/>
      <c r="V111" t="inlineStr">
        <is>
          <t>Waiting for Layer 4 review</t>
        </is>
      </c>
      <c r="W111" t="inlineStr"/>
      <c r="X111" t="inlineStr"/>
      <c r="Y111" t="n">
        <v>2</v>
      </c>
      <c r="Z111" t="inlineStr">
        <is>
          <t>Yes</t>
        </is>
      </c>
      <c r="AA111" t="inlineStr">
        <is>
          <t>Not stated on course page</t>
        </is>
      </c>
      <c r="AB111" t="inlineStr"/>
      <c r="AC111" t="inlineStr">
        <is>
          <t>Skipped: taken back: the page read was another course's page</t>
        </is>
      </c>
      <c r="AD111" t="n">
        <v>1</v>
      </c>
      <c r="AE111" t="inlineStr"/>
      <c r="AF111" t="inlineStr">
        <is>
          <t>Yes</t>
        </is>
      </c>
      <c r="AG111" t="inlineStr"/>
      <c r="AH111" t="inlineStr"/>
      <c r="AI111" t="inlineStr"/>
      <c r="AJ111" t="inlineStr"/>
      <c r="AK111" t="inlineStr"/>
      <c r="AL111" t="inlineStr"/>
      <c r="AM111" t="inlineStr"/>
    </row>
    <row r="112">
      <c r="A112" t="inlineStr">
        <is>
          <t>057898D</t>
        </is>
      </c>
      <c r="B112" t="inlineStr">
        <is>
          <t>Bachelor of Global Studies</t>
        </is>
      </c>
      <c r="C112" t="inlineStr">
        <is>
          <t>Bachelor</t>
        </is>
      </c>
      <c r="D112" t="inlineStr">
        <is>
          <t>Undergraduate</t>
        </is>
      </c>
      <c r="E112" t="inlineStr">
        <is>
          <t>Page address no longer works</t>
        </is>
      </c>
      <c r="F112" t="inlineStr"/>
      <c r="G112" t="inlineStr">
        <is>
          <t>https://www.sydney.edu.au/courses/courses/uc/bachelor-of-global-studies.html</t>
        </is>
      </c>
      <c r="H112" t="inlineStr">
        <is>
          <t>Address no longer works</t>
        </is>
      </c>
      <c r="I112" t="inlineStr"/>
      <c r="J112" t="inlineStr"/>
      <c r="K112" t="inlineStr">
        <is>
          <t>Finished, no page: every candidate address was refused by the reader or did not</t>
        </is>
      </c>
      <c r="L112" t="inlineStr">
        <is>
          <t>Page found, being read</t>
        </is>
      </c>
      <c r="M112" t="inlineStr">
        <is>
          <t>Page found, being read</t>
        </is>
      </c>
      <c r="N112" t="inlineStr"/>
      <c r="O112" t="n">
        <v>0</v>
      </c>
      <c r="P112" t="inlineStr"/>
      <c r="Q112" t="inlineStr">
        <is>
          <t>Filled</t>
        </is>
      </c>
      <c r="R112" t="n">
        <v>6.5</v>
      </c>
      <c r="S112" t="inlineStr">
        <is>
          <t>Central English policy</t>
        </is>
      </c>
      <c r="T112" t="inlineStr">
        <is>
          <t>Central rule applies (value agrees)</t>
        </is>
      </c>
      <c r="U112" t="inlineStr"/>
      <c r="V112" t="inlineStr">
        <is>
          <t>Page found, being read</t>
        </is>
      </c>
      <c r="W112" t="inlineStr"/>
      <c r="X112" t="inlineStr"/>
      <c r="Y112" t="n">
        <v>0</v>
      </c>
      <c r="Z112" t="inlineStr">
        <is>
          <t>Yes</t>
        </is>
      </c>
      <c r="AA112" t="inlineStr">
        <is>
          <t>Not stated on course page</t>
        </is>
      </c>
      <c r="AB112" t="inlineStr"/>
      <c r="AC112" t="inlineStr">
        <is>
          <t>Skipped: the page does not state it</t>
        </is>
      </c>
      <c r="AD112" t="n">
        <v>0</v>
      </c>
      <c r="AE112" t="inlineStr"/>
      <c r="AF112" t="inlineStr"/>
      <c r="AG112" t="inlineStr"/>
      <c r="AH112" t="inlineStr"/>
      <c r="AI112" t="inlineStr"/>
      <c r="AJ112" t="inlineStr"/>
      <c r="AK112" t="inlineStr"/>
      <c r="AL112" t="inlineStr"/>
      <c r="AM112" t="inlineStr"/>
    </row>
    <row r="113">
      <c r="A113" t="inlineStr">
        <is>
          <t>058961E</t>
        </is>
      </c>
      <c r="B113" t="inlineStr">
        <is>
          <t>Bachelor of Health Sciences (Honours)</t>
        </is>
      </c>
      <c r="C113" t="inlineStr">
        <is>
          <t>Bachelor Honours Degree</t>
        </is>
      </c>
      <c r="D113" t="inlineStr">
        <is>
          <t>Undergraduate</t>
        </is>
      </c>
      <c r="E113" t="inlineStr">
        <is>
          <t>Advertised: official page in place</t>
        </is>
      </c>
      <c r="F113" t="inlineStr">
        <is>
          <t>https://www.sydney.edu.au/courses/courses/uc/bachelor-of-health-sciences-honours.html</t>
        </is>
      </c>
      <c r="G113" t="inlineStr">
        <is>
          <t>https://www.sydney.edu.au/courses/courses/uc/bachelor-of-health-sciences-honours.html</t>
        </is>
      </c>
      <c r="H113" t="inlineStr">
        <is>
          <t>Read</t>
        </is>
      </c>
      <c r="I113" t="inlineStr">
        <is>
          <t>Exact title match</t>
        </is>
      </c>
      <c r="J113" t="inlineStr"/>
      <c r="K113" t="inlineStr">
        <is>
          <t>Not sent to re-link</t>
        </is>
      </c>
      <c r="L113" t="inlineStr">
        <is>
          <t>Filled</t>
        </is>
      </c>
      <c r="M113" t="inlineStr">
        <is>
          <t>Not stated on course page</t>
        </is>
      </c>
      <c r="N113" t="inlineStr"/>
      <c r="O113" t="n">
        <v>0</v>
      </c>
      <c r="P113" t="inlineStr"/>
      <c r="Q113" t="inlineStr">
        <is>
          <t>Filled</t>
        </is>
      </c>
      <c r="R113" t="n">
        <v>6.5</v>
      </c>
      <c r="S113" t="inlineStr">
        <is>
          <t>Central English policy</t>
        </is>
      </c>
      <c r="T113" t="inlineStr">
        <is>
          <t>Central rule applies (value agrees)</t>
        </is>
      </c>
      <c r="U113" t="inlineStr"/>
      <c r="V113" t="inlineStr">
        <is>
          <t>Filled</t>
        </is>
      </c>
      <c r="W113" t="inlineStr">
        <is>
          <t>February</t>
        </is>
      </c>
      <c r="X113" t="inlineStr">
        <is>
          <t>Other</t>
        </is>
      </c>
      <c r="Y113" t="n">
        <v>0</v>
      </c>
      <c r="Z113" t="inlineStr">
        <is>
          <t>Yes</t>
        </is>
      </c>
      <c r="AA113" t="inlineStr">
        <is>
          <t>Filled</t>
        </is>
      </c>
      <c r="AB113" t="inlineStr">
        <is>
          <t>on campus</t>
        </is>
      </c>
      <c r="AC113" t="inlineStr"/>
      <c r="AD113" t="n">
        <v>0</v>
      </c>
      <c r="AE113" t="inlineStr"/>
      <c r="AF113" t="inlineStr"/>
      <c r="AG113" t="inlineStr"/>
      <c r="AH113" t="inlineStr"/>
      <c r="AI113" t="inlineStr"/>
      <c r="AJ113" t="inlineStr"/>
      <c r="AK113" t="inlineStr"/>
      <c r="AL113" t="inlineStr"/>
      <c r="AM113" t="inlineStr"/>
    </row>
    <row r="114">
      <c r="A114" t="inlineStr">
        <is>
          <t>062100E</t>
        </is>
      </c>
      <c r="B114" t="inlineStr">
        <is>
          <t>Bachelor of Information Technologies and Bachelor of Commerce</t>
        </is>
      </c>
      <c r="C114" t="inlineStr">
        <is>
          <t>Bachelor</t>
        </is>
      </c>
      <c r="D114" t="inlineStr">
        <is>
          <t>Undergraduate</t>
        </is>
      </c>
      <c r="E114" t="inlineStr">
        <is>
          <t>Held: page found is for another course</t>
        </is>
      </c>
      <c r="F114" t="inlineStr"/>
      <c r="G114" t="inlineStr">
        <is>
          <t>https://rp-handbooks.sydney.edu.au/handbooks/archive/2016/business_school/b_commerce_engineering/b_it_com.shtml.html</t>
        </is>
      </c>
      <c r="H114" t="inlineStr">
        <is>
          <t>Not a course page</t>
        </is>
      </c>
      <c r="I114" t="inlineStr"/>
      <c r="J114" t="inlineStr"/>
      <c r="K114" t="inlineStr">
        <is>
          <t>Not sent to re-link</t>
        </is>
      </c>
      <c r="L114" t="inlineStr">
        <is>
          <t>Not stated on course page</t>
        </is>
      </c>
      <c r="M114" t="inlineStr">
        <is>
          <t>Not stated on course page</t>
        </is>
      </c>
      <c r="N114" t="inlineStr"/>
      <c r="O114" t="n">
        <v>0</v>
      </c>
      <c r="P114" t="inlineStr"/>
      <c r="Q114" t="inlineStr">
        <is>
          <t>Filled</t>
        </is>
      </c>
      <c r="R114" t="n">
        <v>6.5</v>
      </c>
      <c r="S114" t="inlineStr">
        <is>
          <t>Central English policy</t>
        </is>
      </c>
      <c r="T114" t="inlineStr">
        <is>
          <t>Central rule applies (value agrees)</t>
        </is>
      </c>
      <c r="U114" t="inlineStr"/>
      <c r="V114" t="inlineStr">
        <is>
          <t>Not stated on course page</t>
        </is>
      </c>
      <c r="W114" t="inlineStr"/>
      <c r="X114" t="inlineStr"/>
      <c r="Y114" t="n">
        <v>2</v>
      </c>
      <c r="Z114" t="inlineStr">
        <is>
          <t>Yes</t>
        </is>
      </c>
      <c r="AA114" t="inlineStr">
        <is>
          <t>Not stated on course page</t>
        </is>
      </c>
      <c r="AB114" t="inlineStr"/>
      <c r="AC114" t="inlineStr">
        <is>
          <t>Skipped: taken back: the page read was another course's page</t>
        </is>
      </c>
      <c r="AD114" t="n">
        <v>1</v>
      </c>
      <c r="AE114" t="inlineStr"/>
      <c r="AF114" t="inlineStr"/>
      <c r="AG114" t="inlineStr"/>
      <c r="AH114" t="inlineStr"/>
      <c r="AI114" t="inlineStr"/>
      <c r="AJ114" t="inlineStr"/>
      <c r="AK114" t="inlineStr"/>
      <c r="AL114" t="inlineStr"/>
      <c r="AM114" t="inlineStr"/>
    </row>
    <row r="115">
      <c r="A115" t="inlineStr">
        <is>
          <t>039120D</t>
        </is>
      </c>
      <c r="B115" t="inlineStr">
        <is>
          <t>Bachelor of Information Technology</t>
        </is>
      </c>
      <c r="C115" t="inlineStr">
        <is>
          <t>Bachelor</t>
        </is>
      </c>
      <c r="D115" t="inlineStr">
        <is>
          <t>Undergraduate</t>
        </is>
      </c>
      <c r="E115" t="inlineStr">
        <is>
          <t>Held: page found is for another course</t>
        </is>
      </c>
      <c r="F115" t="inlineStr"/>
      <c r="G115" t="inlineStr">
        <is>
          <t>https://rp-handbooks.sydney.edu.au/handbooks/archive/2016/engineering/information_technology/information_technology.shtml.html</t>
        </is>
      </c>
      <c r="H115" t="inlineStr">
        <is>
          <t>Not a course page</t>
        </is>
      </c>
      <c r="I115" t="inlineStr"/>
      <c r="J115" t="inlineStr"/>
      <c r="K115" t="inlineStr">
        <is>
          <t>Not sent to re-link</t>
        </is>
      </c>
      <c r="L115" t="inlineStr">
        <is>
          <t>Not stated on course page</t>
        </is>
      </c>
      <c r="M115" t="inlineStr">
        <is>
          <t>Not stated on course page</t>
        </is>
      </c>
      <c r="N115" t="inlineStr"/>
      <c r="O115" t="n">
        <v>0</v>
      </c>
      <c r="P115" t="inlineStr"/>
      <c r="Q115" t="inlineStr">
        <is>
          <t>Filled</t>
        </is>
      </c>
      <c r="R115" t="n">
        <v>6.5</v>
      </c>
      <c r="S115" t="inlineStr">
        <is>
          <t>Central English policy</t>
        </is>
      </c>
      <c r="T115" t="inlineStr">
        <is>
          <t>Central rule applies (value agrees)</t>
        </is>
      </c>
      <c r="U115" t="inlineStr"/>
      <c r="V115" t="inlineStr">
        <is>
          <t>Not stated on course page</t>
        </is>
      </c>
      <c r="W115" t="inlineStr"/>
      <c r="X115" t="inlineStr"/>
      <c r="Y115" t="n">
        <v>2</v>
      </c>
      <c r="Z115" t="inlineStr">
        <is>
          <t>Yes</t>
        </is>
      </c>
      <c r="AA115" t="inlineStr">
        <is>
          <t>Not stated on course page</t>
        </is>
      </c>
      <c r="AB115" t="inlineStr"/>
      <c r="AC115" t="inlineStr">
        <is>
          <t>Skipped: the page does not state it</t>
        </is>
      </c>
      <c r="AD115" t="n">
        <v>0</v>
      </c>
      <c r="AE115" t="inlineStr"/>
      <c r="AF115" t="inlineStr"/>
      <c r="AG115" t="inlineStr"/>
      <c r="AH115" t="inlineStr"/>
      <c r="AI115" t="inlineStr"/>
      <c r="AJ115" t="inlineStr"/>
      <c r="AK115" t="inlineStr"/>
      <c r="AL115" t="inlineStr"/>
      <c r="AM115" t="inlineStr"/>
    </row>
    <row r="116">
      <c r="A116" t="inlineStr">
        <is>
          <t>064103G</t>
        </is>
      </c>
      <c r="B116" t="inlineStr">
        <is>
          <t>Bachelor of Information Technology and Bachelor of Arts</t>
        </is>
      </c>
      <c r="C116" t="inlineStr">
        <is>
          <t>Bachelor</t>
        </is>
      </c>
      <c r="D116" t="inlineStr">
        <is>
          <t>Undergraduate</t>
        </is>
      </c>
      <c r="E116" t="inlineStr">
        <is>
          <t>Held: page found is for another course</t>
        </is>
      </c>
      <c r="F116" t="inlineStr"/>
      <c r="G116" t="inlineStr">
        <is>
          <t>https://rp-handbooks.sydney.edu.au/handbooks/archive/2017/arts/coursework/combined_degrees/b_arts_b_it.shtml.html</t>
        </is>
      </c>
      <c r="H116" t="inlineStr">
        <is>
          <t>Not a course page</t>
        </is>
      </c>
      <c r="I116" t="inlineStr"/>
      <c r="J116" t="inlineStr"/>
      <c r="K116" t="inlineStr">
        <is>
          <t>Not sent to re-link</t>
        </is>
      </c>
      <c r="L116" t="inlineStr">
        <is>
          <t>Not stated on course page</t>
        </is>
      </c>
      <c r="M116" t="inlineStr">
        <is>
          <t>Not stated on course page</t>
        </is>
      </c>
      <c r="N116" t="inlineStr"/>
      <c r="O116" t="n">
        <v>0</v>
      </c>
      <c r="P116" t="inlineStr"/>
      <c r="Q116" t="inlineStr">
        <is>
          <t>Filled</t>
        </is>
      </c>
      <c r="R116" t="n">
        <v>6.5</v>
      </c>
      <c r="S116" t="inlineStr">
        <is>
          <t>Central English policy</t>
        </is>
      </c>
      <c r="T116" t="inlineStr">
        <is>
          <t>Central rule applies (value agrees)</t>
        </is>
      </c>
      <c r="U116" t="inlineStr"/>
      <c r="V116" t="inlineStr">
        <is>
          <t>Not stated on course page</t>
        </is>
      </c>
      <c r="W116" t="inlineStr"/>
      <c r="X116" t="inlineStr"/>
      <c r="Y116" t="n">
        <v>2</v>
      </c>
      <c r="Z116" t="inlineStr">
        <is>
          <t>Yes</t>
        </is>
      </c>
      <c r="AA116" t="inlineStr">
        <is>
          <t>Not stated on course page</t>
        </is>
      </c>
      <c r="AB116" t="inlineStr"/>
      <c r="AC116" t="inlineStr">
        <is>
          <t>Skipped: the page does not state it</t>
        </is>
      </c>
      <c r="AD116" t="n">
        <v>0</v>
      </c>
      <c r="AE116" t="inlineStr"/>
      <c r="AF116" t="inlineStr"/>
      <c r="AG116" t="inlineStr"/>
      <c r="AH116" t="inlineStr"/>
      <c r="AI116" t="inlineStr"/>
      <c r="AJ116" t="inlineStr"/>
      <c r="AK116" t="inlineStr"/>
      <c r="AL116" t="inlineStr"/>
      <c r="AM116" t="inlineStr"/>
    </row>
    <row r="117">
      <c r="A117" t="inlineStr">
        <is>
          <t>068767B</t>
        </is>
      </c>
      <c r="B117" t="inlineStr">
        <is>
          <t>Bachelor of Information Technology and Bachelor of Law</t>
        </is>
      </c>
      <c r="C117" t="inlineStr">
        <is>
          <t>Bachelor</t>
        </is>
      </c>
      <c r="D117" t="inlineStr">
        <is>
          <t>Undergraduate</t>
        </is>
      </c>
      <c r="E117" t="inlineStr">
        <is>
          <t>Page address no longer works</t>
        </is>
      </c>
      <c r="F117" t="inlineStr"/>
      <c r="G117" t="inlineStr">
        <is>
          <t>https://www.sydney.edu.au/courses/courses/uc/bachelor-of-information-technology-and-bachelor-of-law.html</t>
        </is>
      </c>
      <c r="H117" t="inlineStr">
        <is>
          <t>Address no longer works</t>
        </is>
      </c>
      <c r="I117" t="inlineStr"/>
      <c r="J117" t="inlineStr"/>
      <c r="K117" t="inlineStr">
        <is>
          <t>Finished, no page: every candidate address was refused by the reader or did not</t>
        </is>
      </c>
      <c r="L117" t="inlineStr">
        <is>
          <t>Page found, being read</t>
        </is>
      </c>
      <c r="M117" t="inlineStr">
        <is>
          <t>Page found, being read</t>
        </is>
      </c>
      <c r="N117" t="inlineStr"/>
      <c r="O117" t="n">
        <v>0</v>
      </c>
      <c r="P117" t="inlineStr"/>
      <c r="Q117" t="inlineStr">
        <is>
          <t>Filled</t>
        </is>
      </c>
      <c r="R117" t="n">
        <v>6.5</v>
      </c>
      <c r="S117" t="inlineStr">
        <is>
          <t>Central English policy</t>
        </is>
      </c>
      <c r="T117" t="inlineStr">
        <is>
          <t>Central rule applies (value agrees)</t>
        </is>
      </c>
      <c r="U117" t="inlineStr"/>
      <c r="V117" t="inlineStr">
        <is>
          <t>Page found, being read</t>
        </is>
      </c>
      <c r="W117" t="inlineStr"/>
      <c r="X117" t="inlineStr"/>
      <c r="Y117" t="n">
        <v>0</v>
      </c>
      <c r="Z117" t="inlineStr">
        <is>
          <t>Yes</t>
        </is>
      </c>
      <c r="AA117" t="inlineStr">
        <is>
          <t>Not stated on course page</t>
        </is>
      </c>
      <c r="AB117" t="inlineStr"/>
      <c r="AC117" t="inlineStr">
        <is>
          <t>Skipped: no allowed source had a value</t>
        </is>
      </c>
      <c r="AD117" t="n">
        <v>1</v>
      </c>
      <c r="AE117" t="inlineStr"/>
      <c r="AF117" t="inlineStr"/>
      <c r="AG117" t="inlineStr"/>
      <c r="AH117" t="inlineStr"/>
      <c r="AI117" t="inlineStr"/>
      <c r="AJ117" t="inlineStr"/>
      <c r="AK117" t="inlineStr"/>
      <c r="AL117" t="inlineStr"/>
      <c r="AM117" t="inlineStr"/>
    </row>
    <row r="118">
      <c r="A118" t="inlineStr">
        <is>
          <t>064104G</t>
        </is>
      </c>
      <c r="B118" t="inlineStr">
        <is>
          <t>Bachelor of Information Technology and Bachelor of Medical Science</t>
        </is>
      </c>
      <c r="C118" t="inlineStr">
        <is>
          <t>Bachelor</t>
        </is>
      </c>
      <c r="D118" t="inlineStr">
        <is>
          <t>Undergraduate</t>
        </is>
      </c>
      <c r="E118" t="inlineStr">
        <is>
          <t>Page address no longer works</t>
        </is>
      </c>
      <c r="F118" t="inlineStr"/>
      <c r="G118" t="inlineStr">
        <is>
          <t>https://www.sydney.edu.au/courses/courses/uc/bachelor-of-information-technology-and-bachelor-of-medical-science.html</t>
        </is>
      </c>
      <c r="H118" t="inlineStr">
        <is>
          <t>Address no longer works</t>
        </is>
      </c>
      <c r="I118" t="inlineStr"/>
      <c r="J118" t="inlineStr"/>
      <c r="K118" t="inlineStr">
        <is>
          <t>Finished, no page: every candidate address was refused by the reader or did not</t>
        </is>
      </c>
      <c r="L118" t="inlineStr">
        <is>
          <t>Page found, being read</t>
        </is>
      </c>
      <c r="M118" t="inlineStr">
        <is>
          <t>Page found, being read</t>
        </is>
      </c>
      <c r="N118" t="inlineStr"/>
      <c r="O118" t="n">
        <v>0</v>
      </c>
      <c r="P118" t="inlineStr"/>
      <c r="Q118" t="inlineStr">
        <is>
          <t>Filled</t>
        </is>
      </c>
      <c r="R118" t="n">
        <v>6.5</v>
      </c>
      <c r="S118" t="inlineStr">
        <is>
          <t>Central English policy</t>
        </is>
      </c>
      <c r="T118" t="inlineStr">
        <is>
          <t>Central rule applies (value agrees)</t>
        </is>
      </c>
      <c r="U118" t="inlineStr"/>
      <c r="V118" t="inlineStr">
        <is>
          <t>Page found, being read</t>
        </is>
      </c>
      <c r="W118" t="inlineStr"/>
      <c r="X118" t="inlineStr"/>
      <c r="Y118" t="n">
        <v>0</v>
      </c>
      <c r="Z118" t="inlineStr">
        <is>
          <t>Yes</t>
        </is>
      </c>
      <c r="AA118" t="inlineStr">
        <is>
          <t>Not stated on course page</t>
        </is>
      </c>
      <c r="AB118" t="inlineStr"/>
      <c r="AC118" t="inlineStr">
        <is>
          <t>Skipped: the page does not state it</t>
        </is>
      </c>
      <c r="AD118" t="n">
        <v>0</v>
      </c>
      <c r="AE118" t="inlineStr"/>
      <c r="AF118" t="inlineStr"/>
      <c r="AG118" t="inlineStr"/>
      <c r="AH118" t="inlineStr"/>
      <c r="AI118" t="inlineStr"/>
      <c r="AJ118" t="inlineStr"/>
      <c r="AK118" t="inlineStr"/>
      <c r="AL118" t="inlineStr"/>
      <c r="AM118" t="inlineStr"/>
    </row>
    <row r="119">
      <c r="A119" t="inlineStr">
        <is>
          <t>064105F</t>
        </is>
      </c>
      <c r="B119" t="inlineStr">
        <is>
          <t>Bachelor of Information Technology and Bachelor of Science</t>
        </is>
      </c>
      <c r="C119" t="inlineStr">
        <is>
          <t>Bachelor</t>
        </is>
      </c>
      <c r="D119" t="inlineStr">
        <is>
          <t>Undergraduate</t>
        </is>
      </c>
      <c r="E119" t="inlineStr">
        <is>
          <t>Page address no longer works</t>
        </is>
      </c>
      <c r="F119" t="inlineStr"/>
      <c r="G119" t="inlineStr">
        <is>
          <t>https://www.sydney.edu.au/courses/courses/uc/bachelor-of-information-technology-and-bachelor-of-science.html</t>
        </is>
      </c>
      <c r="H119" t="inlineStr">
        <is>
          <t>Address no longer works</t>
        </is>
      </c>
      <c r="I119" t="inlineStr"/>
      <c r="J119" t="inlineStr"/>
      <c r="K119" t="inlineStr">
        <is>
          <t>Finished, no page: every candidate address was refused by the reader or did not</t>
        </is>
      </c>
      <c r="L119" t="inlineStr">
        <is>
          <t>Page found, being read</t>
        </is>
      </c>
      <c r="M119" t="inlineStr">
        <is>
          <t>Page found, being read</t>
        </is>
      </c>
      <c r="N119" t="inlineStr"/>
      <c r="O119" t="n">
        <v>0</v>
      </c>
      <c r="P119" t="inlineStr"/>
      <c r="Q119" t="inlineStr">
        <is>
          <t>Filled</t>
        </is>
      </c>
      <c r="R119" t="n">
        <v>6.5</v>
      </c>
      <c r="S119" t="inlineStr">
        <is>
          <t>Central English policy</t>
        </is>
      </c>
      <c r="T119" t="inlineStr">
        <is>
          <t>Central rule applies (value agrees)</t>
        </is>
      </c>
      <c r="U119" t="inlineStr"/>
      <c r="V119" t="inlineStr">
        <is>
          <t>Page found, being read</t>
        </is>
      </c>
      <c r="W119" t="inlineStr"/>
      <c r="X119" t="inlineStr"/>
      <c r="Y119" t="n">
        <v>0</v>
      </c>
      <c r="Z119" t="inlineStr">
        <is>
          <t>Yes</t>
        </is>
      </c>
      <c r="AA119" t="inlineStr">
        <is>
          <t>Not stated on course page</t>
        </is>
      </c>
      <c r="AB119" t="inlineStr"/>
      <c r="AC119" t="inlineStr">
        <is>
          <t>Skipped: no allowed source had a value</t>
        </is>
      </c>
      <c r="AD119" t="n">
        <v>1</v>
      </c>
      <c r="AE119" t="inlineStr"/>
      <c r="AF119" t="inlineStr"/>
      <c r="AG119" t="inlineStr"/>
      <c r="AH119" t="inlineStr"/>
      <c r="AI119" t="inlineStr"/>
      <c r="AJ119" t="inlineStr"/>
      <c r="AK119" t="inlineStr"/>
      <c r="AL119" t="inlineStr"/>
      <c r="AM119" t="inlineStr"/>
    </row>
    <row r="120">
      <c r="A120" t="inlineStr">
        <is>
          <t>040574G</t>
        </is>
      </c>
      <c r="B120" t="inlineStr">
        <is>
          <t>Bachelor of Information Techonology (Honours)</t>
        </is>
      </c>
      <c r="C120" t="inlineStr">
        <is>
          <t>Bachelor Honours Degree</t>
        </is>
      </c>
      <c r="D120" t="inlineStr">
        <is>
          <t>Undergraduate</t>
        </is>
      </c>
      <c r="E120" t="inlineStr">
        <is>
          <t>Page address no longer works</t>
        </is>
      </c>
      <c r="F120" t="inlineStr"/>
      <c r="G120" t="inlineStr">
        <is>
          <t>https://www.sydney.edu.au/courses/courses/uc/bachelor-of-information-techonology-honours.html</t>
        </is>
      </c>
      <c r="H120" t="inlineStr">
        <is>
          <t>Address no longer works</t>
        </is>
      </c>
      <c r="I120" t="inlineStr"/>
      <c r="J120" t="inlineStr"/>
      <c r="K120" t="inlineStr">
        <is>
          <t>Finished, no page: every candidate address was refused by the reader or did not</t>
        </is>
      </c>
      <c r="L120" t="inlineStr">
        <is>
          <t>Page found, being read</t>
        </is>
      </c>
      <c r="M120" t="inlineStr">
        <is>
          <t>Page found, being read</t>
        </is>
      </c>
      <c r="N120" t="inlineStr"/>
      <c r="O120" t="n">
        <v>0</v>
      </c>
      <c r="P120" t="inlineStr"/>
      <c r="Q120" t="inlineStr">
        <is>
          <t>Filled</t>
        </is>
      </c>
      <c r="R120" t="n">
        <v>6.5</v>
      </c>
      <c r="S120" t="inlineStr">
        <is>
          <t>Central English policy</t>
        </is>
      </c>
      <c r="T120" t="inlineStr">
        <is>
          <t>Central rule applies (value agrees)</t>
        </is>
      </c>
      <c r="U120" t="inlineStr"/>
      <c r="V120" t="inlineStr">
        <is>
          <t>Page found, being read</t>
        </is>
      </c>
      <c r="W120" t="inlineStr"/>
      <c r="X120" t="inlineStr"/>
      <c r="Y120" t="n">
        <v>0</v>
      </c>
      <c r="Z120" t="inlineStr">
        <is>
          <t>Yes</t>
        </is>
      </c>
      <c r="AA120" t="inlineStr">
        <is>
          <t>Not stated on course page</t>
        </is>
      </c>
      <c r="AB120" t="inlineStr"/>
      <c r="AC120" t="inlineStr">
        <is>
          <t>Skipped: the page does not state it</t>
        </is>
      </c>
      <c r="AD120" t="n">
        <v>0</v>
      </c>
      <c r="AE120" t="inlineStr"/>
      <c r="AF120" t="inlineStr"/>
      <c r="AG120" t="inlineStr"/>
      <c r="AH120" t="inlineStr"/>
      <c r="AI120" t="inlineStr"/>
      <c r="AJ120" t="inlineStr"/>
      <c r="AK120" t="inlineStr"/>
      <c r="AL120" t="inlineStr"/>
      <c r="AM120" t="inlineStr"/>
    </row>
    <row r="121">
      <c r="A121" t="inlineStr">
        <is>
          <t>063745D</t>
        </is>
      </c>
      <c r="B121" t="inlineStr">
        <is>
          <t>Bachelor of International and Global Studies</t>
        </is>
      </c>
      <c r="C121" t="inlineStr">
        <is>
          <t>Bachelor</t>
        </is>
      </c>
      <c r="D121" t="inlineStr">
        <is>
          <t>Undergraduate</t>
        </is>
      </c>
      <c r="E121" t="inlineStr">
        <is>
          <t>Advertised: official page in place</t>
        </is>
      </c>
      <c r="F121" t="inlineStr">
        <is>
          <t>https://www.sydney.edu.au/courses/courses/uc/bachelor-of-international-and-global-studies-honours.html</t>
        </is>
      </c>
      <c r="G121" t="inlineStr">
        <is>
          <t>https://www.sydney.edu.au/courses/courses/uc/bachelor-of-international-and-global-studies-honours.html</t>
        </is>
      </c>
      <c r="H121" t="inlineStr">
        <is>
          <t>Read</t>
        </is>
      </c>
      <c r="I121" t="inlineStr">
        <is>
          <t>Exact title match</t>
        </is>
      </c>
      <c r="J121" t="inlineStr"/>
      <c r="K121" t="inlineStr">
        <is>
          <t>Not sent to re-link</t>
        </is>
      </c>
      <c r="L121" t="inlineStr">
        <is>
          <t>Filled</t>
        </is>
      </c>
      <c r="M121" t="inlineStr">
        <is>
          <t>Not stated on course page</t>
        </is>
      </c>
      <c r="N121" t="inlineStr"/>
      <c r="O121" t="n">
        <v>0</v>
      </c>
      <c r="P121" t="inlineStr"/>
      <c r="Q121" t="inlineStr">
        <is>
          <t>Filled</t>
        </is>
      </c>
      <c r="R121" t="n">
        <v>6.5</v>
      </c>
      <c r="S121" t="inlineStr">
        <is>
          <t>Central English policy</t>
        </is>
      </c>
      <c r="T121" t="inlineStr">
        <is>
          <t>Central rule applies (value agrees)</t>
        </is>
      </c>
      <c r="U121" t="inlineStr"/>
      <c r="V121" t="inlineStr">
        <is>
          <t>Not stated on course page</t>
        </is>
      </c>
      <c r="W121" t="inlineStr"/>
      <c r="X121" t="inlineStr"/>
      <c r="Y121" t="n">
        <v>2</v>
      </c>
      <c r="Z121" t="inlineStr">
        <is>
          <t>Yes</t>
        </is>
      </c>
      <c r="AA121" t="inlineStr">
        <is>
          <t>Filled</t>
        </is>
      </c>
      <c r="AB121" t="inlineStr">
        <is>
          <t>on campus</t>
        </is>
      </c>
      <c r="AC121" t="inlineStr"/>
      <c r="AD121" t="n">
        <v>0</v>
      </c>
      <c r="AE121" t="inlineStr"/>
      <c r="AF121" t="inlineStr"/>
      <c r="AG121" t="inlineStr"/>
      <c r="AH121" t="inlineStr">
        <is>
          <t>Yes</t>
        </is>
      </c>
      <c r="AI121" t="inlineStr"/>
      <c r="AJ121" t="inlineStr"/>
      <c r="AK121" t="inlineStr"/>
      <c r="AL121" t="inlineStr"/>
      <c r="AM121" t="inlineStr"/>
    </row>
    <row r="122">
      <c r="A122" t="inlineStr">
        <is>
          <t>075432M</t>
        </is>
      </c>
      <c r="B122" t="inlineStr">
        <is>
          <t>Bachelor of International and Global Studies (Honours)</t>
        </is>
      </c>
      <c r="C122" t="inlineStr">
        <is>
          <t>Bachelor Honours Degree</t>
        </is>
      </c>
      <c r="D122" t="inlineStr">
        <is>
          <t>Undergraduate</t>
        </is>
      </c>
      <c r="E122" t="inlineStr">
        <is>
          <t>Advertised: official page in place</t>
        </is>
      </c>
      <c r="F122" t="inlineStr">
        <is>
          <t>https://www.sydney.edu.au/courses/courses/uc/bachelor-of-international-and-global-studies-honours.html</t>
        </is>
      </c>
      <c r="G122" t="inlineStr">
        <is>
          <t>https://www.sydney.edu.au/courses/courses/uc/bachelor-of-international-and-global-studies-honours.html</t>
        </is>
      </c>
      <c r="H122" t="inlineStr">
        <is>
          <t>Read</t>
        </is>
      </c>
      <c r="I122" t="inlineStr">
        <is>
          <t>Exact title match</t>
        </is>
      </c>
      <c r="J122" t="inlineStr"/>
      <c r="K122" t="inlineStr">
        <is>
          <t>Not sent to re-link</t>
        </is>
      </c>
      <c r="L122" t="inlineStr">
        <is>
          <t>Filled</t>
        </is>
      </c>
      <c r="M122" t="inlineStr">
        <is>
          <t>Not stated on course page</t>
        </is>
      </c>
      <c r="N122" t="inlineStr"/>
      <c r="O122" t="n">
        <v>0</v>
      </c>
      <c r="P122" t="inlineStr"/>
      <c r="Q122" t="inlineStr">
        <is>
          <t>Filled</t>
        </is>
      </c>
      <c r="R122" t="n">
        <v>6.5</v>
      </c>
      <c r="S122" t="inlineStr">
        <is>
          <t>Central English policy</t>
        </is>
      </c>
      <c r="T122" t="inlineStr">
        <is>
          <t>Central rule applies (value agrees)</t>
        </is>
      </c>
      <c r="U122" t="inlineStr"/>
      <c r="V122" t="inlineStr">
        <is>
          <t>Not stated on course page</t>
        </is>
      </c>
      <c r="W122" t="inlineStr"/>
      <c r="X122" t="inlineStr"/>
      <c r="Y122" t="n">
        <v>2</v>
      </c>
      <c r="Z122" t="inlineStr">
        <is>
          <t>Yes</t>
        </is>
      </c>
      <c r="AA122" t="inlineStr">
        <is>
          <t>Filled</t>
        </is>
      </c>
      <c r="AB122" t="inlineStr">
        <is>
          <t>on campus</t>
        </is>
      </c>
      <c r="AC122" t="inlineStr"/>
      <c r="AD122" t="n">
        <v>0</v>
      </c>
      <c r="AE122" t="inlineStr"/>
      <c r="AF122" t="inlineStr"/>
      <c r="AG122" t="inlineStr"/>
      <c r="AH122" t="inlineStr">
        <is>
          <t>Yes</t>
        </is>
      </c>
      <c r="AI122" t="inlineStr"/>
      <c r="AJ122" t="inlineStr"/>
      <c r="AK122" t="inlineStr"/>
      <c r="AL122" t="inlineStr"/>
      <c r="AM122" t="inlineStr"/>
    </row>
    <row r="123">
      <c r="A123" t="inlineStr">
        <is>
          <t>063746C</t>
        </is>
      </c>
      <c r="B123" t="inlineStr">
        <is>
          <t>Bachelor of International and Global Studies and Bachelor of Laws</t>
        </is>
      </c>
      <c r="C123" t="inlineStr">
        <is>
          <t>Bachelor</t>
        </is>
      </c>
      <c r="D123" t="inlineStr">
        <is>
          <t>Undergraduate</t>
        </is>
      </c>
      <c r="E123" t="inlineStr">
        <is>
          <t>Page address no longer works</t>
        </is>
      </c>
      <c r="F123" t="inlineStr"/>
      <c r="G123" t="inlineStr">
        <is>
          <t>https://www.sydney.edu.au/courses/courses/uc/bachelor-of-international-and-global-studies-and-bachelor-of-laws.html</t>
        </is>
      </c>
      <c r="H123" t="inlineStr">
        <is>
          <t>Address no longer works</t>
        </is>
      </c>
      <c r="I123" t="inlineStr"/>
      <c r="J123" t="inlineStr"/>
      <c r="K123" t="inlineStr">
        <is>
          <t>Re-link still trying</t>
        </is>
      </c>
      <c r="L123" t="inlineStr">
        <is>
          <t>Not stated on course page</t>
        </is>
      </c>
      <c r="M123" t="inlineStr">
        <is>
          <t>Not stated on course page</t>
        </is>
      </c>
      <c r="N123" t="inlineStr"/>
      <c r="O123" t="n">
        <v>0</v>
      </c>
      <c r="P123" t="inlineStr"/>
      <c r="Q123" t="inlineStr">
        <is>
          <t>Filled</t>
        </is>
      </c>
      <c r="R123" t="n">
        <v>6.5</v>
      </c>
      <c r="S123" t="inlineStr">
        <is>
          <t>Central English policy</t>
        </is>
      </c>
      <c r="T123" t="inlineStr">
        <is>
          <t>Central rule applies (value agrees)</t>
        </is>
      </c>
      <c r="U123" t="inlineStr"/>
      <c r="V123" t="inlineStr">
        <is>
          <t>Not stated on course page</t>
        </is>
      </c>
      <c r="W123" t="inlineStr"/>
      <c r="X123" t="inlineStr"/>
      <c r="Y123" t="n">
        <v>2</v>
      </c>
      <c r="Z123" t="inlineStr">
        <is>
          <t>Yes</t>
        </is>
      </c>
      <c r="AA123" t="inlineStr">
        <is>
          <t>Not stated on course page</t>
        </is>
      </c>
      <c r="AB123" t="inlineStr"/>
      <c r="AC123" t="inlineStr">
        <is>
          <t>Skipped: the page does not state it</t>
        </is>
      </c>
      <c r="AD123" t="n">
        <v>0</v>
      </c>
      <c r="AE123" t="inlineStr"/>
      <c r="AF123" t="inlineStr"/>
      <c r="AG123" t="inlineStr"/>
      <c r="AH123" t="inlineStr"/>
      <c r="AI123" t="inlineStr"/>
      <c r="AJ123" t="inlineStr"/>
      <c r="AK123" t="inlineStr"/>
      <c r="AL123" t="inlineStr"/>
      <c r="AM123" t="inlineStr"/>
    </row>
    <row r="124">
      <c r="A124" t="inlineStr">
        <is>
          <t>115419F</t>
        </is>
      </c>
      <c r="B124" t="inlineStr">
        <is>
          <t>Bachelor of International Studies</t>
        </is>
      </c>
      <c r="C124" t="inlineStr">
        <is>
          <t>Bachelor</t>
        </is>
      </c>
      <c r="D124" t="inlineStr">
        <is>
          <t>Undergraduate</t>
        </is>
      </c>
      <c r="E124" t="inlineStr">
        <is>
          <t>Advertised: official page in place</t>
        </is>
      </c>
      <c r="F124" t="inlineStr">
        <is>
          <t>https://www.sydney.edu.au/courses/courses/uc/bachelor-of-international-studies.html</t>
        </is>
      </c>
      <c r="G124" t="inlineStr">
        <is>
          <t>https://www.sydney.edu.au/courses/courses/uc/bachelor-of-international-studies.html</t>
        </is>
      </c>
      <c r="H124" t="inlineStr">
        <is>
          <t>Read</t>
        </is>
      </c>
      <c r="I124" t="inlineStr">
        <is>
          <t>Exact title match</t>
        </is>
      </c>
      <c r="J124" t="inlineStr"/>
      <c r="K124" t="inlineStr">
        <is>
          <t>Not sent to re-link</t>
        </is>
      </c>
      <c r="L124" t="inlineStr">
        <is>
          <t>Filled</t>
        </is>
      </c>
      <c r="M124" t="inlineStr">
        <is>
          <t>Not stated on course page</t>
        </is>
      </c>
      <c r="N124" t="inlineStr"/>
      <c r="O124" t="n">
        <v>0</v>
      </c>
      <c r="P124" t="inlineStr"/>
      <c r="Q124" t="inlineStr">
        <is>
          <t>Filled</t>
        </is>
      </c>
      <c r="R124" t="n">
        <v>6.5</v>
      </c>
      <c r="S124" t="inlineStr">
        <is>
          <t>Central English policy</t>
        </is>
      </c>
      <c r="T124" t="inlineStr">
        <is>
          <t>Central rule applies (value agrees)</t>
        </is>
      </c>
      <c r="U124" t="inlineStr"/>
      <c r="V124" t="inlineStr">
        <is>
          <t>Not stated on course page</t>
        </is>
      </c>
      <c r="W124" t="inlineStr"/>
      <c r="X124" t="inlineStr"/>
      <c r="Y124" t="n">
        <v>2</v>
      </c>
      <c r="Z124" t="inlineStr">
        <is>
          <t>Yes</t>
        </is>
      </c>
      <c r="AA124" t="inlineStr">
        <is>
          <t>Filled</t>
        </is>
      </c>
      <c r="AB124" t="inlineStr">
        <is>
          <t>on campus</t>
        </is>
      </c>
      <c r="AC124" t="inlineStr"/>
      <c r="AD124" t="n">
        <v>0</v>
      </c>
      <c r="AE124" t="inlineStr"/>
      <c r="AF124" t="inlineStr"/>
      <c r="AG124" t="inlineStr"/>
      <c r="AH124" t="inlineStr">
        <is>
          <t>Yes</t>
        </is>
      </c>
      <c r="AI124" t="inlineStr"/>
      <c r="AJ124" t="inlineStr"/>
      <c r="AK124" t="inlineStr"/>
      <c r="AL124" t="inlineStr"/>
      <c r="AM124" t="inlineStr"/>
    </row>
    <row r="125">
      <c r="A125" t="inlineStr">
        <is>
          <t>116269G</t>
        </is>
      </c>
      <c r="B125" t="inlineStr">
        <is>
          <t>Bachelor of International Studies (Honours)</t>
        </is>
      </c>
      <c r="C125" t="inlineStr">
        <is>
          <t>Bachelor Honours Degree</t>
        </is>
      </c>
      <c r="D125" t="inlineStr">
        <is>
          <t>Undergraduate</t>
        </is>
      </c>
      <c r="E125" t="inlineStr">
        <is>
          <t>Advertised: official page in place</t>
        </is>
      </c>
      <c r="F125" t="inlineStr">
        <is>
          <t>https://www.sydney.edu.au/courses/courses/uc/bachelor-of-international-studies-honours.html</t>
        </is>
      </c>
      <c r="G125" t="inlineStr">
        <is>
          <t>https://www.sydney.edu.au/courses/courses/uc/bachelor-of-international-studies-honours.html</t>
        </is>
      </c>
      <c r="H125" t="inlineStr">
        <is>
          <t>Read</t>
        </is>
      </c>
      <c r="I125" t="inlineStr">
        <is>
          <t>Exact title match</t>
        </is>
      </c>
      <c r="J125" t="inlineStr"/>
      <c r="K125" t="inlineStr">
        <is>
          <t>Not sent to re-link</t>
        </is>
      </c>
      <c r="L125" t="inlineStr">
        <is>
          <t>Filled</t>
        </is>
      </c>
      <c r="M125" t="inlineStr">
        <is>
          <t>Not stated on course page</t>
        </is>
      </c>
      <c r="N125" t="inlineStr"/>
      <c r="O125" t="n">
        <v>0</v>
      </c>
      <c r="P125" t="inlineStr"/>
      <c r="Q125" t="inlineStr">
        <is>
          <t>Filled</t>
        </is>
      </c>
      <c r="R125" t="n">
        <v>6.5</v>
      </c>
      <c r="S125" t="inlineStr">
        <is>
          <t>Central English policy</t>
        </is>
      </c>
      <c r="T125" t="inlineStr">
        <is>
          <t>Central rule applies (value agrees)</t>
        </is>
      </c>
      <c r="U125" t="inlineStr"/>
      <c r="V125" t="inlineStr">
        <is>
          <t>Filled</t>
        </is>
      </c>
      <c r="W125" t="inlineStr">
        <is>
          <t>February, August</t>
        </is>
      </c>
      <c r="X125" t="inlineStr">
        <is>
          <t>Other</t>
        </is>
      </c>
      <c r="Y125" t="n">
        <v>0</v>
      </c>
      <c r="Z125" t="inlineStr">
        <is>
          <t>Yes</t>
        </is>
      </c>
      <c r="AA125" t="inlineStr">
        <is>
          <t>Filled</t>
        </is>
      </c>
      <c r="AB125" t="inlineStr">
        <is>
          <t>on campus</t>
        </is>
      </c>
      <c r="AC125" t="inlineStr"/>
      <c r="AD125" t="n">
        <v>0</v>
      </c>
      <c r="AE125" t="inlineStr"/>
      <c r="AF125" t="inlineStr"/>
      <c r="AG125" t="inlineStr"/>
      <c r="AH125" t="inlineStr"/>
      <c r="AI125" t="inlineStr"/>
      <c r="AJ125" t="inlineStr"/>
      <c r="AK125" t="inlineStr"/>
      <c r="AL125" t="inlineStr"/>
      <c r="AM125" t="inlineStr"/>
    </row>
    <row r="126">
      <c r="A126" t="inlineStr">
        <is>
          <t>075521K</t>
        </is>
      </c>
      <c r="B126" t="inlineStr">
        <is>
          <t>Bachelor of International Studies (Honours)</t>
        </is>
      </c>
      <c r="C126" t="inlineStr">
        <is>
          <t>Bachelor Honours Degree</t>
        </is>
      </c>
      <c r="D126" t="inlineStr">
        <is>
          <t>Undergraduate</t>
        </is>
      </c>
      <c r="E126" t="inlineStr">
        <is>
          <t>Advertised: official page in place</t>
        </is>
      </c>
      <c r="F126" t="inlineStr">
        <is>
          <t>https://www.sydney.edu.au/courses/courses/uc/bachelor-of-international-studies-honours.html</t>
        </is>
      </c>
      <c r="G126" t="inlineStr">
        <is>
          <t>https://www.sydney.edu.au/courses/courses/uc/bachelor-of-international-studies-honours.html</t>
        </is>
      </c>
      <c r="H126" t="inlineStr">
        <is>
          <t>Read</t>
        </is>
      </c>
      <c r="I126" t="inlineStr">
        <is>
          <t>Exact title match</t>
        </is>
      </c>
      <c r="J126" t="inlineStr"/>
      <c r="K126" t="inlineStr">
        <is>
          <t>Not sent to re-link</t>
        </is>
      </c>
      <c r="L126" t="inlineStr">
        <is>
          <t>Filled</t>
        </is>
      </c>
      <c r="M126" t="inlineStr">
        <is>
          <t>Not stated on course page</t>
        </is>
      </c>
      <c r="N126" t="inlineStr"/>
      <c r="O126" t="n">
        <v>0</v>
      </c>
      <c r="P126" t="inlineStr"/>
      <c r="Q126" t="inlineStr">
        <is>
          <t>Filled</t>
        </is>
      </c>
      <c r="R126" t="n">
        <v>6.5</v>
      </c>
      <c r="S126" t="inlineStr">
        <is>
          <t>Central English policy</t>
        </is>
      </c>
      <c r="T126" t="inlineStr">
        <is>
          <t>Central rule applies (value agrees)</t>
        </is>
      </c>
      <c r="U126" t="inlineStr"/>
      <c r="V126" t="inlineStr">
        <is>
          <t>Filled</t>
        </is>
      </c>
      <c r="W126" t="inlineStr">
        <is>
          <t>February, August</t>
        </is>
      </c>
      <c r="X126" t="inlineStr">
        <is>
          <t>Other</t>
        </is>
      </c>
      <c r="Y126" t="n">
        <v>0</v>
      </c>
      <c r="Z126" t="inlineStr">
        <is>
          <t>Yes</t>
        </is>
      </c>
      <c r="AA126" t="inlineStr">
        <is>
          <t>Filled</t>
        </is>
      </c>
      <c r="AB126" t="inlineStr">
        <is>
          <t>on campus</t>
        </is>
      </c>
      <c r="AC126" t="inlineStr"/>
      <c r="AD126" t="n">
        <v>0</v>
      </c>
      <c r="AE126" t="inlineStr"/>
      <c r="AF126" t="inlineStr"/>
      <c r="AG126" t="inlineStr"/>
      <c r="AH126" t="inlineStr"/>
      <c r="AI126" t="inlineStr"/>
      <c r="AJ126" t="inlineStr"/>
      <c r="AK126" t="inlineStr"/>
      <c r="AL126" t="inlineStr"/>
      <c r="AM126" t="inlineStr"/>
    </row>
    <row r="127">
      <c r="A127" t="inlineStr">
        <is>
          <t>115418G</t>
        </is>
      </c>
      <c r="B127" t="inlineStr">
        <is>
          <t>Bachelor of Languages</t>
        </is>
      </c>
      <c r="C127" t="inlineStr">
        <is>
          <t>Bachelor</t>
        </is>
      </c>
      <c r="D127" t="inlineStr">
        <is>
          <t>Undergraduate</t>
        </is>
      </c>
      <c r="E127" t="inlineStr">
        <is>
          <t>Advertised: official page in place</t>
        </is>
      </c>
      <c r="F127" t="inlineStr">
        <is>
          <t>https://www.sydney.edu.au/courses/courses/uc/bachelor-of-languages.html</t>
        </is>
      </c>
      <c r="G127" t="inlineStr">
        <is>
          <t>https://www.sydney.edu.au/courses/courses/uc/bachelor-of-languages.html</t>
        </is>
      </c>
      <c r="H127" t="inlineStr">
        <is>
          <t>Read</t>
        </is>
      </c>
      <c r="I127" t="inlineStr">
        <is>
          <t>Exact title match</t>
        </is>
      </c>
      <c r="J127" t="inlineStr"/>
      <c r="K127" t="inlineStr">
        <is>
          <t>Not sent to re-link</t>
        </is>
      </c>
      <c r="L127" t="inlineStr">
        <is>
          <t>Filled</t>
        </is>
      </c>
      <c r="M127" t="inlineStr">
        <is>
          <t>Not stated on course page</t>
        </is>
      </c>
      <c r="N127" t="inlineStr"/>
      <c r="O127" t="n">
        <v>0</v>
      </c>
      <c r="P127" t="inlineStr"/>
      <c r="Q127" t="inlineStr">
        <is>
          <t>Filled</t>
        </is>
      </c>
      <c r="R127" t="n">
        <v>6.5</v>
      </c>
      <c r="S127" t="inlineStr">
        <is>
          <t>Central English policy</t>
        </is>
      </c>
      <c r="T127" t="inlineStr">
        <is>
          <t>Central rule applies (value agrees)</t>
        </is>
      </c>
      <c r="U127" t="inlineStr"/>
      <c r="V127" t="inlineStr">
        <is>
          <t>Not stated on course page</t>
        </is>
      </c>
      <c r="W127" t="inlineStr"/>
      <c r="X127" t="inlineStr"/>
      <c r="Y127" t="n">
        <v>2</v>
      </c>
      <c r="Z127" t="inlineStr">
        <is>
          <t>Yes</t>
        </is>
      </c>
      <c r="AA127" t="inlineStr">
        <is>
          <t>Filled</t>
        </is>
      </c>
      <c r="AB127" t="inlineStr">
        <is>
          <t>on campus</t>
        </is>
      </c>
      <c r="AC127" t="inlineStr"/>
      <c r="AD127" t="n">
        <v>0</v>
      </c>
      <c r="AE127" t="inlineStr"/>
      <c r="AF127" t="inlineStr"/>
      <c r="AG127" t="inlineStr"/>
      <c r="AH127" t="inlineStr">
        <is>
          <t>Yes</t>
        </is>
      </c>
      <c r="AI127" t="inlineStr"/>
      <c r="AJ127" t="inlineStr"/>
      <c r="AK127" t="inlineStr"/>
      <c r="AL127" t="inlineStr"/>
      <c r="AM127" t="inlineStr"/>
    </row>
    <row r="128">
      <c r="A128" t="inlineStr">
        <is>
          <t>116272A</t>
        </is>
      </c>
      <c r="B128" t="inlineStr">
        <is>
          <t>Bachelor of Languages (Honours)</t>
        </is>
      </c>
      <c r="C128" t="inlineStr">
        <is>
          <t>Bachelor Honours Degree</t>
        </is>
      </c>
      <c r="D128" t="inlineStr">
        <is>
          <t>Undergraduate</t>
        </is>
      </c>
      <c r="E128" t="inlineStr">
        <is>
          <t>Advertised: official page in place</t>
        </is>
      </c>
      <c r="F128" t="inlineStr">
        <is>
          <t>https://www.sydney.edu.au/courses/courses/uc/bachelor-of-languages-honours.html</t>
        </is>
      </c>
      <c r="G128" t="inlineStr">
        <is>
          <t>https://www.sydney.edu.au/courses/courses/uc/bachelor-of-languages-honours.html</t>
        </is>
      </c>
      <c r="H128" t="inlineStr">
        <is>
          <t>Read</t>
        </is>
      </c>
      <c r="I128" t="inlineStr">
        <is>
          <t>Exact title match</t>
        </is>
      </c>
      <c r="J128" t="inlineStr"/>
      <c r="K128" t="inlineStr">
        <is>
          <t>Not sent to re-link</t>
        </is>
      </c>
      <c r="L128" t="inlineStr">
        <is>
          <t>Filled</t>
        </is>
      </c>
      <c r="M128" t="inlineStr">
        <is>
          <t>Not stated on course page</t>
        </is>
      </c>
      <c r="N128" t="inlineStr"/>
      <c r="O128" t="n">
        <v>0</v>
      </c>
      <c r="P128" t="inlineStr"/>
      <c r="Q128" t="inlineStr">
        <is>
          <t>Filled</t>
        </is>
      </c>
      <c r="R128" t="n">
        <v>6.5</v>
      </c>
      <c r="S128" t="inlineStr">
        <is>
          <t>Central English policy</t>
        </is>
      </c>
      <c r="T128" t="inlineStr">
        <is>
          <t>Central rule applies (value agrees)</t>
        </is>
      </c>
      <c r="U128" t="inlineStr"/>
      <c r="V128" t="inlineStr">
        <is>
          <t>Filled</t>
        </is>
      </c>
      <c r="W128" t="inlineStr">
        <is>
          <t>February, August</t>
        </is>
      </c>
      <c r="X128" t="inlineStr">
        <is>
          <t>Other</t>
        </is>
      </c>
      <c r="Y128" t="n">
        <v>0</v>
      </c>
      <c r="Z128" t="inlineStr">
        <is>
          <t>Yes</t>
        </is>
      </c>
      <c r="AA128" t="inlineStr">
        <is>
          <t>Filled</t>
        </is>
      </c>
      <c r="AB128" t="inlineStr">
        <is>
          <t>on campus</t>
        </is>
      </c>
      <c r="AC128" t="inlineStr"/>
      <c r="AD128" t="n">
        <v>0</v>
      </c>
      <c r="AE128" t="inlineStr"/>
      <c r="AF128" t="inlineStr"/>
      <c r="AG128" t="inlineStr"/>
      <c r="AH128" t="inlineStr"/>
      <c r="AI128" t="inlineStr"/>
      <c r="AJ128" t="inlineStr"/>
      <c r="AK128" t="inlineStr"/>
      <c r="AL128" t="inlineStr"/>
      <c r="AM128" t="inlineStr"/>
    </row>
    <row r="129">
      <c r="A129" t="inlineStr">
        <is>
          <t>000671E</t>
        </is>
      </c>
      <c r="B129" t="inlineStr">
        <is>
          <t>Bachelor of Laws</t>
        </is>
      </c>
      <c r="C129" t="inlineStr">
        <is>
          <t>Bachelor</t>
        </is>
      </c>
      <c r="D129" t="inlineStr">
        <is>
          <t>Undergraduate</t>
        </is>
      </c>
      <c r="E129" t="inlineStr">
        <is>
          <t>Page address no longer works</t>
        </is>
      </c>
      <c r="F129" t="inlineStr"/>
      <c r="G129" t="inlineStr">
        <is>
          <t>https://www.sydney.edu.au/courses/courses/uc/bachelor-of-laws.html</t>
        </is>
      </c>
      <c r="H129" t="inlineStr">
        <is>
          <t>Address no longer works</t>
        </is>
      </c>
      <c r="I129" t="inlineStr"/>
      <c r="J129" t="inlineStr"/>
      <c r="K129" t="inlineStr">
        <is>
          <t>Finished, no page: every candidate address was refused by the reader or did not</t>
        </is>
      </c>
      <c r="L129" t="inlineStr">
        <is>
          <t>Page found, being read</t>
        </is>
      </c>
      <c r="M129" t="inlineStr">
        <is>
          <t>Page found, being read</t>
        </is>
      </c>
      <c r="N129" t="inlineStr"/>
      <c r="O129" t="n">
        <v>0</v>
      </c>
      <c r="P129" t="inlineStr"/>
      <c r="Q129" t="inlineStr">
        <is>
          <t>Filled</t>
        </is>
      </c>
      <c r="R129" t="n">
        <v>6.5</v>
      </c>
      <c r="S129" t="inlineStr">
        <is>
          <t>Central English policy</t>
        </is>
      </c>
      <c r="T129" t="inlineStr">
        <is>
          <t>Central rule applies (value agrees)</t>
        </is>
      </c>
      <c r="U129" t="inlineStr"/>
      <c r="V129" t="inlineStr">
        <is>
          <t>Page found, being read</t>
        </is>
      </c>
      <c r="W129" t="inlineStr"/>
      <c r="X129" t="inlineStr"/>
      <c r="Y129" t="n">
        <v>0</v>
      </c>
      <c r="Z129" t="inlineStr">
        <is>
          <t>Yes</t>
        </is>
      </c>
      <c r="AA129" t="inlineStr">
        <is>
          <t>Not stated on course page</t>
        </is>
      </c>
      <c r="AB129" t="inlineStr"/>
      <c r="AC129" t="inlineStr">
        <is>
          <t>Skipped: no allowed source had a value</t>
        </is>
      </c>
      <c r="AD129" t="n">
        <v>1</v>
      </c>
      <c r="AE129" t="inlineStr"/>
      <c r="AF129" t="inlineStr"/>
      <c r="AG129" t="inlineStr"/>
      <c r="AH129" t="inlineStr"/>
      <c r="AI129" t="inlineStr"/>
      <c r="AJ129" t="inlineStr"/>
      <c r="AK129" t="inlineStr"/>
      <c r="AL129" t="inlineStr"/>
      <c r="AM129" t="inlineStr"/>
    </row>
    <row r="130">
      <c r="A130" t="inlineStr">
        <is>
          <t>074884B</t>
        </is>
      </c>
      <c r="B130" t="inlineStr">
        <is>
          <t>Bachelor of Liberal Arts and Science Honours</t>
        </is>
      </c>
      <c r="C130" t="inlineStr">
        <is>
          <t>Bachelor Honours Degree</t>
        </is>
      </c>
      <c r="D130" t="inlineStr">
        <is>
          <t>Undergraduate</t>
        </is>
      </c>
      <c r="E130" t="inlineStr">
        <is>
          <t>Advertised: official page in place</t>
        </is>
      </c>
      <c r="F130" t="inlineStr">
        <is>
          <t>https://www.sydney.edu.au/courses/courses/uc/bachelor-of-liberal-arts-and-science-honours.html</t>
        </is>
      </c>
      <c r="G130" t="inlineStr">
        <is>
          <t>https://www.sydney.edu.au/courses/courses/uc/bachelor-of-liberal-arts-and-science-honours.html</t>
        </is>
      </c>
      <c r="H130" t="inlineStr">
        <is>
          <t>Read</t>
        </is>
      </c>
      <c r="I130" t="inlineStr">
        <is>
          <t>Exact title match</t>
        </is>
      </c>
      <c r="J130" t="inlineStr"/>
      <c r="K130" t="inlineStr">
        <is>
          <t>Not sent to re-link</t>
        </is>
      </c>
      <c r="L130" t="inlineStr">
        <is>
          <t>Filled</t>
        </is>
      </c>
      <c r="M130" t="inlineStr">
        <is>
          <t>Not stated on course page</t>
        </is>
      </c>
      <c r="N130" t="inlineStr"/>
      <c r="O130" t="n">
        <v>0</v>
      </c>
      <c r="P130" t="inlineStr"/>
      <c r="Q130" t="inlineStr">
        <is>
          <t>Filled</t>
        </is>
      </c>
      <c r="R130" t="n">
        <v>6.5</v>
      </c>
      <c r="S130" t="inlineStr">
        <is>
          <t>Central English policy</t>
        </is>
      </c>
      <c r="T130" t="inlineStr">
        <is>
          <t>Central rule applies (value agrees)</t>
        </is>
      </c>
      <c r="U130" t="inlineStr"/>
      <c r="V130" t="inlineStr">
        <is>
          <t>Filled</t>
        </is>
      </c>
      <c r="W130" t="inlineStr">
        <is>
          <t>February, August</t>
        </is>
      </c>
      <c r="X130" t="inlineStr">
        <is>
          <t>Other</t>
        </is>
      </c>
      <c r="Y130" t="n">
        <v>0</v>
      </c>
      <c r="Z130" t="inlineStr">
        <is>
          <t>Yes</t>
        </is>
      </c>
      <c r="AA130" t="inlineStr">
        <is>
          <t>Filled</t>
        </is>
      </c>
      <c r="AB130" t="inlineStr">
        <is>
          <t>on campus</t>
        </is>
      </c>
      <c r="AC130" t="inlineStr"/>
      <c r="AD130" t="n">
        <v>0</v>
      </c>
      <c r="AE130" t="inlineStr"/>
      <c r="AF130" t="inlineStr"/>
      <c r="AG130" t="inlineStr"/>
      <c r="AH130" t="inlineStr"/>
      <c r="AI130" t="inlineStr"/>
      <c r="AJ130" t="inlineStr"/>
      <c r="AK130" t="inlineStr"/>
      <c r="AL130" t="inlineStr"/>
      <c r="AM130" t="inlineStr"/>
    </row>
    <row r="131">
      <c r="A131" t="inlineStr">
        <is>
          <t>068569G</t>
        </is>
      </c>
      <c r="B131" t="inlineStr">
        <is>
          <t>Bachelor of Liberal Arts and Sciences</t>
        </is>
      </c>
      <c r="C131" t="inlineStr">
        <is>
          <t>Bachelor</t>
        </is>
      </c>
      <c r="D131" t="inlineStr">
        <is>
          <t>Undergraduate</t>
        </is>
      </c>
      <c r="E131" t="inlineStr">
        <is>
          <t>Page address no longer works</t>
        </is>
      </c>
      <c r="F131" t="inlineStr"/>
      <c r="G131" t="inlineStr">
        <is>
          <t>https://www.sydney.edu.au/courses/courses/uc/bachelor-of-liberal-arts-and-sciences.html</t>
        </is>
      </c>
      <c r="H131" t="inlineStr">
        <is>
          <t>Address no longer works</t>
        </is>
      </c>
      <c r="I131" t="inlineStr"/>
      <c r="J131" t="inlineStr"/>
      <c r="K131" t="inlineStr">
        <is>
          <t>Finished, no page: every candidate address was refused by the reader or did not</t>
        </is>
      </c>
      <c r="L131" t="inlineStr">
        <is>
          <t>Page found, being read</t>
        </is>
      </c>
      <c r="M131" t="inlineStr">
        <is>
          <t>Page found, being read</t>
        </is>
      </c>
      <c r="N131" t="inlineStr"/>
      <c r="O131" t="n">
        <v>0</v>
      </c>
      <c r="P131" t="inlineStr"/>
      <c r="Q131" t="inlineStr">
        <is>
          <t>Filled</t>
        </is>
      </c>
      <c r="R131" t="n">
        <v>6.5</v>
      </c>
      <c r="S131" t="inlineStr">
        <is>
          <t>Central English policy</t>
        </is>
      </c>
      <c r="T131" t="inlineStr">
        <is>
          <t>Central rule applies (value agrees)</t>
        </is>
      </c>
      <c r="U131" t="inlineStr"/>
      <c r="V131" t="inlineStr">
        <is>
          <t>Page found, being read</t>
        </is>
      </c>
      <c r="W131" t="inlineStr"/>
      <c r="X131" t="inlineStr"/>
      <c r="Y131" t="n">
        <v>0</v>
      </c>
      <c r="Z131" t="inlineStr">
        <is>
          <t>Yes</t>
        </is>
      </c>
      <c r="AA131" t="inlineStr">
        <is>
          <t>Not stated on course page</t>
        </is>
      </c>
      <c r="AB131" t="inlineStr"/>
      <c r="AC131" t="inlineStr">
        <is>
          <t>Skipped: no allowed source had a value</t>
        </is>
      </c>
      <c r="AD131" t="n">
        <v>1</v>
      </c>
      <c r="AE131" t="inlineStr"/>
      <c r="AF131" t="inlineStr"/>
      <c r="AG131" t="inlineStr"/>
      <c r="AH131" t="inlineStr"/>
      <c r="AI131" t="inlineStr"/>
      <c r="AJ131" t="inlineStr"/>
      <c r="AK131" t="inlineStr"/>
      <c r="AL131" t="inlineStr"/>
      <c r="AM131" t="inlineStr"/>
    </row>
    <row r="132">
      <c r="A132" t="inlineStr">
        <is>
          <t>066074C</t>
        </is>
      </c>
      <c r="B132" t="inlineStr">
        <is>
          <t>Bachelor of Liberal Studies (Honours)</t>
        </is>
      </c>
      <c r="C132" t="inlineStr">
        <is>
          <t>Bachelor Honours Degree</t>
        </is>
      </c>
      <c r="D132" t="inlineStr">
        <is>
          <t>Undergraduate</t>
        </is>
      </c>
      <c r="E132" t="inlineStr">
        <is>
          <t>Page address no longer works</t>
        </is>
      </c>
      <c r="F132" t="inlineStr"/>
      <c r="G132" t="inlineStr">
        <is>
          <t>https://www.sydney.edu.au/courses/courses/uc/bachelor-of-liberal-studies-honours.html</t>
        </is>
      </c>
      <c r="H132" t="inlineStr">
        <is>
          <t>Address no longer works</t>
        </is>
      </c>
      <c r="I132" t="inlineStr"/>
      <c r="J132" t="inlineStr"/>
      <c r="K132" t="inlineStr">
        <is>
          <t>Finished, no page: every candidate address was refused by the reader or did not</t>
        </is>
      </c>
      <c r="L132" t="inlineStr">
        <is>
          <t>Page found, being read</t>
        </is>
      </c>
      <c r="M132" t="inlineStr">
        <is>
          <t>Page found, being read</t>
        </is>
      </c>
      <c r="N132" t="inlineStr"/>
      <c r="O132" t="n">
        <v>0</v>
      </c>
      <c r="P132" t="inlineStr"/>
      <c r="Q132" t="inlineStr">
        <is>
          <t>Filled</t>
        </is>
      </c>
      <c r="R132" t="n">
        <v>6.5</v>
      </c>
      <c r="S132" t="inlineStr">
        <is>
          <t>Central English policy</t>
        </is>
      </c>
      <c r="T132" t="inlineStr">
        <is>
          <t>Central rule applies (value agrees)</t>
        </is>
      </c>
      <c r="U132" t="inlineStr"/>
      <c r="V132" t="inlineStr">
        <is>
          <t>Page found, being read</t>
        </is>
      </c>
      <c r="W132" t="inlineStr"/>
      <c r="X132" t="inlineStr"/>
      <c r="Y132" t="n">
        <v>0</v>
      </c>
      <c r="Z132" t="inlineStr">
        <is>
          <t>Yes</t>
        </is>
      </c>
      <c r="AA132" t="inlineStr">
        <is>
          <t>Not stated on course page</t>
        </is>
      </c>
      <c r="AB132" t="inlineStr"/>
      <c r="AC132" t="inlineStr">
        <is>
          <t>Skipped: no allowed source had a value</t>
        </is>
      </c>
      <c r="AD132" t="n">
        <v>1</v>
      </c>
      <c r="AE132" t="inlineStr"/>
      <c r="AF132" t="inlineStr"/>
      <c r="AG132" t="inlineStr"/>
      <c r="AH132" t="inlineStr"/>
      <c r="AI132" t="inlineStr"/>
      <c r="AJ132" t="inlineStr"/>
      <c r="AK132" t="inlineStr"/>
      <c r="AL132" t="inlineStr"/>
      <c r="AM132" t="inlineStr"/>
    </row>
    <row r="133">
      <c r="A133" t="inlineStr">
        <is>
          <t>117213D</t>
        </is>
      </c>
      <c r="B133" t="inlineStr">
        <is>
          <t>Bachelor of Mathematical Sciences</t>
        </is>
      </c>
      <c r="C133" t="inlineStr">
        <is>
          <t>Bachelor</t>
        </is>
      </c>
      <c r="D133" t="inlineStr">
        <is>
          <t>Undergraduate</t>
        </is>
      </c>
      <c r="E133" t="inlineStr">
        <is>
          <t>Advertised: official page in place</t>
        </is>
      </c>
      <c r="F133" t="inlineStr">
        <is>
          <t>https://www.sydney.edu.au/courses/courses/uc/bachelor-of-mathematical-sciences.html</t>
        </is>
      </c>
      <c r="G133" t="inlineStr">
        <is>
          <t>https://www.sydney.edu.au/courses/courses/uc/bachelor-of-mathematical-sciences.html</t>
        </is>
      </c>
      <c r="H133" t="inlineStr">
        <is>
          <t>Read</t>
        </is>
      </c>
      <c r="I133" t="inlineStr">
        <is>
          <t>Exact title match</t>
        </is>
      </c>
      <c r="J133" t="inlineStr"/>
      <c r="K133" t="inlineStr">
        <is>
          <t>Not sent to re-link</t>
        </is>
      </c>
      <c r="L133" t="inlineStr">
        <is>
          <t>Filled</t>
        </is>
      </c>
      <c r="M133" t="inlineStr">
        <is>
          <t>Not stated on course page</t>
        </is>
      </c>
      <c r="N133" t="inlineStr"/>
      <c r="O133" t="n">
        <v>0</v>
      </c>
      <c r="P133" t="inlineStr"/>
      <c r="Q133" t="inlineStr">
        <is>
          <t>Filled</t>
        </is>
      </c>
      <c r="R133" t="n">
        <v>6.5</v>
      </c>
      <c r="S133" t="inlineStr">
        <is>
          <t>Central English policy</t>
        </is>
      </c>
      <c r="T133" t="inlineStr">
        <is>
          <t>Central rule applies (value agrees)</t>
        </is>
      </c>
      <c r="U133" t="inlineStr"/>
      <c r="V133" t="inlineStr">
        <is>
          <t>Not stated on course page</t>
        </is>
      </c>
      <c r="W133" t="inlineStr"/>
      <c r="X133" t="inlineStr"/>
      <c r="Y133" t="n">
        <v>2</v>
      </c>
      <c r="Z133" t="inlineStr">
        <is>
          <t>Yes</t>
        </is>
      </c>
      <c r="AA133" t="inlineStr">
        <is>
          <t>Filled</t>
        </is>
      </c>
      <c r="AB133" t="inlineStr">
        <is>
          <t>on campus</t>
        </is>
      </c>
      <c r="AC133" t="inlineStr"/>
      <c r="AD133" t="n">
        <v>0</v>
      </c>
      <c r="AE133" t="inlineStr"/>
      <c r="AF133" t="inlineStr"/>
      <c r="AG133" t="inlineStr"/>
      <c r="AH133" t="inlineStr">
        <is>
          <t>Yes</t>
        </is>
      </c>
      <c r="AI133" t="inlineStr"/>
      <c r="AJ133" t="inlineStr"/>
      <c r="AK133" t="inlineStr"/>
      <c r="AL133" t="inlineStr"/>
      <c r="AM133" t="inlineStr"/>
    </row>
    <row r="134">
      <c r="A134" t="inlineStr">
        <is>
          <t>117214C</t>
        </is>
      </c>
      <c r="B134" t="inlineStr">
        <is>
          <t>Bachelor of Mathematical Sciences (Honours)</t>
        </is>
      </c>
      <c r="C134" t="inlineStr">
        <is>
          <t>Bachelor Honours Degree</t>
        </is>
      </c>
      <c r="D134" t="inlineStr">
        <is>
          <t>Undergraduate</t>
        </is>
      </c>
      <c r="E134" t="inlineStr">
        <is>
          <t>Advertised: official page in place</t>
        </is>
      </c>
      <c r="F134" t="inlineStr">
        <is>
          <t>https://www.sydney.edu.au/courses/courses/uc/bachelor-of-mathematical-sciences-honours.html</t>
        </is>
      </c>
      <c r="G134" t="inlineStr">
        <is>
          <t>https://www.sydney.edu.au/courses/courses/uc/bachelor-of-mathematical-sciences-honours.html</t>
        </is>
      </c>
      <c r="H134" t="inlineStr">
        <is>
          <t>Read</t>
        </is>
      </c>
      <c r="I134" t="inlineStr">
        <is>
          <t>Exact title match</t>
        </is>
      </c>
      <c r="J134" t="inlineStr"/>
      <c r="K134" t="inlineStr">
        <is>
          <t>Not sent to re-link</t>
        </is>
      </c>
      <c r="L134" t="inlineStr">
        <is>
          <t>Filled</t>
        </is>
      </c>
      <c r="M134" t="inlineStr">
        <is>
          <t>Not stated on course page</t>
        </is>
      </c>
      <c r="N134" t="inlineStr"/>
      <c r="O134" t="n">
        <v>0</v>
      </c>
      <c r="P134" t="inlineStr"/>
      <c r="Q134" t="inlineStr">
        <is>
          <t>Filled</t>
        </is>
      </c>
      <c r="R134" t="n">
        <v>6.5</v>
      </c>
      <c r="S134" t="inlineStr">
        <is>
          <t>Central English policy</t>
        </is>
      </c>
      <c r="T134" t="inlineStr">
        <is>
          <t>Central rule applies (value agrees)</t>
        </is>
      </c>
      <c r="U134" t="inlineStr"/>
      <c r="V134" t="inlineStr">
        <is>
          <t>Not stated on course page</t>
        </is>
      </c>
      <c r="W134" t="inlineStr"/>
      <c r="X134" t="inlineStr"/>
      <c r="Y134" t="n">
        <v>2</v>
      </c>
      <c r="Z134" t="inlineStr">
        <is>
          <t>Yes</t>
        </is>
      </c>
      <c r="AA134" t="inlineStr">
        <is>
          <t>Filled</t>
        </is>
      </c>
      <c r="AB134" t="inlineStr">
        <is>
          <t>on campus</t>
        </is>
      </c>
      <c r="AC134" t="inlineStr"/>
      <c r="AD134" t="n">
        <v>0</v>
      </c>
      <c r="AE134" t="inlineStr"/>
      <c r="AF134" t="inlineStr"/>
      <c r="AG134" t="inlineStr"/>
      <c r="AH134" t="inlineStr">
        <is>
          <t>Yes</t>
        </is>
      </c>
      <c r="AI134" t="inlineStr"/>
      <c r="AJ134" t="inlineStr"/>
      <c r="AK134" t="inlineStr"/>
      <c r="AL134" t="inlineStr"/>
      <c r="AM134" t="inlineStr"/>
    </row>
    <row r="135">
      <c r="A135" t="inlineStr">
        <is>
          <t>115421A</t>
        </is>
      </c>
      <c r="B135" t="inlineStr">
        <is>
          <t>Bachelor of Media and Communications</t>
        </is>
      </c>
      <c r="C135" t="inlineStr">
        <is>
          <t>Bachelor</t>
        </is>
      </c>
      <c r="D135" t="inlineStr">
        <is>
          <t>Undergraduate</t>
        </is>
      </c>
      <c r="E135" t="inlineStr">
        <is>
          <t>Advertised: official page in place</t>
        </is>
      </c>
      <c r="F135" t="inlineStr">
        <is>
          <t>https://www.sydney.edu.au/courses/courses/uc/bachelor-of-media-and-communications.html</t>
        </is>
      </c>
      <c r="G135" t="inlineStr">
        <is>
          <t>https://www.sydney.edu.au/courses/courses/uc/bachelor-of-media-and-communications.html</t>
        </is>
      </c>
      <c r="H135" t="inlineStr">
        <is>
          <t>Read</t>
        </is>
      </c>
      <c r="I135" t="inlineStr">
        <is>
          <t>Exact title match</t>
        </is>
      </c>
      <c r="J135" t="inlineStr"/>
      <c r="K135" t="inlineStr">
        <is>
          <t>Not sent to re-link</t>
        </is>
      </c>
      <c r="L135" t="inlineStr">
        <is>
          <t>Filled</t>
        </is>
      </c>
      <c r="M135" t="inlineStr">
        <is>
          <t>Not stated on course page</t>
        </is>
      </c>
      <c r="N135" t="inlineStr"/>
      <c r="O135" t="n">
        <v>0</v>
      </c>
      <c r="P135" t="inlineStr"/>
      <c r="Q135" t="inlineStr">
        <is>
          <t>Filled</t>
        </is>
      </c>
      <c r="R135" t="n">
        <v>6.5</v>
      </c>
      <c r="S135" t="inlineStr">
        <is>
          <t>Central English policy</t>
        </is>
      </c>
      <c r="T135" t="inlineStr">
        <is>
          <t>Central rule applies (value agrees)</t>
        </is>
      </c>
      <c r="U135" t="inlineStr"/>
      <c r="V135" t="inlineStr">
        <is>
          <t>Not stated on course page</t>
        </is>
      </c>
      <c r="W135" t="inlineStr"/>
      <c r="X135" t="inlineStr"/>
      <c r="Y135" t="n">
        <v>2</v>
      </c>
      <c r="Z135" t="inlineStr">
        <is>
          <t>Yes</t>
        </is>
      </c>
      <c r="AA135" t="inlineStr">
        <is>
          <t>Filled</t>
        </is>
      </c>
      <c r="AB135" t="inlineStr">
        <is>
          <t>on campus</t>
        </is>
      </c>
      <c r="AC135" t="inlineStr"/>
      <c r="AD135" t="n">
        <v>0</v>
      </c>
      <c r="AE135" t="inlineStr"/>
      <c r="AF135" t="inlineStr"/>
      <c r="AG135" t="inlineStr"/>
      <c r="AH135" t="inlineStr">
        <is>
          <t>Yes</t>
        </is>
      </c>
      <c r="AI135" t="inlineStr"/>
      <c r="AJ135" t="inlineStr"/>
      <c r="AK135" t="inlineStr"/>
      <c r="AL135" t="inlineStr"/>
      <c r="AM135" t="inlineStr"/>
    </row>
    <row r="136">
      <c r="A136" t="inlineStr">
        <is>
          <t>116271B</t>
        </is>
      </c>
      <c r="B136" t="inlineStr">
        <is>
          <t>Bachelor of Media and Communications (Honours)</t>
        </is>
      </c>
      <c r="C136" t="inlineStr">
        <is>
          <t>Bachelor Honours Degree</t>
        </is>
      </c>
      <c r="D136" t="inlineStr">
        <is>
          <t>Undergraduate</t>
        </is>
      </c>
      <c r="E136" t="inlineStr">
        <is>
          <t>Advertised: official page in place</t>
        </is>
      </c>
      <c r="F136" t="inlineStr">
        <is>
          <t>https://www.sydney.edu.au/courses/courses/uc/bachelor-of-media-and-communications-honours.html</t>
        </is>
      </c>
      <c r="G136" t="inlineStr">
        <is>
          <t>https://www.sydney.edu.au/courses/courses/uc/bachelor-of-media-and-communications-honours.html</t>
        </is>
      </c>
      <c r="H136" t="inlineStr">
        <is>
          <t>Read</t>
        </is>
      </c>
      <c r="I136" t="inlineStr">
        <is>
          <t>Exact title match</t>
        </is>
      </c>
      <c r="J136" t="inlineStr"/>
      <c r="K136" t="inlineStr">
        <is>
          <t>Not sent to re-link</t>
        </is>
      </c>
      <c r="L136" t="inlineStr">
        <is>
          <t>Filled</t>
        </is>
      </c>
      <c r="M136" t="inlineStr">
        <is>
          <t>Not stated on course page</t>
        </is>
      </c>
      <c r="N136" t="inlineStr"/>
      <c r="O136" t="n">
        <v>0</v>
      </c>
      <c r="P136" t="inlineStr"/>
      <c r="Q136" t="inlineStr">
        <is>
          <t>Filled</t>
        </is>
      </c>
      <c r="R136" t="n">
        <v>7.5</v>
      </c>
      <c r="S136" t="inlineStr">
        <is>
          <t>Other</t>
        </is>
      </c>
      <c r="T136" t="inlineStr">
        <is>
          <t>Central rule applies (course value differs)</t>
        </is>
      </c>
      <c r="U136" t="inlineStr">
        <is>
          <t>Yes: course has IELTS 7.50, central rule says 6.5</t>
        </is>
      </c>
      <c r="V136" t="inlineStr">
        <is>
          <t>Filled</t>
        </is>
      </c>
      <c r="W136" t="inlineStr">
        <is>
          <t>February, August</t>
        </is>
      </c>
      <c r="X136" t="inlineStr">
        <is>
          <t>Other</t>
        </is>
      </c>
      <c r="Y136" t="n">
        <v>0</v>
      </c>
      <c r="Z136" t="inlineStr">
        <is>
          <t>Yes</t>
        </is>
      </c>
      <c r="AA136" t="inlineStr">
        <is>
          <t>Filled</t>
        </is>
      </c>
      <c r="AB136" t="inlineStr">
        <is>
          <t>on campus</t>
        </is>
      </c>
      <c r="AC136" t="inlineStr"/>
      <c r="AD136" t="n">
        <v>0</v>
      </c>
      <c r="AE136" t="inlineStr"/>
      <c r="AF136" t="inlineStr"/>
      <c r="AG136" t="inlineStr"/>
      <c r="AH136" t="inlineStr"/>
      <c r="AI136" t="inlineStr"/>
      <c r="AJ136" t="inlineStr"/>
      <c r="AK136" t="inlineStr"/>
      <c r="AL136" t="inlineStr"/>
      <c r="AM136" t="inlineStr"/>
    </row>
    <row r="137">
      <c r="A137" t="inlineStr">
        <is>
          <t>016246B</t>
        </is>
      </c>
      <c r="B137" t="inlineStr">
        <is>
          <t>Bachelor of Medical Science</t>
        </is>
      </c>
      <c r="C137" t="inlineStr">
        <is>
          <t>Bachelor</t>
        </is>
      </c>
      <c r="D137" t="inlineStr">
        <is>
          <t>Undergraduate</t>
        </is>
      </c>
      <c r="E137" t="inlineStr">
        <is>
          <t>Page address no longer works</t>
        </is>
      </c>
      <c r="F137" t="inlineStr"/>
      <c r="G137" t="inlineStr">
        <is>
          <t>https://www.sydney.edu.au/courses/courses/uc/bachelor-of-medical-science.html</t>
        </is>
      </c>
      <c r="H137" t="inlineStr">
        <is>
          <t>Address no longer works</t>
        </is>
      </c>
      <c r="I137" t="inlineStr"/>
      <c r="J137" t="inlineStr"/>
      <c r="K137" t="inlineStr">
        <is>
          <t>Finished, no page: every candidate address was refused by the reader or did not</t>
        </is>
      </c>
      <c r="L137" t="inlineStr">
        <is>
          <t>Page found, being read</t>
        </is>
      </c>
      <c r="M137" t="inlineStr">
        <is>
          <t>Page found, being read</t>
        </is>
      </c>
      <c r="N137" t="inlineStr"/>
      <c r="O137" t="n">
        <v>0</v>
      </c>
      <c r="P137" t="inlineStr"/>
      <c r="Q137" t="inlineStr">
        <is>
          <t>Filled</t>
        </is>
      </c>
      <c r="R137" t="n">
        <v>6.5</v>
      </c>
      <c r="S137" t="inlineStr">
        <is>
          <t>Central English policy</t>
        </is>
      </c>
      <c r="T137" t="inlineStr">
        <is>
          <t>Central rule applies (value agrees)</t>
        </is>
      </c>
      <c r="U137" t="inlineStr"/>
      <c r="V137" t="inlineStr">
        <is>
          <t>Page found, being read</t>
        </is>
      </c>
      <c r="W137" t="inlineStr"/>
      <c r="X137" t="inlineStr"/>
      <c r="Y137" t="n">
        <v>0</v>
      </c>
      <c r="Z137" t="inlineStr">
        <is>
          <t>Yes</t>
        </is>
      </c>
      <c r="AA137" t="inlineStr">
        <is>
          <t>Not stated on course page</t>
        </is>
      </c>
      <c r="AB137" t="inlineStr"/>
      <c r="AC137" t="inlineStr">
        <is>
          <t>Skipped: the page does not state it</t>
        </is>
      </c>
      <c r="AD137" t="n">
        <v>0</v>
      </c>
      <c r="AE137" t="inlineStr"/>
      <c r="AF137" t="inlineStr"/>
      <c r="AG137" t="inlineStr"/>
      <c r="AH137" t="inlineStr"/>
      <c r="AI137" t="inlineStr"/>
      <c r="AJ137" t="inlineStr"/>
      <c r="AK137" t="inlineStr"/>
      <c r="AL137" t="inlineStr"/>
      <c r="AM137" t="inlineStr"/>
    </row>
    <row r="138">
      <c r="A138" t="inlineStr">
        <is>
          <t>040575G</t>
        </is>
      </c>
      <c r="B138" t="inlineStr">
        <is>
          <t>Bachelor of Medical Science (Honours)</t>
        </is>
      </c>
      <c r="C138" t="inlineStr">
        <is>
          <t>Bachelor Honours Degree</t>
        </is>
      </c>
      <c r="D138" t="inlineStr">
        <is>
          <t>Undergraduate</t>
        </is>
      </c>
      <c r="E138" t="inlineStr">
        <is>
          <t>Advertised: official page in place</t>
        </is>
      </c>
      <c r="F138" t="inlineStr">
        <is>
          <t>https://www.sydney.edu.au/courses/courses/uc/bachelor-of-medical-science-honours.html</t>
        </is>
      </c>
      <c r="G138" t="inlineStr">
        <is>
          <t>https://www.sydney.edu.au/courses/courses/uc/bachelor-of-medical-science-honours.html</t>
        </is>
      </c>
      <c r="H138" t="inlineStr">
        <is>
          <t>Read</t>
        </is>
      </c>
      <c r="I138" t="inlineStr">
        <is>
          <t>Exact title match</t>
        </is>
      </c>
      <c r="J138" t="inlineStr"/>
      <c r="K138" t="inlineStr">
        <is>
          <t>Not sent to re-link</t>
        </is>
      </c>
      <c r="L138" t="inlineStr">
        <is>
          <t>Filled</t>
        </is>
      </c>
      <c r="M138" t="inlineStr">
        <is>
          <t>Not stated on course page</t>
        </is>
      </c>
      <c r="N138" t="inlineStr"/>
      <c r="O138" t="n">
        <v>0</v>
      </c>
      <c r="P138" t="inlineStr"/>
      <c r="Q138" t="inlineStr">
        <is>
          <t>Filled</t>
        </is>
      </c>
      <c r="R138" t="n">
        <v>6.5</v>
      </c>
      <c r="S138" t="inlineStr">
        <is>
          <t>Central English policy</t>
        </is>
      </c>
      <c r="T138" t="inlineStr">
        <is>
          <t>Central rule applies (value agrees)</t>
        </is>
      </c>
      <c r="U138" t="inlineStr"/>
      <c r="V138" t="inlineStr">
        <is>
          <t>Filled</t>
        </is>
      </c>
      <c r="W138" t="inlineStr">
        <is>
          <t>February, August</t>
        </is>
      </c>
      <c r="X138" t="inlineStr">
        <is>
          <t>Page reader</t>
        </is>
      </c>
      <c r="Y138" t="n">
        <v>2</v>
      </c>
      <c r="Z138" t="inlineStr">
        <is>
          <t>Yes</t>
        </is>
      </c>
      <c r="AA138" t="inlineStr">
        <is>
          <t>Filled</t>
        </is>
      </c>
      <c r="AB138" t="inlineStr">
        <is>
          <t>on campus</t>
        </is>
      </c>
      <c r="AC138" t="inlineStr"/>
      <c r="AD138" t="n">
        <v>0</v>
      </c>
      <c r="AE138" t="inlineStr"/>
      <c r="AF138" t="inlineStr"/>
      <c r="AG138" t="inlineStr"/>
      <c r="AH138" t="inlineStr"/>
      <c r="AI138" t="inlineStr"/>
      <c r="AJ138" t="inlineStr"/>
      <c r="AK138" t="inlineStr"/>
      <c r="AL138" t="inlineStr"/>
      <c r="AM138" t="inlineStr"/>
    </row>
    <row r="139">
      <c r="A139" t="inlineStr">
        <is>
          <t>079217G</t>
        </is>
      </c>
      <c r="B139" t="inlineStr">
        <is>
          <t>Bachelor of Medical Science/Doctor of Medicine</t>
        </is>
      </c>
      <c r="C139" t="inlineStr">
        <is>
          <t>Masters Degree (Coursework)</t>
        </is>
      </c>
      <c r="D139" t="inlineStr">
        <is>
          <t>Postgraduate coursework</t>
        </is>
      </c>
      <c r="E139" t="inlineStr">
        <is>
          <t>Page address no longer works</t>
        </is>
      </c>
      <c r="F139" t="inlineStr"/>
      <c r="G139" t="inlineStr">
        <is>
          <t>https://www.sydney.edu.au/courses/courses/pc/bachelor-of-medical-science-doctor-of-medicine.html</t>
        </is>
      </c>
      <c r="H139" t="inlineStr">
        <is>
          <t>Address no longer works</t>
        </is>
      </c>
      <c r="I139" t="inlineStr"/>
      <c r="J139" t="inlineStr"/>
      <c r="K139" t="inlineStr">
        <is>
          <t>Finished, no page: every candidate address was refused by the reader or did not</t>
        </is>
      </c>
      <c r="L139" t="inlineStr">
        <is>
          <t>Page found, being read</t>
        </is>
      </c>
      <c r="M139" t="inlineStr">
        <is>
          <t>Page found, being read</t>
        </is>
      </c>
      <c r="N139" t="inlineStr"/>
      <c r="O139" t="n">
        <v>0</v>
      </c>
      <c r="P139" t="inlineStr"/>
      <c r="Q139" t="inlineStr">
        <is>
          <t>Page found, being read</t>
        </is>
      </c>
      <c r="S139" t="inlineStr"/>
      <c r="T139" t="inlineStr">
        <is>
          <t>Held: double degree (its parts are at different levels)</t>
        </is>
      </c>
      <c r="U139" t="inlineStr"/>
      <c r="V139" t="inlineStr">
        <is>
          <t>Page found, being read</t>
        </is>
      </c>
      <c r="W139" t="inlineStr"/>
      <c r="X139" t="inlineStr"/>
      <c r="Y139" t="n">
        <v>0</v>
      </c>
      <c r="Z139" t="inlineStr">
        <is>
          <t>No</t>
        </is>
      </c>
      <c r="AA139" t="inlineStr">
        <is>
          <t>Not stated on course page</t>
        </is>
      </c>
      <c r="AB139" t="inlineStr"/>
      <c r="AC139" t="inlineStr">
        <is>
          <t>Skipped: the page does not state it</t>
        </is>
      </c>
      <c r="AD139" t="n">
        <v>0</v>
      </c>
      <c r="AE139" t="inlineStr"/>
      <c r="AF139" t="inlineStr"/>
      <c r="AG139" t="inlineStr"/>
      <c r="AH139" t="inlineStr"/>
      <c r="AI139" t="inlineStr"/>
      <c r="AJ139" t="inlineStr">
        <is>
          <t>Yes</t>
        </is>
      </c>
      <c r="AK139" t="inlineStr"/>
      <c r="AL139" t="inlineStr"/>
      <c r="AM139" t="inlineStr"/>
    </row>
    <row r="140">
      <c r="A140" t="inlineStr">
        <is>
          <t>094484G</t>
        </is>
      </c>
      <c r="B140" t="inlineStr">
        <is>
          <t>Bachelor of Music</t>
        </is>
      </c>
      <c r="C140" t="inlineStr">
        <is>
          <t>Bachelor</t>
        </is>
      </c>
      <c r="D140" t="inlineStr">
        <is>
          <t>Undergraduate</t>
        </is>
      </c>
      <c r="E140" t="inlineStr">
        <is>
          <t>Advertised: official page in place</t>
        </is>
      </c>
      <c r="F140" t="inlineStr">
        <is>
          <t>https://www.sydney.edu.au/courses/courses/uc/bachelor-of-music.html</t>
        </is>
      </c>
      <c r="G140" t="inlineStr">
        <is>
          <t>https://www.sydney.edu.au/courses/courses/uc/bachelor-of-music.html</t>
        </is>
      </c>
      <c r="H140" t="inlineStr">
        <is>
          <t>Read</t>
        </is>
      </c>
      <c r="I140" t="inlineStr">
        <is>
          <t>Exact title match</t>
        </is>
      </c>
      <c r="J140" t="inlineStr"/>
      <c r="K140" t="inlineStr">
        <is>
          <t>Not sent to re-link</t>
        </is>
      </c>
      <c r="L140" t="inlineStr">
        <is>
          <t>Filled</t>
        </is>
      </c>
      <c r="M140" t="inlineStr">
        <is>
          <t>Not stated on course page</t>
        </is>
      </c>
      <c r="N140" t="inlineStr"/>
      <c r="O140" t="n">
        <v>0</v>
      </c>
      <c r="P140" t="inlineStr"/>
      <c r="Q140" t="inlineStr">
        <is>
          <t>Filled</t>
        </is>
      </c>
      <c r="R140" t="n">
        <v>6.5</v>
      </c>
      <c r="S140" t="inlineStr">
        <is>
          <t>Central English policy</t>
        </is>
      </c>
      <c r="T140" t="inlineStr">
        <is>
          <t>Central rule applies (value agrees)</t>
        </is>
      </c>
      <c r="U140" t="inlineStr"/>
      <c r="V140" t="inlineStr">
        <is>
          <t>Filled</t>
        </is>
      </c>
      <c r="W140" t="inlineStr">
        <is>
          <t>July, September</t>
        </is>
      </c>
      <c r="X140" t="inlineStr">
        <is>
          <t>Page reader</t>
        </is>
      </c>
      <c r="Y140" t="n">
        <v>2</v>
      </c>
      <c r="Z140" t="inlineStr">
        <is>
          <t>Yes</t>
        </is>
      </c>
      <c r="AA140" t="inlineStr">
        <is>
          <t>Filled</t>
        </is>
      </c>
      <c r="AB140" t="inlineStr">
        <is>
          <t>on campus</t>
        </is>
      </c>
      <c r="AC140" t="inlineStr"/>
      <c r="AD140" t="n">
        <v>0</v>
      </c>
      <c r="AE140" t="inlineStr"/>
      <c r="AF140" t="inlineStr"/>
      <c r="AG140" t="inlineStr"/>
      <c r="AH140" t="inlineStr"/>
      <c r="AI140" t="inlineStr"/>
      <c r="AJ140" t="inlineStr"/>
      <c r="AK140" t="inlineStr"/>
      <c r="AL140" t="inlineStr"/>
      <c r="AM140" t="inlineStr"/>
    </row>
    <row r="141">
      <c r="A141" t="inlineStr">
        <is>
          <t>052452G</t>
        </is>
      </c>
      <c r="B141" t="inlineStr">
        <is>
          <t>Bachelor of Music (Composition)</t>
        </is>
      </c>
      <c r="C141" t="inlineStr">
        <is>
          <t>Bachelor</t>
        </is>
      </c>
      <c r="D141" t="inlineStr">
        <is>
          <t>Undergraduate</t>
        </is>
      </c>
      <c r="E141" t="inlineStr">
        <is>
          <t>Advertised: official page in place</t>
        </is>
      </c>
      <c r="F141" t="inlineStr">
        <is>
          <t>https://www.sydney.edu.au/courses/courses/uc/bachelor-of-music-composition.html</t>
        </is>
      </c>
      <c r="G141" t="inlineStr">
        <is>
          <t>https://www.sydney.edu.au/courses/courses/uc/bachelor-of-music-composition.html</t>
        </is>
      </c>
      <c r="H141" t="inlineStr">
        <is>
          <t>Read</t>
        </is>
      </c>
      <c r="I141" t="inlineStr">
        <is>
          <t>Exact title match</t>
        </is>
      </c>
      <c r="J141" t="inlineStr"/>
      <c r="K141" t="inlineStr">
        <is>
          <t>Not sent to re-link</t>
        </is>
      </c>
      <c r="L141" t="inlineStr">
        <is>
          <t>Filled</t>
        </is>
      </c>
      <c r="M141" t="inlineStr">
        <is>
          <t>Not stated on course page</t>
        </is>
      </c>
      <c r="N141" t="inlineStr"/>
      <c r="O141" t="n">
        <v>0</v>
      </c>
      <c r="P141" t="inlineStr"/>
      <c r="Q141" t="inlineStr">
        <is>
          <t>Filled</t>
        </is>
      </c>
      <c r="R141" t="n">
        <v>6.5</v>
      </c>
      <c r="S141" t="inlineStr">
        <is>
          <t>Central English policy</t>
        </is>
      </c>
      <c r="T141" t="inlineStr">
        <is>
          <t>Central rule applies (value agrees)</t>
        </is>
      </c>
      <c r="U141" t="inlineStr"/>
      <c r="V141" t="inlineStr">
        <is>
          <t>Not stated on course page</t>
        </is>
      </c>
      <c r="W141" t="inlineStr"/>
      <c r="X141" t="inlineStr"/>
      <c r="Y141" t="n">
        <v>2</v>
      </c>
      <c r="Z141" t="inlineStr">
        <is>
          <t>Yes</t>
        </is>
      </c>
      <c r="AA141" t="inlineStr">
        <is>
          <t>Filled</t>
        </is>
      </c>
      <c r="AB141" t="inlineStr">
        <is>
          <t>on campus</t>
        </is>
      </c>
      <c r="AC141" t="inlineStr"/>
      <c r="AD141" t="n">
        <v>0</v>
      </c>
      <c r="AE141" t="inlineStr"/>
      <c r="AF141" t="inlineStr"/>
      <c r="AG141" t="inlineStr"/>
      <c r="AH141" t="inlineStr">
        <is>
          <t>Yes</t>
        </is>
      </c>
      <c r="AI141" t="inlineStr"/>
      <c r="AJ141" t="inlineStr"/>
      <c r="AK141" t="inlineStr"/>
      <c r="AL141" t="inlineStr"/>
      <c r="AM141" t="inlineStr"/>
    </row>
    <row r="142">
      <c r="A142" t="inlineStr">
        <is>
          <t>008447D</t>
        </is>
      </c>
      <c r="B142" t="inlineStr">
        <is>
          <t>Bachelor of Music (Music Education)</t>
        </is>
      </c>
      <c r="C142" t="inlineStr">
        <is>
          <t>Bachelor</t>
        </is>
      </c>
      <c r="D142" t="inlineStr">
        <is>
          <t>Undergraduate</t>
        </is>
      </c>
      <c r="E142" t="inlineStr">
        <is>
          <t>Advertised: official page in place</t>
        </is>
      </c>
      <c r="F142" t="inlineStr">
        <is>
          <t>https://www.sydney.edu.au/courses/courses/uc/bachelor-of-music-music-education.html</t>
        </is>
      </c>
      <c r="G142" t="inlineStr">
        <is>
          <t>https://www.sydney.edu.au/courses/courses/uc/bachelor-of-music-music-education.html</t>
        </is>
      </c>
      <c r="H142" t="inlineStr">
        <is>
          <t>Read</t>
        </is>
      </c>
      <c r="I142" t="inlineStr">
        <is>
          <t>Exact title match</t>
        </is>
      </c>
      <c r="J142" t="inlineStr"/>
      <c r="K142" t="inlineStr">
        <is>
          <t>Not sent to re-link</t>
        </is>
      </c>
      <c r="L142" t="inlineStr">
        <is>
          <t>Filled</t>
        </is>
      </c>
      <c r="M142" t="inlineStr">
        <is>
          <t>Not stated on course page</t>
        </is>
      </c>
      <c r="N142" t="inlineStr"/>
      <c r="O142" t="n">
        <v>0</v>
      </c>
      <c r="P142" t="inlineStr"/>
      <c r="Q142" t="inlineStr">
        <is>
          <t>Filled</t>
        </is>
      </c>
      <c r="R142" t="n">
        <v>6.5</v>
      </c>
      <c r="S142" t="inlineStr">
        <is>
          <t>Central English policy</t>
        </is>
      </c>
      <c r="T142" t="inlineStr">
        <is>
          <t>Central rule applies (value agrees)</t>
        </is>
      </c>
      <c r="U142" t="inlineStr"/>
      <c r="V142" t="inlineStr">
        <is>
          <t>Filled</t>
        </is>
      </c>
      <c r="W142" t="inlineStr">
        <is>
          <t>July, September</t>
        </is>
      </c>
      <c r="X142" t="inlineStr">
        <is>
          <t>Page reader</t>
        </is>
      </c>
      <c r="Y142" t="n">
        <v>2</v>
      </c>
      <c r="Z142" t="inlineStr">
        <is>
          <t>Yes</t>
        </is>
      </c>
      <c r="AA142" t="inlineStr">
        <is>
          <t>Filled</t>
        </is>
      </c>
      <c r="AB142" t="inlineStr">
        <is>
          <t>on campus</t>
        </is>
      </c>
      <c r="AC142" t="inlineStr"/>
      <c r="AD142" t="n">
        <v>0</v>
      </c>
      <c r="AE142" t="inlineStr"/>
      <c r="AF142" t="inlineStr"/>
      <c r="AG142" t="inlineStr"/>
      <c r="AH142" t="inlineStr"/>
      <c r="AI142" t="inlineStr"/>
      <c r="AJ142" t="inlineStr"/>
      <c r="AK142" t="inlineStr"/>
      <c r="AL142" t="inlineStr"/>
      <c r="AM142" t="inlineStr"/>
    </row>
    <row r="143">
      <c r="A143" t="inlineStr">
        <is>
          <t>052451J</t>
        </is>
      </c>
      <c r="B143" t="inlineStr">
        <is>
          <t>Bachelor of Music (Performance)</t>
        </is>
      </c>
      <c r="C143" t="inlineStr">
        <is>
          <t>Bachelor</t>
        </is>
      </c>
      <c r="D143" t="inlineStr">
        <is>
          <t>Undergraduate</t>
        </is>
      </c>
      <c r="E143" t="inlineStr">
        <is>
          <t>Advertised: official page in place</t>
        </is>
      </c>
      <c r="F143" t="inlineStr">
        <is>
          <t>https://www.sydney.edu.au/courses/courses/uc/bachelor-of-music-performance.html</t>
        </is>
      </c>
      <c r="G143" t="inlineStr">
        <is>
          <t>https://www.sydney.edu.au/courses/courses/uc/bachelor-of-music-performance.html</t>
        </is>
      </c>
      <c r="H143" t="inlineStr">
        <is>
          <t>Read</t>
        </is>
      </c>
      <c r="I143" t="inlineStr">
        <is>
          <t>Exact title match</t>
        </is>
      </c>
      <c r="J143" t="inlineStr"/>
      <c r="K143" t="inlineStr">
        <is>
          <t>Not sent to re-link</t>
        </is>
      </c>
      <c r="L143" t="inlineStr">
        <is>
          <t>Filled</t>
        </is>
      </c>
      <c r="M143" t="inlineStr">
        <is>
          <t>Not stated on course page</t>
        </is>
      </c>
      <c r="N143" t="inlineStr"/>
      <c r="O143" t="n">
        <v>0</v>
      </c>
      <c r="P143" t="inlineStr"/>
      <c r="Q143" t="inlineStr">
        <is>
          <t>Filled</t>
        </is>
      </c>
      <c r="R143" t="n">
        <v>6.5</v>
      </c>
      <c r="S143" t="inlineStr">
        <is>
          <t>Central English policy</t>
        </is>
      </c>
      <c r="T143" t="inlineStr">
        <is>
          <t>Central rule applies (value agrees)</t>
        </is>
      </c>
      <c r="U143" t="inlineStr"/>
      <c r="V143" t="inlineStr">
        <is>
          <t>Not stated on course page</t>
        </is>
      </c>
      <c r="W143" t="inlineStr"/>
      <c r="X143" t="inlineStr"/>
      <c r="Y143" t="n">
        <v>2</v>
      </c>
      <c r="Z143" t="inlineStr">
        <is>
          <t>Yes</t>
        </is>
      </c>
      <c r="AA143" t="inlineStr">
        <is>
          <t>Filled</t>
        </is>
      </c>
      <c r="AB143" t="inlineStr">
        <is>
          <t>on campus</t>
        </is>
      </c>
      <c r="AC143" t="inlineStr"/>
      <c r="AD143" t="n">
        <v>0</v>
      </c>
      <c r="AE143" t="inlineStr"/>
      <c r="AF143" t="inlineStr"/>
      <c r="AG143" t="inlineStr"/>
      <c r="AH143" t="inlineStr">
        <is>
          <t>Yes</t>
        </is>
      </c>
      <c r="AI143" t="inlineStr"/>
      <c r="AJ143" t="inlineStr"/>
      <c r="AK143" t="inlineStr"/>
      <c r="AL143" t="inlineStr"/>
      <c r="AM143" t="inlineStr"/>
    </row>
    <row r="144">
      <c r="A144" t="inlineStr">
        <is>
          <t>0101565</t>
        </is>
      </c>
      <c r="B144" t="inlineStr">
        <is>
          <t>Bachelor of Music and Bachelor of Advanced Studies (Composition)</t>
        </is>
      </c>
      <c r="C144" t="inlineStr">
        <is>
          <t>Bachelor</t>
        </is>
      </c>
      <c r="D144" t="inlineStr">
        <is>
          <t>Undergraduate</t>
        </is>
      </c>
      <c r="E144" t="inlineStr">
        <is>
          <t>Advertised: official page in place</t>
        </is>
      </c>
      <c r="F144" t="inlineStr">
        <is>
          <t>https://www.sydney.edu.au/courses/courses/uc/bachelor-of-music-and-bachelor-of-advanced-studies-composition.html</t>
        </is>
      </c>
      <c r="G144" t="inlineStr">
        <is>
          <t>https://www.sydney.edu.au/courses/courses/uc/bachelor-of-music-and-bachelor-of-advanced-studies-composition.html</t>
        </is>
      </c>
      <c r="H144" t="inlineStr">
        <is>
          <t>Read</t>
        </is>
      </c>
      <c r="I144" t="inlineStr">
        <is>
          <t>Exact title match</t>
        </is>
      </c>
      <c r="J144" t="inlineStr"/>
      <c r="K144" t="inlineStr">
        <is>
          <t>Not sent to re-link</t>
        </is>
      </c>
      <c r="L144" t="inlineStr">
        <is>
          <t>Filled</t>
        </is>
      </c>
      <c r="M144" t="inlineStr">
        <is>
          <t>Not stated on course page</t>
        </is>
      </c>
      <c r="N144" t="inlineStr"/>
      <c r="O144" t="n">
        <v>0</v>
      </c>
      <c r="P144" t="inlineStr"/>
      <c r="Q144" t="inlineStr">
        <is>
          <t>Filled</t>
        </is>
      </c>
      <c r="R144" t="n">
        <v>6.5</v>
      </c>
      <c r="S144" t="inlineStr">
        <is>
          <t>Central English policy</t>
        </is>
      </c>
      <c r="T144" t="inlineStr">
        <is>
          <t>Central rule applies (value agrees)</t>
        </is>
      </c>
      <c r="U144" t="inlineStr"/>
      <c r="V144" t="inlineStr">
        <is>
          <t>Not stated on course page</t>
        </is>
      </c>
      <c r="W144" t="inlineStr"/>
      <c r="X144" t="inlineStr"/>
      <c r="Y144" t="n">
        <v>2</v>
      </c>
      <c r="Z144" t="inlineStr">
        <is>
          <t>Yes</t>
        </is>
      </c>
      <c r="AA144" t="inlineStr">
        <is>
          <t>Filled</t>
        </is>
      </c>
      <c r="AB144" t="inlineStr">
        <is>
          <t>on campus</t>
        </is>
      </c>
      <c r="AC144" t="inlineStr"/>
      <c r="AD144" t="n">
        <v>0</v>
      </c>
      <c r="AE144" t="inlineStr"/>
      <c r="AF144" t="inlineStr"/>
      <c r="AG144" t="inlineStr"/>
      <c r="AH144" t="inlineStr">
        <is>
          <t>Yes</t>
        </is>
      </c>
      <c r="AI144" t="inlineStr"/>
      <c r="AJ144" t="inlineStr"/>
      <c r="AK144" t="inlineStr"/>
      <c r="AL144" t="inlineStr"/>
      <c r="AM144" t="inlineStr"/>
    </row>
    <row r="145">
      <c r="A145" t="inlineStr">
        <is>
          <t>0101564</t>
        </is>
      </c>
      <c r="B145" t="inlineStr">
        <is>
          <t>Bachelor of Music and Bachelor of Advanced Studies (Performance)</t>
        </is>
      </c>
      <c r="C145" t="inlineStr">
        <is>
          <t>Bachelor</t>
        </is>
      </c>
      <c r="D145" t="inlineStr">
        <is>
          <t>Undergraduate</t>
        </is>
      </c>
      <c r="E145" t="inlineStr">
        <is>
          <t>Advertised: official page in place</t>
        </is>
      </c>
      <c r="F145" t="inlineStr">
        <is>
          <t>https://www.sydney.edu.au/courses/courses/uc/bachelor-of-music-and-bachelor-of-advanced-studies-performance.html</t>
        </is>
      </c>
      <c r="G145" t="inlineStr">
        <is>
          <t>https://www.sydney.edu.au/courses/courses/uc/bachelor-of-music-and-bachelor-of-advanced-studies-performance.html</t>
        </is>
      </c>
      <c r="H145" t="inlineStr">
        <is>
          <t>Read</t>
        </is>
      </c>
      <c r="I145" t="inlineStr">
        <is>
          <t>Exact title match</t>
        </is>
      </c>
      <c r="J145" t="inlineStr"/>
      <c r="K145" t="inlineStr">
        <is>
          <t>Not sent to re-link</t>
        </is>
      </c>
      <c r="L145" t="inlineStr">
        <is>
          <t>Filled</t>
        </is>
      </c>
      <c r="M145" t="inlineStr">
        <is>
          <t>Not stated on course page</t>
        </is>
      </c>
      <c r="N145" t="inlineStr"/>
      <c r="O145" t="n">
        <v>0</v>
      </c>
      <c r="P145" t="inlineStr"/>
      <c r="Q145" t="inlineStr">
        <is>
          <t>Filled</t>
        </is>
      </c>
      <c r="R145" t="n">
        <v>6.5</v>
      </c>
      <c r="S145" t="inlineStr">
        <is>
          <t>Central English policy</t>
        </is>
      </c>
      <c r="T145" t="inlineStr">
        <is>
          <t>Central rule applies (value agrees)</t>
        </is>
      </c>
      <c r="U145" t="inlineStr"/>
      <c r="V145" t="inlineStr">
        <is>
          <t>Not stated on course page</t>
        </is>
      </c>
      <c r="W145" t="inlineStr"/>
      <c r="X145" t="inlineStr"/>
      <c r="Y145" t="n">
        <v>2</v>
      </c>
      <c r="Z145" t="inlineStr">
        <is>
          <t>Yes</t>
        </is>
      </c>
      <c r="AA145" t="inlineStr">
        <is>
          <t>Filled</t>
        </is>
      </c>
      <c r="AB145" t="inlineStr">
        <is>
          <t>on campus</t>
        </is>
      </c>
      <c r="AC145" t="inlineStr"/>
      <c r="AD145" t="n">
        <v>0</v>
      </c>
      <c r="AE145" t="inlineStr"/>
      <c r="AF145" t="inlineStr"/>
      <c r="AG145" t="inlineStr"/>
      <c r="AH145" t="inlineStr">
        <is>
          <t>Yes</t>
        </is>
      </c>
      <c r="AI145" t="inlineStr"/>
      <c r="AJ145" t="inlineStr"/>
      <c r="AK145" t="inlineStr"/>
      <c r="AL145" t="inlineStr"/>
      <c r="AM145" t="inlineStr"/>
    </row>
    <row r="146">
      <c r="A146" t="inlineStr">
        <is>
          <t>026957K</t>
        </is>
      </c>
      <c r="B146" t="inlineStr">
        <is>
          <t>Bachelor of Music Studies</t>
        </is>
      </c>
      <c r="C146" t="inlineStr">
        <is>
          <t>Bachelor</t>
        </is>
      </c>
      <c r="D146" t="inlineStr">
        <is>
          <t>Undergraduate</t>
        </is>
      </c>
      <c r="E146" t="inlineStr">
        <is>
          <t>Advertised: official page in place</t>
        </is>
      </c>
      <c r="F146" t="inlineStr">
        <is>
          <t>https://www.sydney.edu.au/courses/courses/uc/bachelor-of-music-studies-honours.html</t>
        </is>
      </c>
      <c r="G146" t="inlineStr">
        <is>
          <t>https://www.sydney.edu.au/courses/courses/uc/bachelor-of-music-studies-honours.html</t>
        </is>
      </c>
      <c r="H146" t="inlineStr">
        <is>
          <t>Read</t>
        </is>
      </c>
      <c r="I146" t="inlineStr">
        <is>
          <t>Exact title match</t>
        </is>
      </c>
      <c r="J146" t="inlineStr"/>
      <c r="K146" t="inlineStr">
        <is>
          <t>Not sent to re-link</t>
        </is>
      </c>
      <c r="L146" t="inlineStr">
        <is>
          <t>Filled</t>
        </is>
      </c>
      <c r="M146" t="inlineStr">
        <is>
          <t>Not stated on course page</t>
        </is>
      </c>
      <c r="N146" t="inlineStr"/>
      <c r="O146" t="n">
        <v>0</v>
      </c>
      <c r="P146" t="inlineStr"/>
      <c r="Q146" t="inlineStr">
        <is>
          <t>Filled</t>
        </is>
      </c>
      <c r="R146" t="n">
        <v>6.5</v>
      </c>
      <c r="S146" t="inlineStr">
        <is>
          <t>Central English policy</t>
        </is>
      </c>
      <c r="T146" t="inlineStr">
        <is>
          <t>Central rule applies (value agrees)</t>
        </is>
      </c>
      <c r="U146" t="inlineStr"/>
      <c r="V146" t="inlineStr">
        <is>
          <t>Filled</t>
        </is>
      </c>
      <c r="W146" t="inlineStr">
        <is>
          <t>February</t>
        </is>
      </c>
      <c r="X146" t="inlineStr">
        <is>
          <t>University adapter</t>
        </is>
      </c>
      <c r="Y146" t="n">
        <v>0</v>
      </c>
      <c r="Z146" t="inlineStr">
        <is>
          <t>Yes</t>
        </is>
      </c>
      <c r="AA146" t="inlineStr">
        <is>
          <t>Filled</t>
        </is>
      </c>
      <c r="AB146" t="inlineStr">
        <is>
          <t>on campus</t>
        </is>
      </c>
      <c r="AC146" t="inlineStr"/>
      <c r="AD146" t="n">
        <v>0</v>
      </c>
      <c r="AE146" t="inlineStr"/>
      <c r="AF146" t="inlineStr"/>
      <c r="AG146" t="inlineStr"/>
      <c r="AH146" t="inlineStr"/>
      <c r="AI146" t="inlineStr"/>
      <c r="AJ146" t="inlineStr"/>
      <c r="AK146" t="inlineStr"/>
      <c r="AL146" t="inlineStr"/>
      <c r="AM146" t="inlineStr"/>
    </row>
    <row r="147">
      <c r="A147" t="inlineStr">
        <is>
          <t>061147J</t>
        </is>
      </c>
      <c r="B147" t="inlineStr">
        <is>
          <t>Bachelor of Music Studies (Honours)</t>
        </is>
      </c>
      <c r="C147" t="inlineStr">
        <is>
          <t>Bachelor Honours Degree</t>
        </is>
      </c>
      <c r="D147" t="inlineStr">
        <is>
          <t>Undergraduate</t>
        </is>
      </c>
      <c r="E147" t="inlineStr">
        <is>
          <t>Advertised: official page in place</t>
        </is>
      </c>
      <c r="F147" t="inlineStr">
        <is>
          <t>https://www.sydney.edu.au/courses/courses/uc/bachelor-of-music-studies-honours.html</t>
        </is>
      </c>
      <c r="G147" t="inlineStr">
        <is>
          <t>https://www.sydney.edu.au/courses/courses/uc/bachelor-of-music-studies-honours.html</t>
        </is>
      </c>
      <c r="H147" t="inlineStr">
        <is>
          <t>Read</t>
        </is>
      </c>
      <c r="I147" t="inlineStr">
        <is>
          <t>Exact title match</t>
        </is>
      </c>
      <c r="J147" t="inlineStr"/>
      <c r="K147" t="inlineStr">
        <is>
          <t>Not sent to re-link</t>
        </is>
      </c>
      <c r="L147" t="inlineStr">
        <is>
          <t>Filled</t>
        </is>
      </c>
      <c r="M147" t="inlineStr">
        <is>
          <t>Not stated on course page</t>
        </is>
      </c>
      <c r="N147" t="inlineStr"/>
      <c r="O147" t="n">
        <v>0</v>
      </c>
      <c r="P147" t="inlineStr"/>
      <c r="Q147" t="inlineStr">
        <is>
          <t>Filled</t>
        </is>
      </c>
      <c r="R147" t="n">
        <v>6.5</v>
      </c>
      <c r="S147" t="inlineStr">
        <is>
          <t>Central English policy</t>
        </is>
      </c>
      <c r="T147" t="inlineStr">
        <is>
          <t>Central rule applies (value agrees)</t>
        </is>
      </c>
      <c r="U147" t="inlineStr"/>
      <c r="V147" t="inlineStr">
        <is>
          <t>Filled</t>
        </is>
      </c>
      <c r="W147" t="inlineStr">
        <is>
          <t>February</t>
        </is>
      </c>
      <c r="X147" t="inlineStr">
        <is>
          <t>Other</t>
        </is>
      </c>
      <c r="Y147" t="n">
        <v>0</v>
      </c>
      <c r="Z147" t="inlineStr">
        <is>
          <t>Yes</t>
        </is>
      </c>
      <c r="AA147" t="inlineStr">
        <is>
          <t>Filled</t>
        </is>
      </c>
      <c r="AB147" t="inlineStr">
        <is>
          <t>on campus</t>
        </is>
      </c>
      <c r="AC147" t="inlineStr"/>
      <c r="AD147" t="n">
        <v>0</v>
      </c>
      <c r="AE147" t="inlineStr"/>
      <c r="AF147" t="inlineStr"/>
      <c r="AG147" t="inlineStr"/>
      <c r="AH147" t="inlineStr"/>
      <c r="AI147" t="inlineStr"/>
      <c r="AJ147" t="inlineStr"/>
      <c r="AK147" t="inlineStr"/>
      <c r="AL147" t="inlineStr"/>
      <c r="AM147" t="inlineStr"/>
    </row>
    <row r="148">
      <c r="A148" t="inlineStr">
        <is>
          <t>061145M</t>
        </is>
      </c>
      <c r="B148" t="inlineStr">
        <is>
          <t>Bachelor of Music Studies / Bachelor of Arts</t>
        </is>
      </c>
      <c r="C148" t="inlineStr">
        <is>
          <t>Bachelor</t>
        </is>
      </c>
      <c r="D148" t="inlineStr">
        <is>
          <t>Undergraduate</t>
        </is>
      </c>
      <c r="E148" t="inlineStr">
        <is>
          <t>Page address no longer works</t>
        </is>
      </c>
      <c r="F148" t="inlineStr"/>
      <c r="G148" t="inlineStr">
        <is>
          <t>https://www.sydney.edu.au/courses/courses/uc/bachelor-of-music-studies-bachelor-of-arts.html</t>
        </is>
      </c>
      <c r="H148" t="inlineStr">
        <is>
          <t>Address no longer works</t>
        </is>
      </c>
      <c r="I148" t="inlineStr"/>
      <c r="J148" t="inlineStr"/>
      <c r="K148" t="inlineStr">
        <is>
          <t>Finished, no page: every candidate address was refused by the reader or did not</t>
        </is>
      </c>
      <c r="L148" t="inlineStr">
        <is>
          <t>Page found, being read</t>
        </is>
      </c>
      <c r="M148" t="inlineStr">
        <is>
          <t>Page found, being read</t>
        </is>
      </c>
      <c r="N148" t="inlineStr"/>
      <c r="O148" t="n">
        <v>0</v>
      </c>
      <c r="P148" t="inlineStr"/>
      <c r="Q148" t="inlineStr">
        <is>
          <t>Filled</t>
        </is>
      </c>
      <c r="R148" t="n">
        <v>6.5</v>
      </c>
      <c r="S148" t="inlineStr">
        <is>
          <t>Central English policy</t>
        </is>
      </c>
      <c r="T148" t="inlineStr">
        <is>
          <t>Central rule applies (value agrees)</t>
        </is>
      </c>
      <c r="U148" t="inlineStr"/>
      <c r="V148" t="inlineStr">
        <is>
          <t>Page found, being read</t>
        </is>
      </c>
      <c r="W148" t="inlineStr"/>
      <c r="X148" t="inlineStr"/>
      <c r="Y148" t="n">
        <v>0</v>
      </c>
      <c r="Z148" t="inlineStr">
        <is>
          <t>Yes</t>
        </is>
      </c>
      <c r="AA148" t="inlineStr">
        <is>
          <t>Not stated on course page</t>
        </is>
      </c>
      <c r="AB148" t="inlineStr"/>
      <c r="AC148" t="inlineStr">
        <is>
          <t>Skipped: no allowed source had a value</t>
        </is>
      </c>
      <c r="AD148" t="n">
        <v>1</v>
      </c>
      <c r="AE148" t="inlineStr"/>
      <c r="AF148" t="inlineStr"/>
      <c r="AG148" t="inlineStr"/>
      <c r="AH148" t="inlineStr"/>
      <c r="AI148" t="inlineStr"/>
      <c r="AJ148" t="inlineStr"/>
      <c r="AK148" t="inlineStr"/>
      <c r="AL148" t="inlineStr"/>
      <c r="AM148" t="inlineStr"/>
    </row>
    <row r="149">
      <c r="A149" t="inlineStr">
        <is>
          <t>117617F</t>
        </is>
      </c>
      <c r="B149" t="inlineStr">
        <is>
          <t>Bachelor of Nursing (Advanced Studies)</t>
        </is>
      </c>
      <c r="C149" t="inlineStr">
        <is>
          <t>Bachelor</t>
        </is>
      </c>
      <c r="D149" t="inlineStr">
        <is>
          <t>Undergraduate</t>
        </is>
      </c>
      <c r="E149" t="inlineStr">
        <is>
          <t>Advertised: official page in place</t>
        </is>
      </c>
      <c r="F149" t="inlineStr">
        <is>
          <t>https://www.sydney.edu.au/courses/courses/uc/bachelor-of-nursing-advanced-studies0.html</t>
        </is>
      </c>
      <c r="G149" t="inlineStr">
        <is>
          <t>https://www.sydney.edu.au/courses/courses/uc/bachelor-of-nursing-advanced-studies0.html</t>
        </is>
      </c>
      <c r="H149" t="inlineStr">
        <is>
          <t>Read</t>
        </is>
      </c>
      <c r="I149" t="inlineStr">
        <is>
          <t>Exact title match</t>
        </is>
      </c>
      <c r="J149" t="inlineStr"/>
      <c r="K149" t="inlineStr">
        <is>
          <t>Not sent to re-link</t>
        </is>
      </c>
      <c r="L149" t="inlineStr">
        <is>
          <t>Filled</t>
        </is>
      </c>
      <c r="M149" t="inlineStr">
        <is>
          <t>Not stated on course page</t>
        </is>
      </c>
      <c r="N149" t="inlineStr"/>
      <c r="O149" t="n">
        <v>0</v>
      </c>
      <c r="P149" t="inlineStr"/>
      <c r="Q149" t="inlineStr">
        <is>
          <t>Filled</t>
        </is>
      </c>
      <c r="R149" t="n">
        <v>6.5</v>
      </c>
      <c r="S149" t="inlineStr">
        <is>
          <t>Central English policy</t>
        </is>
      </c>
      <c r="T149" t="inlineStr">
        <is>
          <t>Central rule applies (value agrees)</t>
        </is>
      </c>
      <c r="U149" t="inlineStr"/>
      <c r="V149" t="inlineStr">
        <is>
          <t>Not stated on course page</t>
        </is>
      </c>
      <c r="W149" t="inlineStr"/>
      <c r="X149" t="inlineStr"/>
      <c r="Y149" t="n">
        <v>2</v>
      </c>
      <c r="Z149" t="inlineStr">
        <is>
          <t>Yes</t>
        </is>
      </c>
      <c r="AA149" t="inlineStr">
        <is>
          <t>Filled</t>
        </is>
      </c>
      <c r="AB149" t="inlineStr">
        <is>
          <t>on campus</t>
        </is>
      </c>
      <c r="AC149" t="inlineStr"/>
      <c r="AD149" t="n">
        <v>0</v>
      </c>
      <c r="AE149" t="inlineStr"/>
      <c r="AF149" t="inlineStr"/>
      <c r="AG149" t="inlineStr"/>
      <c r="AH149" t="inlineStr">
        <is>
          <t>Yes</t>
        </is>
      </c>
      <c r="AI149" t="inlineStr"/>
      <c r="AJ149" t="inlineStr"/>
      <c r="AK149" t="inlineStr"/>
      <c r="AL149" t="inlineStr"/>
      <c r="AM149" t="inlineStr"/>
    </row>
    <row r="150">
      <c r="A150" t="inlineStr">
        <is>
          <t>074088G</t>
        </is>
      </c>
      <c r="B150" t="inlineStr">
        <is>
          <t>Bachelor of Nursing (Advanced Studies)</t>
        </is>
      </c>
      <c r="C150" t="inlineStr">
        <is>
          <t>Bachelor</t>
        </is>
      </c>
      <c r="D150" t="inlineStr">
        <is>
          <t>Undergraduate</t>
        </is>
      </c>
      <c r="E150" t="inlineStr">
        <is>
          <t>Advertised: official page in place</t>
        </is>
      </c>
      <c r="F150" t="inlineStr">
        <is>
          <t>https://www.sydney.edu.au/courses/courses/uc/bachelor-of-nursing-advanced-studies0.html</t>
        </is>
      </c>
      <c r="G150" t="inlineStr">
        <is>
          <t>https://www.sydney.edu.au/courses/courses/uc/bachelor-of-nursing-advanced-studies0.html</t>
        </is>
      </c>
      <c r="H150" t="inlineStr">
        <is>
          <t>Read</t>
        </is>
      </c>
      <c r="I150" t="inlineStr">
        <is>
          <t>Exact title match</t>
        </is>
      </c>
      <c r="J150" t="inlineStr"/>
      <c r="K150" t="inlineStr">
        <is>
          <t>Not sent to re-link</t>
        </is>
      </c>
      <c r="L150" t="inlineStr">
        <is>
          <t>Filled</t>
        </is>
      </c>
      <c r="M150" t="inlineStr">
        <is>
          <t>Not stated on course page</t>
        </is>
      </c>
      <c r="N150" t="inlineStr"/>
      <c r="O150" t="n">
        <v>0</v>
      </c>
      <c r="P150" t="inlineStr"/>
      <c r="Q150" t="inlineStr">
        <is>
          <t>Filled</t>
        </is>
      </c>
      <c r="R150" t="n">
        <v>6.5</v>
      </c>
      <c r="S150" t="inlineStr">
        <is>
          <t>Central English policy</t>
        </is>
      </c>
      <c r="T150" t="inlineStr">
        <is>
          <t>Central rule applies (value agrees)</t>
        </is>
      </c>
      <c r="U150" t="inlineStr"/>
      <c r="V150" t="inlineStr">
        <is>
          <t>Not stated on course page</t>
        </is>
      </c>
      <c r="W150" t="inlineStr"/>
      <c r="X150" t="inlineStr"/>
      <c r="Y150" t="n">
        <v>2</v>
      </c>
      <c r="Z150" t="inlineStr">
        <is>
          <t>Yes</t>
        </is>
      </c>
      <c r="AA150" t="inlineStr">
        <is>
          <t>Filled</t>
        </is>
      </c>
      <c r="AB150" t="inlineStr">
        <is>
          <t>on campus</t>
        </is>
      </c>
      <c r="AC150" t="inlineStr"/>
      <c r="AD150" t="n">
        <v>0</v>
      </c>
      <c r="AE150" t="inlineStr"/>
      <c r="AF150" t="inlineStr"/>
      <c r="AG150" t="inlineStr"/>
      <c r="AH150" t="inlineStr">
        <is>
          <t>Yes</t>
        </is>
      </c>
      <c r="AI150" t="inlineStr"/>
      <c r="AJ150" t="inlineStr"/>
      <c r="AK150" t="inlineStr"/>
      <c r="AL150" t="inlineStr"/>
      <c r="AM150" t="inlineStr"/>
    </row>
    <row r="151">
      <c r="A151" t="inlineStr">
        <is>
          <t>077819J</t>
        </is>
      </c>
      <c r="B151" t="inlineStr">
        <is>
          <t>Bachelor of Nursing (Honours)</t>
        </is>
      </c>
      <c r="C151" t="inlineStr">
        <is>
          <t>Bachelor Honours Degree</t>
        </is>
      </c>
      <c r="D151" t="inlineStr">
        <is>
          <t>Undergraduate</t>
        </is>
      </c>
      <c r="E151" t="inlineStr">
        <is>
          <t>Advertised: official page in place</t>
        </is>
      </c>
      <c r="F151" t="inlineStr">
        <is>
          <t>https://www.sydney.edu.au/courses/courses/uc/bachelor-of-nursing-honours.html</t>
        </is>
      </c>
      <c r="G151" t="inlineStr">
        <is>
          <t>https://www.sydney.edu.au/courses/courses/uc/bachelor-of-nursing-honours.html</t>
        </is>
      </c>
      <c r="H151" t="inlineStr">
        <is>
          <t>Read</t>
        </is>
      </c>
      <c r="I151" t="inlineStr">
        <is>
          <t>Exact title match</t>
        </is>
      </c>
      <c r="J151" t="inlineStr"/>
      <c r="K151" t="inlineStr">
        <is>
          <t>Not sent to re-link</t>
        </is>
      </c>
      <c r="L151" t="inlineStr">
        <is>
          <t>Filled</t>
        </is>
      </c>
      <c r="M151" t="inlineStr">
        <is>
          <t>Not stated on course page</t>
        </is>
      </c>
      <c r="N151" t="inlineStr"/>
      <c r="O151" t="n">
        <v>0</v>
      </c>
      <c r="P151" t="inlineStr"/>
      <c r="Q151" t="inlineStr">
        <is>
          <t>Filled</t>
        </is>
      </c>
      <c r="R151" t="n">
        <v>6.5</v>
      </c>
      <c r="S151" t="inlineStr">
        <is>
          <t>Central English policy</t>
        </is>
      </c>
      <c r="T151" t="inlineStr">
        <is>
          <t>Central rule applies (value agrees)</t>
        </is>
      </c>
      <c r="U151" t="inlineStr"/>
      <c r="V151" t="inlineStr">
        <is>
          <t>Filled</t>
        </is>
      </c>
      <c r="W151" t="inlineStr">
        <is>
          <t>February</t>
        </is>
      </c>
      <c r="X151" t="inlineStr">
        <is>
          <t>Other</t>
        </is>
      </c>
      <c r="Y151" t="n">
        <v>0</v>
      </c>
      <c r="Z151" t="inlineStr">
        <is>
          <t>Yes</t>
        </is>
      </c>
      <c r="AA151" t="inlineStr">
        <is>
          <t>Filled</t>
        </is>
      </c>
      <c r="AB151" t="inlineStr">
        <is>
          <t>blended</t>
        </is>
      </c>
      <c r="AC151" t="inlineStr"/>
      <c r="AD151" t="n">
        <v>0</v>
      </c>
      <c r="AE151" t="inlineStr"/>
      <c r="AF151" t="inlineStr"/>
      <c r="AG151" t="inlineStr"/>
      <c r="AH151" t="inlineStr"/>
      <c r="AI151" t="inlineStr"/>
      <c r="AJ151" t="inlineStr"/>
      <c r="AK151" t="inlineStr"/>
      <c r="AL151" t="inlineStr"/>
      <c r="AM151" t="inlineStr"/>
    </row>
    <row r="152">
      <c r="A152" t="inlineStr">
        <is>
          <t>072495J</t>
        </is>
      </c>
      <c r="B152" t="inlineStr">
        <is>
          <t>Bachelor of Oral Health</t>
        </is>
      </c>
      <c r="C152" t="inlineStr">
        <is>
          <t>Bachelor</t>
        </is>
      </c>
      <c r="D152" t="inlineStr">
        <is>
          <t>Undergraduate</t>
        </is>
      </c>
      <c r="E152" t="inlineStr">
        <is>
          <t>Advertised: official page in place</t>
        </is>
      </c>
      <c r="F152" t="inlineStr">
        <is>
          <t>https://www.sydney.edu.au/courses/courses/uc/bachelor-of-oral-health.html</t>
        </is>
      </c>
      <c r="G152" t="inlineStr">
        <is>
          <t>https://www.sydney.edu.au/courses/courses/uc/bachelor-of-oral-health.html</t>
        </is>
      </c>
      <c r="H152" t="inlineStr">
        <is>
          <t>Read</t>
        </is>
      </c>
      <c r="I152" t="inlineStr">
        <is>
          <t>Exact title match</t>
        </is>
      </c>
      <c r="J152" t="inlineStr"/>
      <c r="K152" t="inlineStr">
        <is>
          <t>Not sent to re-link</t>
        </is>
      </c>
      <c r="L152" t="inlineStr">
        <is>
          <t>Filled</t>
        </is>
      </c>
      <c r="M152" t="inlineStr">
        <is>
          <t>Not stated on course page</t>
        </is>
      </c>
      <c r="N152" t="inlineStr"/>
      <c r="O152" t="n">
        <v>0</v>
      </c>
      <c r="P152" t="inlineStr"/>
      <c r="Q152" t="inlineStr">
        <is>
          <t>Filled</t>
        </is>
      </c>
      <c r="R152" t="n">
        <v>6.5</v>
      </c>
      <c r="S152" t="inlineStr">
        <is>
          <t>Central English policy</t>
        </is>
      </c>
      <c r="T152" t="inlineStr">
        <is>
          <t>Central rule applies (value agrees)</t>
        </is>
      </c>
      <c r="U152" t="inlineStr"/>
      <c r="V152" t="inlineStr">
        <is>
          <t>Not stated on course page</t>
        </is>
      </c>
      <c r="W152" t="inlineStr"/>
      <c r="X152" t="inlineStr"/>
      <c r="Y152" t="n">
        <v>2</v>
      </c>
      <c r="Z152" t="inlineStr">
        <is>
          <t>Yes</t>
        </is>
      </c>
      <c r="AA152" t="inlineStr">
        <is>
          <t>Filled</t>
        </is>
      </c>
      <c r="AB152" t="inlineStr">
        <is>
          <t>on campus</t>
        </is>
      </c>
      <c r="AC152" t="inlineStr"/>
      <c r="AD152" t="n">
        <v>0</v>
      </c>
      <c r="AE152" t="inlineStr"/>
      <c r="AF152" t="inlineStr"/>
      <c r="AG152" t="inlineStr"/>
      <c r="AH152" t="inlineStr">
        <is>
          <t>Yes</t>
        </is>
      </c>
      <c r="AI152" t="inlineStr"/>
      <c r="AJ152" t="inlineStr"/>
      <c r="AK152" t="inlineStr"/>
      <c r="AL152" t="inlineStr"/>
      <c r="AM152" t="inlineStr"/>
    </row>
    <row r="153">
      <c r="A153" t="inlineStr">
        <is>
          <t>000723J</t>
        </is>
      </c>
      <c r="B153" t="inlineStr">
        <is>
          <t>Bachelor of Pharmacy</t>
        </is>
      </c>
      <c r="C153" t="inlineStr">
        <is>
          <t>Bachelor</t>
        </is>
      </c>
      <c r="D153" t="inlineStr">
        <is>
          <t>Undergraduate</t>
        </is>
      </c>
      <c r="E153" t="inlineStr">
        <is>
          <t>Advertised: official page in place</t>
        </is>
      </c>
      <c r="F153" t="inlineStr">
        <is>
          <t>https://www.sydney.edu.au/courses/courses/uc/bachelor-of-pharmacy-honours-and-master-of-pharmacy-practice.html</t>
        </is>
      </c>
      <c r="G153" t="inlineStr">
        <is>
          <t>https://www.sydney.edu.au/courses/courses/uc/bachelor-of-pharmacy-honours-and-master-of-pharmacy-practice.html</t>
        </is>
      </c>
      <c r="H153" t="inlineStr">
        <is>
          <t>Read</t>
        </is>
      </c>
      <c r="I153" t="inlineStr">
        <is>
          <t>Exact title match</t>
        </is>
      </c>
      <c r="J153" t="inlineStr"/>
      <c r="K153" t="inlineStr">
        <is>
          <t>Not sent to re-link</t>
        </is>
      </c>
      <c r="L153" t="inlineStr">
        <is>
          <t>Filled</t>
        </is>
      </c>
      <c r="M153" t="inlineStr">
        <is>
          <t>Not stated on course page</t>
        </is>
      </c>
      <c r="N153" t="inlineStr"/>
      <c r="O153" t="n">
        <v>0</v>
      </c>
      <c r="P153" t="inlineStr"/>
      <c r="Q153" t="inlineStr">
        <is>
          <t>Filled</t>
        </is>
      </c>
      <c r="R153" t="n">
        <v>6.5</v>
      </c>
      <c r="S153" t="inlineStr">
        <is>
          <t>Central English policy</t>
        </is>
      </c>
      <c r="T153" t="inlineStr">
        <is>
          <t>Central rule applies (value agrees)</t>
        </is>
      </c>
      <c r="U153" t="inlineStr"/>
      <c r="V153" t="inlineStr">
        <is>
          <t>Not stated on course page</t>
        </is>
      </c>
      <c r="W153" t="inlineStr"/>
      <c r="X153" t="inlineStr"/>
      <c r="Y153" t="n">
        <v>2</v>
      </c>
      <c r="Z153" t="inlineStr">
        <is>
          <t>Yes</t>
        </is>
      </c>
      <c r="AA153" t="inlineStr">
        <is>
          <t>Filled</t>
        </is>
      </c>
      <c r="AB153" t="inlineStr">
        <is>
          <t>on campus</t>
        </is>
      </c>
      <c r="AC153" t="inlineStr"/>
      <c r="AD153" t="n">
        <v>0</v>
      </c>
      <c r="AE153" t="inlineStr"/>
      <c r="AF153" t="inlineStr"/>
      <c r="AG153" t="inlineStr"/>
      <c r="AH153" t="inlineStr">
        <is>
          <t>Yes</t>
        </is>
      </c>
      <c r="AI153" t="inlineStr"/>
      <c r="AJ153" t="inlineStr"/>
      <c r="AK153" t="inlineStr"/>
      <c r="AL153" t="inlineStr"/>
      <c r="AM153" t="inlineStr"/>
    </row>
    <row r="154">
      <c r="A154" t="inlineStr">
        <is>
          <t>105221C</t>
        </is>
      </c>
      <c r="B154" t="inlineStr">
        <is>
          <t>Bachelor of Pharmacy (Honours)</t>
        </is>
      </c>
      <c r="C154" t="inlineStr">
        <is>
          <t>Bachelor Honours Degree</t>
        </is>
      </c>
      <c r="D154" t="inlineStr">
        <is>
          <t>Undergraduate</t>
        </is>
      </c>
      <c r="E154" t="inlineStr">
        <is>
          <t>Advertised: official page in place</t>
        </is>
      </c>
      <c r="F154" t="inlineStr">
        <is>
          <t>https://www.sydney.edu.au/courses/courses/uc/bachelor-of-pharmacy-honours-and-master-of-pharmacy-practice.html</t>
        </is>
      </c>
      <c r="G154" t="inlineStr">
        <is>
          <t>https://www.sydney.edu.au/courses/courses/uc/bachelor-of-pharmacy-honours-and-master-of-pharmacy-practice.html</t>
        </is>
      </c>
      <c r="H154" t="inlineStr">
        <is>
          <t>Read</t>
        </is>
      </c>
      <c r="I154" t="inlineStr">
        <is>
          <t>Exact title match</t>
        </is>
      </c>
      <c r="J154" t="inlineStr"/>
      <c r="K154" t="inlineStr">
        <is>
          <t>Not sent to re-link</t>
        </is>
      </c>
      <c r="L154" t="inlineStr">
        <is>
          <t>Filled</t>
        </is>
      </c>
      <c r="M154" t="inlineStr">
        <is>
          <t>Not stated on course page</t>
        </is>
      </c>
      <c r="N154" t="inlineStr"/>
      <c r="O154" t="n">
        <v>0</v>
      </c>
      <c r="P154" t="inlineStr"/>
      <c r="Q154" t="inlineStr">
        <is>
          <t>Filled</t>
        </is>
      </c>
      <c r="R154" t="n">
        <v>6.5</v>
      </c>
      <c r="S154" t="inlineStr">
        <is>
          <t>Central English policy</t>
        </is>
      </c>
      <c r="T154" t="inlineStr">
        <is>
          <t>Central rule applies (value agrees)</t>
        </is>
      </c>
      <c r="U154" t="inlineStr"/>
      <c r="V154" t="inlineStr">
        <is>
          <t>Not stated on course page</t>
        </is>
      </c>
      <c r="W154" t="inlineStr"/>
      <c r="X154" t="inlineStr"/>
      <c r="Y154" t="n">
        <v>2</v>
      </c>
      <c r="Z154" t="inlineStr">
        <is>
          <t>Yes</t>
        </is>
      </c>
      <c r="AA154" t="inlineStr">
        <is>
          <t>Filled</t>
        </is>
      </c>
      <c r="AB154" t="inlineStr">
        <is>
          <t>on campus</t>
        </is>
      </c>
      <c r="AC154" t="inlineStr"/>
      <c r="AD154" t="n">
        <v>0</v>
      </c>
      <c r="AE154" t="inlineStr"/>
      <c r="AF154" t="inlineStr"/>
      <c r="AG154" t="inlineStr"/>
      <c r="AH154" t="inlineStr">
        <is>
          <t>Yes</t>
        </is>
      </c>
      <c r="AI154" t="inlineStr"/>
      <c r="AJ154" t="inlineStr"/>
      <c r="AK154" t="inlineStr"/>
      <c r="AL154" t="inlineStr"/>
      <c r="AM154" t="inlineStr"/>
    </row>
    <row r="155">
      <c r="A155" t="inlineStr">
        <is>
          <t>105223A</t>
        </is>
      </c>
      <c r="B155" t="inlineStr">
        <is>
          <t>Bachelor of Pharmacy (Honours) and Master of Pharmacy Practice</t>
        </is>
      </c>
      <c r="C155" t="inlineStr">
        <is>
          <t>Masters Degree (Coursework)</t>
        </is>
      </c>
      <c r="D155" t="inlineStr">
        <is>
          <t>Postgraduate coursework</t>
        </is>
      </c>
      <c r="E155" t="inlineStr">
        <is>
          <t>Advertised: official page in place</t>
        </is>
      </c>
      <c r="F155" t="inlineStr">
        <is>
          <t>https://www.sydney.edu.au/courses/courses/uc/bachelor-of-pharmacy-honours-and-master-of-pharmacy-practice.html</t>
        </is>
      </c>
      <c r="G155" t="inlineStr">
        <is>
          <t>https://www.sydney.edu.au/courses/courses/uc/bachelor-of-pharmacy-honours-and-master-of-pharmacy-practice.html</t>
        </is>
      </c>
      <c r="H155" t="inlineStr">
        <is>
          <t>Read</t>
        </is>
      </c>
      <c r="I155" t="inlineStr">
        <is>
          <t>Exact title match</t>
        </is>
      </c>
      <c r="J155" t="inlineStr"/>
      <c r="K155" t="inlineStr">
        <is>
          <t>Not sent to re-link</t>
        </is>
      </c>
      <c r="L155" t="inlineStr">
        <is>
          <t>Filled</t>
        </is>
      </c>
      <c r="M155" t="inlineStr">
        <is>
          <t>Not stated on course page</t>
        </is>
      </c>
      <c r="N155" t="inlineStr"/>
      <c r="O155" t="n">
        <v>0</v>
      </c>
      <c r="P155" t="inlineStr"/>
      <c r="Q155" t="inlineStr">
        <is>
          <t>Not stated on course page</t>
        </is>
      </c>
      <c r="S155" t="inlineStr"/>
      <c r="T155" t="inlineStr">
        <is>
          <t>Held: double degree (its parts are at different levels)</t>
        </is>
      </c>
      <c r="U155" t="inlineStr"/>
      <c r="V155" t="inlineStr">
        <is>
          <t>Not stated on course page</t>
        </is>
      </c>
      <c r="W155" t="inlineStr"/>
      <c r="X155" t="inlineStr"/>
      <c r="Y155" t="n">
        <v>0</v>
      </c>
      <c r="Z155" t="inlineStr">
        <is>
          <t>No</t>
        </is>
      </c>
      <c r="AA155" t="inlineStr">
        <is>
          <t>Filled</t>
        </is>
      </c>
      <c r="AB155" t="inlineStr">
        <is>
          <t>on campus</t>
        </is>
      </c>
      <c r="AC155" t="inlineStr"/>
      <c r="AD155" t="n">
        <v>0</v>
      </c>
      <c r="AE155" t="inlineStr"/>
      <c r="AF155" t="inlineStr"/>
      <c r="AG155" t="inlineStr"/>
      <c r="AH155" t="inlineStr"/>
      <c r="AI155" t="inlineStr">
        <is>
          <t>Yes</t>
        </is>
      </c>
      <c r="AJ155" t="inlineStr">
        <is>
          <t>Yes</t>
        </is>
      </c>
      <c r="AK155" t="inlineStr"/>
      <c r="AL155" t="inlineStr"/>
      <c r="AM155" t="inlineStr"/>
    </row>
    <row r="156">
      <c r="A156" t="inlineStr">
        <is>
          <t>089436C</t>
        </is>
      </c>
      <c r="B156" t="inlineStr">
        <is>
          <t>Bachelor of Pharmacy and Management</t>
        </is>
      </c>
      <c r="C156" t="inlineStr">
        <is>
          <t>Bachelor</t>
        </is>
      </c>
      <c r="D156" t="inlineStr">
        <is>
          <t>Undergraduate</t>
        </is>
      </c>
      <c r="E156" t="inlineStr">
        <is>
          <t>Advertised: official page in place</t>
        </is>
      </c>
      <c r="F156" t="inlineStr">
        <is>
          <t>https://www.sydney.edu.au/handbooks/medicine-health/coursework/pharmacy-management/unit-of-study-table.html</t>
        </is>
      </c>
      <c r="G156" t="inlineStr">
        <is>
          <t>https://www.sydney.edu.au/handbooks/medicine-health/coursework/pharmacy-management/unit-of-study-table.html</t>
        </is>
      </c>
      <c r="H156" t="inlineStr">
        <is>
          <t>Read</t>
        </is>
      </c>
      <c r="I156" t="inlineStr">
        <is>
          <t>Exact title match</t>
        </is>
      </c>
      <c r="J156" t="inlineStr"/>
      <c r="K156" t="inlineStr">
        <is>
          <t>Not sent to re-link</t>
        </is>
      </c>
      <c r="L156" t="inlineStr">
        <is>
          <t>Filled</t>
        </is>
      </c>
      <c r="M156" t="inlineStr">
        <is>
          <t>Not stated on course page</t>
        </is>
      </c>
      <c r="N156" t="inlineStr"/>
      <c r="O156" t="n">
        <v>0</v>
      </c>
      <c r="P156" t="inlineStr"/>
      <c r="Q156" t="inlineStr">
        <is>
          <t>Filled</t>
        </is>
      </c>
      <c r="R156" t="n">
        <v>6.5</v>
      </c>
      <c r="S156" t="inlineStr">
        <is>
          <t>Central English policy</t>
        </is>
      </c>
      <c r="T156" t="inlineStr">
        <is>
          <t>Central rule applies (value agrees)</t>
        </is>
      </c>
      <c r="U156" t="inlineStr"/>
      <c r="V156" t="inlineStr">
        <is>
          <t>Not stated on course page</t>
        </is>
      </c>
      <c r="W156" t="inlineStr"/>
      <c r="X156" t="inlineStr"/>
      <c r="Y156" t="n">
        <v>2</v>
      </c>
      <c r="Z156" t="inlineStr">
        <is>
          <t>Yes</t>
        </is>
      </c>
      <c r="AA156" t="inlineStr">
        <is>
          <t>Not stated on course page</t>
        </is>
      </c>
      <c r="AB156" t="inlineStr"/>
      <c r="AC156" t="inlineStr">
        <is>
          <t>Skipped: the page does not state it</t>
        </is>
      </c>
      <c r="AD156" t="n">
        <v>0</v>
      </c>
      <c r="AE156" t="inlineStr"/>
      <c r="AF156" t="inlineStr"/>
      <c r="AG156" t="inlineStr"/>
      <c r="AH156" t="inlineStr">
        <is>
          <t>Yes</t>
        </is>
      </c>
      <c r="AI156" t="inlineStr"/>
      <c r="AJ156" t="inlineStr"/>
      <c r="AK156" t="inlineStr"/>
      <c r="AL156" t="inlineStr"/>
      <c r="AM156" t="inlineStr"/>
    </row>
    <row r="157">
      <c r="A157" t="inlineStr">
        <is>
          <t>105220D</t>
        </is>
      </c>
      <c r="B157" t="inlineStr">
        <is>
          <t>Bachelor of Pharmacy and Management (Honours)</t>
        </is>
      </c>
      <c r="C157" t="inlineStr">
        <is>
          <t>Bachelor Honours Degree</t>
        </is>
      </c>
      <c r="D157" t="inlineStr">
        <is>
          <t>Undergraduate</t>
        </is>
      </c>
      <c r="E157" t="inlineStr">
        <is>
          <t>Advertised: official page in place</t>
        </is>
      </c>
      <c r="F157" t="inlineStr">
        <is>
          <t>https://www.sydney.edu.au/handbooks/medicine-health/coursework/pharmacy-management/unit-of-study-table.html</t>
        </is>
      </c>
      <c r="G157" t="inlineStr">
        <is>
          <t>https://www.sydney.edu.au/handbooks/medicine-health/coursework/pharmacy-management/unit-of-study-table.html</t>
        </is>
      </c>
      <c r="H157" t="inlineStr">
        <is>
          <t>Read</t>
        </is>
      </c>
      <c r="I157" t="inlineStr">
        <is>
          <t>Exact title match</t>
        </is>
      </c>
      <c r="J157" t="inlineStr"/>
      <c r="K157" t="inlineStr">
        <is>
          <t>Not sent to re-link</t>
        </is>
      </c>
      <c r="L157" t="inlineStr">
        <is>
          <t>Filled</t>
        </is>
      </c>
      <c r="M157" t="inlineStr">
        <is>
          <t>Not stated on course page</t>
        </is>
      </c>
      <c r="N157" t="inlineStr"/>
      <c r="O157" t="n">
        <v>0</v>
      </c>
      <c r="P157" t="inlineStr"/>
      <c r="Q157" t="inlineStr">
        <is>
          <t>Filled</t>
        </is>
      </c>
      <c r="R157" t="n">
        <v>6.5</v>
      </c>
      <c r="S157" t="inlineStr">
        <is>
          <t>Central English policy</t>
        </is>
      </c>
      <c r="T157" t="inlineStr">
        <is>
          <t>Central rule applies (value agrees)</t>
        </is>
      </c>
      <c r="U157" t="inlineStr"/>
      <c r="V157" t="inlineStr">
        <is>
          <t>Not stated on course page</t>
        </is>
      </c>
      <c r="W157" t="inlineStr"/>
      <c r="X157" t="inlineStr"/>
      <c r="Y157" t="n">
        <v>2</v>
      </c>
      <c r="Z157" t="inlineStr">
        <is>
          <t>Yes</t>
        </is>
      </c>
      <c r="AA157" t="inlineStr">
        <is>
          <t>Not stated on course page</t>
        </is>
      </c>
      <c r="AB157" t="inlineStr"/>
      <c r="AC157" t="inlineStr">
        <is>
          <t>Skipped: the page does not state it</t>
        </is>
      </c>
      <c r="AD157" t="n">
        <v>0</v>
      </c>
      <c r="AE157" t="inlineStr"/>
      <c r="AF157" t="inlineStr"/>
      <c r="AG157" t="inlineStr"/>
      <c r="AH157" t="inlineStr">
        <is>
          <t>Yes</t>
        </is>
      </c>
      <c r="AI157" t="inlineStr"/>
      <c r="AJ157" t="inlineStr"/>
      <c r="AK157" t="inlineStr"/>
      <c r="AL157" t="inlineStr"/>
      <c r="AM157" t="inlineStr"/>
    </row>
    <row r="158">
      <c r="A158" t="inlineStr">
        <is>
          <t>105222B</t>
        </is>
      </c>
      <c r="B158" t="inlineStr">
        <is>
          <t>Bachelor of Pharmacy and Management (Honours) and Master of Pharmacy Practice</t>
        </is>
      </c>
      <c r="C158" t="inlineStr">
        <is>
          <t>Masters Degree (Coursework)</t>
        </is>
      </c>
      <c r="D158" t="inlineStr">
        <is>
          <t>Postgraduate coursework</t>
        </is>
      </c>
      <c r="E158" t="inlineStr">
        <is>
          <t>Advertised: official page in place</t>
        </is>
      </c>
      <c r="F158" t="inlineStr">
        <is>
          <t>https://www.sydney.edu.au/courses/courses/uc/bachelor-of-pharmacy-and-management-honours-and-master-of-pharmacy-practice.html</t>
        </is>
      </c>
      <c r="G158" t="inlineStr">
        <is>
          <t>https://www.sydney.edu.au/courses/courses/uc/bachelor-of-pharmacy-and-management-honours-and-master-of-pharmacy-practice.html</t>
        </is>
      </c>
      <c r="H158" t="inlineStr">
        <is>
          <t>Read</t>
        </is>
      </c>
      <c r="I158" t="inlineStr">
        <is>
          <t>Exact title match</t>
        </is>
      </c>
      <c r="J158" t="inlineStr"/>
      <c r="K158" t="inlineStr">
        <is>
          <t>Not sent to re-link</t>
        </is>
      </c>
      <c r="L158" t="inlineStr">
        <is>
          <t>Filled</t>
        </is>
      </c>
      <c r="M158" t="inlineStr">
        <is>
          <t>Not stated on course page</t>
        </is>
      </c>
      <c r="N158" t="inlineStr"/>
      <c r="O158" t="n">
        <v>0</v>
      </c>
      <c r="P158" t="inlineStr"/>
      <c r="Q158" t="inlineStr">
        <is>
          <t>Not stated on course page</t>
        </is>
      </c>
      <c r="S158" t="inlineStr"/>
      <c r="T158" t="inlineStr">
        <is>
          <t>Held: double degree (its parts are at different levels)</t>
        </is>
      </c>
      <c r="U158" t="inlineStr"/>
      <c r="V158" t="inlineStr">
        <is>
          <t>Not stated on course page</t>
        </is>
      </c>
      <c r="W158" t="inlineStr"/>
      <c r="X158" t="inlineStr"/>
      <c r="Y158" t="n">
        <v>0</v>
      </c>
      <c r="Z158" t="inlineStr">
        <is>
          <t>No</t>
        </is>
      </c>
      <c r="AA158" t="inlineStr">
        <is>
          <t>Filled</t>
        </is>
      </c>
      <c r="AB158" t="inlineStr">
        <is>
          <t>on campus</t>
        </is>
      </c>
      <c r="AC158" t="inlineStr"/>
      <c r="AD158" t="n">
        <v>0</v>
      </c>
      <c r="AE158" t="inlineStr"/>
      <c r="AF158" t="inlineStr"/>
      <c r="AG158" t="inlineStr"/>
      <c r="AH158" t="inlineStr"/>
      <c r="AI158" t="inlineStr">
        <is>
          <t>Yes</t>
        </is>
      </c>
      <c r="AJ158" t="inlineStr">
        <is>
          <t>Yes</t>
        </is>
      </c>
      <c r="AK158" t="inlineStr"/>
      <c r="AL158" t="inlineStr"/>
      <c r="AM158" t="inlineStr"/>
    </row>
    <row r="159">
      <c r="A159" t="inlineStr">
        <is>
          <t>068549A</t>
        </is>
      </c>
      <c r="B159" t="inlineStr">
        <is>
          <t>Bachelor of Political, Economic and Social Sciences</t>
        </is>
      </c>
      <c r="C159" t="inlineStr">
        <is>
          <t>Bachelor</t>
        </is>
      </c>
      <c r="D159" t="inlineStr">
        <is>
          <t>Undergraduate</t>
        </is>
      </c>
      <c r="E159" t="inlineStr">
        <is>
          <t>Advertised: official page in place</t>
        </is>
      </c>
      <c r="F159" t="inlineStr">
        <is>
          <t>https://www.sydney.edu.au/courses/courses/uc/bachelor-of-political-economic-and-social-sciences-honours.html</t>
        </is>
      </c>
      <c r="G159" t="inlineStr">
        <is>
          <t>https://www.sydney.edu.au/courses/courses/uc/bachelor-of-political-economic-and-social-sciences-honours.html</t>
        </is>
      </c>
      <c r="H159" t="inlineStr">
        <is>
          <t>Read</t>
        </is>
      </c>
      <c r="I159" t="inlineStr">
        <is>
          <t>Exact title match</t>
        </is>
      </c>
      <c r="J159" t="inlineStr"/>
      <c r="K159" t="inlineStr">
        <is>
          <t>Not sent to re-link</t>
        </is>
      </c>
      <c r="L159" t="inlineStr">
        <is>
          <t>Filled</t>
        </is>
      </c>
      <c r="M159" t="inlineStr">
        <is>
          <t>Not stated on course page</t>
        </is>
      </c>
      <c r="N159" t="inlineStr"/>
      <c r="O159" t="n">
        <v>0</v>
      </c>
      <c r="P159" t="inlineStr"/>
      <c r="Q159" t="inlineStr">
        <is>
          <t>Filled</t>
        </is>
      </c>
      <c r="R159" t="n">
        <v>6.5</v>
      </c>
      <c r="S159" t="inlineStr">
        <is>
          <t>Central English policy</t>
        </is>
      </c>
      <c r="T159" t="inlineStr">
        <is>
          <t>Central rule applies (value agrees)</t>
        </is>
      </c>
      <c r="U159" t="inlineStr"/>
      <c r="V159" t="inlineStr">
        <is>
          <t>Filled</t>
        </is>
      </c>
      <c r="W159" t="inlineStr">
        <is>
          <t>February, August</t>
        </is>
      </c>
      <c r="X159" t="inlineStr">
        <is>
          <t>University adapter</t>
        </is>
      </c>
      <c r="Y159" t="n">
        <v>0</v>
      </c>
      <c r="Z159" t="inlineStr">
        <is>
          <t>Yes</t>
        </is>
      </c>
      <c r="AA159" t="inlineStr">
        <is>
          <t>Filled</t>
        </is>
      </c>
      <c r="AB159" t="inlineStr">
        <is>
          <t>on campus</t>
        </is>
      </c>
      <c r="AC159" t="inlineStr">
        <is>
          <t>Filled</t>
        </is>
      </c>
      <c r="AD159" t="n">
        <v>0</v>
      </c>
      <c r="AE159" t="inlineStr"/>
      <c r="AF159" t="inlineStr"/>
      <c r="AG159" t="inlineStr"/>
      <c r="AH159" t="inlineStr"/>
      <c r="AI159" t="inlineStr"/>
      <c r="AJ159" t="inlineStr"/>
      <c r="AK159" t="inlineStr"/>
      <c r="AL159" t="inlineStr"/>
      <c r="AM159" t="inlineStr"/>
    </row>
    <row r="160">
      <c r="A160" t="inlineStr">
        <is>
          <t>075522J</t>
        </is>
      </c>
      <c r="B160" t="inlineStr">
        <is>
          <t>Bachelor of Political, Economic and Social Sciences (Honours)</t>
        </is>
      </c>
      <c r="C160" t="inlineStr">
        <is>
          <t>Bachelor Honours Degree</t>
        </is>
      </c>
      <c r="D160" t="inlineStr">
        <is>
          <t>Undergraduate</t>
        </is>
      </c>
      <c r="E160" t="inlineStr">
        <is>
          <t>Advertised: official page in place</t>
        </is>
      </c>
      <c r="F160" t="inlineStr">
        <is>
          <t>https://www.sydney.edu.au/courses/courses/uc/bachelor-of-political-economic-and-social-sciences-honours.html</t>
        </is>
      </c>
      <c r="G160" t="inlineStr">
        <is>
          <t>https://www.sydney.edu.au/courses/courses/uc/bachelor-of-political-economic-and-social-sciences-honours.html</t>
        </is>
      </c>
      <c r="H160" t="inlineStr">
        <is>
          <t>Read</t>
        </is>
      </c>
      <c r="I160" t="inlineStr">
        <is>
          <t>Exact title match</t>
        </is>
      </c>
      <c r="J160" t="inlineStr"/>
      <c r="K160" t="inlineStr">
        <is>
          <t>Not sent to re-link</t>
        </is>
      </c>
      <c r="L160" t="inlineStr">
        <is>
          <t>Filled</t>
        </is>
      </c>
      <c r="M160" t="inlineStr">
        <is>
          <t>Not stated on course page</t>
        </is>
      </c>
      <c r="N160" t="inlineStr"/>
      <c r="O160" t="n">
        <v>0</v>
      </c>
      <c r="P160" t="inlineStr"/>
      <c r="Q160" t="inlineStr">
        <is>
          <t>Filled</t>
        </is>
      </c>
      <c r="R160" t="n">
        <v>6.5</v>
      </c>
      <c r="S160" t="inlineStr">
        <is>
          <t>Central English policy</t>
        </is>
      </c>
      <c r="T160" t="inlineStr">
        <is>
          <t>Central rule applies (value agrees)</t>
        </is>
      </c>
      <c r="U160" t="inlineStr"/>
      <c r="V160" t="inlineStr">
        <is>
          <t>Filled</t>
        </is>
      </c>
      <c r="W160" t="inlineStr">
        <is>
          <t>February, August</t>
        </is>
      </c>
      <c r="X160" t="inlineStr">
        <is>
          <t>Other</t>
        </is>
      </c>
      <c r="Y160" t="n">
        <v>0</v>
      </c>
      <c r="Z160" t="inlineStr">
        <is>
          <t>Yes</t>
        </is>
      </c>
      <c r="AA160" t="inlineStr">
        <is>
          <t>Filled</t>
        </is>
      </c>
      <c r="AB160" t="inlineStr">
        <is>
          <t>on campus</t>
        </is>
      </c>
      <c r="AC160" t="inlineStr">
        <is>
          <t>Filled</t>
        </is>
      </c>
      <c r="AD160" t="n">
        <v>0</v>
      </c>
      <c r="AE160" t="inlineStr"/>
      <c r="AF160" t="inlineStr"/>
      <c r="AG160" t="inlineStr"/>
      <c r="AH160" t="inlineStr"/>
      <c r="AI160" t="inlineStr"/>
      <c r="AJ160" t="inlineStr"/>
      <c r="AK160" t="inlineStr"/>
      <c r="AL160" t="inlineStr"/>
      <c r="AM160" t="inlineStr"/>
    </row>
    <row r="161">
      <c r="A161" t="inlineStr">
        <is>
          <t>115420B</t>
        </is>
      </c>
      <c r="B161" t="inlineStr">
        <is>
          <t>Bachelor of Politics, Philosophy, and Economics</t>
        </is>
      </c>
      <c r="C161" t="inlineStr">
        <is>
          <t>Bachelor</t>
        </is>
      </c>
      <c r="D161" t="inlineStr">
        <is>
          <t>Undergraduate</t>
        </is>
      </c>
      <c r="E161" t="inlineStr">
        <is>
          <t>Advertised: official page in place</t>
        </is>
      </c>
      <c r="F161" t="inlineStr">
        <is>
          <t>https://www.sydney.edu.au/courses/courses/uc/bachelor-of-politics-philosophy-and-economics.html</t>
        </is>
      </c>
      <c r="G161" t="inlineStr">
        <is>
          <t>https://www.sydney.edu.au/courses/courses/uc/bachelor-of-politics-philosophy-and-economics.html</t>
        </is>
      </c>
      <c r="H161" t="inlineStr">
        <is>
          <t>Read</t>
        </is>
      </c>
      <c r="I161" t="inlineStr">
        <is>
          <t>Exact title match</t>
        </is>
      </c>
      <c r="J161" t="inlineStr"/>
      <c r="K161" t="inlineStr">
        <is>
          <t>Not sent to re-link</t>
        </is>
      </c>
      <c r="L161" t="inlineStr">
        <is>
          <t>Filled</t>
        </is>
      </c>
      <c r="M161" t="inlineStr">
        <is>
          <t>Not stated on course page</t>
        </is>
      </c>
      <c r="N161" t="inlineStr"/>
      <c r="O161" t="n">
        <v>0</v>
      </c>
      <c r="P161" t="inlineStr"/>
      <c r="Q161" t="inlineStr">
        <is>
          <t>Filled</t>
        </is>
      </c>
      <c r="R161" t="n">
        <v>6.5</v>
      </c>
      <c r="S161" t="inlineStr">
        <is>
          <t>Central English policy</t>
        </is>
      </c>
      <c r="T161" t="inlineStr">
        <is>
          <t>Central rule applies (value agrees)</t>
        </is>
      </c>
      <c r="U161" t="inlineStr"/>
      <c r="V161" t="inlineStr">
        <is>
          <t>Not stated on course page</t>
        </is>
      </c>
      <c r="W161" t="inlineStr"/>
      <c r="X161" t="inlineStr"/>
      <c r="Y161" t="n">
        <v>2</v>
      </c>
      <c r="Z161" t="inlineStr">
        <is>
          <t>Yes</t>
        </is>
      </c>
      <c r="AA161" t="inlineStr">
        <is>
          <t>Filled</t>
        </is>
      </c>
      <c r="AB161" t="inlineStr">
        <is>
          <t>on campus</t>
        </is>
      </c>
      <c r="AC161" t="inlineStr"/>
      <c r="AD161" t="n">
        <v>0</v>
      </c>
      <c r="AE161" t="inlineStr"/>
      <c r="AF161" t="inlineStr"/>
      <c r="AG161" t="inlineStr"/>
      <c r="AH161" t="inlineStr">
        <is>
          <t>Yes</t>
        </is>
      </c>
      <c r="AI161" t="inlineStr"/>
      <c r="AJ161" t="inlineStr"/>
      <c r="AK161" t="inlineStr"/>
      <c r="AL161" t="inlineStr"/>
      <c r="AM161" t="inlineStr"/>
    </row>
    <row r="162">
      <c r="A162" t="inlineStr">
        <is>
          <t>116270C</t>
        </is>
      </c>
      <c r="B162" t="inlineStr">
        <is>
          <t>Bachelor of Politics, Philosophy, and Economics (Honours)</t>
        </is>
      </c>
      <c r="C162" t="inlineStr">
        <is>
          <t>Bachelor Honours Degree</t>
        </is>
      </c>
      <c r="D162" t="inlineStr">
        <is>
          <t>Undergraduate</t>
        </is>
      </c>
      <c r="E162" t="inlineStr">
        <is>
          <t>Advertised: official page in place</t>
        </is>
      </c>
      <c r="F162" t="inlineStr">
        <is>
          <t>https://www.sydney.edu.au/courses/courses/uc/bachelor-of-politics-philosophy-and-economics-honours.html</t>
        </is>
      </c>
      <c r="G162" t="inlineStr">
        <is>
          <t>https://www.sydney.edu.au/courses/courses/uc/bachelor-of-politics-philosophy-and-economics-honours.html</t>
        </is>
      </c>
      <c r="H162" t="inlineStr">
        <is>
          <t>Read</t>
        </is>
      </c>
      <c r="I162" t="inlineStr">
        <is>
          <t>Exact title match</t>
        </is>
      </c>
      <c r="J162" t="inlineStr"/>
      <c r="K162" t="inlineStr">
        <is>
          <t>Not sent to re-link</t>
        </is>
      </c>
      <c r="L162" t="inlineStr">
        <is>
          <t>Filled</t>
        </is>
      </c>
      <c r="M162" t="inlineStr">
        <is>
          <t>Not stated on course page</t>
        </is>
      </c>
      <c r="N162" t="inlineStr"/>
      <c r="O162" t="n">
        <v>0</v>
      </c>
      <c r="P162" t="inlineStr"/>
      <c r="Q162" t="inlineStr">
        <is>
          <t>Filled</t>
        </is>
      </c>
      <c r="R162" t="n">
        <v>6.5</v>
      </c>
      <c r="S162" t="inlineStr">
        <is>
          <t>Central English policy</t>
        </is>
      </c>
      <c r="T162" t="inlineStr">
        <is>
          <t>Central rule applies (value agrees)</t>
        </is>
      </c>
      <c r="U162" t="inlineStr"/>
      <c r="V162" t="inlineStr">
        <is>
          <t>Filled</t>
        </is>
      </c>
      <c r="W162" t="inlineStr">
        <is>
          <t>February, August</t>
        </is>
      </c>
      <c r="X162" t="inlineStr">
        <is>
          <t>Other</t>
        </is>
      </c>
      <c r="Y162" t="n">
        <v>0</v>
      </c>
      <c r="Z162" t="inlineStr">
        <is>
          <t>Yes</t>
        </is>
      </c>
      <c r="AA162" t="inlineStr">
        <is>
          <t>Filled</t>
        </is>
      </c>
      <c r="AB162" t="inlineStr">
        <is>
          <t>on campus</t>
        </is>
      </c>
      <c r="AC162" t="inlineStr"/>
      <c r="AD162" t="n">
        <v>0</v>
      </c>
      <c r="AE162" t="inlineStr"/>
      <c r="AF162" t="inlineStr"/>
      <c r="AG162" t="inlineStr"/>
      <c r="AH162" t="inlineStr"/>
      <c r="AI162" t="inlineStr"/>
      <c r="AJ162" t="inlineStr"/>
      <c r="AK162" t="inlineStr"/>
      <c r="AL162" t="inlineStr"/>
      <c r="AM162" t="inlineStr"/>
    </row>
    <row r="163">
      <c r="A163" t="inlineStr">
        <is>
          <t>074381C</t>
        </is>
      </c>
      <c r="B163" t="inlineStr">
        <is>
          <t>Bachelor of Project Management</t>
        </is>
      </c>
      <c r="C163" t="inlineStr">
        <is>
          <t>Bachelor</t>
        </is>
      </c>
      <c r="D163" t="inlineStr">
        <is>
          <t>Undergraduate</t>
        </is>
      </c>
      <c r="E163" t="inlineStr">
        <is>
          <t>Advertised: official page in place</t>
        </is>
      </c>
      <c r="F163" t="inlineStr">
        <is>
          <t>https://www.sydney.edu.au/courses/courses/uc/bachelor-of-project-management0.html</t>
        </is>
      </c>
      <c r="G163" t="inlineStr">
        <is>
          <t>https://www.sydney.edu.au/courses/courses/uc/bachelor-of-project-management0.html</t>
        </is>
      </c>
      <c r="H163" t="inlineStr">
        <is>
          <t>Read</t>
        </is>
      </c>
      <c r="I163" t="inlineStr">
        <is>
          <t>Exact title match</t>
        </is>
      </c>
      <c r="J163" t="inlineStr"/>
      <c r="K163" t="inlineStr">
        <is>
          <t>Not sent to re-link</t>
        </is>
      </c>
      <c r="L163" t="inlineStr">
        <is>
          <t>Filled</t>
        </is>
      </c>
      <c r="M163" t="inlineStr">
        <is>
          <t>Not stated on course page</t>
        </is>
      </c>
      <c r="N163" t="inlineStr"/>
      <c r="O163" t="n">
        <v>0</v>
      </c>
      <c r="P163" t="inlineStr"/>
      <c r="Q163" t="inlineStr">
        <is>
          <t>Filled</t>
        </is>
      </c>
      <c r="R163" t="n">
        <v>6.5</v>
      </c>
      <c r="S163" t="inlineStr">
        <is>
          <t>Central English policy</t>
        </is>
      </c>
      <c r="T163" t="inlineStr">
        <is>
          <t>Central rule applies (value agrees)</t>
        </is>
      </c>
      <c r="U163" t="inlineStr"/>
      <c r="V163" t="inlineStr">
        <is>
          <t>Not stated on course page</t>
        </is>
      </c>
      <c r="W163" t="inlineStr"/>
      <c r="X163" t="inlineStr"/>
      <c r="Y163" t="n">
        <v>2</v>
      </c>
      <c r="Z163" t="inlineStr">
        <is>
          <t>Yes</t>
        </is>
      </c>
      <c r="AA163" t="inlineStr">
        <is>
          <t>Filled</t>
        </is>
      </c>
      <c r="AB163" t="inlineStr">
        <is>
          <t>on campus</t>
        </is>
      </c>
      <c r="AC163" t="inlineStr"/>
      <c r="AD163" t="n">
        <v>0</v>
      </c>
      <c r="AE163" t="inlineStr"/>
      <c r="AF163" t="inlineStr"/>
      <c r="AG163" t="inlineStr"/>
      <c r="AH163" t="inlineStr">
        <is>
          <t>Yes</t>
        </is>
      </c>
      <c r="AI163" t="inlineStr"/>
      <c r="AJ163" t="inlineStr"/>
      <c r="AK163" t="inlineStr"/>
      <c r="AL163" t="inlineStr"/>
      <c r="AM163" t="inlineStr"/>
    </row>
    <row r="164">
      <c r="A164" t="inlineStr">
        <is>
          <t>082911D</t>
        </is>
      </c>
      <c r="B164" t="inlineStr">
        <is>
          <t>Bachelor of Project Management (Honours)</t>
        </is>
      </c>
      <c r="C164" t="inlineStr">
        <is>
          <t>Bachelor Honours Degree</t>
        </is>
      </c>
      <c r="D164" t="inlineStr">
        <is>
          <t>Undergraduate</t>
        </is>
      </c>
      <c r="E164" t="inlineStr">
        <is>
          <t>Advertised: official page in place</t>
        </is>
      </c>
      <c r="F164" t="inlineStr">
        <is>
          <t>https://www.sydney.edu.au/courses/courses/uc/bachelor-of-project-management-honours.html</t>
        </is>
      </c>
      <c r="G164" t="inlineStr">
        <is>
          <t>https://www.sydney.edu.au/courses/courses/uc/bachelor-of-project-management-honours.html</t>
        </is>
      </c>
      <c r="H164" t="inlineStr">
        <is>
          <t>Read</t>
        </is>
      </c>
      <c r="I164" t="inlineStr">
        <is>
          <t>Exact title match</t>
        </is>
      </c>
      <c r="J164" t="inlineStr"/>
      <c r="K164" t="inlineStr">
        <is>
          <t>Not sent to re-link</t>
        </is>
      </c>
      <c r="L164" t="inlineStr">
        <is>
          <t>Filled</t>
        </is>
      </c>
      <c r="M164" t="inlineStr">
        <is>
          <t>Not stated on course page</t>
        </is>
      </c>
      <c r="N164" t="inlineStr"/>
      <c r="O164" t="n">
        <v>0</v>
      </c>
      <c r="P164" t="inlineStr"/>
      <c r="Q164" t="inlineStr">
        <is>
          <t>Filled</t>
        </is>
      </c>
      <c r="R164" t="n">
        <v>6.5</v>
      </c>
      <c r="S164" t="inlineStr">
        <is>
          <t>Central English policy</t>
        </is>
      </c>
      <c r="T164" t="inlineStr">
        <is>
          <t>Central rule applies (value agrees)</t>
        </is>
      </c>
      <c r="U164" t="inlineStr"/>
      <c r="V164" t="inlineStr">
        <is>
          <t>Filled</t>
        </is>
      </c>
      <c r="W164" t="inlineStr">
        <is>
          <t>February, August</t>
        </is>
      </c>
      <c r="X164" t="inlineStr">
        <is>
          <t>Other</t>
        </is>
      </c>
      <c r="Y164" t="n">
        <v>0</v>
      </c>
      <c r="Z164" t="inlineStr">
        <is>
          <t>Yes</t>
        </is>
      </c>
      <c r="AA164" t="inlineStr">
        <is>
          <t>Filled</t>
        </is>
      </c>
      <c r="AB164" t="inlineStr">
        <is>
          <t>on campus</t>
        </is>
      </c>
      <c r="AC164" t="inlineStr"/>
      <c r="AD164" t="n">
        <v>0</v>
      </c>
      <c r="AE164" t="inlineStr"/>
      <c r="AF164" t="inlineStr"/>
      <c r="AG164" t="inlineStr"/>
      <c r="AH164" t="inlineStr"/>
      <c r="AI164" t="inlineStr"/>
      <c r="AJ164" t="inlineStr"/>
      <c r="AK164" t="inlineStr"/>
      <c r="AL164" t="inlineStr"/>
      <c r="AM164" t="inlineStr"/>
    </row>
    <row r="165">
      <c r="A165" t="inlineStr">
        <is>
          <t>086268E</t>
        </is>
      </c>
      <c r="B165" t="inlineStr">
        <is>
          <t>Bachelor of Project Management and Bachelor of Arts</t>
        </is>
      </c>
      <c r="C165" t="inlineStr">
        <is>
          <t>Bachelor</t>
        </is>
      </c>
      <c r="D165" t="inlineStr">
        <is>
          <t>Undergraduate</t>
        </is>
      </c>
      <c r="E165" t="inlineStr">
        <is>
          <t>Page address no longer works</t>
        </is>
      </c>
      <c r="F165" t="inlineStr"/>
      <c r="G165" t="inlineStr">
        <is>
          <t>https://www.sydney.edu.au/courses/courses/uc/bachelor-of-project-management-and-bachelor-of-arts.html</t>
        </is>
      </c>
      <c r="H165" t="inlineStr">
        <is>
          <t>Address no longer works</t>
        </is>
      </c>
      <c r="I165" t="inlineStr"/>
      <c r="J165" t="inlineStr"/>
      <c r="K165" t="inlineStr">
        <is>
          <t>Finished, no page: every candidate address was refused by the reader or did not</t>
        </is>
      </c>
      <c r="L165" t="inlineStr">
        <is>
          <t>Page found, being read</t>
        </is>
      </c>
      <c r="M165" t="inlineStr">
        <is>
          <t>Page found, being read</t>
        </is>
      </c>
      <c r="N165" t="inlineStr"/>
      <c r="O165" t="n">
        <v>0</v>
      </c>
      <c r="P165" t="inlineStr"/>
      <c r="Q165" t="inlineStr">
        <is>
          <t>Filled</t>
        </is>
      </c>
      <c r="R165" t="n">
        <v>6.5</v>
      </c>
      <c r="S165" t="inlineStr">
        <is>
          <t>Central English policy</t>
        </is>
      </c>
      <c r="T165" t="inlineStr">
        <is>
          <t>Central rule applies (value agrees)</t>
        </is>
      </c>
      <c r="U165" t="inlineStr"/>
      <c r="V165" t="inlineStr">
        <is>
          <t>Page found, being read</t>
        </is>
      </c>
      <c r="W165" t="inlineStr"/>
      <c r="X165" t="inlineStr"/>
      <c r="Y165" t="n">
        <v>0</v>
      </c>
      <c r="Z165" t="inlineStr">
        <is>
          <t>Yes</t>
        </is>
      </c>
      <c r="AA165" t="inlineStr">
        <is>
          <t>Not stated on course page</t>
        </is>
      </c>
      <c r="AB165" t="inlineStr"/>
      <c r="AC165" t="inlineStr">
        <is>
          <t>Skipped: no allowed source had a value</t>
        </is>
      </c>
      <c r="AD165" t="n">
        <v>1</v>
      </c>
      <c r="AE165" t="inlineStr"/>
      <c r="AF165" t="inlineStr"/>
      <c r="AG165" t="inlineStr"/>
      <c r="AH165" t="inlineStr"/>
      <c r="AI165" t="inlineStr"/>
      <c r="AJ165" t="inlineStr"/>
      <c r="AK165" t="inlineStr"/>
      <c r="AL165" t="inlineStr"/>
      <c r="AM165" t="inlineStr"/>
    </row>
    <row r="166">
      <c r="A166" t="inlineStr">
        <is>
          <t>107969J</t>
        </is>
      </c>
      <c r="B166" t="inlineStr">
        <is>
          <t>Bachelor of Psychology</t>
        </is>
      </c>
      <c r="C166" t="inlineStr">
        <is>
          <t>Bachelor</t>
        </is>
      </c>
      <c r="D166" t="inlineStr">
        <is>
          <t>Undergraduate</t>
        </is>
      </c>
      <c r="E166" t="inlineStr">
        <is>
          <t>Advertised: official page in place</t>
        </is>
      </c>
      <c r="F166" t="inlineStr">
        <is>
          <t>https://www.sydney.edu.au/courses/courses/uc/bachelor-of-psychology.html</t>
        </is>
      </c>
      <c r="G166" t="inlineStr">
        <is>
          <t>https://www.sydney.edu.au/courses/courses/uc/bachelor-of-psychology.html</t>
        </is>
      </c>
      <c r="H166" t="inlineStr">
        <is>
          <t>Read</t>
        </is>
      </c>
      <c r="I166" t="inlineStr">
        <is>
          <t>Exact title match</t>
        </is>
      </c>
      <c r="J166" t="inlineStr"/>
      <c r="K166" t="inlineStr">
        <is>
          <t>Not sent to re-link</t>
        </is>
      </c>
      <c r="L166" t="inlineStr">
        <is>
          <t>Filled</t>
        </is>
      </c>
      <c r="M166" t="inlineStr">
        <is>
          <t>Not stated on course page</t>
        </is>
      </c>
      <c r="N166" t="inlineStr"/>
      <c r="O166" t="n">
        <v>0</v>
      </c>
      <c r="P166" t="inlineStr"/>
      <c r="Q166" t="inlineStr">
        <is>
          <t>Filled</t>
        </is>
      </c>
      <c r="R166" t="n">
        <v>6.5</v>
      </c>
      <c r="S166" t="inlineStr">
        <is>
          <t>Central English policy</t>
        </is>
      </c>
      <c r="T166" t="inlineStr">
        <is>
          <t>Central rule applies (value agrees)</t>
        </is>
      </c>
      <c r="U166" t="inlineStr"/>
      <c r="V166" t="inlineStr">
        <is>
          <t>Not stated on course page</t>
        </is>
      </c>
      <c r="W166" t="inlineStr"/>
      <c r="X166" t="inlineStr"/>
      <c r="Y166" t="n">
        <v>2</v>
      </c>
      <c r="Z166" t="inlineStr">
        <is>
          <t>Yes</t>
        </is>
      </c>
      <c r="AA166" t="inlineStr">
        <is>
          <t>Filled</t>
        </is>
      </c>
      <c r="AB166" t="inlineStr">
        <is>
          <t>on campus</t>
        </is>
      </c>
      <c r="AC166" t="inlineStr"/>
      <c r="AD166" t="n">
        <v>0</v>
      </c>
      <c r="AE166" t="inlineStr"/>
      <c r="AF166" t="inlineStr"/>
      <c r="AG166" t="inlineStr"/>
      <c r="AH166" t="inlineStr">
        <is>
          <t>Yes</t>
        </is>
      </c>
      <c r="AI166" t="inlineStr"/>
      <c r="AJ166" t="inlineStr"/>
      <c r="AK166" t="inlineStr"/>
      <c r="AL166" t="inlineStr"/>
      <c r="AM166" t="inlineStr"/>
    </row>
    <row r="167">
      <c r="A167" t="inlineStr">
        <is>
          <t>019184J</t>
        </is>
      </c>
      <c r="B167" t="inlineStr">
        <is>
          <t>Bachelor of Psychology</t>
        </is>
      </c>
      <c r="C167" t="inlineStr">
        <is>
          <t>Bachelor</t>
        </is>
      </c>
      <c r="D167" t="inlineStr">
        <is>
          <t>Undergraduate</t>
        </is>
      </c>
      <c r="E167" t="inlineStr">
        <is>
          <t>Advertised: official page in place</t>
        </is>
      </c>
      <c r="F167" t="inlineStr">
        <is>
          <t>https://www.sydney.edu.au/courses/courses/uc/bachelor-of-psychology.html</t>
        </is>
      </c>
      <c r="G167" t="inlineStr">
        <is>
          <t>https://www.sydney.edu.au/courses/courses/uc/bachelor-of-psychology.html</t>
        </is>
      </c>
      <c r="H167" t="inlineStr">
        <is>
          <t>Read</t>
        </is>
      </c>
      <c r="I167" t="inlineStr">
        <is>
          <t>Exact title match</t>
        </is>
      </c>
      <c r="J167" t="inlineStr"/>
      <c r="K167" t="inlineStr">
        <is>
          <t>Not sent to re-link</t>
        </is>
      </c>
      <c r="L167" t="inlineStr">
        <is>
          <t>Filled</t>
        </is>
      </c>
      <c r="M167" t="inlineStr">
        <is>
          <t>Not stated on course page</t>
        </is>
      </c>
      <c r="N167" t="inlineStr"/>
      <c r="O167" t="n">
        <v>0</v>
      </c>
      <c r="P167" t="inlineStr"/>
      <c r="Q167" t="inlineStr">
        <is>
          <t>Filled</t>
        </is>
      </c>
      <c r="R167" t="n">
        <v>6.5</v>
      </c>
      <c r="S167" t="inlineStr">
        <is>
          <t>Central English policy</t>
        </is>
      </c>
      <c r="T167" t="inlineStr">
        <is>
          <t>Central rule applies (value agrees)</t>
        </is>
      </c>
      <c r="U167" t="inlineStr"/>
      <c r="V167" t="inlineStr">
        <is>
          <t>Not stated on course page</t>
        </is>
      </c>
      <c r="W167" t="inlineStr"/>
      <c r="X167" t="inlineStr"/>
      <c r="Y167" t="n">
        <v>2</v>
      </c>
      <c r="Z167" t="inlineStr">
        <is>
          <t>Yes</t>
        </is>
      </c>
      <c r="AA167" t="inlineStr">
        <is>
          <t>Filled</t>
        </is>
      </c>
      <c r="AB167" t="inlineStr">
        <is>
          <t>on campus</t>
        </is>
      </c>
      <c r="AC167" t="inlineStr"/>
      <c r="AD167" t="n">
        <v>0</v>
      </c>
      <c r="AE167" t="inlineStr"/>
      <c r="AF167" t="inlineStr"/>
      <c r="AG167" t="inlineStr"/>
      <c r="AH167" t="inlineStr">
        <is>
          <t>Yes</t>
        </is>
      </c>
      <c r="AI167" t="inlineStr"/>
      <c r="AJ167" t="inlineStr"/>
      <c r="AK167" t="inlineStr"/>
      <c r="AL167" t="inlineStr"/>
      <c r="AM167" t="inlineStr"/>
    </row>
    <row r="168">
      <c r="A168" t="inlineStr">
        <is>
          <t>039859E</t>
        </is>
      </c>
      <c r="B168" t="inlineStr">
        <is>
          <t>Bachelor of Psychology (Honours)</t>
        </is>
      </c>
      <c r="C168" t="inlineStr">
        <is>
          <t>Bachelor Honours Degree</t>
        </is>
      </c>
      <c r="D168" t="inlineStr">
        <is>
          <t>Undergraduate</t>
        </is>
      </c>
      <c r="E168" t="inlineStr">
        <is>
          <t>Advertised: official page in place</t>
        </is>
      </c>
      <c r="F168" t="inlineStr">
        <is>
          <t>https://www.sydney.edu.au/courses/courses/uc/bachelor-of-psychology-honours.html</t>
        </is>
      </c>
      <c r="G168" t="inlineStr">
        <is>
          <t>https://www.sydney.edu.au/courses/courses/uc/bachelor-of-psychology-honours.html</t>
        </is>
      </c>
      <c r="H168" t="inlineStr">
        <is>
          <t>Read</t>
        </is>
      </c>
      <c r="I168" t="inlineStr">
        <is>
          <t>Exact title match</t>
        </is>
      </c>
      <c r="J168" t="inlineStr"/>
      <c r="K168" t="inlineStr">
        <is>
          <t>Not sent to re-link</t>
        </is>
      </c>
      <c r="L168" t="inlineStr">
        <is>
          <t>Filled</t>
        </is>
      </c>
      <c r="M168" t="inlineStr">
        <is>
          <t>Not stated on course page</t>
        </is>
      </c>
      <c r="N168" t="inlineStr"/>
      <c r="O168" t="n">
        <v>0</v>
      </c>
      <c r="P168" t="inlineStr"/>
      <c r="Q168" t="inlineStr">
        <is>
          <t>Filled</t>
        </is>
      </c>
      <c r="R168" t="n">
        <v>6.5</v>
      </c>
      <c r="S168" t="inlineStr">
        <is>
          <t>Central English policy</t>
        </is>
      </c>
      <c r="T168" t="inlineStr">
        <is>
          <t>Central rule applies (value agrees)</t>
        </is>
      </c>
      <c r="U168" t="inlineStr"/>
      <c r="V168" t="inlineStr">
        <is>
          <t>Not stated on course page</t>
        </is>
      </c>
      <c r="W168" t="inlineStr"/>
      <c r="X168" t="inlineStr"/>
      <c r="Y168" t="n">
        <v>2</v>
      </c>
      <c r="Z168" t="inlineStr">
        <is>
          <t>Yes</t>
        </is>
      </c>
      <c r="AA168" t="inlineStr">
        <is>
          <t>Filled</t>
        </is>
      </c>
      <c r="AB168" t="inlineStr">
        <is>
          <t>on campus</t>
        </is>
      </c>
      <c r="AC168" t="inlineStr"/>
      <c r="AD168" t="n">
        <v>0</v>
      </c>
      <c r="AE168" t="inlineStr"/>
      <c r="AF168" t="inlineStr"/>
      <c r="AG168" t="inlineStr"/>
      <c r="AH168" t="inlineStr">
        <is>
          <t>Yes</t>
        </is>
      </c>
      <c r="AI168" t="inlineStr"/>
      <c r="AJ168" t="inlineStr"/>
      <c r="AK168" t="inlineStr"/>
      <c r="AL168" t="inlineStr"/>
      <c r="AM168" t="inlineStr"/>
    </row>
    <row r="169">
      <c r="A169" t="inlineStr">
        <is>
          <t>107970E</t>
        </is>
      </c>
      <c r="B169" t="inlineStr">
        <is>
          <t>Bachelor of Psychology Honours</t>
        </is>
      </c>
      <c r="C169" t="inlineStr">
        <is>
          <t>Bachelor Honours Degree</t>
        </is>
      </c>
      <c r="D169" t="inlineStr">
        <is>
          <t>Undergraduate</t>
        </is>
      </c>
      <c r="E169" t="inlineStr">
        <is>
          <t>Advertised: official page in place</t>
        </is>
      </c>
      <c r="F169" t="inlineStr">
        <is>
          <t>https://www.sydney.edu.au/courses/courses/uc/bachelor-of-psychology-honours.html</t>
        </is>
      </c>
      <c r="G169" t="inlineStr">
        <is>
          <t>https://www.sydney.edu.au/courses/courses/uc/bachelor-of-psychology-honours.html</t>
        </is>
      </c>
      <c r="H169" t="inlineStr">
        <is>
          <t>Read</t>
        </is>
      </c>
      <c r="I169" t="inlineStr">
        <is>
          <t>Exact title match</t>
        </is>
      </c>
      <c r="J169" t="inlineStr"/>
      <c r="K169" t="inlineStr">
        <is>
          <t>Not sent to re-link</t>
        </is>
      </c>
      <c r="L169" t="inlineStr">
        <is>
          <t>Filled</t>
        </is>
      </c>
      <c r="M169" t="inlineStr">
        <is>
          <t>Not stated on course page</t>
        </is>
      </c>
      <c r="N169" t="inlineStr"/>
      <c r="O169" t="n">
        <v>0</v>
      </c>
      <c r="P169" t="inlineStr"/>
      <c r="Q169" t="inlineStr">
        <is>
          <t>Filled</t>
        </is>
      </c>
      <c r="R169" t="n">
        <v>6.5</v>
      </c>
      <c r="S169" t="inlineStr">
        <is>
          <t>Central English policy</t>
        </is>
      </c>
      <c r="T169" t="inlineStr">
        <is>
          <t>Central rule applies (value agrees)</t>
        </is>
      </c>
      <c r="U169" t="inlineStr"/>
      <c r="V169" t="inlineStr">
        <is>
          <t>Not stated on course page</t>
        </is>
      </c>
      <c r="W169" t="inlineStr"/>
      <c r="X169" t="inlineStr"/>
      <c r="Y169" t="n">
        <v>2</v>
      </c>
      <c r="Z169" t="inlineStr">
        <is>
          <t>Yes</t>
        </is>
      </c>
      <c r="AA169" t="inlineStr">
        <is>
          <t>Filled</t>
        </is>
      </c>
      <c r="AB169" t="inlineStr">
        <is>
          <t>on campus</t>
        </is>
      </c>
      <c r="AC169" t="inlineStr"/>
      <c r="AD169" t="n">
        <v>0</v>
      </c>
      <c r="AE169" t="inlineStr"/>
      <c r="AF169" t="inlineStr"/>
      <c r="AG169" t="inlineStr"/>
      <c r="AH169" t="inlineStr">
        <is>
          <t>Yes</t>
        </is>
      </c>
      <c r="AI169" t="inlineStr"/>
      <c r="AJ169" t="inlineStr"/>
      <c r="AK169" t="inlineStr"/>
      <c r="AL169" t="inlineStr"/>
      <c r="AM169" t="inlineStr"/>
    </row>
    <row r="170">
      <c r="A170" t="inlineStr">
        <is>
          <t>032440M</t>
        </is>
      </c>
      <c r="B170" t="inlineStr">
        <is>
          <t>Bachelor of Resource Economics</t>
        </is>
      </c>
      <c r="C170" t="inlineStr">
        <is>
          <t>Bachelor</t>
        </is>
      </c>
      <c r="D170" t="inlineStr">
        <is>
          <t>Undergraduate</t>
        </is>
      </c>
      <c r="E170" t="inlineStr">
        <is>
          <t>Page address no longer works</t>
        </is>
      </c>
      <c r="F170" t="inlineStr"/>
      <c r="G170" t="inlineStr">
        <is>
          <t>https://www.sydney.edu.au/courses/courses/uc/bachelor-of-resource-economics.html</t>
        </is>
      </c>
      <c r="H170" t="inlineStr">
        <is>
          <t>Address no longer works</t>
        </is>
      </c>
      <c r="I170" t="inlineStr"/>
      <c r="J170" t="inlineStr"/>
      <c r="K170" t="inlineStr">
        <is>
          <t>Finished, no page: every candidate address was refused by the reader or did not</t>
        </is>
      </c>
      <c r="L170" t="inlineStr">
        <is>
          <t>Page found, being read</t>
        </is>
      </c>
      <c r="M170" t="inlineStr">
        <is>
          <t>Page found, being read</t>
        </is>
      </c>
      <c r="N170" t="inlineStr"/>
      <c r="O170" t="n">
        <v>0</v>
      </c>
      <c r="P170" t="inlineStr"/>
      <c r="Q170" t="inlineStr">
        <is>
          <t>Filled</t>
        </is>
      </c>
      <c r="R170" t="n">
        <v>6.5</v>
      </c>
      <c r="S170" t="inlineStr">
        <is>
          <t>Central English policy</t>
        </is>
      </c>
      <c r="T170" t="inlineStr">
        <is>
          <t>Central rule applies (value agrees)</t>
        </is>
      </c>
      <c r="U170" t="inlineStr"/>
      <c r="V170" t="inlineStr">
        <is>
          <t>Page found, being read</t>
        </is>
      </c>
      <c r="W170" t="inlineStr"/>
      <c r="X170" t="inlineStr"/>
      <c r="Y170" t="n">
        <v>0</v>
      </c>
      <c r="Z170" t="inlineStr">
        <is>
          <t>Yes</t>
        </is>
      </c>
      <c r="AA170" t="inlineStr">
        <is>
          <t>Not stated on course page</t>
        </is>
      </c>
      <c r="AB170" t="inlineStr"/>
      <c r="AC170" t="inlineStr">
        <is>
          <t>Skipped: the page does not state it</t>
        </is>
      </c>
      <c r="AD170" t="n">
        <v>0</v>
      </c>
      <c r="AE170" t="inlineStr"/>
      <c r="AF170" t="inlineStr"/>
      <c r="AG170" t="inlineStr"/>
      <c r="AH170" t="inlineStr"/>
      <c r="AI170" t="inlineStr"/>
      <c r="AJ170" t="inlineStr"/>
      <c r="AK170" t="inlineStr"/>
      <c r="AL170" t="inlineStr"/>
      <c r="AM170" t="inlineStr"/>
    </row>
    <row r="171">
      <c r="A171" t="inlineStr">
        <is>
          <t>000719E</t>
        </is>
      </c>
      <c r="B171" t="inlineStr">
        <is>
          <t>Bachelor of Science</t>
        </is>
      </c>
      <c r="C171" t="inlineStr">
        <is>
          <t>Bachelor</t>
        </is>
      </c>
      <c r="D171" t="inlineStr">
        <is>
          <t>Undergraduate</t>
        </is>
      </c>
      <c r="E171" t="inlineStr">
        <is>
          <t>Advertised: official page in place</t>
        </is>
      </c>
      <c r="F171" t="inlineStr">
        <is>
          <t>https://www.sydney.edu.au/courses/courses/uc/bachelor-of-science.html</t>
        </is>
      </c>
      <c r="G171" t="inlineStr">
        <is>
          <t>https://www.sydney.edu.au/courses/courses/uc/bachelor-of-science.html</t>
        </is>
      </c>
      <c r="H171" t="inlineStr">
        <is>
          <t>Read</t>
        </is>
      </c>
      <c r="I171" t="inlineStr">
        <is>
          <t>Exact title match</t>
        </is>
      </c>
      <c r="J171" t="inlineStr"/>
      <c r="K171" t="inlineStr">
        <is>
          <t>Not sent to re-link</t>
        </is>
      </c>
      <c r="L171" t="inlineStr">
        <is>
          <t>Filled</t>
        </is>
      </c>
      <c r="M171" t="inlineStr">
        <is>
          <t>Not stated on course page</t>
        </is>
      </c>
      <c r="N171" t="inlineStr"/>
      <c r="O171" t="n">
        <v>0</v>
      </c>
      <c r="P171" t="inlineStr"/>
      <c r="Q171" t="inlineStr">
        <is>
          <t>Filled</t>
        </is>
      </c>
      <c r="R171" t="n">
        <v>6.5</v>
      </c>
      <c r="S171" t="inlineStr">
        <is>
          <t>Central English policy</t>
        </is>
      </c>
      <c r="T171" t="inlineStr">
        <is>
          <t>Central rule applies (value agrees)</t>
        </is>
      </c>
      <c r="U171" t="inlineStr"/>
      <c r="V171" t="inlineStr">
        <is>
          <t>Not stated on course page</t>
        </is>
      </c>
      <c r="W171" t="inlineStr"/>
      <c r="X171" t="inlineStr"/>
      <c r="Y171" t="n">
        <v>2</v>
      </c>
      <c r="Z171" t="inlineStr">
        <is>
          <t>Yes</t>
        </is>
      </c>
      <c r="AA171" t="inlineStr">
        <is>
          <t>Filled</t>
        </is>
      </c>
      <c r="AB171" t="inlineStr">
        <is>
          <t>on campus</t>
        </is>
      </c>
      <c r="AC171" t="inlineStr"/>
      <c r="AD171" t="n">
        <v>0</v>
      </c>
      <c r="AE171" t="inlineStr"/>
      <c r="AF171" t="inlineStr"/>
      <c r="AG171" t="inlineStr"/>
      <c r="AH171" t="inlineStr">
        <is>
          <t>Yes</t>
        </is>
      </c>
      <c r="AI171" t="inlineStr"/>
      <c r="AJ171" t="inlineStr"/>
      <c r="AK171" t="inlineStr"/>
      <c r="AL171" t="inlineStr"/>
      <c r="AM171" t="inlineStr"/>
    </row>
    <row r="172">
      <c r="A172" t="inlineStr">
        <is>
          <t>036745F</t>
        </is>
      </c>
      <c r="B172" t="inlineStr">
        <is>
          <t>Bachelor of Science (Honours)</t>
        </is>
      </c>
      <c r="C172" t="inlineStr">
        <is>
          <t>Bachelor Honours Degree</t>
        </is>
      </c>
      <c r="D172" t="inlineStr">
        <is>
          <t>Undergraduate</t>
        </is>
      </c>
      <c r="E172" t="inlineStr">
        <is>
          <t>Advertised: official page in place</t>
        </is>
      </c>
      <c r="F172" t="inlineStr">
        <is>
          <t>https://www.sydney.edu.au/courses/courses/uc/bachelor-of-science-honours.html</t>
        </is>
      </c>
      <c r="G172" t="inlineStr">
        <is>
          <t>https://www.sydney.edu.au/courses/courses/uc/bachelor-of-science-honours.html</t>
        </is>
      </c>
      <c r="H172" t="inlineStr">
        <is>
          <t>Read</t>
        </is>
      </c>
      <c r="I172" t="inlineStr">
        <is>
          <t>Exact title match</t>
        </is>
      </c>
      <c r="J172" t="inlineStr"/>
      <c r="K172" t="inlineStr">
        <is>
          <t>Not sent to re-link</t>
        </is>
      </c>
      <c r="L172" t="inlineStr">
        <is>
          <t>Filled</t>
        </is>
      </c>
      <c r="M172" t="inlineStr">
        <is>
          <t>Not stated on course page</t>
        </is>
      </c>
      <c r="N172" t="inlineStr"/>
      <c r="O172" t="n">
        <v>0</v>
      </c>
      <c r="P172" t="inlineStr"/>
      <c r="Q172" t="inlineStr">
        <is>
          <t>Filled</t>
        </is>
      </c>
      <c r="R172" t="n">
        <v>6.5</v>
      </c>
      <c r="S172" t="inlineStr">
        <is>
          <t>Central English policy</t>
        </is>
      </c>
      <c r="T172" t="inlineStr">
        <is>
          <t>Central rule applies (value agrees)</t>
        </is>
      </c>
      <c r="U172" t="inlineStr"/>
      <c r="V172" t="inlineStr">
        <is>
          <t>Not stated on course page</t>
        </is>
      </c>
      <c r="W172" t="inlineStr"/>
      <c r="X172" t="inlineStr"/>
      <c r="Y172" t="n">
        <v>2</v>
      </c>
      <c r="Z172" t="inlineStr">
        <is>
          <t>Yes</t>
        </is>
      </c>
      <c r="AA172" t="inlineStr">
        <is>
          <t>Filled</t>
        </is>
      </c>
      <c r="AB172" t="inlineStr">
        <is>
          <t>on campus</t>
        </is>
      </c>
      <c r="AC172" t="inlineStr"/>
      <c r="AD172" t="n">
        <v>0</v>
      </c>
      <c r="AE172" t="inlineStr"/>
      <c r="AF172" t="inlineStr"/>
      <c r="AG172" t="inlineStr"/>
      <c r="AH172" t="inlineStr">
        <is>
          <t>Yes</t>
        </is>
      </c>
      <c r="AI172" t="inlineStr"/>
      <c r="AJ172" t="inlineStr"/>
      <c r="AK172" t="inlineStr"/>
      <c r="AL172" t="inlineStr"/>
      <c r="AM172" t="inlineStr"/>
    </row>
    <row r="173">
      <c r="A173" t="inlineStr">
        <is>
          <t>115607B</t>
        </is>
      </c>
      <c r="B173" t="inlineStr">
        <is>
          <t>Bachelor of Science (Honours) (Food and Agribusiness)</t>
        </is>
      </c>
      <c r="C173" t="inlineStr">
        <is>
          <t>Bachelor Honours Degree</t>
        </is>
      </c>
      <c r="D173" t="inlineStr">
        <is>
          <t>Undergraduate</t>
        </is>
      </c>
      <c r="E173" t="inlineStr">
        <is>
          <t>Page address no longer works</t>
        </is>
      </c>
      <c r="F173" t="inlineStr"/>
      <c r="G173" t="inlineStr">
        <is>
          <t>https://www.sydney.edu.au/courses/courses/uc/bachelor-of-science-honours-food-and-agribusiness.html</t>
        </is>
      </c>
      <c r="H173" t="inlineStr">
        <is>
          <t>Address no longer works</t>
        </is>
      </c>
      <c r="I173" t="inlineStr"/>
      <c r="J173" t="inlineStr"/>
      <c r="K173" t="inlineStr">
        <is>
          <t>Finished, no page: every candidate address was refused by the reader or did not</t>
        </is>
      </c>
      <c r="L173" t="inlineStr">
        <is>
          <t>Page found, being read</t>
        </is>
      </c>
      <c r="M173" t="inlineStr">
        <is>
          <t>Page found, being read</t>
        </is>
      </c>
      <c r="N173" t="inlineStr"/>
      <c r="O173" t="n">
        <v>0</v>
      </c>
      <c r="P173" t="inlineStr"/>
      <c r="Q173" t="inlineStr">
        <is>
          <t>Filled</t>
        </is>
      </c>
      <c r="R173" t="n">
        <v>6.5</v>
      </c>
      <c r="S173" t="inlineStr">
        <is>
          <t>Central English policy</t>
        </is>
      </c>
      <c r="T173" t="inlineStr">
        <is>
          <t>Central rule applies (value agrees)</t>
        </is>
      </c>
      <c r="U173" t="inlineStr"/>
      <c r="V173" t="inlineStr">
        <is>
          <t>Page found, being read</t>
        </is>
      </c>
      <c r="W173" t="inlineStr"/>
      <c r="X173" t="inlineStr"/>
      <c r="Y173" t="n">
        <v>0</v>
      </c>
      <c r="Z173" t="inlineStr">
        <is>
          <t>Yes</t>
        </is>
      </c>
      <c r="AA173" t="inlineStr">
        <is>
          <t>Not stated on course page</t>
        </is>
      </c>
      <c r="AB173" t="inlineStr"/>
      <c r="AC173" t="inlineStr">
        <is>
          <t>Skipped: the page does not state it</t>
        </is>
      </c>
      <c r="AD173" t="n">
        <v>0</v>
      </c>
      <c r="AE173" t="inlineStr"/>
      <c r="AF173" t="inlineStr"/>
      <c r="AG173" t="inlineStr"/>
      <c r="AH173" t="inlineStr"/>
      <c r="AI173" t="inlineStr"/>
      <c r="AJ173" t="inlineStr"/>
      <c r="AK173" t="inlineStr"/>
      <c r="AL173" t="inlineStr"/>
      <c r="AM173" t="inlineStr"/>
    </row>
    <row r="174">
      <c r="A174" t="inlineStr">
        <is>
          <t>118542A</t>
        </is>
      </c>
      <c r="B174" t="inlineStr">
        <is>
          <t>Bachelor of Science (Honours) (Taronga Wildlife Conservation)</t>
        </is>
      </c>
      <c r="C174" t="inlineStr">
        <is>
          <t>Bachelor Honours Degree</t>
        </is>
      </c>
      <c r="D174" t="inlineStr">
        <is>
          <t>Undergraduate</t>
        </is>
      </c>
      <c r="E174" t="inlineStr">
        <is>
          <t>Page address no longer works</t>
        </is>
      </c>
      <c r="F174" t="inlineStr"/>
      <c r="G174" t="inlineStr">
        <is>
          <t>https://www.sydney.edu.au/courses/courses/uc/bachelor-of-science-honours-taronga-wildlife-conservation.html</t>
        </is>
      </c>
      <c r="H174" t="inlineStr">
        <is>
          <t>Address no longer works</t>
        </is>
      </c>
      <c r="I174" t="inlineStr"/>
      <c r="J174" t="inlineStr"/>
      <c r="K174" t="inlineStr">
        <is>
          <t>Finished, no page: every candidate address was refused by the reader or did not</t>
        </is>
      </c>
      <c r="L174" t="inlineStr">
        <is>
          <t>Page found, being read</t>
        </is>
      </c>
      <c r="M174" t="inlineStr">
        <is>
          <t>Page found, being read</t>
        </is>
      </c>
      <c r="N174" t="inlineStr"/>
      <c r="O174" t="n">
        <v>0</v>
      </c>
      <c r="P174" t="inlineStr"/>
      <c r="Q174" t="inlineStr">
        <is>
          <t>Filled</t>
        </is>
      </c>
      <c r="R174" t="n">
        <v>6.5</v>
      </c>
      <c r="S174" t="inlineStr">
        <is>
          <t>Central English policy</t>
        </is>
      </c>
      <c r="T174" t="inlineStr">
        <is>
          <t>Central rule applies (value agrees)</t>
        </is>
      </c>
      <c r="U174" t="inlineStr"/>
      <c r="V174" t="inlineStr">
        <is>
          <t>Page found, being read</t>
        </is>
      </c>
      <c r="W174" t="inlineStr"/>
      <c r="X174" t="inlineStr"/>
      <c r="Y174" t="n">
        <v>0</v>
      </c>
      <c r="Z174" t="inlineStr">
        <is>
          <t>Yes</t>
        </is>
      </c>
      <c r="AA174" t="inlineStr">
        <is>
          <t>Not stated on course page</t>
        </is>
      </c>
      <c r="AB174" t="inlineStr"/>
      <c r="AC174" t="inlineStr">
        <is>
          <t>Skipped: no allowed source had a value</t>
        </is>
      </c>
      <c r="AD174" t="n">
        <v>1</v>
      </c>
      <c r="AE174" t="inlineStr"/>
      <c r="AF174" t="inlineStr"/>
      <c r="AG174" t="inlineStr"/>
      <c r="AH174" t="inlineStr"/>
      <c r="AI174" t="inlineStr"/>
      <c r="AJ174" t="inlineStr"/>
      <c r="AK174" t="inlineStr"/>
      <c r="AL174" t="inlineStr"/>
      <c r="AM174" t="inlineStr"/>
    </row>
    <row r="175">
      <c r="A175" t="inlineStr">
        <is>
          <t>016237C</t>
        </is>
      </c>
      <c r="B175" t="inlineStr">
        <is>
          <t>Bachelor of Science / Bachelor of Laws</t>
        </is>
      </c>
      <c r="C175" t="inlineStr">
        <is>
          <t>Bachelor</t>
        </is>
      </c>
      <c r="D175" t="inlineStr">
        <is>
          <t>Undergraduate</t>
        </is>
      </c>
      <c r="E175" t="inlineStr">
        <is>
          <t>Advertised: official page in place</t>
        </is>
      </c>
      <c r="F175" t="inlineStr">
        <is>
          <t>https://www.sydney.edu.au/handbooks/archive/2024/science/coursework/science_laws/science_laws_sample.html</t>
        </is>
      </c>
      <c r="G175" t="inlineStr">
        <is>
          <t>https://www.sydney.edu.au/handbooks/archive/2024/science/coursework/science_laws/science_laws_sample.html</t>
        </is>
      </c>
      <c r="H175" t="inlineStr">
        <is>
          <t>Read</t>
        </is>
      </c>
      <c r="I175" t="inlineStr">
        <is>
          <t>Exact title match</t>
        </is>
      </c>
      <c r="J175" t="inlineStr"/>
      <c r="K175" t="inlineStr">
        <is>
          <t>Not sent to re-link</t>
        </is>
      </c>
      <c r="L175" t="inlineStr">
        <is>
          <t>Filled</t>
        </is>
      </c>
      <c r="M175" t="inlineStr">
        <is>
          <t>Not stated on course page</t>
        </is>
      </c>
      <c r="N175" t="inlineStr"/>
      <c r="O175" t="n">
        <v>0</v>
      </c>
      <c r="P175" t="inlineStr"/>
      <c r="Q175" t="inlineStr">
        <is>
          <t>Filled</t>
        </is>
      </c>
      <c r="R175" t="n">
        <v>6.5</v>
      </c>
      <c r="S175" t="inlineStr">
        <is>
          <t>Central English policy</t>
        </is>
      </c>
      <c r="T175" t="inlineStr">
        <is>
          <t>Central rule applies (value agrees)</t>
        </is>
      </c>
      <c r="U175" t="inlineStr"/>
      <c r="V175" t="inlineStr">
        <is>
          <t>Not stated on course page</t>
        </is>
      </c>
      <c r="W175" t="inlineStr"/>
      <c r="X175" t="inlineStr"/>
      <c r="Y175" t="n">
        <v>2</v>
      </c>
      <c r="Z175" t="inlineStr">
        <is>
          <t>Yes</t>
        </is>
      </c>
      <c r="AA175" t="inlineStr">
        <is>
          <t>Not stated on course page</t>
        </is>
      </c>
      <c r="AB175" t="inlineStr"/>
      <c r="AC175" t="inlineStr">
        <is>
          <t>Skipped: the page does not state it</t>
        </is>
      </c>
      <c r="AD175" t="n">
        <v>0</v>
      </c>
      <c r="AE175" t="inlineStr"/>
      <c r="AF175" t="inlineStr"/>
      <c r="AG175" t="inlineStr"/>
      <c r="AH175" t="inlineStr">
        <is>
          <t>Yes</t>
        </is>
      </c>
      <c r="AI175" t="inlineStr"/>
      <c r="AJ175" t="inlineStr"/>
      <c r="AK175" t="inlineStr"/>
      <c r="AL175" t="inlineStr"/>
      <c r="AM175" t="inlineStr"/>
    </row>
    <row r="176">
      <c r="A176" t="inlineStr">
        <is>
          <t>093744A</t>
        </is>
      </c>
      <c r="B176" t="inlineStr">
        <is>
          <t>Bachelor of Science and Bachelor of Advanced Studies</t>
        </is>
      </c>
      <c r="C176" t="inlineStr">
        <is>
          <t>Bachelor</t>
        </is>
      </c>
      <c r="D176" t="inlineStr">
        <is>
          <t>Undergraduate</t>
        </is>
      </c>
      <c r="E176" t="inlineStr">
        <is>
          <t>Advertised: official page in place</t>
        </is>
      </c>
      <c r="F176" t="inlineStr">
        <is>
          <t>https://www.sydney.edu.au/courses/courses/uc/bachelor-of-science-and-bachelor-of-advanced-studies.html</t>
        </is>
      </c>
      <c r="G176" t="inlineStr">
        <is>
          <t>https://www.sydney.edu.au/courses/courses/uc/bachelor-of-science-and-bachelor-of-advanced-studies.html</t>
        </is>
      </c>
      <c r="H176" t="inlineStr">
        <is>
          <t>Read</t>
        </is>
      </c>
      <c r="I176" t="inlineStr">
        <is>
          <t>Exact title match</t>
        </is>
      </c>
      <c r="J176" t="inlineStr"/>
      <c r="K176" t="inlineStr">
        <is>
          <t>Not sent to re-link</t>
        </is>
      </c>
      <c r="L176" t="inlineStr">
        <is>
          <t>Filled</t>
        </is>
      </c>
      <c r="M176" t="inlineStr">
        <is>
          <t>Not stated on course page</t>
        </is>
      </c>
      <c r="N176" t="inlineStr"/>
      <c r="O176" t="n">
        <v>0</v>
      </c>
      <c r="P176" t="inlineStr"/>
      <c r="Q176" t="inlineStr">
        <is>
          <t>Filled</t>
        </is>
      </c>
      <c r="R176" t="n">
        <v>6.5</v>
      </c>
      <c r="S176" t="inlineStr">
        <is>
          <t>Central English policy</t>
        </is>
      </c>
      <c r="T176" t="inlineStr">
        <is>
          <t>Central rule applies (value agrees)</t>
        </is>
      </c>
      <c r="U176" t="inlineStr"/>
      <c r="V176" t="inlineStr">
        <is>
          <t>Not stated on course page</t>
        </is>
      </c>
      <c r="W176" t="inlineStr"/>
      <c r="X176" t="inlineStr"/>
      <c r="Y176" t="n">
        <v>2</v>
      </c>
      <c r="Z176" t="inlineStr">
        <is>
          <t>Yes</t>
        </is>
      </c>
      <c r="AA176" t="inlineStr">
        <is>
          <t>Filled</t>
        </is>
      </c>
      <c r="AB176" t="inlineStr">
        <is>
          <t>on campus</t>
        </is>
      </c>
      <c r="AC176" t="inlineStr"/>
      <c r="AD176" t="n">
        <v>0</v>
      </c>
      <c r="AE176" t="inlineStr"/>
      <c r="AF176" t="inlineStr"/>
      <c r="AG176" t="inlineStr"/>
      <c r="AH176" t="inlineStr">
        <is>
          <t>Yes</t>
        </is>
      </c>
      <c r="AI176" t="inlineStr"/>
      <c r="AJ176" t="inlineStr"/>
      <c r="AK176" t="inlineStr"/>
      <c r="AL176" t="inlineStr"/>
      <c r="AM176" t="inlineStr"/>
    </row>
    <row r="177">
      <c r="A177" t="inlineStr">
        <is>
          <t>0100162</t>
        </is>
      </c>
      <c r="B177" t="inlineStr">
        <is>
          <t>Bachelor of Science and Bachelor of Advanced Studies (Agriculture)</t>
        </is>
      </c>
      <c r="C177" t="inlineStr">
        <is>
          <t>Bachelor</t>
        </is>
      </c>
      <c r="D177" t="inlineStr">
        <is>
          <t>Undergraduate</t>
        </is>
      </c>
      <c r="E177" t="inlineStr">
        <is>
          <t>Page found, needs a rendered read</t>
        </is>
      </c>
      <c r="F177" t="inlineStr"/>
      <c r="G177" t="inlineStr">
        <is>
          <t>https://www.sydney.edu.au/courses/courses/uc/bachelor-of-science-and-bachelor-of-advanced-studies-agriculture.html</t>
        </is>
      </c>
      <c r="H177" t="inlineStr">
        <is>
          <t>Needs a rendered read</t>
        </is>
      </c>
      <c r="I177" t="inlineStr"/>
      <c r="J177" t="inlineStr"/>
      <c r="K177" t="inlineStr">
        <is>
          <t>Finished, no page: every candidate address was refused by the reader or did not</t>
        </is>
      </c>
      <c r="L177" t="inlineStr">
        <is>
          <t>Page found, being read</t>
        </is>
      </c>
      <c r="M177" t="inlineStr">
        <is>
          <t>Page found, being read</t>
        </is>
      </c>
      <c r="N177" t="inlineStr"/>
      <c r="O177" t="n">
        <v>0</v>
      </c>
      <c r="P177" t="inlineStr"/>
      <c r="Q177" t="inlineStr">
        <is>
          <t>Filled</t>
        </is>
      </c>
      <c r="R177" t="n">
        <v>6.5</v>
      </c>
      <c r="S177" t="inlineStr">
        <is>
          <t>Central English policy</t>
        </is>
      </c>
      <c r="T177" t="inlineStr">
        <is>
          <t>Central rule applies (value agrees)</t>
        </is>
      </c>
      <c r="U177" t="inlineStr"/>
      <c r="V177" t="inlineStr">
        <is>
          <t>Page found, being read</t>
        </is>
      </c>
      <c r="W177" t="inlineStr"/>
      <c r="X177" t="inlineStr"/>
      <c r="Y177" t="n">
        <v>0</v>
      </c>
      <c r="Z177" t="inlineStr">
        <is>
          <t>Yes</t>
        </is>
      </c>
      <c r="AA177" t="inlineStr">
        <is>
          <t>Not stated on course page</t>
        </is>
      </c>
      <c r="AB177" t="inlineStr"/>
      <c r="AC177" t="inlineStr">
        <is>
          <t>Skipped: no allowed source had a value</t>
        </is>
      </c>
      <c r="AD177" t="n">
        <v>1</v>
      </c>
      <c r="AE177" t="inlineStr">
        <is>
          <t>Yes</t>
        </is>
      </c>
      <c r="AF177" t="inlineStr"/>
      <c r="AG177" t="inlineStr"/>
      <c r="AH177" t="inlineStr"/>
      <c r="AI177" t="inlineStr"/>
      <c r="AJ177" t="inlineStr"/>
      <c r="AK177" t="inlineStr"/>
      <c r="AL177" t="inlineStr"/>
      <c r="AM177" t="inlineStr"/>
    </row>
    <row r="178">
      <c r="A178" t="inlineStr">
        <is>
          <t>0100160</t>
        </is>
      </c>
      <c r="B178" t="inlineStr">
        <is>
          <t>Bachelor of Science and Bachelor of Advanced Studies (Animal and Veterinary Bioscience)</t>
        </is>
      </c>
      <c r="C178" t="inlineStr">
        <is>
          <t>Bachelor</t>
        </is>
      </c>
      <c r="D178" t="inlineStr">
        <is>
          <t>Undergraduate</t>
        </is>
      </c>
      <c r="E178" t="inlineStr">
        <is>
          <t>Page read, not yet admitted</t>
        </is>
      </c>
      <c r="F178" t="inlineStr"/>
      <c r="G178" t="inlineStr">
        <is>
          <t>https://www.sydney.edu.au/courses/courses/uc/bachelor-of-science-and-bachelor-of-advanced-studies-animal-and-veterinary-bioscience.html</t>
        </is>
      </c>
      <c r="H178" t="inlineStr">
        <is>
          <t>Read</t>
        </is>
      </c>
      <c r="I178" t="inlineStr">
        <is>
          <t>Set by hand</t>
        </is>
      </c>
      <c r="J178" t="inlineStr"/>
      <c r="K178" t="inlineStr">
        <is>
          <t>Not sent to re-link</t>
        </is>
      </c>
      <c r="L178" t="inlineStr">
        <is>
          <t>Not stated on course page</t>
        </is>
      </c>
      <c r="M178" t="inlineStr">
        <is>
          <t>Not stated on course page</t>
        </is>
      </c>
      <c r="N178" t="inlineStr"/>
      <c r="O178" t="n">
        <v>0</v>
      </c>
      <c r="P178" t="inlineStr"/>
      <c r="Q178" t="inlineStr">
        <is>
          <t>Filled</t>
        </is>
      </c>
      <c r="R178" t="n">
        <v>6.5</v>
      </c>
      <c r="S178" t="inlineStr">
        <is>
          <t>Central English policy</t>
        </is>
      </c>
      <c r="T178" t="inlineStr">
        <is>
          <t>Central rule applies (value agrees)</t>
        </is>
      </c>
      <c r="U178" t="inlineStr"/>
      <c r="V178" t="inlineStr">
        <is>
          <t>Not stated on course page</t>
        </is>
      </c>
      <c r="W178" t="inlineStr"/>
      <c r="X178" t="inlineStr"/>
      <c r="Y178" t="n">
        <v>0</v>
      </c>
      <c r="Z178" t="inlineStr">
        <is>
          <t>Yes</t>
        </is>
      </c>
      <c r="AA178" t="inlineStr">
        <is>
          <t>Filled</t>
        </is>
      </c>
      <c r="AB178" t="inlineStr">
        <is>
          <t>on campus</t>
        </is>
      </c>
      <c r="AC178" t="inlineStr"/>
      <c r="AD178" t="n">
        <v>0</v>
      </c>
      <c r="AE178" t="inlineStr"/>
      <c r="AF178" t="inlineStr"/>
      <c r="AG178" t="inlineStr"/>
      <c r="AH178" t="inlineStr"/>
      <c r="AI178" t="inlineStr"/>
      <c r="AJ178" t="inlineStr"/>
      <c r="AK178" t="inlineStr"/>
      <c r="AL178" t="inlineStr"/>
      <c r="AM178" t="inlineStr"/>
    </row>
    <row r="179">
      <c r="A179" t="inlineStr">
        <is>
          <t>0100161</t>
        </is>
      </c>
      <c r="B179" t="inlineStr">
        <is>
          <t>Bachelor of Science and Bachelor of Advanced Studies (Food and Agribusiness)</t>
        </is>
      </c>
      <c r="C179" t="inlineStr">
        <is>
          <t>Bachelor</t>
        </is>
      </c>
      <c r="D179" t="inlineStr">
        <is>
          <t>Undergraduate</t>
        </is>
      </c>
      <c r="E179" t="inlineStr">
        <is>
          <t>Page found, needs a rendered read</t>
        </is>
      </c>
      <c r="F179" t="inlineStr"/>
      <c r="G179" t="inlineStr">
        <is>
          <t>https://www.sydney.edu.au/courses/courses/uc/bachelor-of-science-and-bachelor-of-advanced-studies-food-and-agribusiness.html</t>
        </is>
      </c>
      <c r="H179" t="inlineStr">
        <is>
          <t>Needs a rendered read</t>
        </is>
      </c>
      <c r="I179" t="inlineStr"/>
      <c r="J179" t="inlineStr"/>
      <c r="K179" t="inlineStr">
        <is>
          <t>Finished, no page: every candidate address was refused by the reader or did not</t>
        </is>
      </c>
      <c r="L179" t="inlineStr">
        <is>
          <t>Page found, being read</t>
        </is>
      </c>
      <c r="M179" t="inlineStr">
        <is>
          <t>Page found, being read</t>
        </is>
      </c>
      <c r="N179" t="inlineStr"/>
      <c r="O179" t="n">
        <v>0</v>
      </c>
      <c r="P179" t="inlineStr"/>
      <c r="Q179" t="inlineStr">
        <is>
          <t>Filled</t>
        </is>
      </c>
      <c r="R179" t="n">
        <v>6.5</v>
      </c>
      <c r="S179" t="inlineStr">
        <is>
          <t>Central English policy</t>
        </is>
      </c>
      <c r="T179" t="inlineStr">
        <is>
          <t>Central rule applies (value agrees)</t>
        </is>
      </c>
      <c r="U179" t="inlineStr"/>
      <c r="V179" t="inlineStr">
        <is>
          <t>Page found, being read</t>
        </is>
      </c>
      <c r="W179" t="inlineStr"/>
      <c r="X179" t="inlineStr"/>
      <c r="Y179" t="n">
        <v>0</v>
      </c>
      <c r="Z179" t="inlineStr">
        <is>
          <t>Yes</t>
        </is>
      </c>
      <c r="AA179" t="inlineStr">
        <is>
          <t>Not stated on course page</t>
        </is>
      </c>
      <c r="AB179" t="inlineStr"/>
      <c r="AC179" t="inlineStr">
        <is>
          <t>Skipped: the page does not state it</t>
        </is>
      </c>
      <c r="AD179" t="n">
        <v>0</v>
      </c>
      <c r="AE179" t="inlineStr">
        <is>
          <t>Yes</t>
        </is>
      </c>
      <c r="AF179" t="inlineStr"/>
      <c r="AG179" t="inlineStr"/>
      <c r="AH179" t="inlineStr"/>
      <c r="AI179" t="inlineStr"/>
      <c r="AJ179" t="inlineStr"/>
      <c r="AK179" t="inlineStr"/>
      <c r="AL179" t="inlineStr"/>
      <c r="AM179" t="inlineStr"/>
    </row>
    <row r="180">
      <c r="A180" t="inlineStr">
        <is>
          <t>115415K</t>
        </is>
      </c>
      <c r="B180" t="inlineStr">
        <is>
          <t>Bachelor of Science and Bachelor of Arts</t>
        </is>
      </c>
      <c r="C180" t="inlineStr">
        <is>
          <t>Bachelor</t>
        </is>
      </c>
      <c r="D180" t="inlineStr">
        <is>
          <t>Undergraduate</t>
        </is>
      </c>
      <c r="E180" t="inlineStr">
        <is>
          <t>Advertised: official page in place</t>
        </is>
      </c>
      <c r="F180" t="inlineStr">
        <is>
          <t>https://www.sydney.edu.au/courses/courses/uc/bachelor-of-science-and-bachelor-of-arts.html</t>
        </is>
      </c>
      <c r="G180" t="inlineStr">
        <is>
          <t>https://www.sydney.edu.au/courses/courses/uc/bachelor-of-science-and-bachelor-of-arts.html</t>
        </is>
      </c>
      <c r="H180" t="inlineStr">
        <is>
          <t>Read</t>
        </is>
      </c>
      <c r="I180" t="inlineStr">
        <is>
          <t>Exact title match</t>
        </is>
      </c>
      <c r="J180" t="inlineStr"/>
      <c r="K180" t="inlineStr">
        <is>
          <t>Not sent to re-link</t>
        </is>
      </c>
      <c r="L180" t="inlineStr">
        <is>
          <t>Filled</t>
        </is>
      </c>
      <c r="M180" t="inlineStr">
        <is>
          <t>Not stated on course page</t>
        </is>
      </c>
      <c r="N180" t="inlineStr"/>
      <c r="O180" t="n">
        <v>0</v>
      </c>
      <c r="P180" t="inlineStr"/>
      <c r="Q180" t="inlineStr">
        <is>
          <t>Filled</t>
        </is>
      </c>
      <c r="R180" t="n">
        <v>6.5</v>
      </c>
      <c r="S180" t="inlineStr">
        <is>
          <t>Central English policy</t>
        </is>
      </c>
      <c r="T180" t="inlineStr">
        <is>
          <t>Central rule applies (value agrees)</t>
        </is>
      </c>
      <c r="U180" t="inlineStr"/>
      <c r="V180" t="inlineStr">
        <is>
          <t>Not stated on course page</t>
        </is>
      </c>
      <c r="W180" t="inlineStr"/>
      <c r="X180" t="inlineStr"/>
      <c r="Y180" t="n">
        <v>2</v>
      </c>
      <c r="Z180" t="inlineStr">
        <is>
          <t>Yes</t>
        </is>
      </c>
      <c r="AA180" t="inlineStr">
        <is>
          <t>Filled</t>
        </is>
      </c>
      <c r="AB180" t="inlineStr">
        <is>
          <t>on campus</t>
        </is>
      </c>
      <c r="AC180" t="inlineStr"/>
      <c r="AD180" t="n">
        <v>0</v>
      </c>
      <c r="AE180" t="inlineStr"/>
      <c r="AF180" t="inlineStr"/>
      <c r="AG180" t="inlineStr"/>
      <c r="AH180" t="inlineStr">
        <is>
          <t>Yes</t>
        </is>
      </c>
      <c r="AI180" t="inlineStr"/>
      <c r="AJ180" t="inlineStr"/>
      <c r="AK180" t="inlineStr"/>
      <c r="AL180" t="inlineStr"/>
      <c r="AM180" t="inlineStr"/>
    </row>
    <row r="181">
      <c r="A181" t="inlineStr">
        <is>
          <t>085342G</t>
        </is>
      </c>
      <c r="B181" t="inlineStr">
        <is>
          <t>Bachelor of Science and Doctor of Dental Medicine</t>
        </is>
      </c>
      <c r="C181" t="inlineStr">
        <is>
          <t>Masters Degree (Coursework)</t>
        </is>
      </c>
      <c r="D181" t="inlineStr">
        <is>
          <t>Postgraduate coursework</t>
        </is>
      </c>
      <c r="E181" t="inlineStr">
        <is>
          <t>Advertised: official page in place</t>
        </is>
      </c>
      <c r="F181" t="inlineStr">
        <is>
          <t>https://www.sydney.edu.au/handbooks/science/coursework/science-dental/overview.html</t>
        </is>
      </c>
      <c r="G181" t="inlineStr">
        <is>
          <t>https://www.sydney.edu.au/handbooks/science/coursework/science-dental/overview.html</t>
        </is>
      </c>
      <c r="H181" t="inlineStr">
        <is>
          <t>Read</t>
        </is>
      </c>
      <c r="I181" t="inlineStr">
        <is>
          <t>Exact title match</t>
        </is>
      </c>
      <c r="J181" t="inlineStr"/>
      <c r="K181" t="inlineStr">
        <is>
          <t>Not sent to re-link</t>
        </is>
      </c>
      <c r="L181" t="inlineStr">
        <is>
          <t>Filled</t>
        </is>
      </c>
      <c r="M181" t="inlineStr">
        <is>
          <t>Not stated on course page</t>
        </is>
      </c>
      <c r="N181" t="inlineStr"/>
      <c r="O181" t="n">
        <v>0</v>
      </c>
      <c r="P181" t="inlineStr"/>
      <c r="Q181" t="inlineStr">
        <is>
          <t>Not stated on course page</t>
        </is>
      </c>
      <c r="S181" t="inlineStr"/>
      <c r="T181" t="inlineStr">
        <is>
          <t>Held: double degree (its parts are at different levels)</t>
        </is>
      </c>
      <c r="U181" t="inlineStr"/>
      <c r="V181" t="inlineStr">
        <is>
          <t>Not stated on course page</t>
        </is>
      </c>
      <c r="W181" t="inlineStr"/>
      <c r="X181" t="inlineStr"/>
      <c r="Y181" t="n">
        <v>0</v>
      </c>
      <c r="Z181" t="inlineStr">
        <is>
          <t>No</t>
        </is>
      </c>
      <c r="AA181" t="inlineStr">
        <is>
          <t>Not stated on course page</t>
        </is>
      </c>
      <c r="AB181" t="inlineStr"/>
      <c r="AC181" t="inlineStr">
        <is>
          <t>Skipped: the page does not state it</t>
        </is>
      </c>
      <c r="AD181" t="n">
        <v>0</v>
      </c>
      <c r="AE181" t="inlineStr"/>
      <c r="AF181" t="inlineStr"/>
      <c r="AG181" t="inlineStr"/>
      <c r="AH181" t="inlineStr"/>
      <c r="AI181" t="inlineStr">
        <is>
          <t>Yes</t>
        </is>
      </c>
      <c r="AJ181" t="inlineStr">
        <is>
          <t>Yes</t>
        </is>
      </c>
      <c r="AK181" t="inlineStr"/>
      <c r="AL181" t="inlineStr"/>
      <c r="AM181" t="inlineStr"/>
    </row>
    <row r="182">
      <c r="A182" t="inlineStr">
        <is>
          <t>079218G</t>
        </is>
      </c>
      <c r="B182" t="inlineStr">
        <is>
          <t>Bachelor of Science and Doctor of Medicine</t>
        </is>
      </c>
      <c r="C182" t="inlineStr">
        <is>
          <t>Masters Degree (Coursework)</t>
        </is>
      </c>
      <c r="D182" t="inlineStr">
        <is>
          <t>Postgraduate coursework</t>
        </is>
      </c>
      <c r="E182" t="inlineStr">
        <is>
          <t>Advertised: official page in place</t>
        </is>
      </c>
      <c r="F182" t="inlineStr">
        <is>
          <t>https://www.sydney.edu.au/courses/courses/uc/bachelor-of-science-and-doctor-of-medicine.html</t>
        </is>
      </c>
      <c r="G182" t="inlineStr">
        <is>
          <t>https://www.sydney.edu.au/courses/courses/uc/bachelor-of-science-and-doctor-of-medicine.html</t>
        </is>
      </c>
      <c r="H182" t="inlineStr">
        <is>
          <t>Read</t>
        </is>
      </c>
      <c r="I182" t="inlineStr">
        <is>
          <t>Exact title match</t>
        </is>
      </c>
      <c r="J182" t="inlineStr"/>
      <c r="K182" t="inlineStr">
        <is>
          <t>Not sent to re-link</t>
        </is>
      </c>
      <c r="L182" t="inlineStr">
        <is>
          <t>Filled</t>
        </is>
      </c>
      <c r="M182" t="inlineStr">
        <is>
          <t>Not stated on course page</t>
        </is>
      </c>
      <c r="N182" t="inlineStr"/>
      <c r="O182" t="n">
        <v>0</v>
      </c>
      <c r="P182" t="inlineStr"/>
      <c r="Q182" t="inlineStr">
        <is>
          <t>Not stated on course page</t>
        </is>
      </c>
      <c r="S182" t="inlineStr"/>
      <c r="T182" t="inlineStr">
        <is>
          <t>Held: double degree (its parts are at different levels)</t>
        </is>
      </c>
      <c r="U182" t="inlineStr"/>
      <c r="V182" t="inlineStr">
        <is>
          <t>Waiting for AI reading (Layer 3, now retired)</t>
        </is>
      </c>
      <c r="W182" t="inlineStr"/>
      <c r="X182" t="inlineStr"/>
      <c r="Y182" t="n">
        <v>0</v>
      </c>
      <c r="Z182" t="inlineStr">
        <is>
          <t>No</t>
        </is>
      </c>
      <c r="AA182" t="inlineStr">
        <is>
          <t>Filled</t>
        </is>
      </c>
      <c r="AB182" t="inlineStr">
        <is>
          <t>on campus</t>
        </is>
      </c>
      <c r="AC182" t="inlineStr"/>
      <c r="AD182" t="n">
        <v>0</v>
      </c>
      <c r="AE182" t="inlineStr"/>
      <c r="AF182" t="inlineStr"/>
      <c r="AG182" t="inlineStr">
        <is>
          <t>Yes</t>
        </is>
      </c>
      <c r="AH182" t="inlineStr"/>
      <c r="AI182" t="inlineStr">
        <is>
          <t>Yes</t>
        </is>
      </c>
      <c r="AJ182" t="inlineStr">
        <is>
          <t>Yes</t>
        </is>
      </c>
      <c r="AK182" t="inlineStr"/>
      <c r="AL182" t="inlineStr"/>
      <c r="AM182" t="inlineStr"/>
    </row>
    <row r="183">
      <c r="A183" t="inlineStr">
        <is>
          <t>097036G</t>
        </is>
      </c>
      <c r="B183" t="inlineStr">
        <is>
          <t>Bachelor of Science and Master of Mathematical Sciences</t>
        </is>
      </c>
      <c r="C183" t="inlineStr">
        <is>
          <t>Masters Degree (Coursework)</t>
        </is>
      </c>
      <c r="D183" t="inlineStr">
        <is>
          <t>Postgraduate coursework</t>
        </is>
      </c>
      <c r="E183" t="inlineStr">
        <is>
          <t>Advertised: official page in place</t>
        </is>
      </c>
      <c r="F183" t="inlineStr">
        <is>
          <t>https://www.sydney.edu.au/handbooks/archive/2025/science/coursework/science-mathematical-sciences.html</t>
        </is>
      </c>
      <c r="G183" t="inlineStr">
        <is>
          <t>https://www.sydney.edu.au/handbooks/archive/2025/science/coursework/science-mathematical-sciences.html</t>
        </is>
      </c>
      <c r="H183" t="inlineStr">
        <is>
          <t>Read</t>
        </is>
      </c>
      <c r="I183" t="inlineStr">
        <is>
          <t>Exact title match</t>
        </is>
      </c>
      <c r="J183" t="inlineStr"/>
      <c r="K183" t="inlineStr">
        <is>
          <t>Not sent to re-link</t>
        </is>
      </c>
      <c r="L183" t="inlineStr">
        <is>
          <t>Filled</t>
        </is>
      </c>
      <c r="M183" t="inlineStr">
        <is>
          <t>Not stated on course page</t>
        </is>
      </c>
      <c r="N183" t="inlineStr"/>
      <c r="O183" t="n">
        <v>0</v>
      </c>
      <c r="P183" t="inlineStr"/>
      <c r="Q183" t="inlineStr">
        <is>
          <t>Not stated on course page</t>
        </is>
      </c>
      <c r="S183" t="inlineStr"/>
      <c r="T183" t="inlineStr">
        <is>
          <t>Held: double degree (its parts are at different levels)</t>
        </is>
      </c>
      <c r="U183" t="inlineStr"/>
      <c r="V183" t="inlineStr">
        <is>
          <t>Not stated on course page</t>
        </is>
      </c>
      <c r="W183" t="inlineStr"/>
      <c r="X183" t="inlineStr"/>
      <c r="Y183" t="n">
        <v>0</v>
      </c>
      <c r="Z183" t="inlineStr">
        <is>
          <t>No</t>
        </is>
      </c>
      <c r="AA183" t="inlineStr">
        <is>
          <t>Not stated on course page</t>
        </is>
      </c>
      <c r="AB183" t="inlineStr"/>
      <c r="AC183" t="inlineStr">
        <is>
          <t>Skipped: the page does not state it</t>
        </is>
      </c>
      <c r="AD183" t="n">
        <v>0</v>
      </c>
      <c r="AE183" t="inlineStr"/>
      <c r="AF183" t="inlineStr"/>
      <c r="AG183" t="inlineStr"/>
      <c r="AH183" t="inlineStr"/>
      <c r="AI183" t="inlineStr">
        <is>
          <t>Yes</t>
        </is>
      </c>
      <c r="AJ183" t="inlineStr">
        <is>
          <t>Yes</t>
        </is>
      </c>
      <c r="AK183" t="inlineStr"/>
      <c r="AL183" t="inlineStr"/>
      <c r="AM183" t="inlineStr"/>
    </row>
    <row r="184">
      <c r="A184" t="inlineStr">
        <is>
          <t>117620M</t>
        </is>
      </c>
      <c r="B184" t="inlineStr">
        <is>
          <t>Bachelor of Science and Master of Nursing</t>
        </is>
      </c>
      <c r="C184" t="inlineStr">
        <is>
          <t>Masters Degree (Coursework)</t>
        </is>
      </c>
      <c r="D184" t="inlineStr">
        <is>
          <t>Postgraduate coursework</t>
        </is>
      </c>
      <c r="E184" t="inlineStr">
        <is>
          <t>Advertised: official page in place</t>
        </is>
      </c>
      <c r="F184" t="inlineStr">
        <is>
          <t>https://www.sydney.edu.au/courses/courses/uc/bachelor-of-science-and-master-of-nursing0.html</t>
        </is>
      </c>
      <c r="G184" t="inlineStr">
        <is>
          <t>https://www.sydney.edu.au/courses/courses/uc/bachelor-of-science-and-master-of-nursing0.html</t>
        </is>
      </c>
      <c r="H184" t="inlineStr">
        <is>
          <t>Read</t>
        </is>
      </c>
      <c r="I184" t="inlineStr">
        <is>
          <t>Exact title match</t>
        </is>
      </c>
      <c r="J184" t="inlineStr"/>
      <c r="K184" t="inlineStr">
        <is>
          <t>Not sent to re-link</t>
        </is>
      </c>
      <c r="L184" t="inlineStr">
        <is>
          <t>Filled</t>
        </is>
      </c>
      <c r="M184" t="inlineStr">
        <is>
          <t>Not stated on course page</t>
        </is>
      </c>
      <c r="N184" t="inlineStr"/>
      <c r="O184" t="n">
        <v>0</v>
      </c>
      <c r="P184" t="inlineStr"/>
      <c r="Q184" t="inlineStr">
        <is>
          <t>Not stated on course page</t>
        </is>
      </c>
      <c r="S184" t="inlineStr"/>
      <c r="T184" t="inlineStr">
        <is>
          <t>Held: double degree (its parts are at different levels)</t>
        </is>
      </c>
      <c r="U184" t="inlineStr"/>
      <c r="V184" t="inlineStr">
        <is>
          <t>Not stated on course page</t>
        </is>
      </c>
      <c r="W184" t="inlineStr"/>
      <c r="X184" t="inlineStr"/>
      <c r="Y184" t="n">
        <v>0</v>
      </c>
      <c r="Z184" t="inlineStr">
        <is>
          <t>No</t>
        </is>
      </c>
      <c r="AA184" t="inlineStr">
        <is>
          <t>Filled</t>
        </is>
      </c>
      <c r="AB184" t="inlineStr">
        <is>
          <t>on campus</t>
        </is>
      </c>
      <c r="AC184" t="inlineStr"/>
      <c r="AD184" t="n">
        <v>0</v>
      </c>
      <c r="AE184" t="inlineStr"/>
      <c r="AF184" t="inlineStr"/>
      <c r="AG184" t="inlineStr"/>
      <c r="AH184" t="inlineStr"/>
      <c r="AI184" t="inlineStr">
        <is>
          <t>Yes</t>
        </is>
      </c>
      <c r="AJ184" t="inlineStr">
        <is>
          <t>Yes</t>
        </is>
      </c>
      <c r="AK184" t="inlineStr"/>
      <c r="AL184" t="inlineStr"/>
      <c r="AM184" t="inlineStr"/>
    </row>
    <row r="185">
      <c r="A185" t="inlineStr">
        <is>
          <t>069880D</t>
        </is>
      </c>
      <c r="B185" t="inlineStr">
        <is>
          <t>Bachelor of Science and Master of Nursing</t>
        </is>
      </c>
      <c r="C185" t="inlineStr">
        <is>
          <t>Masters Degree (Coursework)</t>
        </is>
      </c>
      <c r="D185" t="inlineStr">
        <is>
          <t>Postgraduate coursework</t>
        </is>
      </c>
      <c r="E185" t="inlineStr">
        <is>
          <t>Advertised: official page in place</t>
        </is>
      </c>
      <c r="F185" t="inlineStr">
        <is>
          <t>https://www.sydney.edu.au/courses/courses/uc/bachelor-of-science-and-master-of-nursing0.html</t>
        </is>
      </c>
      <c r="G185" t="inlineStr">
        <is>
          <t>https://www.sydney.edu.au/courses/courses/uc/bachelor-of-science-and-master-of-nursing0.html</t>
        </is>
      </c>
      <c r="H185" t="inlineStr">
        <is>
          <t>Read</t>
        </is>
      </c>
      <c r="I185" t="inlineStr">
        <is>
          <t>Exact title match</t>
        </is>
      </c>
      <c r="J185" t="inlineStr"/>
      <c r="K185" t="inlineStr">
        <is>
          <t>Not sent to re-link</t>
        </is>
      </c>
      <c r="L185" t="inlineStr">
        <is>
          <t>Filled</t>
        </is>
      </c>
      <c r="M185" t="inlineStr">
        <is>
          <t>Not stated on course page</t>
        </is>
      </c>
      <c r="N185" t="inlineStr"/>
      <c r="O185" t="n">
        <v>0</v>
      </c>
      <c r="P185" t="inlineStr"/>
      <c r="Q185" t="inlineStr">
        <is>
          <t>Not stated on course page</t>
        </is>
      </c>
      <c r="S185" t="inlineStr"/>
      <c r="T185" t="inlineStr">
        <is>
          <t>Held: double degree (its parts are at different levels)</t>
        </is>
      </c>
      <c r="U185" t="inlineStr"/>
      <c r="V185" t="inlineStr">
        <is>
          <t>Not stated on course page</t>
        </is>
      </c>
      <c r="W185" t="inlineStr"/>
      <c r="X185" t="inlineStr"/>
      <c r="Y185" t="n">
        <v>0</v>
      </c>
      <c r="Z185" t="inlineStr">
        <is>
          <t>No</t>
        </is>
      </c>
      <c r="AA185" t="inlineStr">
        <is>
          <t>Filled</t>
        </is>
      </c>
      <c r="AB185" t="inlineStr">
        <is>
          <t>on campus</t>
        </is>
      </c>
      <c r="AC185" t="inlineStr"/>
      <c r="AD185" t="n">
        <v>0</v>
      </c>
      <c r="AE185" t="inlineStr"/>
      <c r="AF185" t="inlineStr"/>
      <c r="AG185" t="inlineStr"/>
      <c r="AH185" t="inlineStr"/>
      <c r="AI185" t="inlineStr">
        <is>
          <t>Yes</t>
        </is>
      </c>
      <c r="AJ185" t="inlineStr">
        <is>
          <t>Yes</t>
        </is>
      </c>
      <c r="AK185" t="inlineStr"/>
      <c r="AL185" t="inlineStr"/>
      <c r="AM185" t="inlineStr"/>
    </row>
    <row r="186">
      <c r="A186" t="inlineStr">
        <is>
          <t>069875A</t>
        </is>
      </c>
      <c r="B186" t="inlineStr">
        <is>
          <t>Bachelor of Science and Master of Nutrition and Dietetics</t>
        </is>
      </c>
      <c r="C186" t="inlineStr">
        <is>
          <t>Masters Degree (Coursework)</t>
        </is>
      </c>
      <c r="D186" t="inlineStr">
        <is>
          <t>Postgraduate coursework</t>
        </is>
      </c>
      <c r="E186" t="inlineStr">
        <is>
          <t>Advertised: official page in place</t>
        </is>
      </c>
      <c r="F186" t="inlineStr">
        <is>
          <t>https://www.sydney.edu.au/courses/courses/uc/bachelor-of-science-and-master-of-nutrition-and-dietetics.html</t>
        </is>
      </c>
      <c r="G186" t="inlineStr">
        <is>
          <t>https://www.sydney.edu.au/courses/courses/uc/bachelor-of-science-and-master-of-nutrition-and-dietetics.html</t>
        </is>
      </c>
      <c r="H186" t="inlineStr">
        <is>
          <t>Read</t>
        </is>
      </c>
      <c r="I186" t="inlineStr">
        <is>
          <t>Exact title match</t>
        </is>
      </c>
      <c r="J186" t="inlineStr"/>
      <c r="K186" t="inlineStr">
        <is>
          <t>Not sent to re-link</t>
        </is>
      </c>
      <c r="L186" t="inlineStr">
        <is>
          <t>Filled</t>
        </is>
      </c>
      <c r="M186" t="inlineStr">
        <is>
          <t>Not stated on course page</t>
        </is>
      </c>
      <c r="N186" t="inlineStr"/>
      <c r="O186" t="n">
        <v>0</v>
      </c>
      <c r="P186" t="inlineStr"/>
      <c r="Q186" t="inlineStr">
        <is>
          <t>Not stated on course page</t>
        </is>
      </c>
      <c r="S186" t="inlineStr"/>
      <c r="T186" t="inlineStr">
        <is>
          <t>Held: double degree (its parts are at different levels)</t>
        </is>
      </c>
      <c r="U186" t="inlineStr"/>
      <c r="V186" t="inlineStr">
        <is>
          <t>Not stated on course page</t>
        </is>
      </c>
      <c r="W186" t="inlineStr"/>
      <c r="X186" t="inlineStr"/>
      <c r="Y186" t="n">
        <v>0</v>
      </c>
      <c r="Z186" t="inlineStr">
        <is>
          <t>No</t>
        </is>
      </c>
      <c r="AA186" t="inlineStr">
        <is>
          <t>Filled</t>
        </is>
      </c>
      <c r="AB186" t="inlineStr">
        <is>
          <t>on campus</t>
        </is>
      </c>
      <c r="AC186" t="inlineStr"/>
      <c r="AD186" t="n">
        <v>0</v>
      </c>
      <c r="AE186" t="inlineStr"/>
      <c r="AF186" t="inlineStr"/>
      <c r="AG186" t="inlineStr"/>
      <c r="AH186" t="inlineStr"/>
      <c r="AI186" t="inlineStr">
        <is>
          <t>Yes</t>
        </is>
      </c>
      <c r="AJ186" t="inlineStr">
        <is>
          <t>Yes</t>
        </is>
      </c>
      <c r="AK186" t="inlineStr"/>
      <c r="AL186" t="inlineStr"/>
      <c r="AM186" t="inlineStr"/>
    </row>
    <row r="187">
      <c r="A187" t="inlineStr">
        <is>
          <t>000659A</t>
        </is>
      </c>
      <c r="B187" t="inlineStr">
        <is>
          <t>Bachelor of Science in Agriculture</t>
        </is>
      </c>
      <c r="C187" t="inlineStr">
        <is>
          <t>Bachelor</t>
        </is>
      </c>
      <c r="D187" t="inlineStr">
        <is>
          <t>Undergraduate</t>
        </is>
      </c>
      <c r="E187" t="inlineStr">
        <is>
          <t>Held: page found is for another course</t>
        </is>
      </c>
      <c r="F187" t="inlineStr"/>
      <c r="G187" t="inlineStr">
        <is>
          <t>https://rp-handbooks.sydney.edu.au/handbooks/archive/2011/agriculture/undergraduate/b_science_agriculture.shtml</t>
        </is>
      </c>
      <c r="H187" t="inlineStr">
        <is>
          <t>Not a course page</t>
        </is>
      </c>
      <c r="I187" t="inlineStr"/>
      <c r="J187" t="inlineStr"/>
      <c r="K187" t="inlineStr">
        <is>
          <t>Not sent to re-link</t>
        </is>
      </c>
      <c r="L187" t="inlineStr">
        <is>
          <t>Not stated on course page</t>
        </is>
      </c>
      <c r="M187" t="inlineStr">
        <is>
          <t>Not stated on course page</t>
        </is>
      </c>
      <c r="N187" t="inlineStr"/>
      <c r="O187" t="n">
        <v>0</v>
      </c>
      <c r="P187" t="inlineStr"/>
      <c r="Q187" t="inlineStr">
        <is>
          <t>Filled</t>
        </is>
      </c>
      <c r="R187" t="n">
        <v>6.5</v>
      </c>
      <c r="S187" t="inlineStr">
        <is>
          <t>Central English policy</t>
        </is>
      </c>
      <c r="T187" t="inlineStr">
        <is>
          <t>Central rule applies (value agrees)</t>
        </is>
      </c>
      <c r="U187" t="inlineStr"/>
      <c r="V187" t="inlineStr">
        <is>
          <t>Not stated on course page</t>
        </is>
      </c>
      <c r="W187" t="inlineStr"/>
      <c r="X187" t="inlineStr"/>
      <c r="Y187" t="n">
        <v>2</v>
      </c>
      <c r="Z187" t="inlineStr">
        <is>
          <t>Yes</t>
        </is>
      </c>
      <c r="AA187" t="inlineStr">
        <is>
          <t>Not stated on course page</t>
        </is>
      </c>
      <c r="AB187" t="inlineStr"/>
      <c r="AC187" t="inlineStr">
        <is>
          <t>Skipped: taken back: the page read was another course's page</t>
        </is>
      </c>
      <c r="AD187" t="n">
        <v>1</v>
      </c>
      <c r="AE187" t="inlineStr"/>
      <c r="AF187" t="inlineStr"/>
      <c r="AG187" t="inlineStr"/>
      <c r="AH187" t="inlineStr"/>
      <c r="AI187" t="inlineStr"/>
      <c r="AJ187" t="inlineStr"/>
      <c r="AK187" t="inlineStr"/>
      <c r="AL187" t="inlineStr"/>
      <c r="AM187" t="inlineStr"/>
    </row>
    <row r="188">
      <c r="A188" t="inlineStr">
        <is>
          <t>000706K</t>
        </is>
      </c>
      <c r="B188" t="inlineStr">
        <is>
          <t>Bachelor of Social Work</t>
        </is>
      </c>
      <c r="C188" t="inlineStr">
        <is>
          <t>Bachelor</t>
        </is>
      </c>
      <c r="D188" t="inlineStr">
        <is>
          <t>Undergraduate</t>
        </is>
      </c>
      <c r="E188" t="inlineStr">
        <is>
          <t>Advertised: official page in place</t>
        </is>
      </c>
      <c r="F188" t="inlineStr">
        <is>
          <t>https://www.sydney.edu.au/courses/courses/uc/bachelor-of-social-work0.html</t>
        </is>
      </c>
      <c r="G188" t="inlineStr">
        <is>
          <t>https://www.sydney.edu.au/courses/courses/uc/bachelor-of-social-work0.html</t>
        </is>
      </c>
      <c r="H188" t="inlineStr">
        <is>
          <t>Read</t>
        </is>
      </c>
      <c r="I188" t="inlineStr">
        <is>
          <t>Exact title match</t>
        </is>
      </c>
      <c r="J188" t="inlineStr"/>
      <c r="K188" t="inlineStr">
        <is>
          <t>Not sent to re-link</t>
        </is>
      </c>
      <c r="L188" t="inlineStr">
        <is>
          <t>Filled</t>
        </is>
      </c>
      <c r="M188" t="inlineStr">
        <is>
          <t>Not stated on course page</t>
        </is>
      </c>
      <c r="N188" t="inlineStr"/>
      <c r="O188" t="n">
        <v>0</v>
      </c>
      <c r="P188" t="inlineStr"/>
      <c r="Q188" t="inlineStr">
        <is>
          <t>Filled</t>
        </is>
      </c>
      <c r="R188" t="n">
        <v>6.5</v>
      </c>
      <c r="S188" t="inlineStr">
        <is>
          <t>Central English policy</t>
        </is>
      </c>
      <c r="T188" t="inlineStr">
        <is>
          <t>Central rule applies (value agrees)</t>
        </is>
      </c>
      <c r="U188" t="inlineStr"/>
      <c r="V188" t="inlineStr">
        <is>
          <t>Not stated on course page</t>
        </is>
      </c>
      <c r="W188" t="inlineStr"/>
      <c r="X188" t="inlineStr"/>
      <c r="Y188" t="n">
        <v>2</v>
      </c>
      <c r="Z188" t="inlineStr">
        <is>
          <t>Yes</t>
        </is>
      </c>
      <c r="AA188" t="inlineStr">
        <is>
          <t>Filled</t>
        </is>
      </c>
      <c r="AB188" t="inlineStr">
        <is>
          <t>on campus</t>
        </is>
      </c>
      <c r="AC188" t="inlineStr"/>
      <c r="AD188" t="n">
        <v>0</v>
      </c>
      <c r="AE188" t="inlineStr"/>
      <c r="AF188" t="inlineStr"/>
      <c r="AG188" t="inlineStr"/>
      <c r="AH188" t="inlineStr">
        <is>
          <t>Yes</t>
        </is>
      </c>
      <c r="AI188" t="inlineStr"/>
      <c r="AJ188" t="inlineStr"/>
      <c r="AK188" t="inlineStr"/>
      <c r="AL188" t="inlineStr"/>
      <c r="AM188" t="inlineStr"/>
    </row>
    <row r="189">
      <c r="A189" t="inlineStr">
        <is>
          <t>0101899</t>
        </is>
      </c>
      <c r="B189" t="inlineStr">
        <is>
          <t>Bachelor of Veterinary Biology (Exit Only)</t>
        </is>
      </c>
      <c r="C189" t="inlineStr">
        <is>
          <t>Bachelor</t>
        </is>
      </c>
      <c r="D189" t="inlineStr">
        <is>
          <t>Undergraduate</t>
        </is>
      </c>
      <c r="E189" t="inlineStr">
        <is>
          <t>Page address no longer works</t>
        </is>
      </c>
      <c r="F189" t="inlineStr"/>
      <c r="G189" t="inlineStr">
        <is>
          <t>https://www.sydney.edu.au/courses/courses/uc/bachelor-of-veterinary-biology-exit-only.html</t>
        </is>
      </c>
      <c r="H189" t="inlineStr">
        <is>
          <t>Address no longer works</t>
        </is>
      </c>
      <c r="I189" t="inlineStr"/>
      <c r="J189" t="inlineStr"/>
      <c r="K189" t="inlineStr">
        <is>
          <t>Finished, no page: every candidate address was refused by the reader or did not</t>
        </is>
      </c>
      <c r="L189" t="inlineStr">
        <is>
          <t>Page found, being read</t>
        </is>
      </c>
      <c r="M189" t="inlineStr">
        <is>
          <t>Page found, being read</t>
        </is>
      </c>
      <c r="N189" t="inlineStr"/>
      <c r="O189" t="n">
        <v>0</v>
      </c>
      <c r="P189" t="inlineStr"/>
      <c r="Q189" t="inlineStr">
        <is>
          <t>Filled</t>
        </is>
      </c>
      <c r="R189" t="n">
        <v>6.5</v>
      </c>
      <c r="S189" t="inlineStr">
        <is>
          <t>Central English policy</t>
        </is>
      </c>
      <c r="T189" t="inlineStr">
        <is>
          <t>Central rule applies (value agrees)</t>
        </is>
      </c>
      <c r="U189" t="inlineStr"/>
      <c r="V189" t="inlineStr">
        <is>
          <t>Page found, being read</t>
        </is>
      </c>
      <c r="W189" t="inlineStr"/>
      <c r="X189" t="inlineStr"/>
      <c r="Y189" t="n">
        <v>0</v>
      </c>
      <c r="Z189" t="inlineStr">
        <is>
          <t>Yes</t>
        </is>
      </c>
      <c r="AA189" t="inlineStr">
        <is>
          <t>Not stated on course page</t>
        </is>
      </c>
      <c r="AB189" t="inlineStr"/>
      <c r="AC189" t="inlineStr">
        <is>
          <t>Skipped: the page does not state it</t>
        </is>
      </c>
      <c r="AD189" t="n">
        <v>0</v>
      </c>
      <c r="AE189" t="inlineStr"/>
      <c r="AF189" t="inlineStr"/>
      <c r="AG189" t="inlineStr"/>
      <c r="AH189" t="inlineStr"/>
      <c r="AI189" t="inlineStr"/>
      <c r="AJ189" t="inlineStr"/>
      <c r="AK189" t="inlineStr"/>
      <c r="AL189" t="inlineStr"/>
      <c r="AM189" t="inlineStr"/>
    </row>
    <row r="190">
      <c r="A190" t="inlineStr">
        <is>
          <t>079223K</t>
        </is>
      </c>
      <c r="B190" t="inlineStr">
        <is>
          <t>Bachelor of Veterinary Biology (Hons)</t>
        </is>
      </c>
      <c r="C190" t="inlineStr">
        <is>
          <t>Bachelor Honours Degree</t>
        </is>
      </c>
      <c r="D190" t="inlineStr">
        <is>
          <t>Undergraduate</t>
        </is>
      </c>
      <c r="E190" t="inlineStr">
        <is>
          <t>Page address no longer works</t>
        </is>
      </c>
      <c r="F190" t="inlineStr"/>
      <c r="G190" t="inlineStr">
        <is>
          <t>https://www.sydney.edu.au/courses/courses/uc/bachelor-of-veterinary-biology-hons.html</t>
        </is>
      </c>
      <c r="H190" t="inlineStr">
        <is>
          <t>Address no longer works</t>
        </is>
      </c>
      <c r="I190" t="inlineStr"/>
      <c r="J190" t="inlineStr"/>
      <c r="K190" t="inlineStr">
        <is>
          <t>Finished, no page: every candidate address was refused by the reader or did not</t>
        </is>
      </c>
      <c r="L190" t="inlineStr">
        <is>
          <t>Page found, being read</t>
        </is>
      </c>
      <c r="M190" t="inlineStr">
        <is>
          <t>Page found, being read</t>
        </is>
      </c>
      <c r="N190" t="inlineStr"/>
      <c r="O190" t="n">
        <v>0</v>
      </c>
      <c r="P190" t="inlineStr"/>
      <c r="Q190" t="inlineStr">
        <is>
          <t>Filled</t>
        </is>
      </c>
      <c r="R190" t="n">
        <v>6.5</v>
      </c>
      <c r="S190" t="inlineStr">
        <is>
          <t>Central English policy</t>
        </is>
      </c>
      <c r="T190" t="inlineStr">
        <is>
          <t>Central rule applies (value agrees)</t>
        </is>
      </c>
      <c r="U190" t="inlineStr"/>
      <c r="V190" t="inlineStr">
        <is>
          <t>Page found, being read</t>
        </is>
      </c>
      <c r="W190" t="inlineStr"/>
      <c r="X190" t="inlineStr"/>
      <c r="Y190" t="n">
        <v>0</v>
      </c>
      <c r="Z190" t="inlineStr">
        <is>
          <t>Yes</t>
        </is>
      </c>
      <c r="AA190" t="inlineStr">
        <is>
          <t>Not stated on course page</t>
        </is>
      </c>
      <c r="AB190" t="inlineStr"/>
      <c r="AC190" t="inlineStr">
        <is>
          <t>Skipped: no allowed source had a value</t>
        </is>
      </c>
      <c r="AD190" t="n">
        <v>1</v>
      </c>
      <c r="AE190" t="inlineStr"/>
      <c r="AF190" t="inlineStr"/>
      <c r="AG190" t="inlineStr"/>
      <c r="AH190" t="inlineStr"/>
      <c r="AI190" t="inlineStr"/>
      <c r="AJ190" t="inlineStr"/>
      <c r="AK190" t="inlineStr"/>
      <c r="AL190" t="inlineStr"/>
      <c r="AM190" t="inlineStr"/>
    </row>
    <row r="191">
      <c r="A191" t="inlineStr">
        <is>
          <t>079222M</t>
        </is>
      </c>
      <c r="B191" t="inlineStr">
        <is>
          <t>Bachelor of Veterinary Biology/Doctor of Veterinary Medicine</t>
        </is>
      </c>
      <c r="C191" t="inlineStr">
        <is>
          <t>Masters Degree (Extended)</t>
        </is>
      </c>
      <c r="D191" t="inlineStr">
        <is>
          <t>Postgraduate coursework</t>
        </is>
      </c>
      <c r="E191" t="inlineStr">
        <is>
          <t>Page address no longer works</t>
        </is>
      </c>
      <c r="F191" t="inlineStr"/>
      <c r="G191" t="inlineStr">
        <is>
          <t>https://www.sydney.edu.au/courses/courses/pc/bachelor-of-veterinary-biology-doctor-of-veterinary-medicine.html</t>
        </is>
      </c>
      <c r="H191" t="inlineStr">
        <is>
          <t>Address no longer works</t>
        </is>
      </c>
      <c r="I191" t="inlineStr"/>
      <c r="J191" t="inlineStr"/>
      <c r="K191" t="inlineStr">
        <is>
          <t>Finished, no page: every candidate address was refused by the reader or did not</t>
        </is>
      </c>
      <c r="L191" t="inlineStr">
        <is>
          <t>Page found, being read</t>
        </is>
      </c>
      <c r="M191" t="inlineStr">
        <is>
          <t>Page found, being read</t>
        </is>
      </c>
      <c r="N191" t="inlineStr"/>
      <c r="O191" t="n">
        <v>0</v>
      </c>
      <c r="P191" t="inlineStr"/>
      <c r="Q191" t="inlineStr">
        <is>
          <t>Page found, being read</t>
        </is>
      </c>
      <c r="S191" t="inlineStr"/>
      <c r="T191" t="inlineStr">
        <is>
          <t>Held: double degree (its parts are at different levels)</t>
        </is>
      </c>
      <c r="U191" t="inlineStr"/>
      <c r="V191" t="inlineStr">
        <is>
          <t>Page found, being read</t>
        </is>
      </c>
      <c r="W191" t="inlineStr"/>
      <c r="X191" t="inlineStr"/>
      <c r="Y191" t="n">
        <v>0</v>
      </c>
      <c r="Z191" t="inlineStr">
        <is>
          <t>No</t>
        </is>
      </c>
      <c r="AA191" t="inlineStr">
        <is>
          <t>Not stated on course page</t>
        </is>
      </c>
      <c r="AB191" t="inlineStr"/>
      <c r="AC191" t="inlineStr">
        <is>
          <t>Skipped: no allowed source had a value</t>
        </is>
      </c>
      <c r="AD191" t="n">
        <v>1</v>
      </c>
      <c r="AE191" t="inlineStr"/>
      <c r="AF191" t="inlineStr"/>
      <c r="AG191" t="inlineStr"/>
      <c r="AH191" t="inlineStr"/>
      <c r="AI191" t="inlineStr"/>
      <c r="AJ191" t="inlineStr">
        <is>
          <t>Yes</t>
        </is>
      </c>
      <c r="AK191" t="inlineStr"/>
      <c r="AL191" t="inlineStr"/>
      <c r="AM191" t="inlineStr"/>
    </row>
    <row r="192">
      <c r="A192" t="inlineStr">
        <is>
          <t>000669K</t>
        </is>
      </c>
      <c r="B192" t="inlineStr">
        <is>
          <t>Bachelor of Veterinary Science</t>
        </is>
      </c>
      <c r="C192" t="inlineStr">
        <is>
          <t>Bachelor</t>
        </is>
      </c>
      <c r="D192" t="inlineStr">
        <is>
          <t>Undergraduate</t>
        </is>
      </c>
      <c r="E192" t="inlineStr">
        <is>
          <t>Page address no longer works</t>
        </is>
      </c>
      <c r="F192" t="inlineStr"/>
      <c r="G192" t="inlineStr">
        <is>
          <t>https://www.sydney.edu.au/courses/courses/uc/bachelor-of-veterinary-science.html</t>
        </is>
      </c>
      <c r="H192" t="inlineStr">
        <is>
          <t>Address no longer works</t>
        </is>
      </c>
      <c r="I192" t="inlineStr"/>
      <c r="J192" t="inlineStr"/>
      <c r="K192" t="inlineStr">
        <is>
          <t>Finished, no page: every candidate address was refused by the reader or did not</t>
        </is>
      </c>
      <c r="L192" t="inlineStr">
        <is>
          <t>Page found, being read</t>
        </is>
      </c>
      <c r="M192" t="inlineStr">
        <is>
          <t>Page found, being read</t>
        </is>
      </c>
      <c r="N192" t="inlineStr"/>
      <c r="O192" t="n">
        <v>0</v>
      </c>
      <c r="P192" t="inlineStr"/>
      <c r="Q192" t="inlineStr">
        <is>
          <t>Filled</t>
        </is>
      </c>
      <c r="R192" t="n">
        <v>6.5</v>
      </c>
      <c r="S192" t="inlineStr">
        <is>
          <t>Central English policy</t>
        </is>
      </c>
      <c r="T192" t="inlineStr">
        <is>
          <t>Central rule applies (value agrees)</t>
        </is>
      </c>
      <c r="U192" t="inlineStr"/>
      <c r="V192" t="inlineStr">
        <is>
          <t>Page found, being read</t>
        </is>
      </c>
      <c r="W192" t="inlineStr"/>
      <c r="X192" t="inlineStr"/>
      <c r="Y192" t="n">
        <v>0</v>
      </c>
      <c r="Z192" t="inlineStr">
        <is>
          <t>Yes</t>
        </is>
      </c>
      <c r="AA192" t="inlineStr">
        <is>
          <t>Not stated on course page</t>
        </is>
      </c>
      <c r="AB192" t="inlineStr"/>
      <c r="AC192" t="inlineStr">
        <is>
          <t>Skipped: the page does not state it</t>
        </is>
      </c>
      <c r="AD192" t="n">
        <v>0</v>
      </c>
      <c r="AE192" t="inlineStr"/>
      <c r="AF192" t="inlineStr"/>
      <c r="AG192" t="inlineStr"/>
      <c r="AH192" t="inlineStr"/>
      <c r="AI192" t="inlineStr"/>
      <c r="AJ192" t="inlineStr"/>
      <c r="AK192" t="inlineStr"/>
      <c r="AL192" t="inlineStr"/>
      <c r="AM192" t="inlineStr"/>
    </row>
    <row r="193">
      <c r="A193" t="inlineStr">
        <is>
          <t>008451G</t>
        </is>
      </c>
      <c r="B193" t="inlineStr">
        <is>
          <t>Bachelor of Visual Arts</t>
        </is>
      </c>
      <c r="C193" t="inlineStr">
        <is>
          <t>Bachelor</t>
        </is>
      </c>
      <c r="D193" t="inlineStr">
        <is>
          <t>Undergraduate</t>
        </is>
      </c>
      <c r="E193" t="inlineStr">
        <is>
          <t>Advertised: official page in place</t>
        </is>
      </c>
      <c r="F193" t="inlineStr">
        <is>
          <t>https://www.sydney.edu.au/courses/courses/uc/bachelor-of-visual-arts.html</t>
        </is>
      </c>
      <c r="G193" t="inlineStr">
        <is>
          <t>https://www.sydney.edu.au/courses/courses/uc/bachelor-of-visual-arts.html</t>
        </is>
      </c>
      <c r="H193" t="inlineStr">
        <is>
          <t>Read</t>
        </is>
      </c>
      <c r="I193" t="inlineStr">
        <is>
          <t>Exact title match</t>
        </is>
      </c>
      <c r="J193" t="inlineStr"/>
      <c r="K193" t="inlineStr">
        <is>
          <t>Not sent to re-link</t>
        </is>
      </c>
      <c r="L193" t="inlineStr">
        <is>
          <t>Filled</t>
        </is>
      </c>
      <c r="M193" t="inlineStr">
        <is>
          <t>Not stated on course page</t>
        </is>
      </c>
      <c r="N193" t="inlineStr"/>
      <c r="O193" t="n">
        <v>0</v>
      </c>
      <c r="P193" t="inlineStr"/>
      <c r="Q193" t="inlineStr">
        <is>
          <t>Filled</t>
        </is>
      </c>
      <c r="R193" t="n">
        <v>6.5</v>
      </c>
      <c r="S193" t="inlineStr">
        <is>
          <t>Central English policy</t>
        </is>
      </c>
      <c r="T193" t="inlineStr">
        <is>
          <t>Central rule applies (value agrees)</t>
        </is>
      </c>
      <c r="U193" t="inlineStr"/>
      <c r="V193" t="inlineStr">
        <is>
          <t>Not stated on course page</t>
        </is>
      </c>
      <c r="W193" t="inlineStr"/>
      <c r="X193" t="inlineStr"/>
      <c r="Y193" t="n">
        <v>2</v>
      </c>
      <c r="Z193" t="inlineStr">
        <is>
          <t>Yes</t>
        </is>
      </c>
      <c r="AA193" t="inlineStr">
        <is>
          <t>Filled</t>
        </is>
      </c>
      <c r="AB193" t="inlineStr">
        <is>
          <t>on campus</t>
        </is>
      </c>
      <c r="AC193" t="inlineStr"/>
      <c r="AD193" t="n">
        <v>0</v>
      </c>
      <c r="AE193" t="inlineStr"/>
      <c r="AF193" t="inlineStr"/>
      <c r="AG193" t="inlineStr"/>
      <c r="AH193" t="inlineStr">
        <is>
          <t>Yes</t>
        </is>
      </c>
      <c r="AI193" t="inlineStr"/>
      <c r="AJ193" t="inlineStr"/>
      <c r="AK193" t="inlineStr"/>
      <c r="AL193" t="inlineStr"/>
      <c r="AM193" t="inlineStr"/>
    </row>
    <row r="194">
      <c r="A194" t="inlineStr">
        <is>
          <t>059186J</t>
        </is>
      </c>
      <c r="B194" t="inlineStr">
        <is>
          <t>Bachelor of Visual Arts (Honours)</t>
        </is>
      </c>
      <c r="C194" t="inlineStr">
        <is>
          <t>Bachelor Honours Degree</t>
        </is>
      </c>
      <c r="D194" t="inlineStr">
        <is>
          <t>Undergraduate</t>
        </is>
      </c>
      <c r="E194" t="inlineStr">
        <is>
          <t>Advertised: official page in place</t>
        </is>
      </c>
      <c r="F194" t="inlineStr">
        <is>
          <t>https://www.sydney.edu.au/courses/courses/uc/bachelor-of-visual-arts-honours.html</t>
        </is>
      </c>
      <c r="G194" t="inlineStr">
        <is>
          <t>https://www.sydney.edu.au/courses/courses/uc/bachelor-of-visual-arts-honours.html</t>
        </is>
      </c>
      <c r="H194" t="inlineStr">
        <is>
          <t>Read</t>
        </is>
      </c>
      <c r="I194" t="inlineStr">
        <is>
          <t>Exact title match</t>
        </is>
      </c>
      <c r="J194" t="inlineStr"/>
      <c r="K194" t="inlineStr">
        <is>
          <t>Not sent to re-link</t>
        </is>
      </c>
      <c r="L194" t="inlineStr">
        <is>
          <t>Filled</t>
        </is>
      </c>
      <c r="M194" t="inlineStr">
        <is>
          <t>Not stated on course page</t>
        </is>
      </c>
      <c r="N194" t="inlineStr"/>
      <c r="O194" t="n">
        <v>0</v>
      </c>
      <c r="P194" t="inlineStr"/>
      <c r="Q194" t="inlineStr">
        <is>
          <t>Filled</t>
        </is>
      </c>
      <c r="R194" t="n">
        <v>6.5</v>
      </c>
      <c r="S194" t="inlineStr">
        <is>
          <t>Central English policy</t>
        </is>
      </c>
      <c r="T194" t="inlineStr">
        <is>
          <t>Central rule applies (value agrees)</t>
        </is>
      </c>
      <c r="U194" t="inlineStr"/>
      <c r="V194" t="inlineStr">
        <is>
          <t>Filled</t>
        </is>
      </c>
      <c r="W194" t="inlineStr">
        <is>
          <t>February</t>
        </is>
      </c>
      <c r="X194" t="inlineStr">
        <is>
          <t>Other</t>
        </is>
      </c>
      <c r="Y194" t="n">
        <v>0</v>
      </c>
      <c r="Z194" t="inlineStr">
        <is>
          <t>Yes</t>
        </is>
      </c>
      <c r="AA194" t="inlineStr">
        <is>
          <t>Filled</t>
        </is>
      </c>
      <c r="AB194" t="inlineStr">
        <is>
          <t>on campus</t>
        </is>
      </c>
      <c r="AC194" t="inlineStr"/>
      <c r="AD194" t="n">
        <v>0</v>
      </c>
      <c r="AE194" t="inlineStr"/>
      <c r="AF194" t="inlineStr"/>
      <c r="AG194" t="inlineStr"/>
      <c r="AH194" t="inlineStr"/>
      <c r="AI194" t="inlineStr"/>
      <c r="AJ194" t="inlineStr"/>
      <c r="AK194" t="inlineStr"/>
      <c r="AL194" t="inlineStr"/>
      <c r="AM194" t="inlineStr"/>
    </row>
    <row r="195">
      <c r="A195" t="inlineStr">
        <is>
          <t>094170D</t>
        </is>
      </c>
      <c r="B195" t="inlineStr">
        <is>
          <t>Bachelor of Visual Arts and Bachelor of Advanced Studies</t>
        </is>
      </c>
      <c r="C195" t="inlineStr">
        <is>
          <t>Bachelor</t>
        </is>
      </c>
      <c r="D195" t="inlineStr">
        <is>
          <t>Undergraduate</t>
        </is>
      </c>
      <c r="E195" t="inlineStr">
        <is>
          <t>Advertised: official page in place</t>
        </is>
      </c>
      <c r="F195" t="inlineStr">
        <is>
          <t>https://www.sydney.edu.au/courses/courses/uc/bachelor-of-visual-arts-and-bachelor-of-advanced-studies.html</t>
        </is>
      </c>
      <c r="G195" t="inlineStr">
        <is>
          <t>https://www.sydney.edu.au/courses/courses/uc/bachelor-of-visual-arts-and-bachelor-of-advanced-studies.html</t>
        </is>
      </c>
      <c r="H195" t="inlineStr">
        <is>
          <t>Read</t>
        </is>
      </c>
      <c r="I195" t="inlineStr">
        <is>
          <t>Exact title match</t>
        </is>
      </c>
      <c r="J195" t="inlineStr"/>
      <c r="K195" t="inlineStr">
        <is>
          <t>Not sent to re-link</t>
        </is>
      </c>
      <c r="L195" t="inlineStr">
        <is>
          <t>Filled</t>
        </is>
      </c>
      <c r="M195" t="inlineStr">
        <is>
          <t>Not stated on course page</t>
        </is>
      </c>
      <c r="N195" t="inlineStr"/>
      <c r="O195" t="n">
        <v>0</v>
      </c>
      <c r="P195" t="inlineStr"/>
      <c r="Q195" t="inlineStr">
        <is>
          <t>Filled</t>
        </is>
      </c>
      <c r="R195" t="n">
        <v>6.5</v>
      </c>
      <c r="S195" t="inlineStr">
        <is>
          <t>Central English policy</t>
        </is>
      </c>
      <c r="T195" t="inlineStr">
        <is>
          <t>Central rule applies (value agrees)</t>
        </is>
      </c>
      <c r="U195" t="inlineStr"/>
      <c r="V195" t="inlineStr">
        <is>
          <t>Not stated on course page</t>
        </is>
      </c>
      <c r="W195" t="inlineStr"/>
      <c r="X195" t="inlineStr"/>
      <c r="Y195" t="n">
        <v>2</v>
      </c>
      <c r="Z195" t="inlineStr">
        <is>
          <t>Yes</t>
        </is>
      </c>
      <c r="AA195" t="inlineStr">
        <is>
          <t>Filled</t>
        </is>
      </c>
      <c r="AB195" t="inlineStr">
        <is>
          <t>on campus</t>
        </is>
      </c>
      <c r="AC195" t="inlineStr"/>
      <c r="AD195" t="n">
        <v>0</v>
      </c>
      <c r="AE195" t="inlineStr"/>
      <c r="AF195" t="inlineStr"/>
      <c r="AG195" t="inlineStr"/>
      <c r="AH195" t="inlineStr">
        <is>
          <t>Yes</t>
        </is>
      </c>
      <c r="AI195" t="inlineStr"/>
      <c r="AJ195" t="inlineStr"/>
      <c r="AK195" t="inlineStr"/>
      <c r="AL195" t="inlineStr"/>
      <c r="AM195" t="inlineStr"/>
    </row>
    <row r="196">
      <c r="A196" t="inlineStr">
        <is>
          <t>116444H</t>
        </is>
      </c>
      <c r="B196" t="inlineStr">
        <is>
          <t>Bachelor of Wildlife Conservation (Taronga)</t>
        </is>
      </c>
      <c r="C196" t="inlineStr">
        <is>
          <t>Bachelor</t>
        </is>
      </c>
      <c r="D196" t="inlineStr">
        <is>
          <t>Undergraduate</t>
        </is>
      </c>
      <c r="E196" t="inlineStr">
        <is>
          <t>Advertised: official page in place</t>
        </is>
      </c>
      <c r="F196" t="inlineStr">
        <is>
          <t>https://www.sydney.edu.au/courses/courses/uc/bachelor-of-wildlife-conservation-taronga.html</t>
        </is>
      </c>
      <c r="G196" t="inlineStr">
        <is>
          <t>https://www.sydney.edu.au/courses/courses/uc/bachelor-of-wildlife-conservation-taronga.html</t>
        </is>
      </c>
      <c r="H196" t="inlineStr">
        <is>
          <t>Read</t>
        </is>
      </c>
      <c r="I196" t="inlineStr">
        <is>
          <t>Exact title match</t>
        </is>
      </c>
      <c r="J196" t="inlineStr"/>
      <c r="K196" t="inlineStr">
        <is>
          <t>Not sent to re-link</t>
        </is>
      </c>
      <c r="L196" t="inlineStr">
        <is>
          <t>Filled</t>
        </is>
      </c>
      <c r="M196" t="inlineStr">
        <is>
          <t>Not stated on course page</t>
        </is>
      </c>
      <c r="N196" t="inlineStr"/>
      <c r="O196" t="n">
        <v>0</v>
      </c>
      <c r="P196" t="inlineStr"/>
      <c r="Q196" t="inlineStr">
        <is>
          <t>Filled</t>
        </is>
      </c>
      <c r="R196" t="n">
        <v>6.5</v>
      </c>
      <c r="S196" t="inlineStr">
        <is>
          <t>Central English policy</t>
        </is>
      </c>
      <c r="T196" t="inlineStr">
        <is>
          <t>Central rule applies (value agrees)</t>
        </is>
      </c>
      <c r="U196" t="inlineStr"/>
      <c r="V196" t="inlineStr">
        <is>
          <t>Not stated on course page</t>
        </is>
      </c>
      <c r="W196" t="inlineStr"/>
      <c r="X196" t="inlineStr"/>
      <c r="Y196" t="n">
        <v>2</v>
      </c>
      <c r="Z196" t="inlineStr">
        <is>
          <t>Yes</t>
        </is>
      </c>
      <c r="AA196" t="inlineStr">
        <is>
          <t>Filled</t>
        </is>
      </c>
      <c r="AB196" t="inlineStr">
        <is>
          <t>on campus</t>
        </is>
      </c>
      <c r="AC196" t="inlineStr"/>
      <c r="AD196" t="n">
        <v>0</v>
      </c>
      <c r="AE196" t="inlineStr"/>
      <c r="AF196" t="inlineStr"/>
      <c r="AG196" t="inlineStr"/>
      <c r="AH196" t="inlineStr">
        <is>
          <t>Yes</t>
        </is>
      </c>
      <c r="AI196" t="inlineStr"/>
      <c r="AJ196" t="inlineStr"/>
      <c r="AK196" t="inlineStr"/>
      <c r="AL196" t="inlineStr"/>
      <c r="AM196" t="inlineStr"/>
    </row>
    <row r="197">
      <c r="A197" t="inlineStr">
        <is>
          <t>116445G</t>
        </is>
      </c>
      <c r="B197" t="inlineStr">
        <is>
          <t>Bachelor of Wildlife Conservation (Taronga) (Honours)</t>
        </is>
      </c>
      <c r="C197" t="inlineStr">
        <is>
          <t>Bachelor Honours Degree</t>
        </is>
      </c>
      <c r="D197" t="inlineStr">
        <is>
          <t>Undergraduate</t>
        </is>
      </c>
      <c r="E197" t="inlineStr">
        <is>
          <t>Advertised: official page in place</t>
        </is>
      </c>
      <c r="F197" t="inlineStr">
        <is>
          <t>https://www.sydney.edu.au/courses/courses/uc/bachelor-of-wildlife-conservation-taronga-honours.html</t>
        </is>
      </c>
      <c r="G197" t="inlineStr">
        <is>
          <t>https://www.sydney.edu.au/courses/courses/uc/bachelor-of-wildlife-conservation-taronga-honours.html</t>
        </is>
      </c>
      <c r="H197" t="inlineStr">
        <is>
          <t>Read</t>
        </is>
      </c>
      <c r="I197" t="inlineStr">
        <is>
          <t>Exact title match</t>
        </is>
      </c>
      <c r="J197" t="inlineStr"/>
      <c r="K197" t="inlineStr">
        <is>
          <t>Not sent to re-link</t>
        </is>
      </c>
      <c r="L197" t="inlineStr">
        <is>
          <t>Filled</t>
        </is>
      </c>
      <c r="M197" t="inlineStr">
        <is>
          <t>Not stated on course page</t>
        </is>
      </c>
      <c r="N197" t="inlineStr"/>
      <c r="O197" t="n">
        <v>0</v>
      </c>
      <c r="P197" t="inlineStr"/>
      <c r="Q197" t="inlineStr">
        <is>
          <t>Filled</t>
        </is>
      </c>
      <c r="R197" t="n">
        <v>6.5</v>
      </c>
      <c r="S197" t="inlineStr">
        <is>
          <t>Central English policy</t>
        </is>
      </c>
      <c r="T197" t="inlineStr">
        <is>
          <t>Central rule applies (value agrees)</t>
        </is>
      </c>
      <c r="U197" t="inlineStr"/>
      <c r="V197" t="inlineStr">
        <is>
          <t>Not stated on course page</t>
        </is>
      </c>
      <c r="W197" t="inlineStr"/>
      <c r="X197" t="inlineStr"/>
      <c r="Y197" t="n">
        <v>2</v>
      </c>
      <c r="Z197" t="inlineStr">
        <is>
          <t>Yes</t>
        </is>
      </c>
      <c r="AA197" t="inlineStr">
        <is>
          <t>Filled</t>
        </is>
      </c>
      <c r="AB197" t="inlineStr">
        <is>
          <t>on campus</t>
        </is>
      </c>
      <c r="AC197" t="inlineStr"/>
      <c r="AD197" t="n">
        <v>0</v>
      </c>
      <c r="AE197" t="inlineStr"/>
      <c r="AF197" t="inlineStr"/>
      <c r="AG197" t="inlineStr"/>
      <c r="AH197" t="inlineStr">
        <is>
          <t>Yes</t>
        </is>
      </c>
      <c r="AI197" t="inlineStr"/>
      <c r="AJ197" t="inlineStr"/>
      <c r="AK197" t="inlineStr"/>
      <c r="AL197" t="inlineStr"/>
      <c r="AM197" t="inlineStr"/>
    </row>
    <row r="198">
      <c r="A198" t="inlineStr">
        <is>
          <t>002460M</t>
        </is>
      </c>
      <c r="B198" t="inlineStr">
        <is>
          <t>Conservatorium Preparatory Course</t>
        </is>
      </c>
      <c r="C198" t="inlineStr">
        <is>
          <t>Non AQF Award</t>
        </is>
      </c>
      <c r="D198" t="inlineStr">
        <is>
          <t>Non-award</t>
        </is>
      </c>
      <c r="E198" t="inlineStr">
        <is>
          <t>Page address no longer works</t>
        </is>
      </c>
      <c r="F198" t="inlineStr"/>
      <c r="G198" t="inlineStr">
        <is>
          <t>https://www.sydney.edu.au/courses/courses/pc/conservatorium-preparatory-course.html</t>
        </is>
      </c>
      <c r="H198" t="inlineStr">
        <is>
          <t>Address no longer works</t>
        </is>
      </c>
      <c r="I198" t="inlineStr"/>
      <c r="J198" t="inlineStr"/>
      <c r="K198" t="inlineStr">
        <is>
          <t>Finished, no page: every candidate address was refused by the reader or did not</t>
        </is>
      </c>
      <c r="L198" t="inlineStr">
        <is>
          <t>Page found, being read</t>
        </is>
      </c>
      <c r="M198" t="inlineStr">
        <is>
          <t>Page found, being read</t>
        </is>
      </c>
      <c r="N198" t="inlineStr"/>
      <c r="O198" t="n">
        <v>0</v>
      </c>
      <c r="P198" t="inlineStr"/>
      <c r="Q198" t="inlineStr">
        <is>
          <t>Page found, being read</t>
        </is>
      </c>
      <c r="S198" t="inlineStr"/>
      <c r="T198" t="inlineStr">
        <is>
          <t>Held: level not covered by the policy default</t>
        </is>
      </c>
      <c r="U198" t="inlineStr"/>
      <c r="V198" t="inlineStr">
        <is>
          <t>Page found, being read</t>
        </is>
      </c>
      <c r="W198" t="inlineStr"/>
      <c r="X198" t="inlineStr"/>
      <c r="Y198" t="n">
        <v>0</v>
      </c>
      <c r="Z198" t="inlineStr">
        <is>
          <t>No</t>
        </is>
      </c>
      <c r="AA198" t="inlineStr">
        <is>
          <t>Not stated on course page</t>
        </is>
      </c>
      <c r="AB198" t="inlineStr"/>
      <c r="AC198" t="inlineStr">
        <is>
          <t>Skipped: no allowed source had a value</t>
        </is>
      </c>
      <c r="AD198" t="n">
        <v>1</v>
      </c>
      <c r="AE198" t="inlineStr"/>
      <c r="AF198" t="inlineStr"/>
      <c r="AG198" t="inlineStr"/>
      <c r="AH198" t="inlineStr"/>
      <c r="AI198" t="inlineStr"/>
      <c r="AJ198" t="inlineStr">
        <is>
          <t>Yes</t>
        </is>
      </c>
      <c r="AK198" t="inlineStr"/>
      <c r="AL198" t="inlineStr"/>
      <c r="AM198" t="inlineStr"/>
    </row>
    <row r="199">
      <c r="A199" t="inlineStr">
        <is>
          <t>007446B</t>
        </is>
      </c>
      <c r="B199" t="inlineStr">
        <is>
          <t>Diploma of Music</t>
        </is>
      </c>
      <c r="C199" t="inlineStr">
        <is>
          <t>Diploma</t>
        </is>
      </c>
      <c r="D199" t="inlineStr">
        <is>
          <t>Diploma</t>
        </is>
      </c>
      <c r="E199" t="inlineStr">
        <is>
          <t>Advertised: official page in place</t>
        </is>
      </c>
      <c r="F199" t="inlineStr">
        <is>
          <t>https://www.sydney.edu.au/courses/courses/uc/diploma-of-music.html</t>
        </is>
      </c>
      <c r="G199" t="inlineStr">
        <is>
          <t>https://www.sydney.edu.au/courses/courses/uc/diploma-of-music.html</t>
        </is>
      </c>
      <c r="H199" t="inlineStr">
        <is>
          <t>Read</t>
        </is>
      </c>
      <c r="I199" t="inlineStr">
        <is>
          <t>Exact title match</t>
        </is>
      </c>
      <c r="J199" t="inlineStr"/>
      <c r="K199" t="inlineStr">
        <is>
          <t>Not sent to re-link</t>
        </is>
      </c>
      <c r="L199" t="inlineStr">
        <is>
          <t>Filled</t>
        </is>
      </c>
      <c r="M199" t="inlineStr">
        <is>
          <t>Not stated on course page</t>
        </is>
      </c>
      <c r="N199" t="inlineStr"/>
      <c r="O199" t="n">
        <v>0</v>
      </c>
      <c r="P199" t="inlineStr"/>
      <c r="Q199" t="inlineStr">
        <is>
          <t>Not stated on course page</t>
        </is>
      </c>
      <c r="S199" t="inlineStr"/>
      <c r="T199" t="inlineStr">
        <is>
          <t>Held: level not covered by the policy default</t>
        </is>
      </c>
      <c r="U199" t="inlineStr"/>
      <c r="V199" t="inlineStr">
        <is>
          <t>Not stated on course page</t>
        </is>
      </c>
      <c r="W199" t="inlineStr"/>
      <c r="X199" t="inlineStr"/>
      <c r="Y199" t="n">
        <v>2</v>
      </c>
      <c r="Z199" t="inlineStr">
        <is>
          <t>Yes</t>
        </is>
      </c>
      <c r="AA199" t="inlineStr">
        <is>
          <t>Filled</t>
        </is>
      </c>
      <c r="AB199" t="inlineStr">
        <is>
          <t>on campus</t>
        </is>
      </c>
      <c r="AC199" t="inlineStr"/>
      <c r="AD199" t="n">
        <v>0</v>
      </c>
      <c r="AE199" t="inlineStr"/>
      <c r="AF199" t="inlineStr"/>
      <c r="AG199" t="inlineStr"/>
      <c r="AH199" t="inlineStr">
        <is>
          <t>Yes</t>
        </is>
      </c>
      <c r="AI199" t="inlineStr"/>
      <c r="AJ199" t="inlineStr">
        <is>
          <t>Yes</t>
        </is>
      </c>
      <c r="AK199" t="inlineStr"/>
      <c r="AL199" t="inlineStr"/>
      <c r="AM199" t="inlineStr"/>
    </row>
    <row r="200">
      <c r="A200" t="inlineStr">
        <is>
          <t>083314F</t>
        </is>
      </c>
      <c r="B200" t="inlineStr">
        <is>
          <t>Direct Entry Course</t>
        </is>
      </c>
      <c r="C200" t="inlineStr">
        <is>
          <t>Non AQF Award</t>
        </is>
      </c>
      <c r="D200" t="inlineStr">
        <is>
          <t>Non-award</t>
        </is>
      </c>
      <c r="E200" t="inlineStr">
        <is>
          <t>Advertised: official page in place</t>
        </is>
      </c>
      <c r="F200" t="inlineStr">
        <is>
          <t>https://www.sydney.edu.au/cet/programs/direct-entry-course.html</t>
        </is>
      </c>
      <c r="G200" t="inlineStr">
        <is>
          <t>https://www.sydney.edu.au/cet/programs/direct-entry-course.html</t>
        </is>
      </c>
      <c r="H200" t="inlineStr">
        <is>
          <t>Read</t>
        </is>
      </c>
      <c r="I200" t="inlineStr">
        <is>
          <t>CRICOS code on page</t>
        </is>
      </c>
      <c r="J200" t="inlineStr"/>
      <c r="K200" t="inlineStr">
        <is>
          <t>Not sent to re-link</t>
        </is>
      </c>
      <c r="L200" t="inlineStr">
        <is>
          <t>Filled</t>
        </is>
      </c>
      <c r="M200" t="inlineStr">
        <is>
          <t>Waiting for Layer 4 review</t>
        </is>
      </c>
      <c r="N200" t="inlineStr"/>
      <c r="O200" t="n">
        <v>0</v>
      </c>
      <c r="P200" t="inlineStr"/>
      <c r="Q200" t="inlineStr">
        <is>
          <t>Filled</t>
        </is>
      </c>
      <c r="R200" t="n">
        <v>6</v>
      </c>
      <c r="S200" t="inlineStr">
        <is>
          <t>Other</t>
        </is>
      </c>
      <c r="T200" t="inlineStr">
        <is>
          <t>Held: level not covered by the policy default</t>
        </is>
      </c>
      <c r="U200" t="inlineStr"/>
      <c r="V200" t="inlineStr">
        <is>
          <t>Filled</t>
        </is>
      </c>
      <c r="W200" t="inlineStr">
        <is>
          <t>April, September, October, December</t>
        </is>
      </c>
      <c r="X200" t="inlineStr">
        <is>
          <t>Other</t>
        </is>
      </c>
      <c r="Y200" t="n">
        <v>0</v>
      </c>
      <c r="Z200" t="inlineStr">
        <is>
          <t>No</t>
        </is>
      </c>
      <c r="AA200" t="inlineStr">
        <is>
          <t>Filled</t>
        </is>
      </c>
      <c r="AB200" t="inlineStr">
        <is>
          <t>blended</t>
        </is>
      </c>
      <c r="AC200" t="inlineStr">
        <is>
          <t>Filled</t>
        </is>
      </c>
      <c r="AD200" t="n">
        <v>0</v>
      </c>
      <c r="AE200" t="inlineStr"/>
      <c r="AF200" t="inlineStr">
        <is>
          <t>Yes</t>
        </is>
      </c>
      <c r="AG200" t="inlineStr"/>
      <c r="AH200" t="inlineStr"/>
      <c r="AI200" t="inlineStr"/>
      <c r="AJ200" t="inlineStr"/>
      <c r="AK200" t="inlineStr"/>
      <c r="AL200" t="inlineStr"/>
      <c r="AM200" t="inlineStr"/>
    </row>
    <row r="201">
      <c r="A201" t="inlineStr">
        <is>
          <t>045007K</t>
        </is>
      </c>
      <c r="B201" t="inlineStr">
        <is>
          <t>Doctor of Arts</t>
        </is>
      </c>
      <c r="C201" t="inlineStr">
        <is>
          <t>Doctorate / PhD</t>
        </is>
      </c>
      <c r="D201" t="inlineStr">
        <is>
          <t>Research degree</t>
        </is>
      </c>
      <c r="E201" t="inlineStr">
        <is>
          <t>Advertised: official page in place</t>
        </is>
      </c>
      <c r="F201" t="inlineStr">
        <is>
          <t>https://www.sydney.edu.au/handbooks/archive/2023/arts_pg/research/dr_arts_social_sciences.html</t>
        </is>
      </c>
      <c r="G201" t="inlineStr">
        <is>
          <t>https://www.sydney.edu.au/handbooks/archive/2023/arts_pg/research/dr_arts_social_sciences.html</t>
        </is>
      </c>
      <c r="H201" t="inlineStr">
        <is>
          <t>Read</t>
        </is>
      </c>
      <c r="I201" t="inlineStr">
        <is>
          <t>Exact title match</t>
        </is>
      </c>
      <c r="J201" t="inlineStr"/>
      <c r="K201" t="inlineStr">
        <is>
          <t>Not sent to re-link</t>
        </is>
      </c>
      <c r="L201" t="inlineStr">
        <is>
          <t>Filled</t>
        </is>
      </c>
      <c r="M201" t="inlineStr">
        <is>
          <t>Not stated on course page</t>
        </is>
      </c>
      <c r="N201" t="inlineStr"/>
      <c r="O201" t="n">
        <v>0</v>
      </c>
      <c r="P201" t="inlineStr"/>
      <c r="Q201" t="inlineStr">
        <is>
          <t>Filled</t>
        </is>
      </c>
      <c r="R201" t="n">
        <v>6.5</v>
      </c>
      <c r="S201" t="inlineStr">
        <is>
          <t>Central English policy</t>
        </is>
      </c>
      <c r="T201" t="inlineStr">
        <is>
          <t>Central rule applies (value agrees)</t>
        </is>
      </c>
      <c r="U201" t="inlineStr"/>
      <c r="V201" t="inlineStr">
        <is>
          <t>Not stated on course page</t>
        </is>
      </c>
      <c r="W201" t="inlineStr"/>
      <c r="X201" t="inlineStr"/>
      <c r="Y201" t="n">
        <v>0</v>
      </c>
      <c r="Z201" t="inlineStr">
        <is>
          <t>No</t>
        </is>
      </c>
      <c r="AA201" t="inlineStr">
        <is>
          <t>Not stated on course page</t>
        </is>
      </c>
      <c r="AB201" t="inlineStr"/>
      <c r="AC201" t="inlineStr">
        <is>
          <t>Skipped: the page does not state it</t>
        </is>
      </c>
      <c r="AD201" t="n">
        <v>0</v>
      </c>
      <c r="AE201" t="inlineStr"/>
      <c r="AF201" t="inlineStr"/>
      <c r="AG201" t="inlineStr"/>
      <c r="AH201" t="inlineStr"/>
      <c r="AI201" t="inlineStr">
        <is>
          <t>Yes</t>
        </is>
      </c>
      <c r="AJ201" t="inlineStr"/>
      <c r="AK201" t="inlineStr"/>
      <c r="AL201" t="inlineStr"/>
      <c r="AM201" t="inlineStr"/>
    </row>
    <row r="202">
      <c r="A202" t="inlineStr">
        <is>
          <t>113098A</t>
        </is>
      </c>
      <c r="B202" t="inlineStr">
        <is>
          <t>Doctor of Clinical Dentistry (Endodontics)</t>
        </is>
      </c>
      <c r="C202" t="inlineStr">
        <is>
          <t>Masters Degree (Extended)</t>
        </is>
      </c>
      <c r="D202" t="inlineStr">
        <is>
          <t>Postgraduate coursework</t>
        </is>
      </c>
      <c r="E202" t="inlineStr">
        <is>
          <t>Advertised: official page in place</t>
        </is>
      </c>
      <c r="F202" t="inlineStr">
        <is>
          <t>https://www.sydney.edu.au/courses/courses/pc/doctor-of-clinical-dentistry-endodontics.html</t>
        </is>
      </c>
      <c r="G202" t="inlineStr">
        <is>
          <t>https://www.sydney.edu.au/courses/courses/pc/doctor-of-clinical-dentistry-endodontics.html</t>
        </is>
      </c>
      <c r="H202" t="inlineStr">
        <is>
          <t>Read</t>
        </is>
      </c>
      <c r="I202" t="inlineStr">
        <is>
          <t>Exact title match</t>
        </is>
      </c>
      <c r="J202" t="inlineStr"/>
      <c r="K202" t="inlineStr">
        <is>
          <t>Not sent to re-link</t>
        </is>
      </c>
      <c r="L202" t="inlineStr">
        <is>
          <t>Filled</t>
        </is>
      </c>
      <c r="M202" t="inlineStr">
        <is>
          <t>Not stated on course page</t>
        </is>
      </c>
      <c r="N202" t="inlineStr"/>
      <c r="O202" t="n">
        <v>0</v>
      </c>
      <c r="P202" t="inlineStr"/>
      <c r="Q202" t="inlineStr">
        <is>
          <t>Filled</t>
        </is>
      </c>
      <c r="R202" t="n">
        <v>6.5</v>
      </c>
      <c r="S202" t="inlineStr">
        <is>
          <t>Central English policy</t>
        </is>
      </c>
      <c r="T202" t="inlineStr">
        <is>
          <t>Central rule applies (value agrees)</t>
        </is>
      </c>
      <c r="U202" t="inlineStr"/>
      <c r="V202" t="inlineStr">
        <is>
          <t>Not stated on course page</t>
        </is>
      </c>
      <c r="W202" t="inlineStr"/>
      <c r="X202" t="inlineStr"/>
      <c r="Y202" t="n">
        <v>0</v>
      </c>
      <c r="Z202" t="inlineStr">
        <is>
          <t>No</t>
        </is>
      </c>
      <c r="AA202" t="inlineStr">
        <is>
          <t>Filled</t>
        </is>
      </c>
      <c r="AB202" t="inlineStr">
        <is>
          <t>on campus</t>
        </is>
      </c>
      <c r="AC202" t="inlineStr"/>
      <c r="AD202" t="n">
        <v>0</v>
      </c>
      <c r="AE202" t="inlineStr"/>
      <c r="AF202" t="inlineStr"/>
      <c r="AG202" t="inlineStr"/>
      <c r="AH202" t="inlineStr"/>
      <c r="AI202" t="inlineStr">
        <is>
          <t>Yes</t>
        </is>
      </c>
      <c r="AJ202" t="inlineStr"/>
      <c r="AK202" t="inlineStr"/>
      <c r="AL202" t="inlineStr"/>
      <c r="AM202" t="inlineStr"/>
    </row>
    <row r="203">
      <c r="A203" t="inlineStr">
        <is>
          <t>064271C</t>
        </is>
      </c>
      <c r="B203" t="inlineStr">
        <is>
          <t>Doctor of Clinical Dentistry (Oral Medicine)</t>
        </is>
      </c>
      <c r="C203" t="inlineStr">
        <is>
          <t>Masters Degree (Extended)</t>
        </is>
      </c>
      <c r="D203" t="inlineStr">
        <is>
          <t>Postgraduate coursework</t>
        </is>
      </c>
      <c r="E203" t="inlineStr">
        <is>
          <t>Advertised: official page in place</t>
        </is>
      </c>
      <c r="F203" t="inlineStr">
        <is>
          <t>https://www.sydney.edu.au/courses/courses/pc/doctor-of-clinical-dentistry-oral-medicine.html</t>
        </is>
      </c>
      <c r="G203" t="inlineStr">
        <is>
          <t>https://www.sydney.edu.au/courses/courses/pc/doctor-of-clinical-dentistry-oral-medicine.html</t>
        </is>
      </c>
      <c r="H203" t="inlineStr">
        <is>
          <t>Read</t>
        </is>
      </c>
      <c r="I203" t="inlineStr">
        <is>
          <t>Exact title match</t>
        </is>
      </c>
      <c r="J203" t="inlineStr"/>
      <c r="K203" t="inlineStr">
        <is>
          <t>Not sent to re-link</t>
        </is>
      </c>
      <c r="L203" t="inlineStr">
        <is>
          <t>Filled</t>
        </is>
      </c>
      <c r="M203" t="inlineStr">
        <is>
          <t>Not stated on course page</t>
        </is>
      </c>
      <c r="N203" t="inlineStr"/>
      <c r="O203" t="n">
        <v>0</v>
      </c>
      <c r="P203" t="inlineStr"/>
      <c r="Q203" t="inlineStr">
        <is>
          <t>Filled</t>
        </is>
      </c>
      <c r="R203" t="n">
        <v>6.5</v>
      </c>
      <c r="S203" t="inlineStr">
        <is>
          <t>Central English policy</t>
        </is>
      </c>
      <c r="T203" t="inlineStr">
        <is>
          <t>Central rule applies (value agrees)</t>
        </is>
      </c>
      <c r="U203" t="inlineStr"/>
      <c r="V203" t="inlineStr">
        <is>
          <t>Not stated on course page</t>
        </is>
      </c>
      <c r="W203" t="inlineStr"/>
      <c r="X203" t="inlineStr"/>
      <c r="Y203" t="n">
        <v>0</v>
      </c>
      <c r="Z203" t="inlineStr">
        <is>
          <t>No</t>
        </is>
      </c>
      <c r="AA203" t="inlineStr">
        <is>
          <t>Filled</t>
        </is>
      </c>
      <c r="AB203" t="inlineStr">
        <is>
          <t>on campus</t>
        </is>
      </c>
      <c r="AC203" t="inlineStr"/>
      <c r="AD203" t="n">
        <v>0</v>
      </c>
      <c r="AE203" t="inlineStr"/>
      <c r="AF203" t="inlineStr"/>
      <c r="AG203" t="inlineStr"/>
      <c r="AH203" t="inlineStr"/>
      <c r="AI203" t="inlineStr">
        <is>
          <t>Yes</t>
        </is>
      </c>
      <c r="AJ203" t="inlineStr"/>
      <c r="AK203" t="inlineStr"/>
      <c r="AL203" t="inlineStr"/>
      <c r="AM203" t="inlineStr"/>
    </row>
    <row r="204">
      <c r="A204" t="inlineStr">
        <is>
          <t>105370A</t>
        </is>
      </c>
      <c r="B204" t="inlineStr">
        <is>
          <t>Doctor of Clinical Dentistry (Oral Surgery)</t>
        </is>
      </c>
      <c r="C204" t="inlineStr">
        <is>
          <t>Masters Degree (Extended)</t>
        </is>
      </c>
      <c r="D204" t="inlineStr">
        <is>
          <t>Postgraduate coursework</t>
        </is>
      </c>
      <c r="E204" t="inlineStr">
        <is>
          <t>Advertised: official page in place</t>
        </is>
      </c>
      <c r="F204" t="inlineStr">
        <is>
          <t>https://www.sydney.edu.au/courses/courses/pc/doctor-of-clinical-dentistry-oral-surgery.html</t>
        </is>
      </c>
      <c r="G204" t="inlineStr">
        <is>
          <t>https://www.sydney.edu.au/courses/courses/pc/doctor-of-clinical-dentistry-oral-surgery.html</t>
        </is>
      </c>
      <c r="H204" t="inlineStr">
        <is>
          <t>Read</t>
        </is>
      </c>
      <c r="I204" t="inlineStr">
        <is>
          <t>Exact title match</t>
        </is>
      </c>
      <c r="J204" t="inlineStr"/>
      <c r="K204" t="inlineStr">
        <is>
          <t>Not sent to re-link</t>
        </is>
      </c>
      <c r="L204" t="inlineStr">
        <is>
          <t>Filled</t>
        </is>
      </c>
      <c r="M204" t="inlineStr">
        <is>
          <t>Not stated on course page</t>
        </is>
      </c>
      <c r="N204" t="inlineStr"/>
      <c r="O204" t="n">
        <v>0</v>
      </c>
      <c r="P204" t="inlineStr"/>
      <c r="Q204" t="inlineStr">
        <is>
          <t>Filled</t>
        </is>
      </c>
      <c r="R204" t="n">
        <v>6.5</v>
      </c>
      <c r="S204" t="inlineStr">
        <is>
          <t>Central English policy</t>
        </is>
      </c>
      <c r="T204" t="inlineStr">
        <is>
          <t>Central rule applies (value agrees)</t>
        </is>
      </c>
      <c r="U204" t="inlineStr"/>
      <c r="V204" t="inlineStr">
        <is>
          <t>Not stated on course page</t>
        </is>
      </c>
      <c r="W204" t="inlineStr"/>
      <c r="X204" t="inlineStr"/>
      <c r="Y204" t="n">
        <v>0</v>
      </c>
      <c r="Z204" t="inlineStr">
        <is>
          <t>No</t>
        </is>
      </c>
      <c r="AA204" t="inlineStr">
        <is>
          <t>Filled</t>
        </is>
      </c>
      <c r="AB204" t="inlineStr">
        <is>
          <t>on campus</t>
        </is>
      </c>
      <c r="AC204" t="inlineStr"/>
      <c r="AD204" t="n">
        <v>0</v>
      </c>
      <c r="AE204" t="inlineStr"/>
      <c r="AF204" t="inlineStr"/>
      <c r="AG204" t="inlineStr"/>
      <c r="AH204" t="inlineStr"/>
      <c r="AI204" t="inlineStr">
        <is>
          <t>Yes</t>
        </is>
      </c>
      <c r="AJ204" t="inlineStr"/>
      <c r="AK204" t="inlineStr"/>
      <c r="AL204" t="inlineStr"/>
      <c r="AM204" t="inlineStr"/>
    </row>
    <row r="205">
      <c r="A205" t="inlineStr">
        <is>
          <t>064272B</t>
        </is>
      </c>
      <c r="B205" t="inlineStr">
        <is>
          <t>Doctor of Clinical Dentistry (Orthodontics)</t>
        </is>
      </c>
      <c r="C205" t="inlineStr">
        <is>
          <t>Masters Degree (Extended)</t>
        </is>
      </c>
      <c r="D205" t="inlineStr">
        <is>
          <t>Postgraduate coursework</t>
        </is>
      </c>
      <c r="E205" t="inlineStr">
        <is>
          <t>Advertised: official page in place</t>
        </is>
      </c>
      <c r="F205" t="inlineStr">
        <is>
          <t>https://www.sydney.edu.au/courses/courses/pc/doctor-of-clinical-dentistry-orthodontics.html</t>
        </is>
      </c>
      <c r="G205" t="inlineStr">
        <is>
          <t>https://www.sydney.edu.au/courses/courses/pc/doctor-of-clinical-dentistry-orthodontics.html</t>
        </is>
      </c>
      <c r="H205" t="inlineStr">
        <is>
          <t>Read</t>
        </is>
      </c>
      <c r="I205" t="inlineStr">
        <is>
          <t>Exact title match</t>
        </is>
      </c>
      <c r="J205" t="inlineStr"/>
      <c r="K205" t="inlineStr">
        <is>
          <t>Not sent to re-link</t>
        </is>
      </c>
      <c r="L205" t="inlineStr">
        <is>
          <t>Filled</t>
        </is>
      </c>
      <c r="M205" t="inlineStr">
        <is>
          <t>Not stated on course page</t>
        </is>
      </c>
      <c r="N205" t="inlineStr"/>
      <c r="O205" t="n">
        <v>0</v>
      </c>
      <c r="P205" t="inlineStr"/>
      <c r="Q205" t="inlineStr">
        <is>
          <t>Filled</t>
        </is>
      </c>
      <c r="R205" t="n">
        <v>6.5</v>
      </c>
      <c r="S205" t="inlineStr">
        <is>
          <t>Central English policy</t>
        </is>
      </c>
      <c r="T205" t="inlineStr">
        <is>
          <t>Central rule applies (value agrees)</t>
        </is>
      </c>
      <c r="U205" t="inlineStr"/>
      <c r="V205" t="inlineStr">
        <is>
          <t>Not stated on course page</t>
        </is>
      </c>
      <c r="W205" t="inlineStr"/>
      <c r="X205" t="inlineStr"/>
      <c r="Y205" t="n">
        <v>0</v>
      </c>
      <c r="Z205" t="inlineStr">
        <is>
          <t>No</t>
        </is>
      </c>
      <c r="AA205" t="inlineStr">
        <is>
          <t>Filled</t>
        </is>
      </c>
      <c r="AB205" t="inlineStr">
        <is>
          <t>on campus</t>
        </is>
      </c>
      <c r="AC205" t="inlineStr"/>
      <c r="AD205" t="n">
        <v>0</v>
      </c>
      <c r="AE205" t="inlineStr"/>
      <c r="AF205" t="inlineStr"/>
      <c r="AG205" t="inlineStr"/>
      <c r="AH205" t="inlineStr"/>
      <c r="AI205" t="inlineStr">
        <is>
          <t>Yes</t>
        </is>
      </c>
      <c r="AJ205" t="inlineStr"/>
      <c r="AK205" t="inlineStr"/>
      <c r="AL205" t="inlineStr"/>
      <c r="AM205" t="inlineStr"/>
    </row>
    <row r="206">
      <c r="A206" t="inlineStr">
        <is>
          <t>064298C</t>
        </is>
      </c>
      <c r="B206" t="inlineStr">
        <is>
          <t>Doctor of Clinical Dentistry (Paediatric Dentristry)</t>
        </is>
      </c>
      <c r="C206" t="inlineStr">
        <is>
          <t>Masters Degree (Extended)</t>
        </is>
      </c>
      <c r="D206" t="inlineStr">
        <is>
          <t>Postgraduate coursework</t>
        </is>
      </c>
      <c r="E206" t="inlineStr">
        <is>
          <t>Page address no longer works</t>
        </is>
      </c>
      <c r="F206" t="inlineStr"/>
      <c r="G206" t="inlineStr">
        <is>
          <t>https://www.sydney.edu.au/courses/courses/pc/doctor-of-clinical-dentistry-paediatric-dentristry.html</t>
        </is>
      </c>
      <c r="H206" t="inlineStr">
        <is>
          <t>Address no longer works</t>
        </is>
      </c>
      <c r="I206" t="inlineStr"/>
      <c r="J206" t="inlineStr"/>
      <c r="K206" t="inlineStr">
        <is>
          <t>Finished, no page: every candidate address was refused by the reader or did not</t>
        </is>
      </c>
      <c r="L206" t="inlineStr">
        <is>
          <t>Page found, being read</t>
        </is>
      </c>
      <c r="M206" t="inlineStr">
        <is>
          <t>Page found, being read</t>
        </is>
      </c>
      <c r="N206" t="inlineStr"/>
      <c r="O206" t="n">
        <v>0</v>
      </c>
      <c r="P206" t="inlineStr"/>
      <c r="Q206" t="inlineStr">
        <is>
          <t>Filled</t>
        </is>
      </c>
      <c r="R206" t="n">
        <v>6.5</v>
      </c>
      <c r="S206" t="inlineStr">
        <is>
          <t>Central English policy</t>
        </is>
      </c>
      <c r="T206" t="inlineStr">
        <is>
          <t>Central rule applies (value agrees)</t>
        </is>
      </c>
      <c r="U206" t="inlineStr"/>
      <c r="V206" t="inlineStr">
        <is>
          <t>Page found, being read</t>
        </is>
      </c>
      <c r="W206" t="inlineStr"/>
      <c r="X206" t="inlineStr"/>
      <c r="Y206" t="n">
        <v>0</v>
      </c>
      <c r="Z206" t="inlineStr">
        <is>
          <t>No</t>
        </is>
      </c>
      <c r="AA206" t="inlineStr">
        <is>
          <t>Not stated on course page</t>
        </is>
      </c>
      <c r="AB206" t="inlineStr"/>
      <c r="AC206" t="inlineStr">
        <is>
          <t>Skipped: no allowed source had a value</t>
        </is>
      </c>
      <c r="AD206" t="n">
        <v>1</v>
      </c>
      <c r="AE206" t="inlineStr"/>
      <c r="AF206" t="inlineStr"/>
      <c r="AG206" t="inlineStr"/>
      <c r="AH206" t="inlineStr"/>
      <c r="AI206" t="inlineStr"/>
      <c r="AJ206" t="inlineStr"/>
      <c r="AK206" t="inlineStr"/>
      <c r="AL206" t="inlineStr"/>
      <c r="AM206" t="inlineStr"/>
    </row>
    <row r="207">
      <c r="A207" t="inlineStr">
        <is>
          <t>064281A</t>
        </is>
      </c>
      <c r="B207" t="inlineStr">
        <is>
          <t>Doctor of Clinical Dentistry (Periodontics)</t>
        </is>
      </c>
      <c r="C207" t="inlineStr">
        <is>
          <t>Masters Degree (Extended)</t>
        </is>
      </c>
      <c r="D207" t="inlineStr">
        <is>
          <t>Postgraduate coursework</t>
        </is>
      </c>
      <c r="E207" t="inlineStr">
        <is>
          <t>Advertised: official page in place</t>
        </is>
      </c>
      <c r="F207" t="inlineStr">
        <is>
          <t>https://www.sydney.edu.au/courses/courses/pc/doctor-of-clinical-dentistry-periodontics.html</t>
        </is>
      </c>
      <c r="G207" t="inlineStr">
        <is>
          <t>https://www.sydney.edu.au/courses/courses/pc/doctor-of-clinical-dentistry-periodontics.html</t>
        </is>
      </c>
      <c r="H207" t="inlineStr">
        <is>
          <t>Read</t>
        </is>
      </c>
      <c r="I207" t="inlineStr">
        <is>
          <t>Exact title match</t>
        </is>
      </c>
      <c r="J207" t="inlineStr"/>
      <c r="K207" t="inlineStr">
        <is>
          <t>Not sent to re-link</t>
        </is>
      </c>
      <c r="L207" t="inlineStr">
        <is>
          <t>Filled</t>
        </is>
      </c>
      <c r="M207" t="inlineStr">
        <is>
          <t>Not stated on course page</t>
        </is>
      </c>
      <c r="N207" t="inlineStr"/>
      <c r="O207" t="n">
        <v>0</v>
      </c>
      <c r="P207" t="inlineStr"/>
      <c r="Q207" t="inlineStr">
        <is>
          <t>Filled</t>
        </is>
      </c>
      <c r="R207" t="n">
        <v>6.5</v>
      </c>
      <c r="S207" t="inlineStr">
        <is>
          <t>Central English policy</t>
        </is>
      </c>
      <c r="T207" t="inlineStr">
        <is>
          <t>Central rule applies (value agrees)</t>
        </is>
      </c>
      <c r="U207" t="inlineStr"/>
      <c r="V207" t="inlineStr">
        <is>
          <t>Not stated on course page</t>
        </is>
      </c>
      <c r="W207" t="inlineStr"/>
      <c r="X207" t="inlineStr"/>
      <c r="Y207" t="n">
        <v>0</v>
      </c>
      <c r="Z207" t="inlineStr">
        <is>
          <t>No</t>
        </is>
      </c>
      <c r="AA207" t="inlineStr">
        <is>
          <t>Filled</t>
        </is>
      </c>
      <c r="AB207" t="inlineStr">
        <is>
          <t>on campus</t>
        </is>
      </c>
      <c r="AC207" t="inlineStr"/>
      <c r="AD207" t="n">
        <v>0</v>
      </c>
      <c r="AE207" t="inlineStr"/>
      <c r="AF207" t="inlineStr"/>
      <c r="AG207" t="inlineStr"/>
      <c r="AH207" t="inlineStr"/>
      <c r="AI207" t="inlineStr">
        <is>
          <t>Yes</t>
        </is>
      </c>
      <c r="AJ207" t="inlineStr"/>
      <c r="AK207" t="inlineStr"/>
      <c r="AL207" t="inlineStr"/>
      <c r="AM207" t="inlineStr"/>
    </row>
    <row r="208">
      <c r="A208" t="inlineStr">
        <is>
          <t>064292J</t>
        </is>
      </c>
      <c r="B208" t="inlineStr">
        <is>
          <t>Doctor of Clinical Dentistry (Prosthodontics)</t>
        </is>
      </c>
      <c r="C208" t="inlineStr">
        <is>
          <t>Masters Degree (Coursework)</t>
        </is>
      </c>
      <c r="D208" t="inlineStr">
        <is>
          <t>Postgraduate coursework</t>
        </is>
      </c>
      <c r="E208" t="inlineStr">
        <is>
          <t>Advertised: official page in place</t>
        </is>
      </c>
      <c r="F208" t="inlineStr">
        <is>
          <t>https://www.sydney.edu.au/courses/courses/pc/doctor-of-clinical-dentistry-prosthodontics.html</t>
        </is>
      </c>
      <c r="G208" t="inlineStr">
        <is>
          <t>https://www.sydney.edu.au/courses/courses/pc/doctor-of-clinical-dentistry-prosthodontics.html</t>
        </is>
      </c>
      <c r="H208" t="inlineStr">
        <is>
          <t>Read</t>
        </is>
      </c>
      <c r="I208" t="inlineStr">
        <is>
          <t>Exact title match</t>
        </is>
      </c>
      <c r="J208" t="inlineStr"/>
      <c r="K208" t="inlineStr">
        <is>
          <t>Not sent to re-link</t>
        </is>
      </c>
      <c r="L208" t="inlineStr">
        <is>
          <t>Filled</t>
        </is>
      </c>
      <c r="M208" t="inlineStr">
        <is>
          <t>Not stated on course page</t>
        </is>
      </c>
      <c r="N208" t="inlineStr"/>
      <c r="O208" t="n">
        <v>0</v>
      </c>
      <c r="P208" t="inlineStr"/>
      <c r="Q208" t="inlineStr">
        <is>
          <t>Filled</t>
        </is>
      </c>
      <c r="R208" t="n">
        <v>6.5</v>
      </c>
      <c r="S208" t="inlineStr">
        <is>
          <t>Central English policy</t>
        </is>
      </c>
      <c r="T208" t="inlineStr">
        <is>
          <t>Central rule applies (value agrees)</t>
        </is>
      </c>
      <c r="U208" t="inlineStr"/>
      <c r="V208" t="inlineStr">
        <is>
          <t>Not stated on course page</t>
        </is>
      </c>
      <c r="W208" t="inlineStr"/>
      <c r="X208" t="inlineStr"/>
      <c r="Y208" t="n">
        <v>0</v>
      </c>
      <c r="Z208" t="inlineStr">
        <is>
          <t>No</t>
        </is>
      </c>
      <c r="AA208" t="inlineStr">
        <is>
          <t>Filled</t>
        </is>
      </c>
      <c r="AB208" t="inlineStr">
        <is>
          <t>on campus</t>
        </is>
      </c>
      <c r="AC208" t="inlineStr"/>
      <c r="AD208" t="n">
        <v>0</v>
      </c>
      <c r="AE208" t="inlineStr"/>
      <c r="AF208" t="inlineStr"/>
      <c r="AG208" t="inlineStr"/>
      <c r="AH208" t="inlineStr"/>
      <c r="AI208" t="inlineStr">
        <is>
          <t>Yes</t>
        </is>
      </c>
      <c r="AJ208" t="inlineStr"/>
      <c r="AK208" t="inlineStr"/>
      <c r="AL208" t="inlineStr"/>
      <c r="AM208" t="inlineStr"/>
    </row>
    <row r="209">
      <c r="A209" t="inlineStr">
        <is>
          <t>108337M</t>
        </is>
      </c>
      <c r="B209" t="inlineStr">
        <is>
          <t>Doctor of Clinical Dentistry (Special Needs Dentistry)</t>
        </is>
      </c>
      <c r="C209" t="inlineStr">
        <is>
          <t>Masters Degree (Extended)</t>
        </is>
      </c>
      <c r="D209" t="inlineStr">
        <is>
          <t>Postgraduate coursework</t>
        </is>
      </c>
      <c r="E209" t="inlineStr">
        <is>
          <t>Advertised: official page in place</t>
        </is>
      </c>
      <c r="F209" t="inlineStr">
        <is>
          <t>https://www.sydney.edu.au/courses/courses/pc/doctor-of-clinical-dentistry-special-needs-dentistry0.html</t>
        </is>
      </c>
      <c r="G209" t="inlineStr">
        <is>
          <t>https://www.sydney.edu.au/courses/courses/pc/doctor-of-clinical-dentistry-special-needs-dentistry0.html</t>
        </is>
      </c>
      <c r="H209" t="inlineStr">
        <is>
          <t>Read</t>
        </is>
      </c>
      <c r="I209" t="inlineStr">
        <is>
          <t>Exact title match</t>
        </is>
      </c>
      <c r="J209" t="inlineStr"/>
      <c r="K209" t="inlineStr">
        <is>
          <t>Not sent to re-link</t>
        </is>
      </c>
      <c r="L209" t="inlineStr">
        <is>
          <t>Filled</t>
        </is>
      </c>
      <c r="M209" t="inlineStr">
        <is>
          <t>Not stated on course page</t>
        </is>
      </c>
      <c r="N209" t="inlineStr"/>
      <c r="O209" t="n">
        <v>0</v>
      </c>
      <c r="P209" t="inlineStr"/>
      <c r="Q209" t="inlineStr">
        <is>
          <t>Filled</t>
        </is>
      </c>
      <c r="R209" t="n">
        <v>6.5</v>
      </c>
      <c r="S209" t="inlineStr">
        <is>
          <t>Central English policy</t>
        </is>
      </c>
      <c r="T209" t="inlineStr">
        <is>
          <t>Central rule applies (value agrees)</t>
        </is>
      </c>
      <c r="U209" t="inlineStr"/>
      <c r="V209" t="inlineStr">
        <is>
          <t>Not stated on course page</t>
        </is>
      </c>
      <c r="W209" t="inlineStr"/>
      <c r="X209" t="inlineStr"/>
      <c r="Y209" t="n">
        <v>0</v>
      </c>
      <c r="Z209" t="inlineStr">
        <is>
          <t>No</t>
        </is>
      </c>
      <c r="AA209" t="inlineStr">
        <is>
          <t>Filled</t>
        </is>
      </c>
      <c r="AB209" t="inlineStr">
        <is>
          <t>on campus</t>
        </is>
      </c>
      <c r="AC209" t="inlineStr"/>
      <c r="AD209" t="n">
        <v>0</v>
      </c>
      <c r="AE209" t="inlineStr"/>
      <c r="AF209" t="inlineStr"/>
      <c r="AG209" t="inlineStr"/>
      <c r="AH209" t="inlineStr"/>
      <c r="AI209" t="inlineStr">
        <is>
          <t>Yes</t>
        </is>
      </c>
      <c r="AJ209" t="inlineStr"/>
      <c r="AK209" t="inlineStr"/>
      <c r="AL209" t="inlineStr"/>
      <c r="AM209" t="inlineStr"/>
    </row>
    <row r="210">
      <c r="A210" t="inlineStr">
        <is>
          <t>074120B</t>
        </is>
      </c>
      <c r="B210" t="inlineStr">
        <is>
          <t>Doctor of Dental Medicine</t>
        </is>
      </c>
      <c r="C210" t="inlineStr">
        <is>
          <t>Masters Degree (Coursework)</t>
        </is>
      </c>
      <c r="D210" t="inlineStr">
        <is>
          <t>Postgraduate coursework</t>
        </is>
      </c>
      <c r="E210" t="inlineStr">
        <is>
          <t>Advertised: official page in place</t>
        </is>
      </c>
      <c r="F210" t="inlineStr">
        <is>
          <t>https://www.sydney.edu.au/courses/courses/pc/doctor-of-dental-medicine0.html</t>
        </is>
      </c>
      <c r="G210" t="inlineStr">
        <is>
          <t>https://www.sydney.edu.au/courses/courses/pc/doctor-of-dental-medicine0.html</t>
        </is>
      </c>
      <c r="H210" t="inlineStr">
        <is>
          <t>Read</t>
        </is>
      </c>
      <c r="I210" t="inlineStr">
        <is>
          <t>Exact title match</t>
        </is>
      </c>
      <c r="J210" t="inlineStr"/>
      <c r="K210" t="inlineStr">
        <is>
          <t>Not sent to re-link</t>
        </is>
      </c>
      <c r="L210" t="inlineStr">
        <is>
          <t>Filled</t>
        </is>
      </c>
      <c r="M210" t="inlineStr">
        <is>
          <t>Not stated on course page</t>
        </is>
      </c>
      <c r="N210" t="inlineStr"/>
      <c r="O210" t="n">
        <v>0</v>
      </c>
      <c r="P210" t="inlineStr"/>
      <c r="Q210" t="inlineStr">
        <is>
          <t>Filled</t>
        </is>
      </c>
      <c r="R210" t="n">
        <v>6.5</v>
      </c>
      <c r="S210" t="inlineStr">
        <is>
          <t>Central English policy</t>
        </is>
      </c>
      <c r="T210" t="inlineStr">
        <is>
          <t>Central rule applies (value agrees)</t>
        </is>
      </c>
      <c r="U210" t="inlineStr"/>
      <c r="V210" t="inlineStr">
        <is>
          <t>Filled</t>
        </is>
      </c>
      <c r="W210" t="inlineStr">
        <is>
          <t>February</t>
        </is>
      </c>
      <c r="X210" t="inlineStr">
        <is>
          <t>University adapter</t>
        </is>
      </c>
      <c r="Y210" t="n">
        <v>0</v>
      </c>
      <c r="Z210" t="inlineStr">
        <is>
          <t>No</t>
        </is>
      </c>
      <c r="AA210" t="inlineStr">
        <is>
          <t>Filled</t>
        </is>
      </c>
      <c r="AB210" t="inlineStr">
        <is>
          <t>on campus</t>
        </is>
      </c>
      <c r="AC210" t="inlineStr"/>
      <c r="AD210" t="n">
        <v>0</v>
      </c>
      <c r="AE210" t="inlineStr"/>
      <c r="AF210" t="inlineStr"/>
      <c r="AG210" t="inlineStr"/>
      <c r="AH210" t="inlineStr"/>
      <c r="AI210" t="inlineStr"/>
      <c r="AJ210" t="inlineStr"/>
      <c r="AK210" t="inlineStr"/>
      <c r="AL210" t="inlineStr"/>
      <c r="AM210" t="inlineStr"/>
    </row>
    <row r="211">
      <c r="A211" t="inlineStr">
        <is>
          <t>022575A</t>
        </is>
      </c>
      <c r="B211" t="inlineStr">
        <is>
          <t>Doctor of Education</t>
        </is>
      </c>
      <c r="C211" t="inlineStr">
        <is>
          <t>Doctorate / PhD</t>
        </is>
      </c>
      <c r="D211" t="inlineStr">
        <is>
          <t>Research degree</t>
        </is>
      </c>
      <c r="E211" t="inlineStr">
        <is>
          <t>Held: page found is for another course</t>
        </is>
      </c>
      <c r="F211" t="inlineStr"/>
      <c r="G211" t="inlineStr">
        <is>
          <t>https://rp-handbooks.sydney.edu.au/handbooks/archive/2013/education_PG/research/dr_education.shtml.html</t>
        </is>
      </c>
      <c r="H211" t="inlineStr">
        <is>
          <t>Not a course page</t>
        </is>
      </c>
      <c r="I211" t="inlineStr"/>
      <c r="J211" t="inlineStr"/>
      <c r="K211" t="inlineStr">
        <is>
          <t>Not sent to re-link</t>
        </is>
      </c>
      <c r="L211" t="inlineStr">
        <is>
          <t>Not stated on course page</t>
        </is>
      </c>
      <c r="M211" t="inlineStr">
        <is>
          <t>Not stated on course page</t>
        </is>
      </c>
      <c r="N211" t="inlineStr"/>
      <c r="O211" t="n">
        <v>0</v>
      </c>
      <c r="P211" t="inlineStr"/>
      <c r="Q211" t="inlineStr">
        <is>
          <t>Filled</t>
        </is>
      </c>
      <c r="R211" t="n">
        <v>6.5</v>
      </c>
      <c r="S211" t="inlineStr">
        <is>
          <t>Central English policy</t>
        </is>
      </c>
      <c r="T211" t="inlineStr">
        <is>
          <t>Central rule applies (value agrees)</t>
        </is>
      </c>
      <c r="U211" t="inlineStr"/>
      <c r="V211" t="inlineStr">
        <is>
          <t>Not stated on course page</t>
        </is>
      </c>
      <c r="W211" t="inlineStr"/>
      <c r="X211" t="inlineStr"/>
      <c r="Y211" t="n">
        <v>0</v>
      </c>
      <c r="Z211" t="inlineStr">
        <is>
          <t>No</t>
        </is>
      </c>
      <c r="AA211" t="inlineStr">
        <is>
          <t>Not stated on course page</t>
        </is>
      </c>
      <c r="AB211" t="inlineStr"/>
      <c r="AC211" t="inlineStr">
        <is>
          <t>Skipped: taken back: the page read was another course's page</t>
        </is>
      </c>
      <c r="AD211" t="n">
        <v>1</v>
      </c>
      <c r="AE211" t="inlineStr"/>
      <c r="AF211" t="inlineStr"/>
      <c r="AG211" t="inlineStr"/>
      <c r="AH211" t="inlineStr"/>
      <c r="AI211" t="inlineStr"/>
      <c r="AJ211" t="inlineStr"/>
      <c r="AK211" t="inlineStr"/>
      <c r="AL211" t="inlineStr"/>
      <c r="AM211" t="inlineStr"/>
    </row>
    <row r="212">
      <c r="A212" t="inlineStr">
        <is>
          <t>079216J</t>
        </is>
      </c>
      <c r="B212" t="inlineStr">
        <is>
          <t>Doctor of Medicine</t>
        </is>
      </c>
      <c r="C212" t="inlineStr">
        <is>
          <t>Masters Degree (Coursework)</t>
        </is>
      </c>
      <c r="D212" t="inlineStr">
        <is>
          <t>Postgraduate coursework</t>
        </is>
      </c>
      <c r="E212" t="inlineStr">
        <is>
          <t>Advertised: official page in place</t>
        </is>
      </c>
      <c r="F212" t="inlineStr">
        <is>
          <t>https://www.sydney.edu.au/courses/courses/pc/doctor-of-medicine0.html</t>
        </is>
      </c>
      <c r="G212" t="inlineStr">
        <is>
          <t>https://www.sydney.edu.au/courses/courses/pc/doctor-of-medicine0.html</t>
        </is>
      </c>
      <c r="H212" t="inlineStr">
        <is>
          <t>Read</t>
        </is>
      </c>
      <c r="I212" t="inlineStr">
        <is>
          <t>Exact title match</t>
        </is>
      </c>
      <c r="J212" t="inlineStr"/>
      <c r="K212" t="inlineStr">
        <is>
          <t>Not sent to re-link</t>
        </is>
      </c>
      <c r="L212" t="inlineStr">
        <is>
          <t>Filled</t>
        </is>
      </c>
      <c r="M212" t="inlineStr">
        <is>
          <t>Not stated on course page</t>
        </is>
      </c>
      <c r="N212" t="inlineStr"/>
      <c r="O212" t="n">
        <v>0</v>
      </c>
      <c r="P212" t="inlineStr"/>
      <c r="Q212" t="inlineStr">
        <is>
          <t>Filled</t>
        </is>
      </c>
      <c r="R212" t="n">
        <v>6.5</v>
      </c>
      <c r="S212" t="inlineStr">
        <is>
          <t>Central English policy</t>
        </is>
      </c>
      <c r="T212" t="inlineStr">
        <is>
          <t>Central rule applies (value agrees)</t>
        </is>
      </c>
      <c r="U212" t="inlineStr"/>
      <c r="V212" t="inlineStr">
        <is>
          <t>Filled</t>
        </is>
      </c>
      <c r="W212" t="inlineStr">
        <is>
          <t>January, February</t>
        </is>
      </c>
      <c r="X212" t="inlineStr">
        <is>
          <t>University adapter</t>
        </is>
      </c>
      <c r="Y212" t="n">
        <v>0</v>
      </c>
      <c r="Z212" t="inlineStr">
        <is>
          <t>No</t>
        </is>
      </c>
      <c r="AA212" t="inlineStr">
        <is>
          <t>Filled</t>
        </is>
      </c>
      <c r="AB212" t="inlineStr">
        <is>
          <t>on campus</t>
        </is>
      </c>
      <c r="AC212" t="inlineStr"/>
      <c r="AD212" t="n">
        <v>0</v>
      </c>
      <c r="AE212" t="inlineStr"/>
      <c r="AF212" t="inlineStr"/>
      <c r="AG212" t="inlineStr"/>
      <c r="AH212" t="inlineStr"/>
      <c r="AI212" t="inlineStr"/>
      <c r="AJ212" t="inlineStr"/>
      <c r="AK212" t="inlineStr"/>
      <c r="AL212" t="inlineStr"/>
      <c r="AM212" t="inlineStr"/>
    </row>
    <row r="213">
      <c r="A213" t="inlineStr">
        <is>
          <t>061144A</t>
        </is>
      </c>
      <c r="B213" t="inlineStr">
        <is>
          <t>Doctor of Musical Arts</t>
        </is>
      </c>
      <c r="C213" t="inlineStr">
        <is>
          <t>Doctorate / PhD</t>
        </is>
      </c>
      <c r="D213" t="inlineStr">
        <is>
          <t>Research degree</t>
        </is>
      </c>
      <c r="E213" t="inlineStr">
        <is>
          <t>Advertised: official page in place</t>
        </is>
      </c>
      <c r="F213" t="inlineStr">
        <is>
          <t>https://www.sydney.edu.au/courses/courses/pr/doctor-of-musical-arts0.html</t>
        </is>
      </c>
      <c r="G213" t="inlineStr">
        <is>
          <t>https://www.sydney.edu.au/courses/courses/pr/doctor-of-musical-arts0.html</t>
        </is>
      </c>
      <c r="H213" t="inlineStr">
        <is>
          <t>Read</t>
        </is>
      </c>
      <c r="I213" t="inlineStr">
        <is>
          <t>Exact title match</t>
        </is>
      </c>
      <c r="J213" t="inlineStr"/>
      <c r="K213" t="inlineStr">
        <is>
          <t>Not sent to re-link</t>
        </is>
      </c>
      <c r="L213" t="inlineStr">
        <is>
          <t>Filled</t>
        </is>
      </c>
      <c r="M213" t="inlineStr">
        <is>
          <t>Not stated on course page</t>
        </is>
      </c>
      <c r="N213" t="inlineStr"/>
      <c r="O213" t="n">
        <v>0</v>
      </c>
      <c r="P213" t="inlineStr"/>
      <c r="Q213" t="inlineStr">
        <is>
          <t>Filled</t>
        </is>
      </c>
      <c r="R213" t="n">
        <v>6.5</v>
      </c>
      <c r="S213" t="inlineStr">
        <is>
          <t>Central English policy</t>
        </is>
      </c>
      <c r="T213" t="inlineStr">
        <is>
          <t>Central rule applies (value agrees)</t>
        </is>
      </c>
      <c r="U213" t="inlineStr"/>
      <c r="V213" t="inlineStr">
        <is>
          <t>Filled</t>
        </is>
      </c>
      <c r="W213" t="inlineStr">
        <is>
          <t>February, March, April, July, August</t>
        </is>
      </c>
      <c r="X213" t="inlineStr">
        <is>
          <t>Page reader</t>
        </is>
      </c>
      <c r="Y213" t="n">
        <v>0</v>
      </c>
      <c r="Z213" t="inlineStr">
        <is>
          <t>No</t>
        </is>
      </c>
      <c r="AA213" t="inlineStr">
        <is>
          <t>Filled</t>
        </is>
      </c>
      <c r="AB213" t="inlineStr">
        <is>
          <t>on campus</t>
        </is>
      </c>
      <c r="AC213" t="inlineStr"/>
      <c r="AD213" t="n">
        <v>0</v>
      </c>
      <c r="AE213" t="inlineStr"/>
      <c r="AF213" t="inlineStr"/>
      <c r="AG213" t="inlineStr"/>
      <c r="AH213" t="inlineStr"/>
      <c r="AI213" t="inlineStr"/>
      <c r="AJ213" t="inlineStr"/>
      <c r="AK213" t="inlineStr"/>
      <c r="AL213" t="inlineStr"/>
      <c r="AM213" t="inlineStr"/>
    </row>
    <row r="214">
      <c r="A214" t="inlineStr">
        <is>
          <t>003519M</t>
        </is>
      </c>
      <c r="B214" t="inlineStr">
        <is>
          <t>Doctor of Philosophy (Architecture, Design and Planning)</t>
        </is>
      </c>
      <c r="C214" t="inlineStr">
        <is>
          <t>Doctorate / PhD</t>
        </is>
      </c>
      <c r="D214" t="inlineStr">
        <is>
          <t>Research degree</t>
        </is>
      </c>
      <c r="E214" t="inlineStr">
        <is>
          <t>Advertised: official page in place</t>
        </is>
      </c>
      <c r="F214" t="inlineStr">
        <is>
          <t>https://www.sydney.edu.au/courses/courses/pr/doctor-of-philosophy-architecture-design-and-planning.html</t>
        </is>
      </c>
      <c r="G214" t="inlineStr">
        <is>
          <t>https://www.sydney.edu.au/courses/courses/pr/doctor-of-philosophy-architecture-design-and-planning.html</t>
        </is>
      </c>
      <c r="H214" t="inlineStr">
        <is>
          <t>Read</t>
        </is>
      </c>
      <c r="I214" t="inlineStr">
        <is>
          <t>Exact title match</t>
        </is>
      </c>
      <c r="J214" t="inlineStr"/>
      <c r="K214" t="inlineStr">
        <is>
          <t>Not sent to re-link</t>
        </is>
      </c>
      <c r="L214" t="inlineStr">
        <is>
          <t>Filled</t>
        </is>
      </c>
      <c r="M214" t="inlineStr">
        <is>
          <t>Not stated on course page</t>
        </is>
      </c>
      <c r="N214" t="inlineStr"/>
      <c r="O214" t="n">
        <v>0</v>
      </c>
      <c r="P214" t="inlineStr"/>
      <c r="Q214" t="inlineStr">
        <is>
          <t>Filled</t>
        </is>
      </c>
      <c r="R214" t="n">
        <v>6.5</v>
      </c>
      <c r="S214" t="inlineStr">
        <is>
          <t>Central English policy</t>
        </is>
      </c>
      <c r="T214" t="inlineStr">
        <is>
          <t>Central rule applies (value agrees)</t>
        </is>
      </c>
      <c r="U214" t="inlineStr"/>
      <c r="V214" t="inlineStr">
        <is>
          <t>Filled</t>
        </is>
      </c>
      <c r="W214" t="inlineStr">
        <is>
          <t>March, July</t>
        </is>
      </c>
      <c r="X214" t="inlineStr">
        <is>
          <t>Page reader</t>
        </is>
      </c>
      <c r="Y214" t="n">
        <v>0</v>
      </c>
      <c r="Z214" t="inlineStr">
        <is>
          <t>No</t>
        </is>
      </c>
      <c r="AA214" t="inlineStr">
        <is>
          <t>Filled</t>
        </is>
      </c>
      <c r="AB214" t="inlineStr">
        <is>
          <t>on campus</t>
        </is>
      </c>
      <c r="AC214" t="inlineStr"/>
      <c r="AD214" t="n">
        <v>0</v>
      </c>
      <c r="AE214" t="inlineStr"/>
      <c r="AF214" t="inlineStr"/>
      <c r="AG214" t="inlineStr"/>
      <c r="AH214" t="inlineStr"/>
      <c r="AI214" t="inlineStr"/>
      <c r="AJ214" t="inlineStr"/>
      <c r="AK214" t="inlineStr"/>
      <c r="AL214" t="inlineStr"/>
      <c r="AM214" t="inlineStr"/>
    </row>
    <row r="215">
      <c r="A215" t="inlineStr">
        <is>
          <t>0100200</t>
        </is>
      </c>
      <c r="B215" t="inlineStr">
        <is>
          <t>Doctor of Philosophy (Arts and Social Sciences)</t>
        </is>
      </c>
      <c r="C215" t="inlineStr">
        <is>
          <t>Doctorate / PhD</t>
        </is>
      </c>
      <c r="D215" t="inlineStr">
        <is>
          <t>Research degree</t>
        </is>
      </c>
      <c r="E215" t="inlineStr">
        <is>
          <t>Advertised: official page in place</t>
        </is>
      </c>
      <c r="F215" t="inlineStr">
        <is>
          <t>https://www.sydney.edu.au/courses/courses/pr/doctor-of-philosophy-arts-and-social-sciences0.html</t>
        </is>
      </c>
      <c r="G215" t="inlineStr">
        <is>
          <t>https://www.sydney.edu.au/courses/courses/pr/doctor-of-philosophy-arts-and-social-sciences0.html</t>
        </is>
      </c>
      <c r="H215" t="inlineStr">
        <is>
          <t>Read</t>
        </is>
      </c>
      <c r="I215" t="inlineStr">
        <is>
          <t>Exact title match</t>
        </is>
      </c>
      <c r="J215" t="inlineStr"/>
      <c r="K215" t="inlineStr">
        <is>
          <t>Not sent to re-link</t>
        </is>
      </c>
      <c r="L215" t="inlineStr">
        <is>
          <t>Filled</t>
        </is>
      </c>
      <c r="M215" t="inlineStr">
        <is>
          <t>Not stated on course page</t>
        </is>
      </c>
      <c r="N215" t="inlineStr"/>
      <c r="O215" t="n">
        <v>0</v>
      </c>
      <c r="P215" t="inlineStr"/>
      <c r="Q215" t="inlineStr">
        <is>
          <t>Filled</t>
        </is>
      </c>
      <c r="R215" t="n">
        <v>6.5</v>
      </c>
      <c r="S215" t="inlineStr">
        <is>
          <t>Central English policy</t>
        </is>
      </c>
      <c r="T215" t="inlineStr">
        <is>
          <t>Central rule applies (value agrees)</t>
        </is>
      </c>
      <c r="U215" t="inlineStr"/>
      <c r="V215" t="inlineStr">
        <is>
          <t>Filled</t>
        </is>
      </c>
      <c r="W215" t="inlineStr">
        <is>
          <t>March, July</t>
        </is>
      </c>
      <c r="X215" t="inlineStr">
        <is>
          <t>Page reader</t>
        </is>
      </c>
      <c r="Y215" t="n">
        <v>0</v>
      </c>
      <c r="Z215" t="inlineStr">
        <is>
          <t>No</t>
        </is>
      </c>
      <c r="AA215" t="inlineStr">
        <is>
          <t>Filled</t>
        </is>
      </c>
      <c r="AB215" t="inlineStr">
        <is>
          <t>on campus</t>
        </is>
      </c>
      <c r="AC215" t="inlineStr"/>
      <c r="AD215" t="n">
        <v>0</v>
      </c>
      <c r="AE215" t="inlineStr"/>
      <c r="AF215" t="inlineStr"/>
      <c r="AG215" t="inlineStr"/>
      <c r="AH215" t="inlineStr"/>
      <c r="AI215" t="inlineStr"/>
      <c r="AJ215" t="inlineStr"/>
      <c r="AK215" t="inlineStr"/>
      <c r="AL215" t="inlineStr"/>
      <c r="AM215" t="inlineStr"/>
    </row>
    <row r="216">
      <c r="A216" t="inlineStr">
        <is>
          <t>039857G</t>
        </is>
      </c>
      <c r="B216" t="inlineStr">
        <is>
          <t>Doctor of Philosophy (Behavioural and Community Health Sciences)</t>
        </is>
      </c>
      <c r="C216" t="inlineStr">
        <is>
          <t>Doctorate / PhD</t>
        </is>
      </c>
      <c r="D216" t="inlineStr">
        <is>
          <t>Research degree</t>
        </is>
      </c>
      <c r="E216" t="inlineStr">
        <is>
          <t>Page address no longer works</t>
        </is>
      </c>
      <c r="F216" t="inlineStr"/>
      <c r="G216" t="inlineStr">
        <is>
          <t>https://www.sydney.edu.au/courses/courses/pr/doctor-of-philosophy-behavioural-and-community-health-sciences0.html</t>
        </is>
      </c>
      <c r="H216" t="inlineStr">
        <is>
          <t>Address no longer works</t>
        </is>
      </c>
      <c r="I216" t="inlineStr"/>
      <c r="J216" t="inlineStr"/>
      <c r="K216" t="inlineStr">
        <is>
          <t>Finished, no page: every candidate address was refused by the reader or did not</t>
        </is>
      </c>
      <c r="L216" t="inlineStr">
        <is>
          <t>Page found, being read</t>
        </is>
      </c>
      <c r="M216" t="inlineStr">
        <is>
          <t>Page found, being read</t>
        </is>
      </c>
      <c r="N216" t="inlineStr"/>
      <c r="O216" t="n">
        <v>0</v>
      </c>
      <c r="P216" t="inlineStr"/>
      <c r="Q216" t="inlineStr">
        <is>
          <t>Filled</t>
        </is>
      </c>
      <c r="R216" t="n">
        <v>6.5</v>
      </c>
      <c r="S216" t="inlineStr">
        <is>
          <t>Central English policy</t>
        </is>
      </c>
      <c r="T216" t="inlineStr">
        <is>
          <t>Central rule applies (value agrees)</t>
        </is>
      </c>
      <c r="U216" t="inlineStr"/>
      <c r="V216" t="inlineStr">
        <is>
          <t>Page found, being read</t>
        </is>
      </c>
      <c r="W216" t="inlineStr"/>
      <c r="X216" t="inlineStr"/>
      <c r="Y216" t="n">
        <v>0</v>
      </c>
      <c r="Z216" t="inlineStr">
        <is>
          <t>No</t>
        </is>
      </c>
      <c r="AA216" t="inlineStr">
        <is>
          <t>Not stated on course page</t>
        </is>
      </c>
      <c r="AB216" t="inlineStr"/>
      <c r="AC216" t="inlineStr">
        <is>
          <t>Skipped: the page does not state it</t>
        </is>
      </c>
      <c r="AD216" t="n">
        <v>0</v>
      </c>
      <c r="AE216" t="inlineStr"/>
      <c r="AF216" t="inlineStr"/>
      <c r="AG216" t="inlineStr"/>
      <c r="AH216" t="inlineStr"/>
      <c r="AI216" t="inlineStr"/>
      <c r="AJ216" t="inlineStr"/>
      <c r="AK216" t="inlineStr"/>
      <c r="AL216" t="inlineStr"/>
      <c r="AM216" t="inlineStr"/>
    </row>
    <row r="217">
      <c r="A217" t="inlineStr">
        <is>
          <t>000704A</t>
        </is>
      </c>
      <c r="B217" t="inlineStr">
        <is>
          <t>Doctor of Philosophy (Business)</t>
        </is>
      </c>
      <c r="C217" t="inlineStr">
        <is>
          <t>Doctorate / PhD</t>
        </is>
      </c>
      <c r="D217" t="inlineStr">
        <is>
          <t>Research degree</t>
        </is>
      </c>
      <c r="E217" t="inlineStr">
        <is>
          <t>Advertised: official page in place</t>
        </is>
      </c>
      <c r="F217" t="inlineStr">
        <is>
          <t>https://www.sydney.edu.au/courses/courses/pr/doctor-of-philosophy-business0.html</t>
        </is>
      </c>
      <c r="G217" t="inlineStr">
        <is>
          <t>https://www.sydney.edu.au/courses/courses/pr/doctor-of-philosophy-business0.html</t>
        </is>
      </c>
      <c r="H217" t="inlineStr">
        <is>
          <t>Read</t>
        </is>
      </c>
      <c r="I217" t="inlineStr">
        <is>
          <t>Exact title match</t>
        </is>
      </c>
      <c r="J217" t="inlineStr"/>
      <c r="K217" t="inlineStr">
        <is>
          <t>Not sent to re-link</t>
        </is>
      </c>
      <c r="L217" t="inlineStr">
        <is>
          <t>Filled</t>
        </is>
      </c>
      <c r="M217" t="inlineStr">
        <is>
          <t>Not stated on course page</t>
        </is>
      </c>
      <c r="N217" t="inlineStr"/>
      <c r="O217" t="n">
        <v>0</v>
      </c>
      <c r="P217" t="inlineStr"/>
      <c r="Q217" t="inlineStr">
        <is>
          <t>Filled</t>
        </is>
      </c>
      <c r="R217" t="n">
        <v>6.5</v>
      </c>
      <c r="S217" t="inlineStr">
        <is>
          <t>Central English policy</t>
        </is>
      </c>
      <c r="T217" t="inlineStr">
        <is>
          <t>Central rule applies (value agrees)</t>
        </is>
      </c>
      <c r="U217" t="inlineStr"/>
      <c r="V217" t="inlineStr">
        <is>
          <t>Not stated on course page</t>
        </is>
      </c>
      <c r="W217" t="inlineStr"/>
      <c r="X217" t="inlineStr"/>
      <c r="Y217" t="n">
        <v>0</v>
      </c>
      <c r="Z217" t="inlineStr">
        <is>
          <t>No</t>
        </is>
      </c>
      <c r="AA217" t="inlineStr">
        <is>
          <t>Filled</t>
        </is>
      </c>
      <c r="AB217" t="inlineStr">
        <is>
          <t>on campus</t>
        </is>
      </c>
      <c r="AC217" t="inlineStr"/>
      <c r="AD217" t="n">
        <v>0</v>
      </c>
      <c r="AE217" t="inlineStr"/>
      <c r="AF217" t="inlineStr"/>
      <c r="AG217" t="inlineStr"/>
      <c r="AH217" t="inlineStr"/>
      <c r="AI217" t="inlineStr">
        <is>
          <t>Yes</t>
        </is>
      </c>
      <c r="AJ217" t="inlineStr"/>
      <c r="AK217" t="inlineStr"/>
      <c r="AL217" t="inlineStr"/>
      <c r="AM217" t="inlineStr"/>
    </row>
    <row r="218">
      <c r="A218" t="inlineStr">
        <is>
          <t>000703B</t>
        </is>
      </c>
      <c r="B218" t="inlineStr">
        <is>
          <t>Doctor of Philosophy (Engineering)</t>
        </is>
      </c>
      <c r="C218" t="inlineStr">
        <is>
          <t>Doctorate / PhD</t>
        </is>
      </c>
      <c r="D218" t="inlineStr">
        <is>
          <t>Research degree</t>
        </is>
      </c>
      <c r="E218" t="inlineStr">
        <is>
          <t>Advertised: official page in place</t>
        </is>
      </c>
      <c r="F218" t="inlineStr">
        <is>
          <t>https://www.sydney.edu.au/courses/courses/pr/doctor-of-philosophy-engineering.html</t>
        </is>
      </c>
      <c r="G218" t="inlineStr">
        <is>
          <t>https://www.sydney.edu.au/courses/courses/pr/doctor-of-philosophy-engineering.html</t>
        </is>
      </c>
      <c r="H218" t="inlineStr">
        <is>
          <t>Read</t>
        </is>
      </c>
      <c r="I218" t="inlineStr">
        <is>
          <t>Exact title match</t>
        </is>
      </c>
      <c r="J218" t="inlineStr"/>
      <c r="K218" t="inlineStr">
        <is>
          <t>Not sent to re-link</t>
        </is>
      </c>
      <c r="L218" t="inlineStr">
        <is>
          <t>Filled</t>
        </is>
      </c>
      <c r="M218" t="inlineStr">
        <is>
          <t>Not stated on course page</t>
        </is>
      </c>
      <c r="N218" t="inlineStr"/>
      <c r="O218" t="n">
        <v>0</v>
      </c>
      <c r="P218" t="inlineStr"/>
      <c r="Q218" t="inlineStr">
        <is>
          <t>Filled</t>
        </is>
      </c>
      <c r="R218" t="n">
        <v>6.5</v>
      </c>
      <c r="S218" t="inlineStr">
        <is>
          <t>Central English policy</t>
        </is>
      </c>
      <c r="T218" t="inlineStr">
        <is>
          <t>Central rule applies (value agrees)</t>
        </is>
      </c>
      <c r="U218" t="inlineStr"/>
      <c r="V218" t="inlineStr">
        <is>
          <t>Filled</t>
        </is>
      </c>
      <c r="W218" t="inlineStr">
        <is>
          <t>January, March, July, October</t>
        </is>
      </c>
      <c r="X218" t="inlineStr">
        <is>
          <t>Page reader</t>
        </is>
      </c>
      <c r="Y218" t="n">
        <v>0</v>
      </c>
      <c r="Z218" t="inlineStr">
        <is>
          <t>No</t>
        </is>
      </c>
      <c r="AA218" t="inlineStr">
        <is>
          <t>Filled</t>
        </is>
      </c>
      <c r="AB218" t="inlineStr">
        <is>
          <t>on campus</t>
        </is>
      </c>
      <c r="AC218" t="inlineStr"/>
      <c r="AD218" t="n">
        <v>0</v>
      </c>
      <c r="AE218" t="inlineStr"/>
      <c r="AF218" t="inlineStr"/>
      <c r="AG218" t="inlineStr"/>
      <c r="AH218" t="inlineStr"/>
      <c r="AI218" t="inlineStr"/>
      <c r="AJ218" t="inlineStr"/>
      <c r="AK218" t="inlineStr"/>
      <c r="AL218" t="inlineStr"/>
      <c r="AM218" t="inlineStr"/>
    </row>
    <row r="219">
      <c r="A219" t="inlineStr">
        <is>
          <t>006450C</t>
        </is>
      </c>
      <c r="B219" t="inlineStr">
        <is>
          <t>Doctor of Philosophy (Law)</t>
        </is>
      </c>
      <c r="C219" t="inlineStr">
        <is>
          <t>Doctorate / PhD</t>
        </is>
      </c>
      <c r="D219" t="inlineStr">
        <is>
          <t>Research degree</t>
        </is>
      </c>
      <c r="E219" t="inlineStr">
        <is>
          <t>Advertised: official page in place</t>
        </is>
      </c>
      <c r="F219" t="inlineStr">
        <is>
          <t>https://www.sydney.edu.au/courses/courses/pr/doctor-of-philosophy-law0.html</t>
        </is>
      </c>
      <c r="G219" t="inlineStr">
        <is>
          <t>https://www.sydney.edu.au/courses/courses/pr/doctor-of-philosophy-law0.html</t>
        </is>
      </c>
      <c r="H219" t="inlineStr">
        <is>
          <t>Read</t>
        </is>
      </c>
      <c r="I219" t="inlineStr">
        <is>
          <t>Exact title match</t>
        </is>
      </c>
      <c r="J219" t="inlineStr"/>
      <c r="K219" t="inlineStr">
        <is>
          <t>Not sent to re-link</t>
        </is>
      </c>
      <c r="L219" t="inlineStr">
        <is>
          <t>Filled</t>
        </is>
      </c>
      <c r="M219" t="inlineStr">
        <is>
          <t>Not stated on course page</t>
        </is>
      </c>
      <c r="N219" t="inlineStr"/>
      <c r="O219" t="n">
        <v>0</v>
      </c>
      <c r="P219" t="inlineStr"/>
      <c r="Q219" t="inlineStr">
        <is>
          <t>Filled</t>
        </is>
      </c>
      <c r="R219" t="n">
        <v>6.5</v>
      </c>
      <c r="S219" t="inlineStr">
        <is>
          <t>Central English policy</t>
        </is>
      </c>
      <c r="T219" t="inlineStr">
        <is>
          <t>Central rule applies (value agrees)</t>
        </is>
      </c>
      <c r="U219" t="inlineStr"/>
      <c r="V219" t="inlineStr">
        <is>
          <t>Filled</t>
        </is>
      </c>
      <c r="W219" t="inlineStr">
        <is>
          <t>March, July</t>
        </is>
      </c>
      <c r="X219" t="inlineStr">
        <is>
          <t>Page reader</t>
        </is>
      </c>
      <c r="Y219" t="n">
        <v>0</v>
      </c>
      <c r="Z219" t="inlineStr">
        <is>
          <t>No</t>
        </is>
      </c>
      <c r="AA219" t="inlineStr">
        <is>
          <t>Filled</t>
        </is>
      </c>
      <c r="AB219" t="inlineStr">
        <is>
          <t>on campus</t>
        </is>
      </c>
      <c r="AC219" t="inlineStr"/>
      <c r="AD219" t="n">
        <v>0</v>
      </c>
      <c r="AE219" t="inlineStr"/>
      <c r="AF219" t="inlineStr"/>
      <c r="AG219" t="inlineStr"/>
      <c r="AH219" t="inlineStr"/>
      <c r="AI219" t="inlineStr"/>
      <c r="AJ219" t="inlineStr"/>
      <c r="AK219" t="inlineStr"/>
      <c r="AL219" t="inlineStr"/>
      <c r="AM219" t="inlineStr"/>
    </row>
    <row r="220">
      <c r="A220" t="inlineStr">
        <is>
          <t>0100244</t>
        </is>
      </c>
      <c r="B220" t="inlineStr">
        <is>
          <t>Doctor of Philosophy (Medicine and Health)</t>
        </is>
      </c>
      <c r="C220" t="inlineStr">
        <is>
          <t>Doctorate / PhD</t>
        </is>
      </c>
      <c r="D220" t="inlineStr">
        <is>
          <t>Research degree</t>
        </is>
      </c>
      <c r="E220" t="inlineStr">
        <is>
          <t>Advertised: official page in place</t>
        </is>
      </c>
      <c r="F220" t="inlineStr">
        <is>
          <t>https://www.sydney.edu.au/courses/courses/pr/doctor-of-philosophy-medicine-and-health0.html</t>
        </is>
      </c>
      <c r="G220" t="inlineStr">
        <is>
          <t>https://www.sydney.edu.au/courses/courses/pr/doctor-of-philosophy-medicine-and-health0.html</t>
        </is>
      </c>
      <c r="H220" t="inlineStr">
        <is>
          <t>Read</t>
        </is>
      </c>
      <c r="I220" t="inlineStr">
        <is>
          <t>Exact title match</t>
        </is>
      </c>
      <c r="J220" t="inlineStr"/>
      <c r="K220" t="inlineStr">
        <is>
          <t>Not sent to re-link</t>
        </is>
      </c>
      <c r="L220" t="inlineStr">
        <is>
          <t>Filled</t>
        </is>
      </c>
      <c r="M220" t="inlineStr">
        <is>
          <t>Not stated on course page</t>
        </is>
      </c>
      <c r="N220" t="inlineStr"/>
      <c r="O220" t="n">
        <v>0</v>
      </c>
      <c r="P220" t="inlineStr"/>
      <c r="Q220" t="inlineStr">
        <is>
          <t>Filled</t>
        </is>
      </c>
      <c r="R220" t="n">
        <v>6.5</v>
      </c>
      <c r="S220" t="inlineStr">
        <is>
          <t>Central English policy</t>
        </is>
      </c>
      <c r="T220" t="inlineStr">
        <is>
          <t>Central rule applies (value agrees)</t>
        </is>
      </c>
      <c r="U220" t="inlineStr"/>
      <c r="V220" t="inlineStr">
        <is>
          <t>Filled</t>
        </is>
      </c>
      <c r="W220" t="inlineStr">
        <is>
          <t>March, July, October</t>
        </is>
      </c>
      <c r="X220" t="inlineStr">
        <is>
          <t>Page reader</t>
        </is>
      </c>
      <c r="Y220" t="n">
        <v>0</v>
      </c>
      <c r="Z220" t="inlineStr">
        <is>
          <t>No</t>
        </is>
      </c>
      <c r="AA220" t="inlineStr">
        <is>
          <t>Filled</t>
        </is>
      </c>
      <c r="AB220" t="inlineStr">
        <is>
          <t>on campus</t>
        </is>
      </c>
      <c r="AC220" t="inlineStr"/>
      <c r="AD220" t="n">
        <v>0</v>
      </c>
      <c r="AE220" t="inlineStr"/>
      <c r="AF220" t="inlineStr"/>
      <c r="AG220" t="inlineStr"/>
      <c r="AH220" t="inlineStr"/>
      <c r="AI220" t="inlineStr"/>
      <c r="AJ220" t="inlineStr"/>
      <c r="AK220" t="inlineStr"/>
      <c r="AL220" t="inlineStr"/>
      <c r="AM220" t="inlineStr"/>
    </row>
    <row r="221">
      <c r="A221" t="inlineStr">
        <is>
          <t>039863J</t>
        </is>
      </c>
      <c r="B221" t="inlineStr">
        <is>
          <t>Doctor of Philosophy (Music)</t>
        </is>
      </c>
      <c r="C221" t="inlineStr">
        <is>
          <t>Doctorate / PhD</t>
        </is>
      </c>
      <c r="D221" t="inlineStr">
        <is>
          <t>Research degree</t>
        </is>
      </c>
      <c r="E221" t="inlineStr">
        <is>
          <t>Advertised: official page in place</t>
        </is>
      </c>
      <c r="F221" t="inlineStr">
        <is>
          <t>https://www.sydney.edu.au/courses/courses/pr/doctor-of-philosophy-music.html</t>
        </is>
      </c>
      <c r="G221" t="inlineStr">
        <is>
          <t>https://www.sydney.edu.au/courses/courses/pr/doctor-of-philosophy-music.html</t>
        </is>
      </c>
      <c r="H221" t="inlineStr">
        <is>
          <t>Read</t>
        </is>
      </c>
      <c r="I221" t="inlineStr">
        <is>
          <t>Exact title match</t>
        </is>
      </c>
      <c r="J221" t="inlineStr"/>
      <c r="K221" t="inlineStr">
        <is>
          <t>Not sent to re-link</t>
        </is>
      </c>
      <c r="L221" t="inlineStr">
        <is>
          <t>Filled</t>
        </is>
      </c>
      <c r="M221" t="inlineStr">
        <is>
          <t>Not stated on course page</t>
        </is>
      </c>
      <c r="N221" t="inlineStr"/>
      <c r="O221" t="n">
        <v>0</v>
      </c>
      <c r="P221" t="inlineStr"/>
      <c r="Q221" t="inlineStr">
        <is>
          <t>Filled</t>
        </is>
      </c>
      <c r="R221" t="n">
        <v>6.5</v>
      </c>
      <c r="S221" t="inlineStr">
        <is>
          <t>Central English policy</t>
        </is>
      </c>
      <c r="T221" t="inlineStr">
        <is>
          <t>Central rule applies (value agrees)</t>
        </is>
      </c>
      <c r="U221" t="inlineStr"/>
      <c r="V221" t="inlineStr">
        <is>
          <t>Filled</t>
        </is>
      </c>
      <c r="W221" t="inlineStr">
        <is>
          <t>February, March, April, June, July, August, September</t>
        </is>
      </c>
      <c r="X221" t="inlineStr">
        <is>
          <t>Page reader</t>
        </is>
      </c>
      <c r="Y221" t="n">
        <v>0</v>
      </c>
      <c r="Z221" t="inlineStr">
        <is>
          <t>No</t>
        </is>
      </c>
      <c r="AA221" t="inlineStr">
        <is>
          <t>Filled</t>
        </is>
      </c>
      <c r="AB221" t="inlineStr">
        <is>
          <t>on campus</t>
        </is>
      </c>
      <c r="AC221" t="inlineStr"/>
      <c r="AD221" t="n">
        <v>0</v>
      </c>
      <c r="AE221" t="inlineStr"/>
      <c r="AF221" t="inlineStr"/>
      <c r="AG221" t="inlineStr"/>
      <c r="AH221" t="inlineStr"/>
      <c r="AI221" t="inlineStr"/>
      <c r="AJ221" t="inlineStr"/>
      <c r="AK221" t="inlineStr"/>
      <c r="AL221" t="inlineStr"/>
      <c r="AM221" t="inlineStr"/>
    </row>
    <row r="222">
      <c r="A222" t="inlineStr">
        <is>
          <t>000722K</t>
        </is>
      </c>
      <c r="B222" t="inlineStr">
        <is>
          <t>Doctor of Philosophy (Science)</t>
        </is>
      </c>
      <c r="C222" t="inlineStr">
        <is>
          <t>Doctorate / PhD</t>
        </is>
      </c>
      <c r="D222" t="inlineStr">
        <is>
          <t>Research degree</t>
        </is>
      </c>
      <c r="E222" t="inlineStr">
        <is>
          <t>Advertised: official page in place</t>
        </is>
      </c>
      <c r="F222" t="inlineStr">
        <is>
          <t>https://www.sydney.edu.au/courses/courses/pr/doctor-of-philosophy-science0.html</t>
        </is>
      </c>
      <c r="G222" t="inlineStr">
        <is>
          <t>https://www.sydney.edu.au/courses/courses/pr/doctor-of-philosophy-science0.html</t>
        </is>
      </c>
      <c r="H222" t="inlineStr">
        <is>
          <t>Read</t>
        </is>
      </c>
      <c r="I222" t="inlineStr">
        <is>
          <t>Exact title match</t>
        </is>
      </c>
      <c r="J222" t="inlineStr"/>
      <c r="K222" t="inlineStr">
        <is>
          <t>Not sent to re-link</t>
        </is>
      </c>
      <c r="L222" t="inlineStr">
        <is>
          <t>Filled</t>
        </is>
      </c>
      <c r="M222" t="inlineStr">
        <is>
          <t>Not stated on course page</t>
        </is>
      </c>
      <c r="N222" t="inlineStr"/>
      <c r="O222" t="n">
        <v>0</v>
      </c>
      <c r="P222" t="inlineStr"/>
      <c r="Q222" t="inlineStr">
        <is>
          <t>Filled</t>
        </is>
      </c>
      <c r="R222" t="n">
        <v>6.5</v>
      </c>
      <c r="S222" t="inlineStr">
        <is>
          <t>Central English policy</t>
        </is>
      </c>
      <c r="T222" t="inlineStr">
        <is>
          <t>Central rule applies (value agrees)</t>
        </is>
      </c>
      <c r="U222" t="inlineStr"/>
      <c r="V222" t="inlineStr">
        <is>
          <t>Not stated on course page</t>
        </is>
      </c>
      <c r="W222" t="inlineStr"/>
      <c r="X222" t="inlineStr"/>
      <c r="Y222" t="n">
        <v>0</v>
      </c>
      <c r="Z222" t="inlineStr">
        <is>
          <t>No</t>
        </is>
      </c>
      <c r="AA222" t="inlineStr">
        <is>
          <t>Filled</t>
        </is>
      </c>
      <c r="AB222" t="inlineStr">
        <is>
          <t>on campus</t>
        </is>
      </c>
      <c r="AC222" t="inlineStr"/>
      <c r="AD222" t="n">
        <v>0</v>
      </c>
      <c r="AE222" t="inlineStr"/>
      <c r="AF222" t="inlineStr"/>
      <c r="AG222" t="inlineStr"/>
      <c r="AH222" t="inlineStr"/>
      <c r="AI222" t="inlineStr">
        <is>
          <t>Yes</t>
        </is>
      </c>
      <c r="AJ222" t="inlineStr"/>
      <c r="AK222" t="inlineStr"/>
      <c r="AL222" t="inlineStr"/>
      <c r="AM222" t="inlineStr"/>
    </row>
    <row r="223">
      <c r="A223" t="inlineStr">
        <is>
          <t>000665C</t>
        </is>
      </c>
      <c r="B223" t="inlineStr">
        <is>
          <t>Doctor of Philosophy in Agriculture</t>
        </is>
      </c>
      <c r="C223" t="inlineStr">
        <is>
          <t>Doctorate / PhD</t>
        </is>
      </c>
      <c r="D223" t="inlineStr">
        <is>
          <t>Research degree</t>
        </is>
      </c>
      <c r="E223" t="inlineStr">
        <is>
          <t>Page address no longer works</t>
        </is>
      </c>
      <c r="F223" t="inlineStr"/>
      <c r="G223" t="inlineStr">
        <is>
          <t>https://www.sydney.edu.au/courses/courses/pr/doctor-of-philosophy-in-agriculture0.html</t>
        </is>
      </c>
      <c r="H223" t="inlineStr">
        <is>
          <t>Address no longer works</t>
        </is>
      </c>
      <c r="I223" t="inlineStr"/>
      <c r="J223" t="inlineStr"/>
      <c r="K223" t="inlineStr">
        <is>
          <t>Finished, no page: every candidate address was refused by the reader or did not</t>
        </is>
      </c>
      <c r="L223" t="inlineStr">
        <is>
          <t>Page found, being read</t>
        </is>
      </c>
      <c r="M223" t="inlineStr">
        <is>
          <t>Page found, being read</t>
        </is>
      </c>
      <c r="N223" t="inlineStr"/>
      <c r="O223" t="n">
        <v>0</v>
      </c>
      <c r="P223" t="inlineStr"/>
      <c r="Q223" t="inlineStr">
        <is>
          <t>Filled</t>
        </is>
      </c>
      <c r="R223" t="n">
        <v>6.5</v>
      </c>
      <c r="S223" t="inlineStr">
        <is>
          <t>Central English policy</t>
        </is>
      </c>
      <c r="T223" t="inlineStr">
        <is>
          <t>Central rule applies (value agrees)</t>
        </is>
      </c>
      <c r="U223" t="inlineStr"/>
      <c r="V223" t="inlineStr">
        <is>
          <t>Page found, being read</t>
        </is>
      </c>
      <c r="W223" t="inlineStr"/>
      <c r="X223" t="inlineStr"/>
      <c r="Y223" t="n">
        <v>0</v>
      </c>
      <c r="Z223" t="inlineStr">
        <is>
          <t>No</t>
        </is>
      </c>
      <c r="AA223" t="inlineStr">
        <is>
          <t>Not stated on course page</t>
        </is>
      </c>
      <c r="AB223" t="inlineStr"/>
      <c r="AC223" t="inlineStr">
        <is>
          <t>Skipped: no allowed source had a value</t>
        </is>
      </c>
      <c r="AD223" t="n">
        <v>1</v>
      </c>
      <c r="AE223" t="inlineStr"/>
      <c r="AF223" t="inlineStr"/>
      <c r="AG223" t="inlineStr"/>
      <c r="AH223" t="inlineStr"/>
      <c r="AI223" t="inlineStr"/>
      <c r="AJ223" t="inlineStr"/>
      <c r="AK223" t="inlineStr"/>
      <c r="AL223" t="inlineStr"/>
      <c r="AM223" t="inlineStr"/>
    </row>
    <row r="224">
      <c r="A224" t="inlineStr">
        <is>
          <t>078876C</t>
        </is>
      </c>
      <c r="B224" t="inlineStr">
        <is>
          <t>Doctor of Philosophy in Agriculture (Cotutelle)</t>
        </is>
      </c>
      <c r="C224" t="inlineStr">
        <is>
          <t>Doctorate / PhD</t>
        </is>
      </c>
      <c r="D224" t="inlineStr">
        <is>
          <t>Research degree</t>
        </is>
      </c>
      <c r="E224" t="inlineStr">
        <is>
          <t>Page address no longer works</t>
        </is>
      </c>
      <c r="F224" t="inlineStr"/>
      <c r="G224" t="inlineStr">
        <is>
          <t>https://www.sydney.edu.au/courses/courses/pr/doctor-of-philosophy-in-agriculture-cotutelle0.html</t>
        </is>
      </c>
      <c r="H224" t="inlineStr">
        <is>
          <t>Address no longer works</t>
        </is>
      </c>
      <c r="I224" t="inlineStr"/>
      <c r="J224" t="inlineStr"/>
      <c r="K224" t="inlineStr">
        <is>
          <t>Finished, no page: every candidate address was refused by the reader or did not</t>
        </is>
      </c>
      <c r="L224" t="inlineStr">
        <is>
          <t>Page found, being read</t>
        </is>
      </c>
      <c r="M224" t="inlineStr">
        <is>
          <t>Page found, being read</t>
        </is>
      </c>
      <c r="N224" t="inlineStr"/>
      <c r="O224" t="n">
        <v>0</v>
      </c>
      <c r="P224" t="inlineStr"/>
      <c r="Q224" t="inlineStr">
        <is>
          <t>Filled</t>
        </is>
      </c>
      <c r="R224" t="n">
        <v>6.5</v>
      </c>
      <c r="S224" t="inlineStr">
        <is>
          <t>Central English policy</t>
        </is>
      </c>
      <c r="T224" t="inlineStr">
        <is>
          <t>Central rule applies (value agrees)</t>
        </is>
      </c>
      <c r="U224" t="inlineStr"/>
      <c r="V224" t="inlineStr">
        <is>
          <t>Page found, being read</t>
        </is>
      </c>
      <c r="W224" t="inlineStr"/>
      <c r="X224" t="inlineStr"/>
      <c r="Y224" t="n">
        <v>0</v>
      </c>
      <c r="Z224" t="inlineStr">
        <is>
          <t>No</t>
        </is>
      </c>
      <c r="AA224" t="inlineStr">
        <is>
          <t>Not stated on course page</t>
        </is>
      </c>
      <c r="AB224" t="inlineStr"/>
      <c r="AC224" t="inlineStr">
        <is>
          <t>Skipped: no allowed source had a value</t>
        </is>
      </c>
      <c r="AD224" t="n">
        <v>1</v>
      </c>
      <c r="AE224" t="inlineStr"/>
      <c r="AF224" t="inlineStr"/>
      <c r="AG224" t="inlineStr"/>
      <c r="AH224" t="inlineStr"/>
      <c r="AI224" t="inlineStr"/>
      <c r="AJ224" t="inlineStr"/>
      <c r="AK224" t="inlineStr"/>
      <c r="AL224" t="inlineStr"/>
      <c r="AM224" t="inlineStr"/>
    </row>
    <row r="225">
      <c r="A225" t="inlineStr">
        <is>
          <t>078877B</t>
        </is>
      </c>
      <c r="B225" t="inlineStr">
        <is>
          <t>Doctor of Philosophy in Architecture (Cotutelle)</t>
        </is>
      </c>
      <c r="C225" t="inlineStr">
        <is>
          <t>Doctorate / PhD</t>
        </is>
      </c>
      <c r="D225" t="inlineStr">
        <is>
          <t>Research degree</t>
        </is>
      </c>
      <c r="E225" t="inlineStr">
        <is>
          <t>Page address no longer works</t>
        </is>
      </c>
      <c r="F225" t="inlineStr"/>
      <c r="G225" t="inlineStr">
        <is>
          <t>https://www.sydney.edu.au/courses/courses/pr/doctor-of-philosophy-in-architecture-cotutelle0.html</t>
        </is>
      </c>
      <c r="H225" t="inlineStr">
        <is>
          <t>Address no longer works</t>
        </is>
      </c>
      <c r="I225" t="inlineStr"/>
      <c r="J225" t="inlineStr"/>
      <c r="K225" t="inlineStr">
        <is>
          <t>Finished, no page: every candidate address was refused by the reader or did not</t>
        </is>
      </c>
      <c r="L225" t="inlineStr">
        <is>
          <t>Page found, being read</t>
        </is>
      </c>
      <c r="M225" t="inlineStr">
        <is>
          <t>Page found, being read</t>
        </is>
      </c>
      <c r="N225" t="inlineStr"/>
      <c r="O225" t="n">
        <v>0</v>
      </c>
      <c r="P225" t="inlineStr"/>
      <c r="Q225" t="inlineStr">
        <is>
          <t>Filled</t>
        </is>
      </c>
      <c r="R225" t="n">
        <v>6.5</v>
      </c>
      <c r="S225" t="inlineStr">
        <is>
          <t>Central English policy</t>
        </is>
      </c>
      <c r="T225" t="inlineStr">
        <is>
          <t>Central rule applies (value agrees)</t>
        </is>
      </c>
      <c r="U225" t="inlineStr"/>
      <c r="V225" t="inlineStr">
        <is>
          <t>Page found, being read</t>
        </is>
      </c>
      <c r="W225" t="inlineStr"/>
      <c r="X225" t="inlineStr"/>
      <c r="Y225" t="n">
        <v>0</v>
      </c>
      <c r="Z225" t="inlineStr">
        <is>
          <t>No</t>
        </is>
      </c>
      <c r="AA225" t="inlineStr">
        <is>
          <t>Not stated on course page</t>
        </is>
      </c>
      <c r="AB225" t="inlineStr"/>
      <c r="AC225" t="inlineStr">
        <is>
          <t>Skipped: no allowed source had a value</t>
        </is>
      </c>
      <c r="AD225" t="n">
        <v>1</v>
      </c>
      <c r="AE225" t="inlineStr"/>
      <c r="AF225" t="inlineStr"/>
      <c r="AG225" t="inlineStr"/>
      <c r="AH225" t="inlineStr"/>
      <c r="AI225" t="inlineStr"/>
      <c r="AJ225" t="inlineStr"/>
      <c r="AK225" t="inlineStr"/>
      <c r="AL225" t="inlineStr"/>
      <c r="AM225" t="inlineStr"/>
    </row>
    <row r="226">
      <c r="A226" t="inlineStr">
        <is>
          <t>000700E</t>
        </is>
      </c>
      <c r="B226" t="inlineStr">
        <is>
          <t>Doctor of Philosophy in Arts</t>
        </is>
      </c>
      <c r="C226" t="inlineStr">
        <is>
          <t>Doctorate / PhD</t>
        </is>
      </c>
      <c r="D226" t="inlineStr">
        <is>
          <t>Research degree</t>
        </is>
      </c>
      <c r="E226" t="inlineStr">
        <is>
          <t>Page address no longer works</t>
        </is>
      </c>
      <c r="F226" t="inlineStr"/>
      <c r="G226" t="inlineStr">
        <is>
          <t>https://www.sydney.edu.au/courses/courses/pr/doctor-of-philosophy-in-arts0.html</t>
        </is>
      </c>
      <c r="H226" t="inlineStr">
        <is>
          <t>Address no longer works</t>
        </is>
      </c>
      <c r="I226" t="inlineStr"/>
      <c r="J226" t="inlineStr"/>
      <c r="K226" t="inlineStr">
        <is>
          <t>Finished, no page: every candidate address was refused by the reader or did not</t>
        </is>
      </c>
      <c r="L226" t="inlineStr">
        <is>
          <t>Page found, being read</t>
        </is>
      </c>
      <c r="M226" t="inlineStr">
        <is>
          <t>Page found, being read</t>
        </is>
      </c>
      <c r="N226" t="inlineStr"/>
      <c r="O226" t="n">
        <v>0</v>
      </c>
      <c r="P226" t="inlineStr"/>
      <c r="Q226" t="inlineStr">
        <is>
          <t>Filled</t>
        </is>
      </c>
      <c r="R226" t="n">
        <v>6.5</v>
      </c>
      <c r="S226" t="inlineStr">
        <is>
          <t>Central English policy</t>
        </is>
      </c>
      <c r="T226" t="inlineStr">
        <is>
          <t>Central rule applies (value agrees)</t>
        </is>
      </c>
      <c r="U226" t="inlineStr"/>
      <c r="V226" t="inlineStr">
        <is>
          <t>Page found, being read</t>
        </is>
      </c>
      <c r="W226" t="inlineStr"/>
      <c r="X226" t="inlineStr"/>
      <c r="Y226" t="n">
        <v>0</v>
      </c>
      <c r="Z226" t="inlineStr">
        <is>
          <t>No</t>
        </is>
      </c>
      <c r="AA226" t="inlineStr">
        <is>
          <t>Not stated on course page</t>
        </is>
      </c>
      <c r="AB226" t="inlineStr"/>
      <c r="AC226" t="inlineStr">
        <is>
          <t>Skipped: the page does not state it</t>
        </is>
      </c>
      <c r="AD226" t="n">
        <v>0</v>
      </c>
      <c r="AE226" t="inlineStr"/>
      <c r="AF226" t="inlineStr"/>
      <c r="AG226" t="inlineStr"/>
      <c r="AH226" t="inlineStr"/>
      <c r="AI226" t="inlineStr"/>
      <c r="AJ226" t="inlineStr"/>
      <c r="AK226" t="inlineStr"/>
      <c r="AL226" t="inlineStr"/>
      <c r="AM226" t="inlineStr"/>
    </row>
    <row r="227">
      <c r="A227" t="inlineStr">
        <is>
          <t>006434C</t>
        </is>
      </c>
      <c r="B227" t="inlineStr">
        <is>
          <t>Doctor of Philosophy in Dentistry</t>
        </is>
      </c>
      <c r="C227" t="inlineStr">
        <is>
          <t>Doctorate / PhD</t>
        </is>
      </c>
      <c r="D227" t="inlineStr">
        <is>
          <t>Research degree</t>
        </is>
      </c>
      <c r="E227" t="inlineStr">
        <is>
          <t>Page address no longer works</t>
        </is>
      </c>
      <c r="F227" t="inlineStr"/>
      <c r="G227" t="inlineStr">
        <is>
          <t>https://www.sydney.edu.au/courses/courses/pr/doctor-of-philosophy-in-dentistry0.html</t>
        </is>
      </c>
      <c r="H227" t="inlineStr">
        <is>
          <t>Address no longer works</t>
        </is>
      </c>
      <c r="I227" t="inlineStr"/>
      <c r="J227" t="inlineStr"/>
      <c r="K227" t="inlineStr">
        <is>
          <t>Finished, no page: every candidate address was refused by the reader or did not</t>
        </is>
      </c>
      <c r="L227" t="inlineStr">
        <is>
          <t>Page found, being read</t>
        </is>
      </c>
      <c r="M227" t="inlineStr">
        <is>
          <t>Page found, being read</t>
        </is>
      </c>
      <c r="N227" t="inlineStr"/>
      <c r="O227" t="n">
        <v>0</v>
      </c>
      <c r="P227" t="inlineStr"/>
      <c r="Q227" t="inlineStr">
        <is>
          <t>Filled</t>
        </is>
      </c>
      <c r="R227" t="n">
        <v>6.5</v>
      </c>
      <c r="S227" t="inlineStr">
        <is>
          <t>Central English policy</t>
        </is>
      </c>
      <c r="T227" t="inlineStr">
        <is>
          <t>Central rule applies (value agrees)</t>
        </is>
      </c>
      <c r="U227" t="inlineStr"/>
      <c r="V227" t="inlineStr">
        <is>
          <t>Page found, being read</t>
        </is>
      </c>
      <c r="W227" t="inlineStr"/>
      <c r="X227" t="inlineStr"/>
      <c r="Y227" t="n">
        <v>0</v>
      </c>
      <c r="Z227" t="inlineStr">
        <is>
          <t>No</t>
        </is>
      </c>
      <c r="AA227" t="inlineStr">
        <is>
          <t>Not stated on course page</t>
        </is>
      </c>
      <c r="AB227" t="inlineStr"/>
      <c r="AC227" t="inlineStr">
        <is>
          <t>Skipped: the page does not state it</t>
        </is>
      </c>
      <c r="AD227" t="n">
        <v>0</v>
      </c>
      <c r="AE227" t="inlineStr"/>
      <c r="AF227" t="inlineStr"/>
      <c r="AG227" t="inlineStr"/>
      <c r="AH227" t="inlineStr"/>
      <c r="AI227" t="inlineStr"/>
      <c r="AJ227" t="inlineStr"/>
      <c r="AK227" t="inlineStr"/>
      <c r="AL227" t="inlineStr"/>
      <c r="AM227" t="inlineStr"/>
    </row>
    <row r="228">
      <c r="A228" t="inlineStr">
        <is>
          <t>000515F</t>
        </is>
      </c>
      <c r="B228" t="inlineStr">
        <is>
          <t>Doctor of Philosophy in Education</t>
        </is>
      </c>
      <c r="C228" t="inlineStr">
        <is>
          <t>Doctorate / PhD</t>
        </is>
      </c>
      <c r="D228" t="inlineStr">
        <is>
          <t>Research degree</t>
        </is>
      </c>
      <c r="E228" t="inlineStr">
        <is>
          <t>Page address no longer works</t>
        </is>
      </c>
      <c r="F228" t="inlineStr"/>
      <c r="G228" t="inlineStr">
        <is>
          <t>https://www.sydney.edu.au/courses/courses/pr/doctor-of-philosophy-in-education0.html</t>
        </is>
      </c>
      <c r="H228" t="inlineStr">
        <is>
          <t>Address no longer works</t>
        </is>
      </c>
      <c r="I228" t="inlineStr"/>
      <c r="J228" t="inlineStr"/>
      <c r="K228" t="inlineStr">
        <is>
          <t>Finished, no page: every candidate address was refused by the reader or did not</t>
        </is>
      </c>
      <c r="L228" t="inlineStr">
        <is>
          <t>Page found, being read</t>
        </is>
      </c>
      <c r="M228" t="inlineStr">
        <is>
          <t>Page found, being read</t>
        </is>
      </c>
      <c r="N228" t="inlineStr"/>
      <c r="O228" t="n">
        <v>0</v>
      </c>
      <c r="P228" t="inlineStr"/>
      <c r="Q228" t="inlineStr">
        <is>
          <t>Filled</t>
        </is>
      </c>
      <c r="R228" t="n">
        <v>6.5</v>
      </c>
      <c r="S228" t="inlineStr">
        <is>
          <t>Central English policy</t>
        </is>
      </c>
      <c r="T228" t="inlineStr">
        <is>
          <t>Central rule applies (value agrees)</t>
        </is>
      </c>
      <c r="U228" t="inlineStr"/>
      <c r="V228" t="inlineStr">
        <is>
          <t>Page found, being read</t>
        </is>
      </c>
      <c r="W228" t="inlineStr"/>
      <c r="X228" t="inlineStr"/>
      <c r="Y228" t="n">
        <v>0</v>
      </c>
      <c r="Z228" t="inlineStr">
        <is>
          <t>No</t>
        </is>
      </c>
      <c r="AA228" t="inlineStr">
        <is>
          <t>Not stated on course page</t>
        </is>
      </c>
      <c r="AB228" t="inlineStr"/>
      <c r="AC228" t="inlineStr">
        <is>
          <t>Skipped: no allowed source had a value</t>
        </is>
      </c>
      <c r="AD228" t="n">
        <v>1</v>
      </c>
      <c r="AE228" t="inlineStr"/>
      <c r="AF228" t="inlineStr"/>
      <c r="AG228" t="inlineStr"/>
      <c r="AH228" t="inlineStr"/>
      <c r="AI228" t="inlineStr"/>
      <c r="AJ228" t="inlineStr"/>
      <c r="AK228" t="inlineStr"/>
      <c r="AL228" t="inlineStr"/>
      <c r="AM228" t="inlineStr"/>
    </row>
    <row r="229">
      <c r="A229" t="inlineStr">
        <is>
          <t>062564F</t>
        </is>
      </c>
      <c r="B229" t="inlineStr">
        <is>
          <t>Doctor of Philosophy in Education (Cotutelle)</t>
        </is>
      </c>
      <c r="C229" t="inlineStr">
        <is>
          <t>Doctorate / PhD</t>
        </is>
      </c>
      <c r="D229" t="inlineStr">
        <is>
          <t>Research degree</t>
        </is>
      </c>
      <c r="E229" t="inlineStr">
        <is>
          <t>Page address no longer works</t>
        </is>
      </c>
      <c r="F229" t="inlineStr"/>
      <c r="G229" t="inlineStr">
        <is>
          <t>https://www.sydney.edu.au/courses/courses/pr/doctor-of-philosophy-in-education-cotutelle0.html</t>
        </is>
      </c>
      <c r="H229" t="inlineStr">
        <is>
          <t>Address no longer works</t>
        </is>
      </c>
      <c r="I229" t="inlineStr"/>
      <c r="J229" t="inlineStr"/>
      <c r="K229" t="inlineStr">
        <is>
          <t>Finished, no page: every candidate address was refused by the reader or did not</t>
        </is>
      </c>
      <c r="L229" t="inlineStr">
        <is>
          <t>Page found, being read</t>
        </is>
      </c>
      <c r="M229" t="inlineStr">
        <is>
          <t>Page found, being read</t>
        </is>
      </c>
      <c r="N229" t="inlineStr"/>
      <c r="O229" t="n">
        <v>0</v>
      </c>
      <c r="P229" t="inlineStr"/>
      <c r="Q229" t="inlineStr">
        <is>
          <t>Filled</t>
        </is>
      </c>
      <c r="R229" t="n">
        <v>6.5</v>
      </c>
      <c r="S229" t="inlineStr">
        <is>
          <t>Central English policy</t>
        </is>
      </c>
      <c r="T229" t="inlineStr">
        <is>
          <t>Central rule applies (value agrees)</t>
        </is>
      </c>
      <c r="U229" t="inlineStr"/>
      <c r="V229" t="inlineStr">
        <is>
          <t>Page found, being read</t>
        </is>
      </c>
      <c r="W229" t="inlineStr"/>
      <c r="X229" t="inlineStr"/>
      <c r="Y229" t="n">
        <v>0</v>
      </c>
      <c r="Z229" t="inlineStr">
        <is>
          <t>No</t>
        </is>
      </c>
      <c r="AA229" t="inlineStr">
        <is>
          <t>Not stated on course page</t>
        </is>
      </c>
      <c r="AB229" t="inlineStr"/>
      <c r="AC229" t="inlineStr">
        <is>
          <t>Skipped: no allowed source had a value</t>
        </is>
      </c>
      <c r="AD229" t="n">
        <v>1</v>
      </c>
      <c r="AE229" t="inlineStr"/>
      <c r="AF229" t="inlineStr"/>
      <c r="AG229" t="inlineStr"/>
      <c r="AH229" t="inlineStr"/>
      <c r="AI229" t="inlineStr"/>
      <c r="AJ229" t="inlineStr"/>
      <c r="AK229" t="inlineStr"/>
      <c r="AL229" t="inlineStr"/>
      <c r="AM229" t="inlineStr"/>
    </row>
    <row r="230">
      <c r="A230" t="inlineStr">
        <is>
          <t>058697E</t>
        </is>
      </c>
      <c r="B230" t="inlineStr">
        <is>
          <t>Doctor of Philosophy in Health Sciences</t>
        </is>
      </c>
      <c r="C230" t="inlineStr">
        <is>
          <t>Doctorate / PhD</t>
        </is>
      </c>
      <c r="D230" t="inlineStr">
        <is>
          <t>Research degree</t>
        </is>
      </c>
      <c r="E230" t="inlineStr">
        <is>
          <t>Page address no longer works</t>
        </is>
      </c>
      <c r="F230" t="inlineStr"/>
      <c r="G230" t="inlineStr">
        <is>
          <t>https://www.sydney.edu.au/courses/courses/pr/doctor-of-philosophy-in-health-sciences0.html</t>
        </is>
      </c>
      <c r="H230" t="inlineStr">
        <is>
          <t>Address no longer works</t>
        </is>
      </c>
      <c r="I230" t="inlineStr"/>
      <c r="J230" t="inlineStr"/>
      <c r="K230" t="inlineStr">
        <is>
          <t>Finished, no page: every candidate address was refused by the reader or did not</t>
        </is>
      </c>
      <c r="L230" t="inlineStr">
        <is>
          <t>Page found, being read</t>
        </is>
      </c>
      <c r="M230" t="inlineStr">
        <is>
          <t>Page found, being read</t>
        </is>
      </c>
      <c r="N230" t="inlineStr"/>
      <c r="O230" t="n">
        <v>0</v>
      </c>
      <c r="P230" t="inlineStr"/>
      <c r="Q230" t="inlineStr">
        <is>
          <t>Filled</t>
        </is>
      </c>
      <c r="R230" t="n">
        <v>6.5</v>
      </c>
      <c r="S230" t="inlineStr">
        <is>
          <t>Central English policy</t>
        </is>
      </c>
      <c r="T230" t="inlineStr">
        <is>
          <t>Central rule applies (value agrees)</t>
        </is>
      </c>
      <c r="U230" t="inlineStr"/>
      <c r="V230" t="inlineStr">
        <is>
          <t>Page found, being read</t>
        </is>
      </c>
      <c r="W230" t="inlineStr"/>
      <c r="X230" t="inlineStr"/>
      <c r="Y230" t="n">
        <v>0</v>
      </c>
      <c r="Z230" t="inlineStr">
        <is>
          <t>No</t>
        </is>
      </c>
      <c r="AA230" t="inlineStr">
        <is>
          <t>Not stated on course page</t>
        </is>
      </c>
      <c r="AB230" t="inlineStr"/>
      <c r="AC230" t="inlineStr">
        <is>
          <t>Skipped: the page does not state it</t>
        </is>
      </c>
      <c r="AD230" t="n">
        <v>0</v>
      </c>
      <c r="AE230" t="inlineStr"/>
      <c r="AF230" t="inlineStr"/>
      <c r="AG230" t="inlineStr"/>
      <c r="AH230" t="inlineStr"/>
      <c r="AI230" t="inlineStr"/>
      <c r="AJ230" t="inlineStr"/>
      <c r="AK230" t="inlineStr"/>
      <c r="AL230" t="inlineStr"/>
      <c r="AM230" t="inlineStr"/>
    </row>
    <row r="231">
      <c r="A231" t="inlineStr">
        <is>
          <t>078881F</t>
        </is>
      </c>
      <c r="B231" t="inlineStr">
        <is>
          <t>Doctor of Philosophy in Law (Cotutelle)</t>
        </is>
      </c>
      <c r="C231" t="inlineStr">
        <is>
          <t>Doctorate / PhD</t>
        </is>
      </c>
      <c r="D231" t="inlineStr">
        <is>
          <t>Research degree</t>
        </is>
      </c>
      <c r="E231" t="inlineStr">
        <is>
          <t>Page address no longer works</t>
        </is>
      </c>
      <c r="F231" t="inlineStr"/>
      <c r="G231" t="inlineStr">
        <is>
          <t>https://www.sydney.edu.au/courses/courses/pr/doctor-of-philosophy-in-law-cotutelle0.html</t>
        </is>
      </c>
      <c r="H231" t="inlineStr">
        <is>
          <t>Address no longer works</t>
        </is>
      </c>
      <c r="I231" t="inlineStr"/>
      <c r="J231" t="inlineStr"/>
      <c r="K231" t="inlineStr">
        <is>
          <t>Finished, no page: every candidate address was refused by the reader or did not</t>
        </is>
      </c>
      <c r="L231" t="inlineStr">
        <is>
          <t>Page found, being read</t>
        </is>
      </c>
      <c r="M231" t="inlineStr">
        <is>
          <t>Page found, being read</t>
        </is>
      </c>
      <c r="N231" t="inlineStr"/>
      <c r="O231" t="n">
        <v>0</v>
      </c>
      <c r="P231" t="inlineStr"/>
      <c r="Q231" t="inlineStr">
        <is>
          <t>Filled</t>
        </is>
      </c>
      <c r="R231" t="n">
        <v>6.5</v>
      </c>
      <c r="S231" t="inlineStr">
        <is>
          <t>Central English policy</t>
        </is>
      </c>
      <c r="T231" t="inlineStr">
        <is>
          <t>Central rule applies (value agrees)</t>
        </is>
      </c>
      <c r="U231" t="inlineStr"/>
      <c r="V231" t="inlineStr">
        <is>
          <t>Page found, being read</t>
        </is>
      </c>
      <c r="W231" t="inlineStr"/>
      <c r="X231" t="inlineStr"/>
      <c r="Y231" t="n">
        <v>0</v>
      </c>
      <c r="Z231" t="inlineStr">
        <is>
          <t>No</t>
        </is>
      </c>
      <c r="AA231" t="inlineStr">
        <is>
          <t>Not stated on course page</t>
        </is>
      </c>
      <c r="AB231" t="inlineStr"/>
      <c r="AC231" t="inlineStr">
        <is>
          <t>Skipped: no allowed source had a value</t>
        </is>
      </c>
      <c r="AD231" t="n">
        <v>1</v>
      </c>
      <c r="AE231" t="inlineStr"/>
      <c r="AF231" t="inlineStr"/>
      <c r="AG231" t="inlineStr"/>
      <c r="AH231" t="inlineStr"/>
      <c r="AI231" t="inlineStr"/>
      <c r="AJ231" t="inlineStr"/>
      <c r="AK231" t="inlineStr"/>
      <c r="AL231" t="inlineStr"/>
      <c r="AM231" t="inlineStr"/>
    </row>
    <row r="232">
      <c r="A232" t="inlineStr">
        <is>
          <t>006455J</t>
        </is>
      </c>
      <c r="B232" t="inlineStr">
        <is>
          <t>Doctor of Philosophy in Medicine</t>
        </is>
      </c>
      <c r="C232" t="inlineStr">
        <is>
          <t>Doctorate / PhD</t>
        </is>
      </c>
      <c r="D232" t="inlineStr">
        <is>
          <t>Research degree</t>
        </is>
      </c>
      <c r="E232" t="inlineStr">
        <is>
          <t>Page address no longer works</t>
        </is>
      </c>
      <c r="F232" t="inlineStr"/>
      <c r="G232" t="inlineStr">
        <is>
          <t>https://www.sydney.edu.au/courses/courses/pr/doctor-of-philosophy-in-medicine0.html</t>
        </is>
      </c>
      <c r="H232" t="inlineStr">
        <is>
          <t>Address no longer works</t>
        </is>
      </c>
      <c r="I232" t="inlineStr"/>
      <c r="J232" t="inlineStr"/>
      <c r="K232" t="inlineStr">
        <is>
          <t>Finished, no page: every candidate address was refused by the reader or did not</t>
        </is>
      </c>
      <c r="L232" t="inlineStr">
        <is>
          <t>Page found, being read</t>
        </is>
      </c>
      <c r="M232" t="inlineStr">
        <is>
          <t>Page found, being read</t>
        </is>
      </c>
      <c r="N232" t="inlineStr"/>
      <c r="O232" t="n">
        <v>0</v>
      </c>
      <c r="P232" t="inlineStr"/>
      <c r="Q232" t="inlineStr">
        <is>
          <t>Filled</t>
        </is>
      </c>
      <c r="R232" t="n">
        <v>6.5</v>
      </c>
      <c r="S232" t="inlineStr">
        <is>
          <t>Central English policy</t>
        </is>
      </c>
      <c r="T232" t="inlineStr">
        <is>
          <t>Central rule applies (value agrees)</t>
        </is>
      </c>
      <c r="U232" t="inlineStr"/>
      <c r="V232" t="inlineStr">
        <is>
          <t>Page found, being read</t>
        </is>
      </c>
      <c r="W232" t="inlineStr"/>
      <c r="X232" t="inlineStr"/>
      <c r="Y232" t="n">
        <v>0</v>
      </c>
      <c r="Z232" t="inlineStr">
        <is>
          <t>No</t>
        </is>
      </c>
      <c r="AA232" t="inlineStr">
        <is>
          <t>Not stated on course page</t>
        </is>
      </c>
      <c r="AB232" t="inlineStr"/>
      <c r="AC232" t="inlineStr">
        <is>
          <t>Skipped: no allowed source had a value</t>
        </is>
      </c>
      <c r="AD232" t="n">
        <v>1</v>
      </c>
      <c r="AE232" t="inlineStr"/>
      <c r="AF232" t="inlineStr"/>
      <c r="AG232" t="inlineStr"/>
      <c r="AH232" t="inlineStr"/>
      <c r="AI232" t="inlineStr"/>
      <c r="AJ232" t="inlineStr"/>
      <c r="AK232" t="inlineStr"/>
      <c r="AL232" t="inlineStr"/>
      <c r="AM232" t="inlineStr"/>
    </row>
    <row r="233">
      <c r="A233" t="inlineStr">
        <is>
          <t>078882E</t>
        </is>
      </c>
      <c r="B233" t="inlineStr">
        <is>
          <t>Doctor of Philosophy in Music (Cotutelle)</t>
        </is>
      </c>
      <c r="C233" t="inlineStr">
        <is>
          <t>Doctorate / PhD</t>
        </is>
      </c>
      <c r="D233" t="inlineStr">
        <is>
          <t>Research degree</t>
        </is>
      </c>
      <c r="E233" t="inlineStr">
        <is>
          <t>Page address no longer works</t>
        </is>
      </c>
      <c r="F233" t="inlineStr"/>
      <c r="G233" t="inlineStr">
        <is>
          <t>https://www.sydney.edu.au/courses/courses/pr/doctor-of-philosophy-in-music-cotutelle0.html</t>
        </is>
      </c>
      <c r="H233" t="inlineStr">
        <is>
          <t>Address no longer works</t>
        </is>
      </c>
      <c r="I233" t="inlineStr"/>
      <c r="J233" t="inlineStr"/>
      <c r="K233" t="inlineStr">
        <is>
          <t>Finished, no page: every candidate address was refused by the reader or did not</t>
        </is>
      </c>
      <c r="L233" t="inlineStr">
        <is>
          <t>Page found, being read</t>
        </is>
      </c>
      <c r="M233" t="inlineStr">
        <is>
          <t>Page found, being read</t>
        </is>
      </c>
      <c r="N233" t="inlineStr"/>
      <c r="O233" t="n">
        <v>0</v>
      </c>
      <c r="P233" t="inlineStr"/>
      <c r="Q233" t="inlineStr">
        <is>
          <t>Filled</t>
        </is>
      </c>
      <c r="R233" t="n">
        <v>6.5</v>
      </c>
      <c r="S233" t="inlineStr">
        <is>
          <t>Central English policy</t>
        </is>
      </c>
      <c r="T233" t="inlineStr">
        <is>
          <t>Central rule applies (value agrees)</t>
        </is>
      </c>
      <c r="U233" t="inlineStr"/>
      <c r="V233" t="inlineStr">
        <is>
          <t>Page found, being read</t>
        </is>
      </c>
      <c r="W233" t="inlineStr"/>
      <c r="X233" t="inlineStr"/>
      <c r="Y233" t="n">
        <v>0</v>
      </c>
      <c r="Z233" t="inlineStr">
        <is>
          <t>No</t>
        </is>
      </c>
      <c r="AA233" t="inlineStr">
        <is>
          <t>Not stated on course page</t>
        </is>
      </c>
      <c r="AB233" t="inlineStr"/>
      <c r="AC233" t="inlineStr">
        <is>
          <t>Skipped: no allowed source had a value</t>
        </is>
      </c>
      <c r="AD233" t="n">
        <v>1</v>
      </c>
      <c r="AE233" t="inlineStr"/>
      <c r="AF233" t="inlineStr"/>
      <c r="AG233" t="inlineStr"/>
      <c r="AH233" t="inlineStr"/>
      <c r="AI233" t="inlineStr"/>
      <c r="AJ233" t="inlineStr"/>
      <c r="AK233" t="inlineStr"/>
      <c r="AL233" t="inlineStr"/>
      <c r="AM233" t="inlineStr"/>
    </row>
    <row r="234">
      <c r="A234" t="inlineStr">
        <is>
          <t>008437F</t>
        </is>
      </c>
      <c r="B234" t="inlineStr">
        <is>
          <t>Doctor of Philosophy in Nursing</t>
        </is>
      </c>
      <c r="C234" t="inlineStr">
        <is>
          <t>Doctorate / PhD</t>
        </is>
      </c>
      <c r="D234" t="inlineStr">
        <is>
          <t>Research degree</t>
        </is>
      </c>
      <c r="E234" t="inlineStr">
        <is>
          <t>Page address no longer works</t>
        </is>
      </c>
      <c r="F234" t="inlineStr"/>
      <c r="G234" t="inlineStr">
        <is>
          <t>https://www.sydney.edu.au/courses/courses/pr/doctor-of-philosophy-in-nursing0.html</t>
        </is>
      </c>
      <c r="H234" t="inlineStr">
        <is>
          <t>Address no longer works</t>
        </is>
      </c>
      <c r="I234" t="inlineStr"/>
      <c r="J234" t="inlineStr"/>
      <c r="K234" t="inlineStr">
        <is>
          <t>Finished, no page: every candidate address was refused by the reader or did not</t>
        </is>
      </c>
      <c r="L234" t="inlineStr">
        <is>
          <t>Page found, being read</t>
        </is>
      </c>
      <c r="M234" t="inlineStr">
        <is>
          <t>Page found, being read</t>
        </is>
      </c>
      <c r="N234" t="inlineStr"/>
      <c r="O234" t="n">
        <v>0</v>
      </c>
      <c r="P234" t="inlineStr"/>
      <c r="Q234" t="inlineStr">
        <is>
          <t>Filled</t>
        </is>
      </c>
      <c r="R234" t="n">
        <v>6.5</v>
      </c>
      <c r="S234" t="inlineStr">
        <is>
          <t>Central English policy</t>
        </is>
      </c>
      <c r="T234" t="inlineStr">
        <is>
          <t>Central rule applies (value agrees)</t>
        </is>
      </c>
      <c r="U234" t="inlineStr"/>
      <c r="V234" t="inlineStr">
        <is>
          <t>Page found, being read</t>
        </is>
      </c>
      <c r="W234" t="inlineStr"/>
      <c r="X234" t="inlineStr"/>
      <c r="Y234" t="n">
        <v>0</v>
      </c>
      <c r="Z234" t="inlineStr">
        <is>
          <t>No</t>
        </is>
      </c>
      <c r="AA234" t="inlineStr">
        <is>
          <t>Not stated on course page</t>
        </is>
      </c>
      <c r="AB234" t="inlineStr"/>
      <c r="AC234" t="inlineStr">
        <is>
          <t>Skipped: the page does not state it</t>
        </is>
      </c>
      <c r="AD234" t="n">
        <v>0</v>
      </c>
      <c r="AE234" t="inlineStr"/>
      <c r="AF234" t="inlineStr"/>
      <c r="AG234" t="inlineStr"/>
      <c r="AH234" t="inlineStr"/>
      <c r="AI234" t="inlineStr"/>
      <c r="AJ234" t="inlineStr"/>
      <c r="AK234" t="inlineStr"/>
      <c r="AL234" t="inlineStr"/>
      <c r="AM234" t="inlineStr"/>
    </row>
    <row r="235">
      <c r="A235" t="inlineStr">
        <is>
          <t>030522C</t>
        </is>
      </c>
      <c r="B235" t="inlineStr">
        <is>
          <t>Doctor of Philosophy in Pharmacy</t>
        </is>
      </c>
      <c r="C235" t="inlineStr">
        <is>
          <t>Doctorate / PhD</t>
        </is>
      </c>
      <c r="D235" t="inlineStr">
        <is>
          <t>Research degree</t>
        </is>
      </c>
      <c r="E235" t="inlineStr">
        <is>
          <t>Page address no longer works</t>
        </is>
      </c>
      <c r="F235" t="inlineStr"/>
      <c r="G235" t="inlineStr">
        <is>
          <t>https://www.sydney.edu.au/courses/courses/pr/doctor-of-philosophy-in-pharmacy0.html</t>
        </is>
      </c>
      <c r="H235" t="inlineStr">
        <is>
          <t>Address no longer works</t>
        </is>
      </c>
      <c r="I235" t="inlineStr"/>
      <c r="J235" t="inlineStr"/>
      <c r="K235" t="inlineStr">
        <is>
          <t>Finished, no page: every candidate address was refused by the reader or did not</t>
        </is>
      </c>
      <c r="L235" t="inlineStr">
        <is>
          <t>Page found, being read</t>
        </is>
      </c>
      <c r="M235" t="inlineStr">
        <is>
          <t>Page found, being read</t>
        </is>
      </c>
      <c r="N235" t="inlineStr"/>
      <c r="O235" t="n">
        <v>0</v>
      </c>
      <c r="P235" t="inlineStr"/>
      <c r="Q235" t="inlineStr">
        <is>
          <t>Filled</t>
        </is>
      </c>
      <c r="R235" t="n">
        <v>6.5</v>
      </c>
      <c r="S235" t="inlineStr">
        <is>
          <t>Central English policy</t>
        </is>
      </c>
      <c r="T235" t="inlineStr">
        <is>
          <t>Central rule applies (value agrees)</t>
        </is>
      </c>
      <c r="U235" t="inlineStr"/>
      <c r="V235" t="inlineStr">
        <is>
          <t>Page found, being read</t>
        </is>
      </c>
      <c r="W235" t="inlineStr"/>
      <c r="X235" t="inlineStr"/>
      <c r="Y235" t="n">
        <v>0</v>
      </c>
      <c r="Z235" t="inlineStr">
        <is>
          <t>No</t>
        </is>
      </c>
      <c r="AA235" t="inlineStr">
        <is>
          <t>Not stated on course page</t>
        </is>
      </c>
      <c r="AB235" t="inlineStr"/>
      <c r="AC235" t="inlineStr">
        <is>
          <t>Skipped: no allowed source had a value</t>
        </is>
      </c>
      <c r="AD235" t="n">
        <v>1</v>
      </c>
      <c r="AE235" t="inlineStr"/>
      <c r="AF235" t="inlineStr"/>
      <c r="AG235" t="inlineStr"/>
      <c r="AH235" t="inlineStr"/>
      <c r="AI235" t="inlineStr"/>
      <c r="AJ235" t="inlineStr"/>
      <c r="AK235" t="inlineStr"/>
      <c r="AL235" t="inlineStr"/>
      <c r="AM235" t="inlineStr"/>
    </row>
    <row r="236">
      <c r="A236" t="inlineStr">
        <is>
          <t>045639M</t>
        </is>
      </c>
      <c r="B236" t="inlineStr">
        <is>
          <t>Doctor of Philosophy in Science</t>
        </is>
      </c>
      <c r="C236" t="inlineStr">
        <is>
          <t>Doctorate / PhD</t>
        </is>
      </c>
      <c r="D236" t="inlineStr">
        <is>
          <t>Research degree</t>
        </is>
      </c>
      <c r="E236" t="inlineStr">
        <is>
          <t>Page address no longer works</t>
        </is>
      </c>
      <c r="F236" t="inlineStr"/>
      <c r="G236" t="inlineStr">
        <is>
          <t>https://www.sydney.edu.au/courses/courses/pr/doctor-of-philosophy-in-science0.html</t>
        </is>
      </c>
      <c r="H236" t="inlineStr">
        <is>
          <t>Address no longer works</t>
        </is>
      </c>
      <c r="I236" t="inlineStr"/>
      <c r="J236" t="inlineStr"/>
      <c r="K236" t="inlineStr">
        <is>
          <t>Finished, no page: every candidate address was refused by the reader or did not</t>
        </is>
      </c>
      <c r="L236" t="inlineStr">
        <is>
          <t>Page found, being read</t>
        </is>
      </c>
      <c r="M236" t="inlineStr">
        <is>
          <t>Page found, being read</t>
        </is>
      </c>
      <c r="N236" t="inlineStr"/>
      <c r="O236" t="n">
        <v>0</v>
      </c>
      <c r="P236" t="inlineStr"/>
      <c r="Q236" t="inlineStr">
        <is>
          <t>Filled</t>
        </is>
      </c>
      <c r="R236" t="n">
        <v>6.5</v>
      </c>
      <c r="S236" t="inlineStr">
        <is>
          <t>Central English policy</t>
        </is>
      </c>
      <c r="T236" t="inlineStr">
        <is>
          <t>Central rule applies (value agrees)</t>
        </is>
      </c>
      <c r="U236" t="inlineStr"/>
      <c r="V236" t="inlineStr">
        <is>
          <t>Page found, being read</t>
        </is>
      </c>
      <c r="W236" t="inlineStr"/>
      <c r="X236" t="inlineStr"/>
      <c r="Y236" t="n">
        <v>0</v>
      </c>
      <c r="Z236" t="inlineStr">
        <is>
          <t>No</t>
        </is>
      </c>
      <c r="AA236" t="inlineStr">
        <is>
          <t>Not stated on course page</t>
        </is>
      </c>
      <c r="AB236" t="inlineStr"/>
      <c r="AC236" t="inlineStr">
        <is>
          <t>Skipped: the page does not state it</t>
        </is>
      </c>
      <c r="AD236" t="n">
        <v>0</v>
      </c>
      <c r="AE236" t="inlineStr"/>
      <c r="AF236" t="inlineStr"/>
      <c r="AG236" t="inlineStr"/>
      <c r="AH236" t="inlineStr"/>
      <c r="AI236" t="inlineStr"/>
      <c r="AJ236" t="inlineStr"/>
      <c r="AK236" t="inlineStr"/>
      <c r="AL236" t="inlineStr"/>
      <c r="AM236" t="inlineStr"/>
    </row>
    <row r="237">
      <c r="A237" t="inlineStr">
        <is>
          <t>048767A</t>
        </is>
      </c>
      <c r="B237" t="inlineStr">
        <is>
          <t>Doctor of Philosophy in Science (Cotutelle)</t>
        </is>
      </c>
      <c r="C237" t="inlineStr">
        <is>
          <t>Doctorate / PhD</t>
        </is>
      </c>
      <c r="D237" t="inlineStr">
        <is>
          <t>Research degree</t>
        </is>
      </c>
      <c r="E237" t="inlineStr">
        <is>
          <t>Page address no longer works</t>
        </is>
      </c>
      <c r="F237" t="inlineStr"/>
      <c r="G237" t="inlineStr">
        <is>
          <t>https://www.sydney.edu.au/courses/courses/pr/doctor-of-philosophy-in-science-cotutelle0.html</t>
        </is>
      </c>
      <c r="H237" t="inlineStr">
        <is>
          <t>Address no longer works</t>
        </is>
      </c>
      <c r="I237" t="inlineStr"/>
      <c r="J237" t="inlineStr"/>
      <c r="K237" t="inlineStr">
        <is>
          <t>Finished, no page: every candidate address was refused by the reader or did not</t>
        </is>
      </c>
      <c r="L237" t="inlineStr">
        <is>
          <t>Page found, being read</t>
        </is>
      </c>
      <c r="M237" t="inlineStr">
        <is>
          <t>Page found, being read</t>
        </is>
      </c>
      <c r="N237" t="inlineStr"/>
      <c r="O237" t="n">
        <v>0</v>
      </c>
      <c r="P237" t="inlineStr"/>
      <c r="Q237" t="inlineStr">
        <is>
          <t>Filled</t>
        </is>
      </c>
      <c r="R237" t="n">
        <v>6.5</v>
      </c>
      <c r="S237" t="inlineStr">
        <is>
          <t>Central English policy</t>
        </is>
      </c>
      <c r="T237" t="inlineStr">
        <is>
          <t>Central rule applies (value agrees)</t>
        </is>
      </c>
      <c r="U237" t="inlineStr"/>
      <c r="V237" t="inlineStr">
        <is>
          <t>Page found, being read</t>
        </is>
      </c>
      <c r="W237" t="inlineStr"/>
      <c r="X237" t="inlineStr"/>
      <c r="Y237" t="n">
        <v>0</v>
      </c>
      <c r="Z237" t="inlineStr">
        <is>
          <t>No</t>
        </is>
      </c>
      <c r="AA237" t="inlineStr">
        <is>
          <t>Not stated on course page</t>
        </is>
      </c>
      <c r="AB237" t="inlineStr"/>
      <c r="AC237" t="inlineStr">
        <is>
          <t>Skipped: no allowed source had a value</t>
        </is>
      </c>
      <c r="AD237" t="n">
        <v>1</v>
      </c>
      <c r="AE237" t="inlineStr"/>
      <c r="AF237" t="inlineStr"/>
      <c r="AG237" t="inlineStr"/>
      <c r="AH237" t="inlineStr"/>
      <c r="AI237" t="inlineStr"/>
      <c r="AJ237" t="inlineStr"/>
      <c r="AK237" t="inlineStr"/>
      <c r="AL237" t="inlineStr"/>
      <c r="AM237" t="inlineStr"/>
    </row>
    <row r="238">
      <c r="A238" t="inlineStr">
        <is>
          <t>057117E</t>
        </is>
      </c>
      <c r="B238" t="inlineStr">
        <is>
          <t>Doctor of Philosophy in Social Work</t>
        </is>
      </c>
      <c r="C238" t="inlineStr">
        <is>
          <t>Doctorate / PhD</t>
        </is>
      </c>
      <c r="D238" t="inlineStr">
        <is>
          <t>Research degree</t>
        </is>
      </c>
      <c r="E238" t="inlineStr">
        <is>
          <t>Page address no longer works</t>
        </is>
      </c>
      <c r="F238" t="inlineStr"/>
      <c r="G238" t="inlineStr">
        <is>
          <t>https://www.sydney.edu.au/courses/courses/pr/doctor-of-philosophy-in-social-work0.html</t>
        </is>
      </c>
      <c r="H238" t="inlineStr">
        <is>
          <t>Address no longer works</t>
        </is>
      </c>
      <c r="I238" t="inlineStr"/>
      <c r="J238" t="inlineStr"/>
      <c r="K238" t="inlineStr">
        <is>
          <t>Finished, no page: every candidate address was refused by the reader or did not</t>
        </is>
      </c>
      <c r="L238" t="inlineStr">
        <is>
          <t>Page found, being read</t>
        </is>
      </c>
      <c r="M238" t="inlineStr">
        <is>
          <t>Page found, being read</t>
        </is>
      </c>
      <c r="N238" t="inlineStr"/>
      <c r="O238" t="n">
        <v>0</v>
      </c>
      <c r="P238" t="inlineStr"/>
      <c r="Q238" t="inlineStr">
        <is>
          <t>Filled</t>
        </is>
      </c>
      <c r="R238" t="n">
        <v>6.5</v>
      </c>
      <c r="S238" t="inlineStr">
        <is>
          <t>Central English policy</t>
        </is>
      </c>
      <c r="T238" t="inlineStr">
        <is>
          <t>Central rule applies (value agrees)</t>
        </is>
      </c>
      <c r="U238" t="inlineStr"/>
      <c r="V238" t="inlineStr">
        <is>
          <t>Page found, being read</t>
        </is>
      </c>
      <c r="W238" t="inlineStr"/>
      <c r="X238" t="inlineStr"/>
      <c r="Y238" t="n">
        <v>0</v>
      </c>
      <c r="Z238" t="inlineStr">
        <is>
          <t>No</t>
        </is>
      </c>
      <c r="AA238" t="inlineStr">
        <is>
          <t>Not stated on course page</t>
        </is>
      </c>
      <c r="AB238" t="inlineStr"/>
      <c r="AC238" t="inlineStr">
        <is>
          <t>Skipped: no allowed source had a value</t>
        </is>
      </c>
      <c r="AD238" t="n">
        <v>1</v>
      </c>
      <c r="AE238" t="inlineStr"/>
      <c r="AF238" t="inlineStr"/>
      <c r="AG238" t="inlineStr"/>
      <c r="AH238" t="inlineStr"/>
      <c r="AI238" t="inlineStr"/>
      <c r="AJ238" t="inlineStr"/>
      <c r="AK238" t="inlineStr"/>
      <c r="AL238" t="inlineStr"/>
      <c r="AM238" t="inlineStr"/>
    </row>
    <row r="239">
      <c r="A239" t="inlineStr">
        <is>
          <t>006461M</t>
        </is>
      </c>
      <c r="B239" t="inlineStr">
        <is>
          <t>Doctor of Philosophy in Veterinary Science</t>
        </is>
      </c>
      <c r="C239" t="inlineStr">
        <is>
          <t>Doctorate / PhD</t>
        </is>
      </c>
      <c r="D239" t="inlineStr">
        <is>
          <t>Research degree</t>
        </is>
      </c>
      <c r="E239" t="inlineStr">
        <is>
          <t>Page address no longer works</t>
        </is>
      </c>
      <c r="F239" t="inlineStr"/>
      <c r="G239" t="inlineStr">
        <is>
          <t>https://www.sydney.edu.au/courses/courses/pr/doctor-of-philosophy-in-veterinary-science0.html</t>
        </is>
      </c>
      <c r="H239" t="inlineStr">
        <is>
          <t>Address no longer works</t>
        </is>
      </c>
      <c r="I239" t="inlineStr"/>
      <c r="J239" t="inlineStr"/>
      <c r="K239" t="inlineStr">
        <is>
          <t>Finished, no page: every candidate address was refused by the reader or did not</t>
        </is>
      </c>
      <c r="L239" t="inlineStr">
        <is>
          <t>Page found, being read</t>
        </is>
      </c>
      <c r="M239" t="inlineStr">
        <is>
          <t>Page found, being read</t>
        </is>
      </c>
      <c r="N239" t="inlineStr"/>
      <c r="O239" t="n">
        <v>0</v>
      </c>
      <c r="P239" t="inlineStr"/>
      <c r="Q239" t="inlineStr">
        <is>
          <t>Filled</t>
        </is>
      </c>
      <c r="R239" t="n">
        <v>6.5</v>
      </c>
      <c r="S239" t="inlineStr">
        <is>
          <t>Central English policy</t>
        </is>
      </c>
      <c r="T239" t="inlineStr">
        <is>
          <t>Central rule applies (value agrees)</t>
        </is>
      </c>
      <c r="U239" t="inlineStr"/>
      <c r="V239" t="inlineStr">
        <is>
          <t>Page found, being read</t>
        </is>
      </c>
      <c r="W239" t="inlineStr"/>
      <c r="X239" t="inlineStr"/>
      <c r="Y239" t="n">
        <v>0</v>
      </c>
      <c r="Z239" t="inlineStr">
        <is>
          <t>No</t>
        </is>
      </c>
      <c r="AA239" t="inlineStr">
        <is>
          <t>Not stated on course page</t>
        </is>
      </c>
      <c r="AB239" t="inlineStr"/>
      <c r="AC239" t="inlineStr">
        <is>
          <t>Skipped: the page does not state it</t>
        </is>
      </c>
      <c r="AD239" t="n">
        <v>0</v>
      </c>
      <c r="AE239" t="inlineStr"/>
      <c r="AF239" t="inlineStr"/>
      <c r="AG239" t="inlineStr"/>
      <c r="AH239" t="inlineStr"/>
      <c r="AI239" t="inlineStr"/>
      <c r="AJ239" t="inlineStr"/>
      <c r="AK239" t="inlineStr"/>
      <c r="AL239" t="inlineStr"/>
      <c r="AM239" t="inlineStr"/>
    </row>
    <row r="240">
      <c r="A240" t="inlineStr">
        <is>
          <t>032886C</t>
        </is>
      </c>
      <c r="B240" t="inlineStr">
        <is>
          <t>Doctor of Philosophy in Visual Arts</t>
        </is>
      </c>
      <c r="C240" t="inlineStr">
        <is>
          <t>Doctorate / PhD</t>
        </is>
      </c>
      <c r="D240" t="inlineStr">
        <is>
          <t>Research degree</t>
        </is>
      </c>
      <c r="E240" t="inlineStr">
        <is>
          <t>Page address no longer works</t>
        </is>
      </c>
      <c r="F240" t="inlineStr"/>
      <c r="G240" t="inlineStr">
        <is>
          <t>https://www.sydney.edu.au/courses/courses/pr/doctor-of-philosophy-in-visual-arts0.html</t>
        </is>
      </c>
      <c r="H240" t="inlineStr">
        <is>
          <t>Address no longer works</t>
        </is>
      </c>
      <c r="I240" t="inlineStr"/>
      <c r="J240" t="inlineStr"/>
      <c r="K240" t="inlineStr">
        <is>
          <t>Finished, no page: every candidate address was refused by the reader or did not</t>
        </is>
      </c>
      <c r="L240" t="inlineStr">
        <is>
          <t>Page found, being read</t>
        </is>
      </c>
      <c r="M240" t="inlineStr">
        <is>
          <t>Page found, being read</t>
        </is>
      </c>
      <c r="N240" t="inlineStr"/>
      <c r="O240" t="n">
        <v>0</v>
      </c>
      <c r="P240" t="inlineStr"/>
      <c r="Q240" t="inlineStr">
        <is>
          <t>Filled</t>
        </is>
      </c>
      <c r="R240" t="n">
        <v>6.5</v>
      </c>
      <c r="S240" t="inlineStr">
        <is>
          <t>Central English policy</t>
        </is>
      </c>
      <c r="T240" t="inlineStr">
        <is>
          <t>Central rule applies (value agrees)</t>
        </is>
      </c>
      <c r="U240" t="inlineStr"/>
      <c r="V240" t="inlineStr">
        <is>
          <t>Page found, being read</t>
        </is>
      </c>
      <c r="W240" t="inlineStr"/>
      <c r="X240" t="inlineStr"/>
      <c r="Y240" t="n">
        <v>0</v>
      </c>
      <c r="Z240" t="inlineStr">
        <is>
          <t>No</t>
        </is>
      </c>
      <c r="AA240" t="inlineStr">
        <is>
          <t>Not stated on course page</t>
        </is>
      </c>
      <c r="AB240" t="inlineStr"/>
      <c r="AC240" t="inlineStr">
        <is>
          <t>Skipped: the page does not state it</t>
        </is>
      </c>
      <c r="AD240" t="n">
        <v>0</v>
      </c>
      <c r="AE240" t="inlineStr"/>
      <c r="AF240" t="inlineStr"/>
      <c r="AG240" t="inlineStr"/>
      <c r="AH240" t="inlineStr"/>
      <c r="AI240" t="inlineStr"/>
      <c r="AJ240" t="inlineStr"/>
      <c r="AK240" t="inlineStr"/>
      <c r="AL240" t="inlineStr"/>
      <c r="AM240" t="inlineStr"/>
    </row>
    <row r="241">
      <c r="A241" t="inlineStr">
        <is>
          <t>078886A</t>
        </is>
      </c>
      <c r="B241" t="inlineStr">
        <is>
          <t>Doctor of Philosophy in Visual Arts (Cotutelle)</t>
        </is>
      </c>
      <c r="C241" t="inlineStr">
        <is>
          <t>Doctorate / PhD</t>
        </is>
      </c>
      <c r="D241" t="inlineStr">
        <is>
          <t>Research degree</t>
        </is>
      </c>
      <c r="E241" t="inlineStr">
        <is>
          <t>Page address no longer works</t>
        </is>
      </c>
      <c r="F241" t="inlineStr"/>
      <c r="G241" t="inlineStr">
        <is>
          <t>https://www.sydney.edu.au/courses/courses/pr/doctor-of-philosophy-in-visual-arts-cotutelle0.html</t>
        </is>
      </c>
      <c r="H241" t="inlineStr">
        <is>
          <t>Address no longer works</t>
        </is>
      </c>
      <c r="I241" t="inlineStr"/>
      <c r="J241" t="inlineStr"/>
      <c r="K241" t="inlineStr">
        <is>
          <t>Finished, no page: every candidate address was refused by the reader or did not</t>
        </is>
      </c>
      <c r="L241" t="inlineStr">
        <is>
          <t>Page found, being read</t>
        </is>
      </c>
      <c r="M241" t="inlineStr">
        <is>
          <t>Page found, being read</t>
        </is>
      </c>
      <c r="N241" t="inlineStr"/>
      <c r="O241" t="n">
        <v>0</v>
      </c>
      <c r="P241" t="inlineStr"/>
      <c r="Q241" t="inlineStr">
        <is>
          <t>Filled</t>
        </is>
      </c>
      <c r="R241" t="n">
        <v>6.5</v>
      </c>
      <c r="S241" t="inlineStr">
        <is>
          <t>Central English policy</t>
        </is>
      </c>
      <c r="T241" t="inlineStr">
        <is>
          <t>Central rule applies (value agrees)</t>
        </is>
      </c>
      <c r="U241" t="inlineStr"/>
      <c r="V241" t="inlineStr">
        <is>
          <t>Page found, being read</t>
        </is>
      </c>
      <c r="W241" t="inlineStr"/>
      <c r="X241" t="inlineStr"/>
      <c r="Y241" t="n">
        <v>0</v>
      </c>
      <c r="Z241" t="inlineStr">
        <is>
          <t>No</t>
        </is>
      </c>
      <c r="AA241" t="inlineStr">
        <is>
          <t>Not stated on course page</t>
        </is>
      </c>
      <c r="AB241" t="inlineStr"/>
      <c r="AC241" t="inlineStr">
        <is>
          <t>Skipped: no allowed source had a value</t>
        </is>
      </c>
      <c r="AD241" t="n">
        <v>1</v>
      </c>
      <c r="AE241" t="inlineStr"/>
      <c r="AF241" t="inlineStr"/>
      <c r="AG241" t="inlineStr"/>
      <c r="AH241" t="inlineStr"/>
      <c r="AI241" t="inlineStr"/>
      <c r="AJ241" t="inlineStr"/>
      <c r="AK241" t="inlineStr"/>
      <c r="AL241" t="inlineStr"/>
      <c r="AM241" t="inlineStr"/>
    </row>
    <row r="242">
      <c r="A242" t="inlineStr">
        <is>
          <t>052971G</t>
        </is>
      </c>
      <c r="B242" t="inlineStr">
        <is>
          <t>Doctor of Philsophy in Arts ( Cotutelle)</t>
        </is>
      </c>
      <c r="C242" t="inlineStr">
        <is>
          <t>Doctorate / PhD</t>
        </is>
      </c>
      <c r="D242" t="inlineStr">
        <is>
          <t>Research degree</t>
        </is>
      </c>
      <c r="E242" t="inlineStr">
        <is>
          <t>Page address no longer works</t>
        </is>
      </c>
      <c r="F242" t="inlineStr"/>
      <c r="G242" t="inlineStr">
        <is>
          <t>https://www.sydney.edu.au/courses/courses/pr/doctor-of-philsophy-in-arts-cotutelle0.html</t>
        </is>
      </c>
      <c r="H242" t="inlineStr">
        <is>
          <t>Address no longer works</t>
        </is>
      </c>
      <c r="I242" t="inlineStr"/>
      <c r="J242" t="inlineStr"/>
      <c r="K242" t="inlineStr">
        <is>
          <t>Finished, no page: every candidate address was refused by the reader or did not</t>
        </is>
      </c>
      <c r="L242" t="inlineStr">
        <is>
          <t>Page found, being read</t>
        </is>
      </c>
      <c r="M242" t="inlineStr">
        <is>
          <t>Page found, being read</t>
        </is>
      </c>
      <c r="N242" t="inlineStr"/>
      <c r="O242" t="n">
        <v>0</v>
      </c>
      <c r="P242" t="inlineStr"/>
      <c r="Q242" t="inlineStr">
        <is>
          <t>Filled</t>
        </is>
      </c>
      <c r="R242" t="n">
        <v>6.5</v>
      </c>
      <c r="S242" t="inlineStr">
        <is>
          <t>Central English policy</t>
        </is>
      </c>
      <c r="T242" t="inlineStr">
        <is>
          <t>Central rule applies (value agrees)</t>
        </is>
      </c>
      <c r="U242" t="inlineStr"/>
      <c r="V242" t="inlineStr">
        <is>
          <t>Page found, being read</t>
        </is>
      </c>
      <c r="W242" t="inlineStr"/>
      <c r="X242" t="inlineStr"/>
      <c r="Y242" t="n">
        <v>0</v>
      </c>
      <c r="Z242" t="inlineStr">
        <is>
          <t>No</t>
        </is>
      </c>
      <c r="AA242" t="inlineStr">
        <is>
          <t>Not stated on course page</t>
        </is>
      </c>
      <c r="AB242" t="inlineStr"/>
      <c r="AC242" t="inlineStr">
        <is>
          <t>Skipped: no allowed source had a value</t>
        </is>
      </c>
      <c r="AD242" t="n">
        <v>1</v>
      </c>
      <c r="AE242" t="inlineStr"/>
      <c r="AF242" t="inlineStr"/>
      <c r="AG242" t="inlineStr"/>
      <c r="AH242" t="inlineStr"/>
      <c r="AI242" t="inlineStr"/>
      <c r="AJ242" t="inlineStr"/>
      <c r="AK242" t="inlineStr"/>
      <c r="AL242" t="inlineStr"/>
      <c r="AM242" t="inlineStr"/>
    </row>
    <row r="243">
      <c r="A243" t="inlineStr">
        <is>
          <t>052970G</t>
        </is>
      </c>
      <c r="B243" t="inlineStr">
        <is>
          <t>Doctor of Philsophy in Engineering (Cotutelle)</t>
        </is>
      </c>
      <c r="C243" t="inlineStr">
        <is>
          <t>Doctorate / PhD</t>
        </is>
      </c>
      <c r="D243" t="inlineStr">
        <is>
          <t>Research degree</t>
        </is>
      </c>
      <c r="E243" t="inlineStr">
        <is>
          <t>Page address no longer works</t>
        </is>
      </c>
      <c r="F243" t="inlineStr"/>
      <c r="G243" t="inlineStr">
        <is>
          <t>https://www.sydney.edu.au/courses/courses/pr/doctor-of-philsophy-in-engineering-cotutelle0.html</t>
        </is>
      </c>
      <c r="H243" t="inlineStr">
        <is>
          <t>Address no longer works</t>
        </is>
      </c>
      <c r="I243" t="inlineStr"/>
      <c r="J243" t="inlineStr"/>
      <c r="K243" t="inlineStr">
        <is>
          <t>Finished, no page: every candidate address was refused by the reader or did not</t>
        </is>
      </c>
      <c r="L243" t="inlineStr">
        <is>
          <t>Page found, being read</t>
        </is>
      </c>
      <c r="M243" t="inlineStr">
        <is>
          <t>Page found, being read</t>
        </is>
      </c>
      <c r="N243" t="inlineStr"/>
      <c r="O243" t="n">
        <v>0</v>
      </c>
      <c r="P243" t="inlineStr"/>
      <c r="Q243" t="inlineStr">
        <is>
          <t>Filled</t>
        </is>
      </c>
      <c r="R243" t="n">
        <v>6.5</v>
      </c>
      <c r="S243" t="inlineStr">
        <is>
          <t>Central English policy</t>
        </is>
      </c>
      <c r="T243" t="inlineStr">
        <is>
          <t>Central rule applies (value agrees)</t>
        </is>
      </c>
      <c r="U243" t="inlineStr"/>
      <c r="V243" t="inlineStr">
        <is>
          <t>Page found, being read</t>
        </is>
      </c>
      <c r="W243" t="inlineStr"/>
      <c r="X243" t="inlineStr"/>
      <c r="Y243" t="n">
        <v>0</v>
      </c>
      <c r="Z243" t="inlineStr">
        <is>
          <t>No</t>
        </is>
      </c>
      <c r="AA243" t="inlineStr">
        <is>
          <t>Not stated on course page</t>
        </is>
      </c>
      <c r="AB243" t="inlineStr"/>
      <c r="AC243" t="inlineStr">
        <is>
          <t>Skipped: no allowed source had a value</t>
        </is>
      </c>
      <c r="AD243" t="n">
        <v>1</v>
      </c>
      <c r="AE243" t="inlineStr"/>
      <c r="AF243" t="inlineStr"/>
      <c r="AG243" t="inlineStr"/>
      <c r="AH243" t="inlineStr"/>
      <c r="AI243" t="inlineStr"/>
      <c r="AJ243" t="inlineStr"/>
      <c r="AK243" t="inlineStr"/>
      <c r="AL243" t="inlineStr"/>
      <c r="AM243" t="inlineStr"/>
    </row>
    <row r="244">
      <c r="A244" t="inlineStr">
        <is>
          <t>110744M</t>
        </is>
      </c>
      <c r="B244" t="inlineStr">
        <is>
          <t>Doctor of Physiotherapy</t>
        </is>
      </c>
      <c r="C244" t="inlineStr">
        <is>
          <t>Masters Degree (Extended)</t>
        </is>
      </c>
      <c r="D244" t="inlineStr">
        <is>
          <t>Postgraduate coursework</t>
        </is>
      </c>
      <c r="E244" t="inlineStr">
        <is>
          <t>Advertised: official page in place</t>
        </is>
      </c>
      <c r="F244" t="inlineStr">
        <is>
          <t>https://www.sydney.edu.au/courses/courses/pc/doctor-of-physiotherapy.html</t>
        </is>
      </c>
      <c r="G244" t="inlineStr">
        <is>
          <t>https://www.sydney.edu.au/courses/courses/pc/doctor-of-physiotherapy.html</t>
        </is>
      </c>
      <c r="H244" t="inlineStr">
        <is>
          <t>Read</t>
        </is>
      </c>
      <c r="I244" t="inlineStr">
        <is>
          <t>Exact title match</t>
        </is>
      </c>
      <c r="J244" t="inlineStr"/>
      <c r="K244" t="inlineStr">
        <is>
          <t>Not sent to re-link</t>
        </is>
      </c>
      <c r="L244" t="inlineStr">
        <is>
          <t>Filled</t>
        </is>
      </c>
      <c r="M244" t="inlineStr">
        <is>
          <t>Not stated on course page</t>
        </is>
      </c>
      <c r="N244" t="inlineStr"/>
      <c r="O244" t="n">
        <v>0</v>
      </c>
      <c r="P244" t="inlineStr"/>
      <c r="Q244" t="inlineStr">
        <is>
          <t>Filled</t>
        </is>
      </c>
      <c r="R244" t="n">
        <v>6.5</v>
      </c>
      <c r="S244" t="inlineStr">
        <is>
          <t>Central English policy</t>
        </is>
      </c>
      <c r="T244" t="inlineStr">
        <is>
          <t>Central rule applies (value agrees)</t>
        </is>
      </c>
      <c r="U244" t="inlineStr"/>
      <c r="V244" t="inlineStr">
        <is>
          <t>Not stated on course page</t>
        </is>
      </c>
      <c r="W244" t="inlineStr"/>
      <c r="X244" t="inlineStr"/>
      <c r="Y244" t="n">
        <v>0</v>
      </c>
      <c r="Z244" t="inlineStr">
        <is>
          <t>No</t>
        </is>
      </c>
      <c r="AA244" t="inlineStr">
        <is>
          <t>Filled</t>
        </is>
      </c>
      <c r="AB244" t="inlineStr">
        <is>
          <t>on campus</t>
        </is>
      </c>
      <c r="AC244" t="inlineStr"/>
      <c r="AD244" t="n">
        <v>0</v>
      </c>
      <c r="AE244" t="inlineStr"/>
      <c r="AF244" t="inlineStr"/>
      <c r="AG244" t="inlineStr"/>
      <c r="AH244" t="inlineStr"/>
      <c r="AI244" t="inlineStr">
        <is>
          <t>Yes</t>
        </is>
      </c>
      <c r="AJ244" t="inlineStr"/>
      <c r="AK244" t="inlineStr"/>
      <c r="AL244" t="inlineStr"/>
      <c r="AM244" t="inlineStr"/>
    </row>
    <row r="245">
      <c r="A245" t="inlineStr">
        <is>
          <t>045008J</t>
        </is>
      </c>
      <c r="B245" t="inlineStr">
        <is>
          <t>Doctor of Social Sciences</t>
        </is>
      </c>
      <c r="C245" t="inlineStr">
        <is>
          <t>Doctorate / PhD</t>
        </is>
      </c>
      <c r="D245" t="inlineStr">
        <is>
          <t>Research degree</t>
        </is>
      </c>
      <c r="E245" t="inlineStr">
        <is>
          <t>Page found, needs a rendered read</t>
        </is>
      </c>
      <c r="F245" t="inlineStr"/>
      <c r="G245" t="inlineStr">
        <is>
          <t>https://www.sydney.edu.au/courses/courses/pr/doctor-of-social-sciences0.html</t>
        </is>
      </c>
      <c r="H245" t="inlineStr">
        <is>
          <t>Needs a rendered read</t>
        </is>
      </c>
      <c r="I245" t="inlineStr"/>
      <c r="J245" t="inlineStr"/>
      <c r="K245" t="inlineStr">
        <is>
          <t>Finished, no page: every candidate address was refused by the reader or did not</t>
        </is>
      </c>
      <c r="L245" t="inlineStr">
        <is>
          <t>Page found, being read</t>
        </is>
      </c>
      <c r="M245" t="inlineStr">
        <is>
          <t>Page found, being read</t>
        </is>
      </c>
      <c r="N245" t="inlineStr"/>
      <c r="O245" t="n">
        <v>0</v>
      </c>
      <c r="P245" t="inlineStr"/>
      <c r="Q245" t="inlineStr">
        <is>
          <t>Filled</t>
        </is>
      </c>
      <c r="R245" t="n">
        <v>6.5</v>
      </c>
      <c r="S245" t="inlineStr">
        <is>
          <t>Central English policy</t>
        </is>
      </c>
      <c r="T245" t="inlineStr">
        <is>
          <t>Central rule applies (value agrees)</t>
        </is>
      </c>
      <c r="U245" t="inlineStr"/>
      <c r="V245" t="inlineStr">
        <is>
          <t>Page found, being read</t>
        </is>
      </c>
      <c r="W245" t="inlineStr"/>
      <c r="X245" t="inlineStr"/>
      <c r="Y245" t="n">
        <v>0</v>
      </c>
      <c r="Z245" t="inlineStr">
        <is>
          <t>No</t>
        </is>
      </c>
      <c r="AA245" t="inlineStr">
        <is>
          <t>Not stated on course page</t>
        </is>
      </c>
      <c r="AB245" t="inlineStr"/>
      <c r="AC245" t="inlineStr">
        <is>
          <t>Skipped: the page does not state it</t>
        </is>
      </c>
      <c r="AD245" t="n">
        <v>0</v>
      </c>
      <c r="AE245" t="inlineStr">
        <is>
          <t>Yes</t>
        </is>
      </c>
      <c r="AF245" t="inlineStr"/>
      <c r="AG245" t="inlineStr"/>
      <c r="AH245" t="inlineStr"/>
      <c r="AI245" t="inlineStr"/>
      <c r="AJ245" t="inlineStr"/>
      <c r="AK245" t="inlineStr"/>
      <c r="AL245" t="inlineStr"/>
      <c r="AM245" t="inlineStr"/>
    </row>
    <row r="246">
      <c r="A246" t="inlineStr">
        <is>
          <t>045478A</t>
        </is>
      </c>
      <c r="B246" t="inlineStr">
        <is>
          <t>Doctor of Social Work</t>
        </is>
      </c>
      <c r="C246" t="inlineStr">
        <is>
          <t>Doctorate / PhD</t>
        </is>
      </c>
      <c r="D246" t="inlineStr">
        <is>
          <t>Research degree</t>
        </is>
      </c>
      <c r="E246" t="inlineStr">
        <is>
          <t>Held: page found is for another course</t>
        </is>
      </c>
      <c r="F246" t="inlineStr"/>
      <c r="G246" t="inlineStr">
        <is>
          <t>https://rp-handbooks.sydney.edu.au/handbooks/archive/2017/arts_PG/research/dr_social_work.shtml.html</t>
        </is>
      </c>
      <c r="H246" t="inlineStr">
        <is>
          <t>Not a course page</t>
        </is>
      </c>
      <c r="I246" t="inlineStr"/>
      <c r="J246" t="inlineStr"/>
      <c r="K246" t="inlineStr">
        <is>
          <t>Not sent to re-link</t>
        </is>
      </c>
      <c r="L246" t="inlineStr">
        <is>
          <t>Not stated on course page</t>
        </is>
      </c>
      <c r="M246" t="inlineStr">
        <is>
          <t>Not stated on course page</t>
        </is>
      </c>
      <c r="N246" t="inlineStr"/>
      <c r="O246" t="n">
        <v>0</v>
      </c>
      <c r="P246" t="inlineStr"/>
      <c r="Q246" t="inlineStr">
        <is>
          <t>Filled</t>
        </is>
      </c>
      <c r="R246" t="n">
        <v>6.5</v>
      </c>
      <c r="S246" t="inlineStr">
        <is>
          <t>Central English policy</t>
        </is>
      </c>
      <c r="T246" t="inlineStr">
        <is>
          <t>Central rule applies (value agrees)</t>
        </is>
      </c>
      <c r="U246" t="inlineStr"/>
      <c r="V246" t="inlineStr">
        <is>
          <t>Not stated on course page</t>
        </is>
      </c>
      <c r="W246" t="inlineStr"/>
      <c r="X246" t="inlineStr"/>
      <c r="Y246" t="n">
        <v>0</v>
      </c>
      <c r="Z246" t="inlineStr">
        <is>
          <t>No</t>
        </is>
      </c>
      <c r="AA246" t="inlineStr">
        <is>
          <t>Not stated on course page</t>
        </is>
      </c>
      <c r="AB246" t="inlineStr"/>
      <c r="AC246" t="inlineStr">
        <is>
          <t>Skipped: taken back: the page read was another course's page</t>
        </is>
      </c>
      <c r="AD246" t="n">
        <v>1</v>
      </c>
      <c r="AE246" t="inlineStr"/>
      <c r="AF246" t="inlineStr"/>
      <c r="AG246" t="inlineStr"/>
      <c r="AH246" t="inlineStr"/>
      <c r="AI246" t="inlineStr"/>
      <c r="AJ246" t="inlineStr"/>
      <c r="AK246" t="inlineStr"/>
      <c r="AL246" t="inlineStr"/>
      <c r="AM246" t="inlineStr"/>
    </row>
    <row r="247">
      <c r="A247" t="inlineStr">
        <is>
          <t>079224J</t>
        </is>
      </c>
      <c r="B247" t="inlineStr">
        <is>
          <t>Doctor of Veterinary Medicine</t>
        </is>
      </c>
      <c r="C247" t="inlineStr">
        <is>
          <t>Masters Degree (Extended)</t>
        </is>
      </c>
      <c r="D247" t="inlineStr">
        <is>
          <t>Postgraduate coursework</t>
        </is>
      </c>
      <c r="E247" t="inlineStr">
        <is>
          <t>Advertised: official page in place</t>
        </is>
      </c>
      <c r="F247" t="inlineStr">
        <is>
          <t>https://www.sydney.edu.au/courses/courses/pc/doctor-of-veterinary-medicine.html</t>
        </is>
      </c>
      <c r="G247" t="inlineStr">
        <is>
          <t>https://www.sydney.edu.au/courses/courses/pc/doctor-of-veterinary-medicine.html</t>
        </is>
      </c>
      <c r="H247" t="inlineStr">
        <is>
          <t>Read</t>
        </is>
      </c>
      <c r="I247" t="inlineStr">
        <is>
          <t>Exact title match</t>
        </is>
      </c>
      <c r="J247" t="inlineStr"/>
      <c r="K247" t="inlineStr">
        <is>
          <t>Not sent to re-link</t>
        </is>
      </c>
      <c r="L247" t="inlineStr">
        <is>
          <t>Filled</t>
        </is>
      </c>
      <c r="M247" t="inlineStr">
        <is>
          <t>Not stated on course page</t>
        </is>
      </c>
      <c r="N247" t="inlineStr"/>
      <c r="O247" t="n">
        <v>0</v>
      </c>
      <c r="P247" t="inlineStr"/>
      <c r="Q247" t="inlineStr">
        <is>
          <t>Filled</t>
        </is>
      </c>
      <c r="R247" t="n">
        <v>6.5</v>
      </c>
      <c r="S247" t="inlineStr">
        <is>
          <t>Central English policy</t>
        </is>
      </c>
      <c r="T247" t="inlineStr">
        <is>
          <t>Central rule applies (value agrees)</t>
        </is>
      </c>
      <c r="U247" t="inlineStr"/>
      <c r="V247" t="inlineStr">
        <is>
          <t>Not stated on course page</t>
        </is>
      </c>
      <c r="W247" t="inlineStr"/>
      <c r="X247" t="inlineStr"/>
      <c r="Y247" t="n">
        <v>0</v>
      </c>
      <c r="Z247" t="inlineStr">
        <is>
          <t>No</t>
        </is>
      </c>
      <c r="AA247" t="inlineStr">
        <is>
          <t>Filled</t>
        </is>
      </c>
      <c r="AB247" t="inlineStr">
        <is>
          <t>on campus</t>
        </is>
      </c>
      <c r="AC247" t="inlineStr"/>
      <c r="AD247" t="n">
        <v>0</v>
      </c>
      <c r="AE247" t="inlineStr"/>
      <c r="AF247" t="inlineStr"/>
      <c r="AG247" t="inlineStr"/>
      <c r="AH247" t="inlineStr"/>
      <c r="AI247" t="inlineStr">
        <is>
          <t>Yes</t>
        </is>
      </c>
      <c r="AJ247" t="inlineStr"/>
      <c r="AK247" t="inlineStr"/>
      <c r="AL247" t="inlineStr"/>
      <c r="AM247" t="inlineStr"/>
    </row>
    <row r="248">
      <c r="A248" t="inlineStr">
        <is>
          <t>034607K</t>
        </is>
      </c>
      <c r="B248" t="inlineStr">
        <is>
          <t>Exchange Program (One Semester)</t>
        </is>
      </c>
      <c r="C248" t="inlineStr">
        <is>
          <t>Non AQF Award</t>
        </is>
      </c>
      <c r="D248" t="inlineStr">
        <is>
          <t>Non-award</t>
        </is>
      </c>
      <c r="E248" t="inlineStr">
        <is>
          <t>No page found</t>
        </is>
      </c>
      <c r="F248" t="inlineStr"/>
      <c r="G248" t="inlineStr"/>
      <c r="H248" t="inlineStr"/>
      <c r="I248" t="inlineStr"/>
      <c r="J248" t="inlineStr"/>
      <c r="K248" t="inlineStr">
        <is>
          <t>Not sent to re-link</t>
        </is>
      </c>
      <c r="L248" t="inlineStr">
        <is>
          <t>Searching for course page</t>
        </is>
      </c>
      <c r="M248" t="inlineStr">
        <is>
          <t>Searching for course page</t>
        </is>
      </c>
      <c r="N248" t="inlineStr"/>
      <c r="O248" t="n">
        <v>0</v>
      </c>
      <c r="P248" t="inlineStr"/>
      <c r="Q248" t="inlineStr">
        <is>
          <t>Searching for course page</t>
        </is>
      </c>
      <c r="S248" t="inlineStr"/>
      <c r="T248" t="inlineStr">
        <is>
          <t>Held: level not covered by the policy default</t>
        </is>
      </c>
      <c r="U248" t="inlineStr"/>
      <c r="V248" t="inlineStr">
        <is>
          <t>Searching for course page</t>
        </is>
      </c>
      <c r="W248" t="inlineStr"/>
      <c r="X248" t="inlineStr"/>
      <c r="Y248" t="n">
        <v>0</v>
      </c>
      <c r="Z248" t="inlineStr">
        <is>
          <t>No</t>
        </is>
      </c>
      <c r="AA248" t="inlineStr">
        <is>
          <t>Not stated on course page</t>
        </is>
      </c>
      <c r="AB248" t="inlineStr"/>
      <c r="AC248" t="inlineStr">
        <is>
          <t>Skipped: no allowed source had a value</t>
        </is>
      </c>
      <c r="AD248" t="n">
        <v>0</v>
      </c>
      <c r="AE248" t="inlineStr"/>
      <c r="AF248" t="inlineStr"/>
      <c r="AG248" t="inlineStr"/>
      <c r="AH248" t="inlineStr"/>
      <c r="AI248" t="inlineStr"/>
      <c r="AJ248" t="inlineStr">
        <is>
          <t>Yes</t>
        </is>
      </c>
      <c r="AK248" t="inlineStr"/>
      <c r="AL248" t="inlineStr"/>
      <c r="AM248" t="inlineStr"/>
    </row>
    <row r="249">
      <c r="A249" t="inlineStr">
        <is>
          <t>034606M</t>
        </is>
      </c>
      <c r="B249" t="inlineStr">
        <is>
          <t>Exchange Program (One Year)</t>
        </is>
      </c>
      <c r="C249" t="inlineStr">
        <is>
          <t>Non AQF Award</t>
        </is>
      </c>
      <c r="D249" t="inlineStr">
        <is>
          <t>Non-award</t>
        </is>
      </c>
      <c r="E249" t="inlineStr">
        <is>
          <t>Page address no longer works</t>
        </is>
      </c>
      <c r="F249" t="inlineStr"/>
      <c r="G249" t="inlineStr">
        <is>
          <t>https://www.sydney.edu.au/courses/courses/pc/exchange-program-one-year.html</t>
        </is>
      </c>
      <c r="H249" t="inlineStr">
        <is>
          <t>Address no longer works</t>
        </is>
      </c>
      <c r="I249" t="inlineStr"/>
      <c r="J249" t="inlineStr"/>
      <c r="K249" t="inlineStr">
        <is>
          <t>Re-link still trying</t>
        </is>
      </c>
      <c r="L249" t="inlineStr">
        <is>
          <t>Page found, being read</t>
        </is>
      </c>
      <c r="M249" t="inlineStr">
        <is>
          <t>Page found, being read</t>
        </is>
      </c>
      <c r="N249" t="inlineStr"/>
      <c r="O249" t="n">
        <v>0</v>
      </c>
      <c r="P249" t="inlineStr"/>
      <c r="Q249" t="inlineStr">
        <is>
          <t>Page found, being read</t>
        </is>
      </c>
      <c r="S249" t="inlineStr"/>
      <c r="T249" t="inlineStr">
        <is>
          <t>Held: level not covered by the policy default</t>
        </is>
      </c>
      <c r="U249" t="inlineStr"/>
      <c r="V249" t="inlineStr">
        <is>
          <t>Page found, being read</t>
        </is>
      </c>
      <c r="W249" t="inlineStr"/>
      <c r="X249" t="inlineStr"/>
      <c r="Y249" t="n">
        <v>0</v>
      </c>
      <c r="Z249" t="inlineStr">
        <is>
          <t>No</t>
        </is>
      </c>
      <c r="AA249" t="inlineStr">
        <is>
          <t>Not stated on course page</t>
        </is>
      </c>
      <c r="AB249" t="inlineStr"/>
      <c r="AC249" t="inlineStr">
        <is>
          <t>Skipped: no allowed source had a value</t>
        </is>
      </c>
      <c r="AD249" t="n">
        <v>0</v>
      </c>
      <c r="AE249" t="inlineStr"/>
      <c r="AF249" t="inlineStr"/>
      <c r="AG249" t="inlineStr"/>
      <c r="AH249" t="inlineStr"/>
      <c r="AI249" t="inlineStr"/>
      <c r="AJ249" t="inlineStr">
        <is>
          <t>Yes</t>
        </is>
      </c>
      <c r="AK249" t="inlineStr"/>
      <c r="AL249" t="inlineStr"/>
      <c r="AM249" t="inlineStr"/>
    </row>
    <row r="250">
      <c r="A250" t="inlineStr">
        <is>
          <t>083319A</t>
        </is>
      </c>
      <c r="B250" t="inlineStr">
        <is>
          <t>Executive Master of Arts and Social Sciences</t>
        </is>
      </c>
      <c r="C250" t="inlineStr">
        <is>
          <t>Masters Degree (Coursework)</t>
        </is>
      </c>
      <c r="D250" t="inlineStr">
        <is>
          <t>Postgraduate coursework</t>
        </is>
      </c>
      <c r="E250" t="inlineStr">
        <is>
          <t>Advertised: official page in place</t>
        </is>
      </c>
      <c r="F250" t="inlineStr">
        <is>
          <t>https://rp-handbooks.sydney.edu.au/handbooks/archive/2020/arts_PG/subject_areas_eh/executive_arts_social_sciences.shtml.html</t>
        </is>
      </c>
      <c r="G250" t="inlineStr">
        <is>
          <t>https://rp-handbooks.sydney.edu.au/handbooks/archive/2020/arts_PG/subject_areas_eh/executive_arts_social_sciences.shtml.html</t>
        </is>
      </c>
      <c r="H250" t="inlineStr">
        <is>
          <t>Read</t>
        </is>
      </c>
      <c r="I250" t="inlineStr">
        <is>
          <t>Exact title match</t>
        </is>
      </c>
      <c r="J250" t="inlineStr"/>
      <c r="K250" t="inlineStr">
        <is>
          <t>Not sent to re-link</t>
        </is>
      </c>
      <c r="L250" t="inlineStr">
        <is>
          <t>Filled</t>
        </is>
      </c>
      <c r="M250" t="inlineStr">
        <is>
          <t>Not stated on course page</t>
        </is>
      </c>
      <c r="N250" t="inlineStr"/>
      <c r="O250" t="n">
        <v>0</v>
      </c>
      <c r="P250" t="inlineStr"/>
      <c r="Q250" t="inlineStr">
        <is>
          <t>Filled</t>
        </is>
      </c>
      <c r="R250" t="n">
        <v>6.5</v>
      </c>
      <c r="S250" t="inlineStr">
        <is>
          <t>Central English policy</t>
        </is>
      </c>
      <c r="T250" t="inlineStr">
        <is>
          <t>Central rule applies (value agrees)</t>
        </is>
      </c>
      <c r="U250" t="inlineStr"/>
      <c r="V250" t="inlineStr">
        <is>
          <t>Not stated on course page</t>
        </is>
      </c>
      <c r="W250" t="inlineStr"/>
      <c r="X250" t="inlineStr"/>
      <c r="Y250" t="n">
        <v>0</v>
      </c>
      <c r="Z250" t="inlineStr">
        <is>
          <t>No</t>
        </is>
      </c>
      <c r="AA250" t="inlineStr">
        <is>
          <t>Filled</t>
        </is>
      </c>
      <c r="AB250" t="inlineStr">
        <is>
          <t>blended</t>
        </is>
      </c>
      <c r="AC250" t="inlineStr">
        <is>
          <t>Filled</t>
        </is>
      </c>
      <c r="AD250" t="n">
        <v>0</v>
      </c>
      <c r="AE250" t="inlineStr"/>
      <c r="AF250" t="inlineStr"/>
      <c r="AG250" t="inlineStr"/>
      <c r="AH250" t="inlineStr"/>
      <c r="AI250" t="inlineStr">
        <is>
          <t>Yes</t>
        </is>
      </c>
      <c r="AJ250" t="inlineStr"/>
      <c r="AK250" t="inlineStr"/>
      <c r="AL250" t="inlineStr"/>
      <c r="AM250" t="inlineStr"/>
    </row>
    <row r="251">
      <c r="A251" t="inlineStr">
        <is>
          <t>063950K</t>
        </is>
      </c>
      <c r="B251" t="inlineStr">
        <is>
          <t>Graduate  Certificate in Health Communication</t>
        </is>
      </c>
      <c r="C251" t="inlineStr">
        <is>
          <t>Graduate Certificate</t>
        </is>
      </c>
      <c r="D251" t="inlineStr">
        <is>
          <t>Postgraduate coursework</t>
        </is>
      </c>
      <c r="E251" t="inlineStr">
        <is>
          <t>Page found, needs a rendered read</t>
        </is>
      </c>
      <c r="F251" t="inlineStr"/>
      <c r="G251" t="inlineStr">
        <is>
          <t>https://www.sydney.edu.au/courses/courses/pc/graduate-certificate-in-health-communication.html</t>
        </is>
      </c>
      <c r="H251" t="inlineStr">
        <is>
          <t>Needs a rendered read</t>
        </is>
      </c>
      <c r="I251" t="inlineStr"/>
      <c r="J251" t="inlineStr"/>
      <c r="K251" t="inlineStr">
        <is>
          <t>Finished, no page: every candidate address was refused by the reader or did not</t>
        </is>
      </c>
      <c r="L251" t="inlineStr">
        <is>
          <t>Page found, being read</t>
        </is>
      </c>
      <c r="M251" t="inlineStr">
        <is>
          <t>Page found, being read</t>
        </is>
      </c>
      <c r="N251" t="inlineStr"/>
      <c r="O251" t="n">
        <v>0</v>
      </c>
      <c r="P251" t="inlineStr"/>
      <c r="Q251" t="inlineStr">
        <is>
          <t>Filled</t>
        </is>
      </c>
      <c r="R251" t="n">
        <v>6.5</v>
      </c>
      <c r="S251" t="inlineStr">
        <is>
          <t>Central English policy</t>
        </is>
      </c>
      <c r="T251" t="inlineStr">
        <is>
          <t>Central rule applies (value agrees)</t>
        </is>
      </c>
      <c r="U251" t="inlineStr"/>
      <c r="V251" t="inlineStr">
        <is>
          <t>Page found, being read</t>
        </is>
      </c>
      <c r="W251" t="inlineStr"/>
      <c r="X251" t="inlineStr"/>
      <c r="Y251" t="n">
        <v>0</v>
      </c>
      <c r="Z251" t="inlineStr">
        <is>
          <t>No</t>
        </is>
      </c>
      <c r="AA251" t="inlineStr">
        <is>
          <t>Not stated on course page</t>
        </is>
      </c>
      <c r="AB251" t="inlineStr"/>
      <c r="AC251" t="inlineStr">
        <is>
          <t>Skipped: no allowed source had a value</t>
        </is>
      </c>
      <c r="AD251" t="n">
        <v>1</v>
      </c>
      <c r="AE251" t="inlineStr">
        <is>
          <t>Yes</t>
        </is>
      </c>
      <c r="AF251" t="inlineStr"/>
      <c r="AG251" t="inlineStr"/>
      <c r="AH251" t="inlineStr"/>
      <c r="AI251" t="inlineStr"/>
      <c r="AJ251" t="inlineStr"/>
      <c r="AK251" t="inlineStr"/>
      <c r="AL251" t="inlineStr"/>
      <c r="AM251" t="inlineStr"/>
    </row>
    <row r="252">
      <c r="A252" t="inlineStr">
        <is>
          <t>086047G</t>
        </is>
      </c>
      <c r="B252" t="inlineStr">
        <is>
          <t>Graduate Academic Skills</t>
        </is>
      </c>
      <c r="C252" t="inlineStr">
        <is>
          <t>Non AQF Award</t>
        </is>
      </c>
      <c r="D252" t="inlineStr">
        <is>
          <t>Non-award</t>
        </is>
      </c>
      <c r="E252" t="inlineStr">
        <is>
          <t>Advertised: official page in place</t>
        </is>
      </c>
      <c r="F252" t="inlineStr">
        <is>
          <t>https://www.sydney.edu.au/cet/programs/succeed/graduate-academic-skills.html</t>
        </is>
      </c>
      <c r="G252" t="inlineStr">
        <is>
          <t>https://www.sydney.edu.au/cet/programs/succeed/graduate-academic-skills.html</t>
        </is>
      </c>
      <c r="H252" t="inlineStr">
        <is>
          <t>Read</t>
        </is>
      </c>
      <c r="I252" t="inlineStr">
        <is>
          <t>CRICOS code on page</t>
        </is>
      </c>
      <c r="J252" t="inlineStr"/>
      <c r="K252" t="inlineStr">
        <is>
          <t>Not sent to re-link</t>
        </is>
      </c>
      <c r="L252" t="inlineStr">
        <is>
          <t>Filled</t>
        </is>
      </c>
      <c r="M252" t="inlineStr">
        <is>
          <t>Value found, being checked</t>
        </is>
      </c>
      <c r="N252" t="inlineStr"/>
      <c r="O252" t="n">
        <v>0</v>
      </c>
      <c r="P252" t="inlineStr"/>
      <c r="Q252" t="inlineStr">
        <is>
          <t>Filled</t>
        </is>
      </c>
      <c r="R252" t="n">
        <v>6.5</v>
      </c>
      <c r="S252" t="inlineStr">
        <is>
          <t>Other</t>
        </is>
      </c>
      <c r="T252" t="inlineStr">
        <is>
          <t>Held: level not covered by the policy default</t>
        </is>
      </c>
      <c r="U252" t="inlineStr"/>
      <c r="V252" t="inlineStr">
        <is>
          <t>Filled</t>
        </is>
      </c>
      <c r="W252" t="inlineStr">
        <is>
          <t>May, December</t>
        </is>
      </c>
      <c r="X252" t="inlineStr">
        <is>
          <t>Other</t>
        </is>
      </c>
      <c r="Y252" t="n">
        <v>0</v>
      </c>
      <c r="Z252" t="inlineStr">
        <is>
          <t>No</t>
        </is>
      </c>
      <c r="AA252" t="inlineStr">
        <is>
          <t>Filled</t>
        </is>
      </c>
      <c r="AB252" t="inlineStr">
        <is>
          <t>on campus</t>
        </is>
      </c>
      <c r="AC252" t="inlineStr">
        <is>
          <t>Filled</t>
        </is>
      </c>
      <c r="AD252" t="n">
        <v>0</v>
      </c>
      <c r="AE252" t="inlineStr"/>
      <c r="AF252" t="inlineStr">
        <is>
          <t>Yes</t>
        </is>
      </c>
      <c r="AG252" t="inlineStr"/>
      <c r="AH252" t="inlineStr"/>
      <c r="AI252" t="inlineStr"/>
      <c r="AJ252" t="inlineStr"/>
      <c r="AK252" t="inlineStr"/>
      <c r="AL252" t="inlineStr"/>
      <c r="AM252" t="inlineStr"/>
    </row>
    <row r="253">
      <c r="A253" t="inlineStr">
        <is>
          <t>082894M</t>
        </is>
      </c>
      <c r="B253" t="inlineStr">
        <is>
          <t>Graduate Certificate in Architectural Science</t>
        </is>
      </c>
      <c r="C253" t="inlineStr">
        <is>
          <t>Graduate Certificate</t>
        </is>
      </c>
      <c r="D253" t="inlineStr">
        <is>
          <t>Postgraduate coursework</t>
        </is>
      </c>
      <c r="E253" t="inlineStr">
        <is>
          <t>Advertised: official page in place</t>
        </is>
      </c>
      <c r="F253" t="inlineStr">
        <is>
          <t>https://www.sydney.edu.au/handbooks/archive/2025/architecture/postgraduate/architectural-science/building-services.html</t>
        </is>
      </c>
      <c r="G253" t="inlineStr">
        <is>
          <t>https://www.sydney.edu.au/handbooks/archive/2025/architecture/postgraduate/architectural-science/building-services.html</t>
        </is>
      </c>
      <c r="H253" t="inlineStr">
        <is>
          <t>Read</t>
        </is>
      </c>
      <c r="I253" t="inlineStr">
        <is>
          <t>Exact title match</t>
        </is>
      </c>
      <c r="J253" t="inlineStr"/>
      <c r="K253" t="inlineStr">
        <is>
          <t>Not sent to re-link</t>
        </is>
      </c>
      <c r="L253" t="inlineStr">
        <is>
          <t>Filled</t>
        </is>
      </c>
      <c r="M253" t="inlineStr">
        <is>
          <t>Not stated on course page</t>
        </is>
      </c>
      <c r="N253" t="inlineStr"/>
      <c r="O253" t="n">
        <v>0</v>
      </c>
      <c r="P253" t="inlineStr"/>
      <c r="Q253" t="inlineStr">
        <is>
          <t>Filled</t>
        </is>
      </c>
      <c r="R253" t="n">
        <v>6.5</v>
      </c>
      <c r="S253" t="inlineStr">
        <is>
          <t>Central English policy</t>
        </is>
      </c>
      <c r="T253" t="inlineStr">
        <is>
          <t>Central rule applies (value agrees)</t>
        </is>
      </c>
      <c r="U253" t="inlineStr"/>
      <c r="V253" t="inlineStr">
        <is>
          <t>Not stated on course page</t>
        </is>
      </c>
      <c r="W253" t="inlineStr"/>
      <c r="X253" t="inlineStr"/>
      <c r="Y253" t="n">
        <v>0</v>
      </c>
      <c r="Z253" t="inlineStr">
        <is>
          <t>No</t>
        </is>
      </c>
      <c r="AA253" t="inlineStr">
        <is>
          <t>Not stated on course page</t>
        </is>
      </c>
      <c r="AB253" t="inlineStr"/>
      <c r="AC253" t="inlineStr">
        <is>
          <t>Skipped: the page does not state it</t>
        </is>
      </c>
      <c r="AD253" t="n">
        <v>0</v>
      </c>
      <c r="AE253" t="inlineStr"/>
      <c r="AF253" t="inlineStr"/>
      <c r="AG253" t="inlineStr"/>
      <c r="AH253" t="inlineStr"/>
      <c r="AI253" t="inlineStr">
        <is>
          <t>Yes</t>
        </is>
      </c>
      <c r="AJ253" t="inlineStr"/>
      <c r="AK253" t="inlineStr"/>
      <c r="AL253" t="inlineStr"/>
      <c r="AM253" t="inlineStr"/>
    </row>
    <row r="254">
      <c r="A254" t="inlineStr">
        <is>
          <t>079209G</t>
        </is>
      </c>
      <c r="B254" t="inlineStr">
        <is>
          <t>Graduate Certificate in Art Curating</t>
        </is>
      </c>
      <c r="C254" t="inlineStr">
        <is>
          <t>Graduate Certificate</t>
        </is>
      </c>
      <c r="D254" t="inlineStr">
        <is>
          <t>Postgraduate coursework</t>
        </is>
      </c>
      <c r="E254" t="inlineStr">
        <is>
          <t>Advertised: official page in place</t>
        </is>
      </c>
      <c r="F254" t="inlineStr">
        <is>
          <t>https://www.sydney.edu.au/courses/courses/pc/graduate-certificate-in-art-curating.html</t>
        </is>
      </c>
      <c r="G254" t="inlineStr">
        <is>
          <t>https://www.sydney.edu.au/courses/courses/pc/graduate-certificate-in-art-curating.html</t>
        </is>
      </c>
      <c r="H254" t="inlineStr">
        <is>
          <t>Read</t>
        </is>
      </c>
      <c r="I254" t="inlineStr">
        <is>
          <t>Exact title match</t>
        </is>
      </c>
      <c r="J254" t="inlineStr"/>
      <c r="K254" t="inlineStr">
        <is>
          <t>Not sent to re-link</t>
        </is>
      </c>
      <c r="L254" t="inlineStr">
        <is>
          <t>Filled</t>
        </is>
      </c>
      <c r="M254" t="inlineStr">
        <is>
          <t>Not stated on course page</t>
        </is>
      </c>
      <c r="N254" t="inlineStr"/>
      <c r="O254" t="n">
        <v>0</v>
      </c>
      <c r="P254" t="inlineStr"/>
      <c r="Q254" t="inlineStr">
        <is>
          <t>Filled</t>
        </is>
      </c>
      <c r="R254" t="n">
        <v>6.5</v>
      </c>
      <c r="S254" t="inlineStr">
        <is>
          <t>Central English policy</t>
        </is>
      </c>
      <c r="T254" t="inlineStr">
        <is>
          <t>Central rule applies (value agrees)</t>
        </is>
      </c>
      <c r="U254" t="inlineStr"/>
      <c r="V254" t="inlineStr">
        <is>
          <t>Not stated on course page</t>
        </is>
      </c>
      <c r="W254" t="inlineStr"/>
      <c r="X254" t="inlineStr"/>
      <c r="Y254" t="n">
        <v>0</v>
      </c>
      <c r="Z254" t="inlineStr">
        <is>
          <t>No</t>
        </is>
      </c>
      <c r="AA254" t="inlineStr">
        <is>
          <t>Filled</t>
        </is>
      </c>
      <c r="AB254" t="inlineStr">
        <is>
          <t>on campus</t>
        </is>
      </c>
      <c r="AC254" t="inlineStr"/>
      <c r="AD254" t="n">
        <v>0</v>
      </c>
      <c r="AE254" t="inlineStr"/>
      <c r="AF254" t="inlineStr"/>
      <c r="AG254" t="inlineStr"/>
      <c r="AH254" t="inlineStr"/>
      <c r="AI254" t="inlineStr">
        <is>
          <t>Yes</t>
        </is>
      </c>
      <c r="AJ254" t="inlineStr"/>
      <c r="AK254" t="inlineStr"/>
      <c r="AL254" t="inlineStr"/>
      <c r="AM254" t="inlineStr"/>
    </row>
    <row r="255">
      <c r="A255" t="inlineStr">
        <is>
          <t>063951J</t>
        </is>
      </c>
      <c r="B255" t="inlineStr">
        <is>
          <t>Graduate Certificate in Art Curatorship</t>
        </is>
      </c>
      <c r="C255" t="inlineStr">
        <is>
          <t>Graduate Certificate</t>
        </is>
      </c>
      <c r="D255" t="inlineStr">
        <is>
          <t>Postgraduate coursework</t>
        </is>
      </c>
      <c r="E255" t="inlineStr">
        <is>
          <t>Page address no longer works</t>
        </is>
      </c>
      <c r="F255" t="inlineStr"/>
      <c r="G255" t="inlineStr">
        <is>
          <t>https://www.sydney.edu.au/courses/courses/pc/graduate-certificate-in-art-curatorship.html</t>
        </is>
      </c>
      <c r="H255" t="inlineStr">
        <is>
          <t>Address no longer works</t>
        </is>
      </c>
      <c r="I255" t="inlineStr"/>
      <c r="J255" t="inlineStr"/>
      <c r="K255" t="inlineStr">
        <is>
          <t>Finished, no page: every candidate address was refused by the reader or did not</t>
        </is>
      </c>
      <c r="L255" t="inlineStr">
        <is>
          <t>Page found, being read</t>
        </is>
      </c>
      <c r="M255" t="inlineStr">
        <is>
          <t>Page found, being read</t>
        </is>
      </c>
      <c r="N255" t="inlineStr"/>
      <c r="O255" t="n">
        <v>0</v>
      </c>
      <c r="P255" t="inlineStr"/>
      <c r="Q255" t="inlineStr">
        <is>
          <t>Filled</t>
        </is>
      </c>
      <c r="R255" t="n">
        <v>6.5</v>
      </c>
      <c r="S255" t="inlineStr">
        <is>
          <t>Central English policy</t>
        </is>
      </c>
      <c r="T255" t="inlineStr">
        <is>
          <t>Central rule applies (value agrees)</t>
        </is>
      </c>
      <c r="U255" t="inlineStr"/>
      <c r="V255" t="inlineStr">
        <is>
          <t>Page found, being read</t>
        </is>
      </c>
      <c r="W255" t="inlineStr"/>
      <c r="X255" t="inlineStr"/>
      <c r="Y255" t="n">
        <v>0</v>
      </c>
      <c r="Z255" t="inlineStr">
        <is>
          <t>No</t>
        </is>
      </c>
      <c r="AA255" t="inlineStr">
        <is>
          <t>Not stated on course page</t>
        </is>
      </c>
      <c r="AB255" t="inlineStr"/>
      <c r="AC255" t="inlineStr">
        <is>
          <t>Skipped: no allowed source had a value</t>
        </is>
      </c>
      <c r="AD255" t="n">
        <v>1</v>
      </c>
      <c r="AE255" t="inlineStr"/>
      <c r="AF255" t="inlineStr"/>
      <c r="AG255" t="inlineStr"/>
      <c r="AH255" t="inlineStr"/>
      <c r="AI255" t="inlineStr"/>
      <c r="AJ255" t="inlineStr"/>
      <c r="AK255" t="inlineStr"/>
      <c r="AL255" t="inlineStr"/>
      <c r="AM255" t="inlineStr"/>
    </row>
    <row r="256">
      <c r="A256" t="inlineStr">
        <is>
          <t>081031M</t>
        </is>
      </c>
      <c r="B256" t="inlineStr">
        <is>
          <t>Graduate Certificate in Bioethics</t>
        </is>
      </c>
      <c r="C256" t="inlineStr">
        <is>
          <t>Graduate Certificate</t>
        </is>
      </c>
      <c r="D256" t="inlineStr">
        <is>
          <t>Postgraduate coursework</t>
        </is>
      </c>
      <c r="E256" t="inlineStr">
        <is>
          <t>Advertised: official page in place</t>
        </is>
      </c>
      <c r="F256" t="inlineStr">
        <is>
          <t>https://www.sydney.edu.au/courses/courses/pc/graduate-certificate-in-bioethics.html</t>
        </is>
      </c>
      <c r="G256" t="inlineStr">
        <is>
          <t>https://www.sydney.edu.au/courses/courses/pc/graduate-certificate-in-bioethics.html</t>
        </is>
      </c>
      <c r="H256" t="inlineStr">
        <is>
          <t>Read</t>
        </is>
      </c>
      <c r="I256" t="inlineStr">
        <is>
          <t>Exact title match</t>
        </is>
      </c>
      <c r="J256" t="inlineStr"/>
      <c r="K256" t="inlineStr">
        <is>
          <t>Not sent to re-link</t>
        </is>
      </c>
      <c r="L256" t="inlineStr">
        <is>
          <t>Filled</t>
        </is>
      </c>
      <c r="M256" t="inlineStr">
        <is>
          <t>Not stated on course page</t>
        </is>
      </c>
      <c r="N256" t="inlineStr"/>
      <c r="O256" t="n">
        <v>0</v>
      </c>
      <c r="P256" t="inlineStr"/>
      <c r="Q256" t="inlineStr">
        <is>
          <t>Filled</t>
        </is>
      </c>
      <c r="R256" t="n">
        <v>6.5</v>
      </c>
      <c r="S256" t="inlineStr">
        <is>
          <t>Central English policy</t>
        </is>
      </c>
      <c r="T256" t="inlineStr">
        <is>
          <t>Central rule applies (value agrees)</t>
        </is>
      </c>
      <c r="U256" t="inlineStr"/>
      <c r="V256" t="inlineStr">
        <is>
          <t>Not stated on course page</t>
        </is>
      </c>
      <c r="W256" t="inlineStr"/>
      <c r="X256" t="inlineStr"/>
      <c r="Y256" t="n">
        <v>0</v>
      </c>
      <c r="Z256" t="inlineStr">
        <is>
          <t>No</t>
        </is>
      </c>
      <c r="AA256" t="inlineStr">
        <is>
          <t>Filled</t>
        </is>
      </c>
      <c r="AB256" t="inlineStr">
        <is>
          <t>on campus</t>
        </is>
      </c>
      <c r="AC256" t="inlineStr"/>
      <c r="AD256" t="n">
        <v>0</v>
      </c>
      <c r="AE256" t="inlineStr"/>
      <c r="AF256" t="inlineStr"/>
      <c r="AG256" t="inlineStr"/>
      <c r="AH256" t="inlineStr"/>
      <c r="AI256" t="inlineStr">
        <is>
          <t>Yes</t>
        </is>
      </c>
      <c r="AJ256" t="inlineStr"/>
      <c r="AK256" t="inlineStr"/>
      <c r="AL256" t="inlineStr"/>
      <c r="AM256" t="inlineStr"/>
    </row>
    <row r="257">
      <c r="A257" t="inlineStr">
        <is>
          <t>102406G</t>
        </is>
      </c>
      <c r="B257" t="inlineStr">
        <is>
          <t>Graduate Certificate in Biomedical Science (Infection and Immunity)</t>
        </is>
      </c>
      <c r="C257" t="inlineStr">
        <is>
          <t>Graduate Certificate</t>
        </is>
      </c>
      <c r="D257" t="inlineStr">
        <is>
          <t>Postgraduate coursework</t>
        </is>
      </c>
      <c r="E257" t="inlineStr">
        <is>
          <t>Advertised: official page in place</t>
        </is>
      </c>
      <c r="F257" t="inlineStr">
        <is>
          <t>https://www.sydney.edu.au/courses/courses/pc/graduate-certificate-in-biomedical-science-infection-and-immunity.html</t>
        </is>
      </c>
      <c r="G257" t="inlineStr">
        <is>
          <t>https://www.sydney.edu.au/courses/courses/pc/graduate-certificate-in-biomedical-science-infection-and-immunity.html</t>
        </is>
      </c>
      <c r="H257" t="inlineStr">
        <is>
          <t>Read</t>
        </is>
      </c>
      <c r="I257" t="inlineStr">
        <is>
          <t>Exact title match</t>
        </is>
      </c>
      <c r="J257" t="inlineStr"/>
      <c r="K257" t="inlineStr">
        <is>
          <t>Not sent to re-link</t>
        </is>
      </c>
      <c r="L257" t="inlineStr">
        <is>
          <t>Filled</t>
        </is>
      </c>
      <c r="M257" t="inlineStr">
        <is>
          <t>Not stated on course page</t>
        </is>
      </c>
      <c r="N257" t="inlineStr"/>
      <c r="O257" t="n">
        <v>0</v>
      </c>
      <c r="P257" t="inlineStr"/>
      <c r="Q257" t="inlineStr">
        <is>
          <t>Filled</t>
        </is>
      </c>
      <c r="R257" t="n">
        <v>6.5</v>
      </c>
      <c r="S257" t="inlineStr">
        <is>
          <t>Central English policy</t>
        </is>
      </c>
      <c r="T257" t="inlineStr">
        <is>
          <t>Central rule applies (value agrees)</t>
        </is>
      </c>
      <c r="U257" t="inlineStr"/>
      <c r="V257" t="inlineStr">
        <is>
          <t>Not stated on course page</t>
        </is>
      </c>
      <c r="W257" t="inlineStr"/>
      <c r="X257" t="inlineStr"/>
      <c r="Y257" t="n">
        <v>0</v>
      </c>
      <c r="Z257" t="inlineStr">
        <is>
          <t>No</t>
        </is>
      </c>
      <c r="AA257" t="inlineStr">
        <is>
          <t>Filled</t>
        </is>
      </c>
      <c r="AB257" t="inlineStr">
        <is>
          <t>on campus</t>
        </is>
      </c>
      <c r="AC257" t="inlineStr"/>
      <c r="AD257" t="n">
        <v>0</v>
      </c>
      <c r="AE257" t="inlineStr"/>
      <c r="AF257" t="inlineStr"/>
      <c r="AG257" t="inlineStr"/>
      <c r="AH257" t="inlineStr"/>
      <c r="AI257" t="inlineStr">
        <is>
          <t>Yes</t>
        </is>
      </c>
      <c r="AJ257" t="inlineStr"/>
      <c r="AK257" t="inlineStr"/>
      <c r="AL257" t="inlineStr"/>
      <c r="AM257" t="inlineStr"/>
    </row>
    <row r="258">
      <c r="A258" t="inlineStr">
        <is>
          <t>068827F</t>
        </is>
      </c>
      <c r="B258" t="inlineStr">
        <is>
          <t>Graduate Certificate in Brain and Mind Sciences</t>
        </is>
      </c>
      <c r="C258" t="inlineStr">
        <is>
          <t>Graduate Certificate</t>
        </is>
      </c>
      <c r="D258" t="inlineStr">
        <is>
          <t>Postgraduate coursework</t>
        </is>
      </c>
      <c r="E258" t="inlineStr">
        <is>
          <t>Advertised: official page in place</t>
        </is>
      </c>
      <c r="F258" t="inlineStr">
        <is>
          <t>https://www.sydney.edu.au/courses/courses/pc/graduate-certificate-in-brain-and-mind-sciences.html</t>
        </is>
      </c>
      <c r="G258" t="inlineStr">
        <is>
          <t>https://www.sydney.edu.au/courses/courses/pc/graduate-certificate-in-brain-and-mind-sciences.html</t>
        </is>
      </c>
      <c r="H258" t="inlineStr">
        <is>
          <t>Read</t>
        </is>
      </c>
      <c r="I258" t="inlineStr">
        <is>
          <t>Exact title match</t>
        </is>
      </c>
      <c r="J258" t="inlineStr"/>
      <c r="K258" t="inlineStr">
        <is>
          <t>Not sent to re-link</t>
        </is>
      </c>
      <c r="L258" t="inlineStr">
        <is>
          <t>Filled</t>
        </is>
      </c>
      <c r="M258" t="inlineStr">
        <is>
          <t>Not stated on course page</t>
        </is>
      </c>
      <c r="N258" t="inlineStr"/>
      <c r="O258" t="n">
        <v>0</v>
      </c>
      <c r="P258" t="inlineStr"/>
      <c r="Q258" t="inlineStr">
        <is>
          <t>Filled</t>
        </is>
      </c>
      <c r="R258" t="n">
        <v>6.5</v>
      </c>
      <c r="S258" t="inlineStr">
        <is>
          <t>Central English policy</t>
        </is>
      </c>
      <c r="T258" t="inlineStr">
        <is>
          <t>Central rule applies (value agrees)</t>
        </is>
      </c>
      <c r="U258" t="inlineStr"/>
      <c r="V258" t="inlineStr">
        <is>
          <t>Not stated on course page</t>
        </is>
      </c>
      <c r="W258" t="inlineStr"/>
      <c r="X258" t="inlineStr"/>
      <c r="Y258" t="n">
        <v>0</v>
      </c>
      <c r="Z258" t="inlineStr">
        <is>
          <t>No</t>
        </is>
      </c>
      <c r="AA258" t="inlineStr">
        <is>
          <t>Filled</t>
        </is>
      </c>
      <c r="AB258" t="inlineStr">
        <is>
          <t>online</t>
        </is>
      </c>
      <c r="AC258" t="inlineStr"/>
      <c r="AD258" t="n">
        <v>0</v>
      </c>
      <c r="AE258" t="inlineStr"/>
      <c r="AF258" t="inlineStr"/>
      <c r="AG258" t="inlineStr"/>
      <c r="AH258" t="inlineStr"/>
      <c r="AI258" t="inlineStr">
        <is>
          <t>Yes</t>
        </is>
      </c>
      <c r="AJ258" t="inlineStr"/>
      <c r="AK258" t="inlineStr"/>
      <c r="AL258" t="inlineStr"/>
      <c r="AM258" t="inlineStr"/>
    </row>
    <row r="259">
      <c r="A259" t="inlineStr">
        <is>
          <t>116198F</t>
        </is>
      </c>
      <c r="B259" t="inlineStr">
        <is>
          <t>Graduate Certificate in Building Performance and Sustainable Design</t>
        </is>
      </c>
      <c r="C259" t="inlineStr">
        <is>
          <t>Graduate Certificate</t>
        </is>
      </c>
      <c r="D259" t="inlineStr">
        <is>
          <t>Postgraduate coursework</t>
        </is>
      </c>
      <c r="E259" t="inlineStr">
        <is>
          <t>Advertised: official page in place</t>
        </is>
      </c>
      <c r="F259" t="inlineStr">
        <is>
          <t>https://www.sydney.edu.au/courses/courses/pc/graduate-certificate-in-building-performance-and-sustainable-design.html</t>
        </is>
      </c>
      <c r="G259" t="inlineStr">
        <is>
          <t>https://www.sydney.edu.au/courses/courses/pc/graduate-certificate-in-building-performance-and-sustainable-design.html</t>
        </is>
      </c>
      <c r="H259" t="inlineStr">
        <is>
          <t>Read</t>
        </is>
      </c>
      <c r="I259" t="inlineStr">
        <is>
          <t>Exact title match</t>
        </is>
      </c>
      <c r="J259" t="inlineStr"/>
      <c r="K259" t="inlineStr">
        <is>
          <t>Not sent to re-link</t>
        </is>
      </c>
      <c r="L259" t="inlineStr">
        <is>
          <t>Filled</t>
        </is>
      </c>
      <c r="M259" t="inlineStr">
        <is>
          <t>Not stated on course page</t>
        </is>
      </c>
      <c r="N259" t="inlineStr"/>
      <c r="O259" t="n">
        <v>0</v>
      </c>
      <c r="P259" t="inlineStr"/>
      <c r="Q259" t="inlineStr">
        <is>
          <t>Filled</t>
        </is>
      </c>
      <c r="R259" t="n">
        <v>6.5</v>
      </c>
      <c r="S259" t="inlineStr">
        <is>
          <t>Central English policy</t>
        </is>
      </c>
      <c r="T259" t="inlineStr">
        <is>
          <t>Central rule applies (value agrees)</t>
        </is>
      </c>
      <c r="U259" t="inlineStr"/>
      <c r="V259" t="inlineStr">
        <is>
          <t>Not stated on course page</t>
        </is>
      </c>
      <c r="W259" t="inlineStr"/>
      <c r="X259" t="inlineStr"/>
      <c r="Y259" t="n">
        <v>0</v>
      </c>
      <c r="Z259" t="inlineStr">
        <is>
          <t>No</t>
        </is>
      </c>
      <c r="AA259" t="inlineStr">
        <is>
          <t>Filled</t>
        </is>
      </c>
      <c r="AB259" t="inlineStr">
        <is>
          <t>on campus</t>
        </is>
      </c>
      <c r="AC259" t="inlineStr"/>
      <c r="AD259" t="n">
        <v>0</v>
      </c>
      <c r="AE259" t="inlineStr"/>
      <c r="AF259" t="inlineStr"/>
      <c r="AG259" t="inlineStr"/>
      <c r="AH259" t="inlineStr"/>
      <c r="AI259" t="inlineStr">
        <is>
          <t>Yes</t>
        </is>
      </c>
      <c r="AJ259" t="inlineStr"/>
      <c r="AK259" t="inlineStr"/>
      <c r="AL259" t="inlineStr"/>
      <c r="AM259" t="inlineStr"/>
    </row>
    <row r="260">
      <c r="A260" t="inlineStr">
        <is>
          <t>107174M</t>
        </is>
      </c>
      <c r="B260" t="inlineStr">
        <is>
          <t>Graduate Certificate in Business Administration</t>
        </is>
      </c>
      <c r="C260" t="inlineStr">
        <is>
          <t>Graduate Certificate</t>
        </is>
      </c>
      <c r="D260" t="inlineStr">
        <is>
          <t>Postgraduate coursework</t>
        </is>
      </c>
      <c r="E260" t="inlineStr">
        <is>
          <t>Advertised: official page in place</t>
        </is>
      </c>
      <c r="F260" t="inlineStr">
        <is>
          <t>https://www.sydney.edu.au/courses/courses/pc/graduate-certificate-in-business-administration-technology-and-digital-strategy.html</t>
        </is>
      </c>
      <c r="G260" t="inlineStr">
        <is>
          <t>https://www.sydney.edu.au/courses/courses/pc/graduate-certificate-in-business-administration-technology-and-digital-strategy.html</t>
        </is>
      </c>
      <c r="H260" t="inlineStr">
        <is>
          <t>Read</t>
        </is>
      </c>
      <c r="I260" t="inlineStr">
        <is>
          <t>Exact title match</t>
        </is>
      </c>
      <c r="J260" t="inlineStr"/>
      <c r="K260" t="inlineStr">
        <is>
          <t>Not sent to re-link</t>
        </is>
      </c>
      <c r="L260" t="inlineStr">
        <is>
          <t>Filled</t>
        </is>
      </c>
      <c r="M260" t="inlineStr">
        <is>
          <t>Not stated on course page</t>
        </is>
      </c>
      <c r="N260" t="inlineStr"/>
      <c r="O260" t="n">
        <v>0</v>
      </c>
      <c r="P260" t="inlineStr"/>
      <c r="Q260" t="inlineStr">
        <is>
          <t>Filled</t>
        </is>
      </c>
      <c r="R260" t="n">
        <v>6.5</v>
      </c>
      <c r="S260" t="inlineStr">
        <is>
          <t>Central English policy</t>
        </is>
      </c>
      <c r="T260" t="inlineStr">
        <is>
          <t>Central rule applies (value agrees)</t>
        </is>
      </c>
      <c r="U260" t="inlineStr"/>
      <c r="V260" t="inlineStr">
        <is>
          <t>Not stated on course page</t>
        </is>
      </c>
      <c r="W260" t="inlineStr"/>
      <c r="X260" t="inlineStr"/>
      <c r="Y260" t="n">
        <v>0</v>
      </c>
      <c r="Z260" t="inlineStr">
        <is>
          <t>No</t>
        </is>
      </c>
      <c r="AA260" t="inlineStr">
        <is>
          <t>Filled</t>
        </is>
      </c>
      <c r="AB260" t="inlineStr">
        <is>
          <t>online</t>
        </is>
      </c>
      <c r="AC260" t="inlineStr">
        <is>
          <t>Filled</t>
        </is>
      </c>
      <c r="AD260" t="n">
        <v>0</v>
      </c>
      <c r="AE260" t="inlineStr"/>
      <c r="AF260" t="inlineStr"/>
      <c r="AG260" t="inlineStr"/>
      <c r="AH260" t="inlineStr"/>
      <c r="AI260" t="inlineStr">
        <is>
          <t>Yes</t>
        </is>
      </c>
      <c r="AJ260" t="inlineStr"/>
      <c r="AK260" t="inlineStr"/>
      <c r="AL260" t="inlineStr"/>
      <c r="AM260" t="inlineStr"/>
    </row>
    <row r="261">
      <c r="A261" t="inlineStr">
        <is>
          <t>112625B</t>
        </is>
      </c>
      <c r="B261" t="inlineStr">
        <is>
          <t>Graduate Certificate in Clinical Dentistry (Advanced Restorative)</t>
        </is>
      </c>
      <c r="C261" t="inlineStr">
        <is>
          <t>Graduate Certificate</t>
        </is>
      </c>
      <c r="D261" t="inlineStr">
        <is>
          <t>Postgraduate coursework</t>
        </is>
      </c>
      <c r="E261" t="inlineStr">
        <is>
          <t>Advertised: official page in place</t>
        </is>
      </c>
      <c r="F261" t="inlineStr">
        <is>
          <t>https://www.sydney.edu.au/courses/courses/pc/graduate-certificate-in-clinical-dentistry-advanced-restorative0.html</t>
        </is>
      </c>
      <c r="G261" t="inlineStr">
        <is>
          <t>https://www.sydney.edu.au/courses/courses/pc/graduate-certificate-in-clinical-dentistry-advanced-restorative0.html</t>
        </is>
      </c>
      <c r="H261" t="inlineStr">
        <is>
          <t>Read</t>
        </is>
      </c>
      <c r="I261" t="inlineStr">
        <is>
          <t>Exact title match</t>
        </is>
      </c>
      <c r="J261" t="inlineStr"/>
      <c r="K261" t="inlineStr">
        <is>
          <t>Not sent to re-link</t>
        </is>
      </c>
      <c r="L261" t="inlineStr">
        <is>
          <t>Filled</t>
        </is>
      </c>
      <c r="M261" t="inlineStr">
        <is>
          <t>Not stated on course page</t>
        </is>
      </c>
      <c r="N261" t="inlineStr"/>
      <c r="O261" t="n">
        <v>0</v>
      </c>
      <c r="P261" t="inlineStr"/>
      <c r="Q261" t="inlineStr">
        <is>
          <t>Filled</t>
        </is>
      </c>
      <c r="R261" t="n">
        <v>6.5</v>
      </c>
      <c r="S261" t="inlineStr">
        <is>
          <t>Central English policy</t>
        </is>
      </c>
      <c r="T261" t="inlineStr">
        <is>
          <t>Central rule applies (value agrees)</t>
        </is>
      </c>
      <c r="U261" t="inlineStr"/>
      <c r="V261" t="inlineStr">
        <is>
          <t>Not stated on course page</t>
        </is>
      </c>
      <c r="W261" t="inlineStr"/>
      <c r="X261" t="inlineStr"/>
      <c r="Y261" t="n">
        <v>0</v>
      </c>
      <c r="Z261" t="inlineStr">
        <is>
          <t>No</t>
        </is>
      </c>
      <c r="AA261" t="inlineStr">
        <is>
          <t>Filled</t>
        </is>
      </c>
      <c r="AB261" t="inlineStr">
        <is>
          <t>on campus</t>
        </is>
      </c>
      <c r="AC261" t="inlineStr"/>
      <c r="AD261" t="n">
        <v>0</v>
      </c>
      <c r="AE261" t="inlineStr"/>
      <c r="AF261" t="inlineStr"/>
      <c r="AG261" t="inlineStr"/>
      <c r="AH261" t="inlineStr"/>
      <c r="AI261" t="inlineStr">
        <is>
          <t>Yes</t>
        </is>
      </c>
      <c r="AJ261" t="inlineStr"/>
      <c r="AK261" t="inlineStr"/>
      <c r="AL261" t="inlineStr"/>
      <c r="AM261" t="inlineStr"/>
    </row>
    <row r="262">
      <c r="A262" t="inlineStr">
        <is>
          <t>064373G</t>
        </is>
      </c>
      <c r="B262" t="inlineStr">
        <is>
          <t>Graduate Certificate in Clinical Dentistry (Hospital Dentistry)</t>
        </is>
      </c>
      <c r="C262" t="inlineStr">
        <is>
          <t>Graduate Certificate</t>
        </is>
      </c>
      <c r="D262" t="inlineStr">
        <is>
          <t>Postgraduate coursework</t>
        </is>
      </c>
      <c r="E262" t="inlineStr">
        <is>
          <t>Page address no longer works</t>
        </is>
      </c>
      <c r="F262" t="inlineStr"/>
      <c r="G262" t="inlineStr">
        <is>
          <t>https://www.sydney.edu.au/courses/courses/pc/graduate-certificate-in-clinical-dentistry-hospital-dentistry.html</t>
        </is>
      </c>
      <c r="H262" t="inlineStr">
        <is>
          <t>Address no longer works</t>
        </is>
      </c>
      <c r="I262" t="inlineStr"/>
      <c r="J262" t="inlineStr"/>
      <c r="K262" t="inlineStr">
        <is>
          <t>Finished, no page: every candidate address was refused by the reader or did not</t>
        </is>
      </c>
      <c r="L262" t="inlineStr">
        <is>
          <t>Page found, being read</t>
        </is>
      </c>
      <c r="M262" t="inlineStr">
        <is>
          <t>Page found, being read</t>
        </is>
      </c>
      <c r="N262" t="inlineStr"/>
      <c r="O262" t="n">
        <v>0</v>
      </c>
      <c r="P262" t="inlineStr"/>
      <c r="Q262" t="inlineStr">
        <is>
          <t>Filled</t>
        </is>
      </c>
      <c r="R262" t="n">
        <v>6.5</v>
      </c>
      <c r="S262" t="inlineStr">
        <is>
          <t>Central English policy</t>
        </is>
      </c>
      <c r="T262" t="inlineStr">
        <is>
          <t>Central rule applies (value agrees)</t>
        </is>
      </c>
      <c r="U262" t="inlineStr"/>
      <c r="V262" t="inlineStr">
        <is>
          <t>Page found, being read</t>
        </is>
      </c>
      <c r="W262" t="inlineStr"/>
      <c r="X262" t="inlineStr"/>
      <c r="Y262" t="n">
        <v>0</v>
      </c>
      <c r="Z262" t="inlineStr">
        <is>
          <t>No</t>
        </is>
      </c>
      <c r="AA262" t="inlineStr">
        <is>
          <t>Not stated on course page</t>
        </is>
      </c>
      <c r="AB262" t="inlineStr"/>
      <c r="AC262" t="inlineStr">
        <is>
          <t>Skipped: no allowed source had a value</t>
        </is>
      </c>
      <c r="AD262" t="n">
        <v>1</v>
      </c>
      <c r="AE262" t="inlineStr"/>
      <c r="AF262" t="inlineStr"/>
      <c r="AG262" t="inlineStr"/>
      <c r="AH262" t="inlineStr"/>
      <c r="AI262" t="inlineStr"/>
      <c r="AJ262" t="inlineStr"/>
      <c r="AK262" t="inlineStr"/>
      <c r="AL262" t="inlineStr"/>
      <c r="AM262" t="inlineStr"/>
    </row>
    <row r="263">
      <c r="A263" t="inlineStr">
        <is>
          <t>113097B</t>
        </is>
      </c>
      <c r="B263" t="inlineStr">
        <is>
          <t>Graduate Certificate in Clinical Dentistry (Pulp Biology)</t>
        </is>
      </c>
      <c r="C263" t="inlineStr">
        <is>
          <t>Graduate Certificate</t>
        </is>
      </c>
      <c r="D263" t="inlineStr">
        <is>
          <t>Postgraduate coursework</t>
        </is>
      </c>
      <c r="E263" t="inlineStr">
        <is>
          <t>Page address no longer works</t>
        </is>
      </c>
      <c r="F263" t="inlineStr"/>
      <c r="G263" t="inlineStr">
        <is>
          <t>https://www.sydney.edu.au/courses/courses/pc/graduate-certificate-in-clinical-dentistry-pulp-biology.html</t>
        </is>
      </c>
      <c r="H263" t="inlineStr">
        <is>
          <t>Address no longer works</t>
        </is>
      </c>
      <c r="I263" t="inlineStr"/>
      <c r="J263" t="inlineStr"/>
      <c r="K263" t="inlineStr">
        <is>
          <t>Finished, no page: every candidate address was refused by the reader or did not</t>
        </is>
      </c>
      <c r="L263" t="inlineStr">
        <is>
          <t>Page found, being read</t>
        </is>
      </c>
      <c r="M263" t="inlineStr">
        <is>
          <t>Page found, being read</t>
        </is>
      </c>
      <c r="N263" t="inlineStr"/>
      <c r="O263" t="n">
        <v>0</v>
      </c>
      <c r="P263" t="inlineStr"/>
      <c r="Q263" t="inlineStr">
        <is>
          <t>Filled</t>
        </is>
      </c>
      <c r="R263" t="n">
        <v>6.5</v>
      </c>
      <c r="S263" t="inlineStr">
        <is>
          <t>Central English policy</t>
        </is>
      </c>
      <c r="T263" t="inlineStr">
        <is>
          <t>Central rule applies (value agrees)</t>
        </is>
      </c>
      <c r="U263" t="inlineStr"/>
      <c r="V263" t="inlineStr">
        <is>
          <t>Page found, being read</t>
        </is>
      </c>
      <c r="W263" t="inlineStr"/>
      <c r="X263" t="inlineStr"/>
      <c r="Y263" t="n">
        <v>0</v>
      </c>
      <c r="Z263" t="inlineStr">
        <is>
          <t>No</t>
        </is>
      </c>
      <c r="AA263" t="inlineStr">
        <is>
          <t>Not stated on course page</t>
        </is>
      </c>
      <c r="AB263" t="inlineStr"/>
      <c r="AC263" t="inlineStr">
        <is>
          <t>Skipped: no allowed source had a value</t>
        </is>
      </c>
      <c r="AD263" t="n">
        <v>1</v>
      </c>
      <c r="AE263" t="inlineStr"/>
      <c r="AF263" t="inlineStr"/>
      <c r="AG263" t="inlineStr"/>
      <c r="AH263" t="inlineStr"/>
      <c r="AI263" t="inlineStr"/>
      <c r="AJ263" t="inlineStr"/>
      <c r="AK263" t="inlineStr"/>
      <c r="AL263" t="inlineStr"/>
      <c r="AM263" t="inlineStr"/>
    </row>
    <row r="264">
      <c r="A264" t="inlineStr">
        <is>
          <t>071480B</t>
        </is>
      </c>
      <c r="B264" t="inlineStr">
        <is>
          <t>Graduate Certificate in Clinical Epidemiology</t>
        </is>
      </c>
      <c r="C264" t="inlineStr">
        <is>
          <t>Graduate Certificate</t>
        </is>
      </c>
      <c r="D264" t="inlineStr">
        <is>
          <t>Postgraduate coursework</t>
        </is>
      </c>
      <c r="E264" t="inlineStr">
        <is>
          <t>Advertised: official page in place</t>
        </is>
      </c>
      <c r="F264" t="inlineStr">
        <is>
          <t>https://www.sydney.edu.au/courses/courses/pc/graduate-certificate-in-clinical-epidemiology.html</t>
        </is>
      </c>
      <c r="G264" t="inlineStr">
        <is>
          <t>https://www.sydney.edu.au/courses/courses/pc/graduate-certificate-in-clinical-epidemiology.html</t>
        </is>
      </c>
      <c r="H264" t="inlineStr">
        <is>
          <t>Read</t>
        </is>
      </c>
      <c r="I264" t="inlineStr">
        <is>
          <t>Exact title match</t>
        </is>
      </c>
      <c r="J264" t="inlineStr"/>
      <c r="K264" t="inlineStr">
        <is>
          <t>Not sent to re-link</t>
        </is>
      </c>
      <c r="L264" t="inlineStr">
        <is>
          <t>Filled</t>
        </is>
      </c>
      <c r="M264" t="inlineStr">
        <is>
          <t>Not stated on course page</t>
        </is>
      </c>
      <c r="N264" t="inlineStr"/>
      <c r="O264" t="n">
        <v>0</v>
      </c>
      <c r="P264" t="inlineStr"/>
      <c r="Q264" t="inlineStr">
        <is>
          <t>Filled</t>
        </is>
      </c>
      <c r="R264" t="n">
        <v>6.5</v>
      </c>
      <c r="S264" t="inlineStr">
        <is>
          <t>Central English policy</t>
        </is>
      </c>
      <c r="T264" t="inlineStr">
        <is>
          <t>Central rule applies (value agrees)</t>
        </is>
      </c>
      <c r="U264" t="inlineStr"/>
      <c r="V264" t="inlineStr">
        <is>
          <t>Not stated on course page</t>
        </is>
      </c>
      <c r="W264" t="inlineStr"/>
      <c r="X264" t="inlineStr"/>
      <c r="Y264" t="n">
        <v>0</v>
      </c>
      <c r="Z264" t="inlineStr">
        <is>
          <t>No</t>
        </is>
      </c>
      <c r="AA264" t="inlineStr">
        <is>
          <t>Filled</t>
        </is>
      </c>
      <c r="AB264" t="inlineStr">
        <is>
          <t>online</t>
        </is>
      </c>
      <c r="AC264" t="inlineStr"/>
      <c r="AD264" t="n">
        <v>0</v>
      </c>
      <c r="AE264" t="inlineStr"/>
      <c r="AF264" t="inlineStr"/>
      <c r="AG264" t="inlineStr"/>
      <c r="AH264" t="inlineStr"/>
      <c r="AI264" t="inlineStr">
        <is>
          <t>Yes</t>
        </is>
      </c>
      <c r="AJ264" t="inlineStr"/>
      <c r="AK264" t="inlineStr"/>
      <c r="AL264" t="inlineStr"/>
      <c r="AM264" t="inlineStr"/>
    </row>
    <row r="265">
      <c r="A265" t="inlineStr">
        <is>
          <t>023939C</t>
        </is>
      </c>
      <c r="B265" t="inlineStr">
        <is>
          <t>Graduate Certificate in Commerce</t>
        </is>
      </c>
      <c r="C265" t="inlineStr">
        <is>
          <t>Graduate Certificate</t>
        </is>
      </c>
      <c r="D265" t="inlineStr">
        <is>
          <t>Postgraduate coursework</t>
        </is>
      </c>
      <c r="E265" t="inlineStr">
        <is>
          <t>Advertised: official page in place</t>
        </is>
      </c>
      <c r="F265" t="inlineStr">
        <is>
          <t>https://www.sydney.edu.au/courses/courses/pc/graduate-certificate-in-commerce0.html</t>
        </is>
      </c>
      <c r="G265" t="inlineStr">
        <is>
          <t>https://www.sydney.edu.au/courses/courses/pc/graduate-certificate-in-commerce0.html</t>
        </is>
      </c>
      <c r="H265" t="inlineStr">
        <is>
          <t>Read</t>
        </is>
      </c>
      <c r="I265" t="inlineStr">
        <is>
          <t>Exact title match</t>
        </is>
      </c>
      <c r="J265" t="inlineStr"/>
      <c r="K265" t="inlineStr">
        <is>
          <t>Not sent to re-link</t>
        </is>
      </c>
      <c r="L265" t="inlineStr">
        <is>
          <t>Filled</t>
        </is>
      </c>
      <c r="M265" t="inlineStr">
        <is>
          <t>Not stated on course page</t>
        </is>
      </c>
      <c r="N265" t="inlineStr"/>
      <c r="O265" t="n">
        <v>0</v>
      </c>
      <c r="P265" t="inlineStr"/>
      <c r="Q265" t="inlineStr">
        <is>
          <t>Filled</t>
        </is>
      </c>
      <c r="R265" t="n">
        <v>6.5</v>
      </c>
      <c r="S265" t="inlineStr">
        <is>
          <t>Central English policy</t>
        </is>
      </c>
      <c r="T265" t="inlineStr">
        <is>
          <t>Central rule applies (value agrees)</t>
        </is>
      </c>
      <c r="U265" t="inlineStr"/>
      <c r="V265" t="inlineStr">
        <is>
          <t>Not stated on course page</t>
        </is>
      </c>
      <c r="W265" t="inlineStr"/>
      <c r="X265" t="inlineStr"/>
      <c r="Y265" t="n">
        <v>0</v>
      </c>
      <c r="Z265" t="inlineStr">
        <is>
          <t>No</t>
        </is>
      </c>
      <c r="AA265" t="inlineStr">
        <is>
          <t>Filled</t>
        </is>
      </c>
      <c r="AB265" t="inlineStr">
        <is>
          <t>on campus</t>
        </is>
      </c>
      <c r="AC265" t="inlineStr"/>
      <c r="AD265" t="n">
        <v>0</v>
      </c>
      <c r="AE265" t="inlineStr"/>
      <c r="AF265" t="inlineStr"/>
      <c r="AG265" t="inlineStr"/>
      <c r="AH265" t="inlineStr"/>
      <c r="AI265" t="inlineStr">
        <is>
          <t>Yes</t>
        </is>
      </c>
      <c r="AJ265" t="inlineStr"/>
      <c r="AK265" t="inlineStr"/>
      <c r="AL265" t="inlineStr"/>
      <c r="AM265" t="inlineStr"/>
    </row>
    <row r="266">
      <c r="A266" t="inlineStr">
        <is>
          <t>111673B</t>
        </is>
      </c>
      <c r="B266" t="inlineStr">
        <is>
          <t>Graduate Certificate in Computer Science</t>
        </is>
      </c>
      <c r="C266" t="inlineStr">
        <is>
          <t>Graduate Certificate</t>
        </is>
      </c>
      <c r="D266" t="inlineStr">
        <is>
          <t>Postgraduate coursework</t>
        </is>
      </c>
      <c r="E266" t="inlineStr">
        <is>
          <t>Advertised: official page in place</t>
        </is>
      </c>
      <c r="F266" t="inlineStr">
        <is>
          <t>https://www.sydney.edu.au/courses/courses/pc/graduate-certificate-in-computer-science.html</t>
        </is>
      </c>
      <c r="G266" t="inlineStr">
        <is>
          <t>https://www.sydney.edu.au/courses/courses/pc/graduate-certificate-in-computer-science.html</t>
        </is>
      </c>
      <c r="H266" t="inlineStr">
        <is>
          <t>Read</t>
        </is>
      </c>
      <c r="I266" t="inlineStr">
        <is>
          <t>Exact title match</t>
        </is>
      </c>
      <c r="J266" t="inlineStr"/>
      <c r="K266" t="inlineStr">
        <is>
          <t>Not sent to re-link</t>
        </is>
      </c>
      <c r="L266" t="inlineStr">
        <is>
          <t>Filled</t>
        </is>
      </c>
      <c r="M266" t="inlineStr">
        <is>
          <t>Not stated on course page</t>
        </is>
      </c>
      <c r="N266" t="inlineStr"/>
      <c r="O266" t="n">
        <v>0</v>
      </c>
      <c r="P266" t="inlineStr"/>
      <c r="Q266" t="inlineStr">
        <is>
          <t>Filled</t>
        </is>
      </c>
      <c r="R266" t="n">
        <v>6.5</v>
      </c>
      <c r="S266" t="inlineStr">
        <is>
          <t>Central English policy</t>
        </is>
      </c>
      <c r="T266" t="inlineStr">
        <is>
          <t>Central rule applies (value agrees)</t>
        </is>
      </c>
      <c r="U266" t="inlineStr"/>
      <c r="V266" t="inlineStr">
        <is>
          <t>Not stated on course page</t>
        </is>
      </c>
      <c r="W266" t="inlineStr"/>
      <c r="X266" t="inlineStr"/>
      <c r="Y266" t="n">
        <v>0</v>
      </c>
      <c r="Z266" t="inlineStr">
        <is>
          <t>No</t>
        </is>
      </c>
      <c r="AA266" t="inlineStr">
        <is>
          <t>Filled</t>
        </is>
      </c>
      <c r="AB266" t="inlineStr">
        <is>
          <t>on campus</t>
        </is>
      </c>
      <c r="AC266" t="inlineStr"/>
      <c r="AD266" t="n">
        <v>0</v>
      </c>
      <c r="AE266" t="inlineStr"/>
      <c r="AF266" t="inlineStr"/>
      <c r="AG266" t="inlineStr"/>
      <c r="AH266" t="inlineStr"/>
      <c r="AI266" t="inlineStr">
        <is>
          <t>Yes</t>
        </is>
      </c>
      <c r="AJ266" t="inlineStr"/>
      <c r="AK266" t="inlineStr"/>
      <c r="AL266" t="inlineStr"/>
      <c r="AM266" t="inlineStr"/>
    </row>
    <row r="267">
      <c r="A267" t="inlineStr">
        <is>
          <t>096318F</t>
        </is>
      </c>
      <c r="B267" t="inlineStr">
        <is>
          <t>Graduate Certificate in Computing</t>
        </is>
      </c>
      <c r="C267" t="inlineStr">
        <is>
          <t>Graduate Certificate</t>
        </is>
      </c>
      <c r="D267" t="inlineStr">
        <is>
          <t>Postgraduate coursework</t>
        </is>
      </c>
      <c r="E267" t="inlineStr">
        <is>
          <t>Page found, needs a rendered read</t>
        </is>
      </c>
      <c r="F267" t="inlineStr"/>
      <c r="G267" t="inlineStr">
        <is>
          <t>https://www.sydney.edu.au/courses/courses/pc/graduate-certificate-in-computing.html</t>
        </is>
      </c>
      <c r="H267" t="inlineStr">
        <is>
          <t>Needs a rendered read</t>
        </is>
      </c>
      <c r="I267" t="inlineStr"/>
      <c r="J267" t="inlineStr"/>
      <c r="K267" t="inlineStr">
        <is>
          <t>Finished, no page: every candidate address was refused by the reader or did not</t>
        </is>
      </c>
      <c r="L267" t="inlineStr">
        <is>
          <t>Page found, being read</t>
        </is>
      </c>
      <c r="M267" t="inlineStr">
        <is>
          <t>Page found, being read</t>
        </is>
      </c>
      <c r="N267" t="inlineStr"/>
      <c r="O267" t="n">
        <v>0</v>
      </c>
      <c r="P267" t="inlineStr"/>
      <c r="Q267" t="inlineStr">
        <is>
          <t>Filled</t>
        </is>
      </c>
      <c r="R267" t="n">
        <v>6.5</v>
      </c>
      <c r="S267" t="inlineStr">
        <is>
          <t>Central English policy</t>
        </is>
      </c>
      <c r="T267" t="inlineStr">
        <is>
          <t>Central rule applies (value agrees)</t>
        </is>
      </c>
      <c r="U267" t="inlineStr"/>
      <c r="V267" t="inlineStr">
        <is>
          <t>Page found, being read</t>
        </is>
      </c>
      <c r="W267" t="inlineStr"/>
      <c r="X267" t="inlineStr"/>
      <c r="Y267" t="n">
        <v>0</v>
      </c>
      <c r="Z267" t="inlineStr">
        <is>
          <t>No</t>
        </is>
      </c>
      <c r="AA267" t="inlineStr">
        <is>
          <t>Not stated on course page</t>
        </is>
      </c>
      <c r="AB267" t="inlineStr"/>
      <c r="AC267" t="inlineStr">
        <is>
          <t>Skipped: the page does not state it</t>
        </is>
      </c>
      <c r="AD267" t="n">
        <v>0</v>
      </c>
      <c r="AE267" t="inlineStr">
        <is>
          <t>Yes</t>
        </is>
      </c>
      <c r="AF267" t="inlineStr"/>
      <c r="AG267" t="inlineStr"/>
      <c r="AH267" t="inlineStr"/>
      <c r="AI267" t="inlineStr"/>
      <c r="AJ267" t="inlineStr"/>
      <c r="AK267" t="inlineStr"/>
      <c r="AL267" t="inlineStr"/>
      <c r="AM267" t="inlineStr"/>
    </row>
    <row r="268">
      <c r="A268" t="inlineStr">
        <is>
          <t>055325B</t>
        </is>
      </c>
      <c r="B268" t="inlineStr">
        <is>
          <t>Graduate Certificate in Creative Writing</t>
        </is>
      </c>
      <c r="C268" t="inlineStr">
        <is>
          <t>Graduate Certificate</t>
        </is>
      </c>
      <c r="D268" t="inlineStr">
        <is>
          <t>Postgraduate coursework</t>
        </is>
      </c>
      <c r="E268" t="inlineStr">
        <is>
          <t>Advertised: official page in place</t>
        </is>
      </c>
      <c r="F268" t="inlineStr">
        <is>
          <t>https://www.sydney.edu.au/courses/courses/pc/graduate-certificate-in-creative-writing.html</t>
        </is>
      </c>
      <c r="G268" t="inlineStr">
        <is>
          <t>https://www.sydney.edu.au/courses/courses/pc/graduate-certificate-in-creative-writing.html</t>
        </is>
      </c>
      <c r="H268" t="inlineStr">
        <is>
          <t>Read</t>
        </is>
      </c>
      <c r="I268" t="inlineStr">
        <is>
          <t>Exact title match</t>
        </is>
      </c>
      <c r="J268" t="inlineStr"/>
      <c r="K268" t="inlineStr">
        <is>
          <t>Not sent to re-link</t>
        </is>
      </c>
      <c r="L268" t="inlineStr">
        <is>
          <t>Filled</t>
        </is>
      </c>
      <c r="M268" t="inlineStr">
        <is>
          <t>Not stated on course page</t>
        </is>
      </c>
      <c r="N268" t="inlineStr"/>
      <c r="O268" t="n">
        <v>0</v>
      </c>
      <c r="P268" t="inlineStr"/>
      <c r="Q268" t="inlineStr">
        <is>
          <t>Filled</t>
        </is>
      </c>
      <c r="R268" t="n">
        <v>6.5</v>
      </c>
      <c r="S268" t="inlineStr">
        <is>
          <t>Central English policy</t>
        </is>
      </c>
      <c r="T268" t="inlineStr">
        <is>
          <t>Central rule applies (value agrees)</t>
        </is>
      </c>
      <c r="U268" t="inlineStr"/>
      <c r="V268" t="inlineStr">
        <is>
          <t>Not stated on course page</t>
        </is>
      </c>
      <c r="W268" t="inlineStr"/>
      <c r="X268" t="inlineStr"/>
      <c r="Y268" t="n">
        <v>0</v>
      </c>
      <c r="Z268" t="inlineStr">
        <is>
          <t>No</t>
        </is>
      </c>
      <c r="AA268" t="inlineStr">
        <is>
          <t>Filled</t>
        </is>
      </c>
      <c r="AB268" t="inlineStr">
        <is>
          <t>on campus</t>
        </is>
      </c>
      <c r="AC268" t="inlineStr"/>
      <c r="AD268" t="n">
        <v>0</v>
      </c>
      <c r="AE268" t="inlineStr"/>
      <c r="AF268" t="inlineStr"/>
      <c r="AG268" t="inlineStr"/>
      <c r="AH268" t="inlineStr"/>
      <c r="AI268" t="inlineStr">
        <is>
          <t>Yes</t>
        </is>
      </c>
      <c r="AJ268" t="inlineStr"/>
      <c r="AK268" t="inlineStr"/>
      <c r="AL268" t="inlineStr"/>
      <c r="AM268" t="inlineStr"/>
    </row>
    <row r="269">
      <c r="A269" t="inlineStr">
        <is>
          <t>061298E</t>
        </is>
      </c>
      <c r="B269" t="inlineStr">
        <is>
          <t>Graduate Certificate in Cultural Studies</t>
        </is>
      </c>
      <c r="C269" t="inlineStr">
        <is>
          <t>Graduate Certificate</t>
        </is>
      </c>
      <c r="D269" t="inlineStr">
        <is>
          <t>Postgraduate coursework</t>
        </is>
      </c>
      <c r="E269" t="inlineStr">
        <is>
          <t>Advertised: official page in place</t>
        </is>
      </c>
      <c r="F269" t="inlineStr">
        <is>
          <t>https://www.sydney.edu.au/courses/courses/pc/graduate-certificate-in-cultural-studies.html</t>
        </is>
      </c>
      <c r="G269" t="inlineStr">
        <is>
          <t>https://www.sydney.edu.au/courses/courses/pc/graduate-certificate-in-cultural-studies.html</t>
        </is>
      </c>
      <c r="H269" t="inlineStr">
        <is>
          <t>Read</t>
        </is>
      </c>
      <c r="I269" t="inlineStr">
        <is>
          <t>Exact title match</t>
        </is>
      </c>
      <c r="J269" t="inlineStr"/>
      <c r="K269" t="inlineStr">
        <is>
          <t>Not sent to re-link</t>
        </is>
      </c>
      <c r="L269" t="inlineStr">
        <is>
          <t>Filled</t>
        </is>
      </c>
      <c r="M269" t="inlineStr">
        <is>
          <t>Not stated on course page</t>
        </is>
      </c>
      <c r="N269" t="inlineStr"/>
      <c r="O269" t="n">
        <v>0</v>
      </c>
      <c r="P269" t="inlineStr"/>
      <c r="Q269" t="inlineStr">
        <is>
          <t>Filled</t>
        </is>
      </c>
      <c r="R269" t="n">
        <v>6.5</v>
      </c>
      <c r="S269" t="inlineStr">
        <is>
          <t>Central English policy</t>
        </is>
      </c>
      <c r="T269" t="inlineStr">
        <is>
          <t>Central rule applies (value agrees)</t>
        </is>
      </c>
      <c r="U269" t="inlineStr"/>
      <c r="V269" t="inlineStr">
        <is>
          <t>Not stated on course page</t>
        </is>
      </c>
      <c r="W269" t="inlineStr"/>
      <c r="X269" t="inlineStr"/>
      <c r="Y269" t="n">
        <v>0</v>
      </c>
      <c r="Z269" t="inlineStr">
        <is>
          <t>No</t>
        </is>
      </c>
      <c r="AA269" t="inlineStr">
        <is>
          <t>Filled</t>
        </is>
      </c>
      <c r="AB269" t="inlineStr">
        <is>
          <t>on campus</t>
        </is>
      </c>
      <c r="AC269" t="inlineStr"/>
      <c r="AD269" t="n">
        <v>0</v>
      </c>
      <c r="AE269" t="inlineStr"/>
      <c r="AF269" t="inlineStr"/>
      <c r="AG269" t="inlineStr"/>
      <c r="AH269" t="inlineStr"/>
      <c r="AI269" t="inlineStr">
        <is>
          <t>Yes</t>
        </is>
      </c>
      <c r="AJ269" t="inlineStr"/>
      <c r="AK269" t="inlineStr"/>
      <c r="AL269" t="inlineStr"/>
      <c r="AM269" t="inlineStr"/>
    </row>
    <row r="270">
      <c r="A270" t="inlineStr">
        <is>
          <t>108763D</t>
        </is>
      </c>
      <c r="B270" t="inlineStr">
        <is>
          <t>Graduate Certificate in Cybersecurity</t>
        </is>
      </c>
      <c r="C270" t="inlineStr">
        <is>
          <t>Graduate Certificate</t>
        </is>
      </c>
      <c r="D270" t="inlineStr">
        <is>
          <t>Postgraduate coursework</t>
        </is>
      </c>
      <c r="E270" t="inlineStr">
        <is>
          <t>Advertised: official page in place</t>
        </is>
      </c>
      <c r="F270" t="inlineStr">
        <is>
          <t>https://www.sydney.edu.au/courses/courses/pc/graduate-certificate-in-cybersecurity.html</t>
        </is>
      </c>
      <c r="G270" t="inlineStr">
        <is>
          <t>https://www.sydney.edu.au/courses/courses/pc/graduate-certificate-in-cybersecurity.html</t>
        </is>
      </c>
      <c r="H270" t="inlineStr">
        <is>
          <t>Read</t>
        </is>
      </c>
      <c r="I270" t="inlineStr">
        <is>
          <t>Exact title match</t>
        </is>
      </c>
      <c r="J270" t="inlineStr"/>
      <c r="K270" t="inlineStr">
        <is>
          <t>Not sent to re-link</t>
        </is>
      </c>
      <c r="L270" t="inlineStr">
        <is>
          <t>Filled</t>
        </is>
      </c>
      <c r="M270" t="inlineStr">
        <is>
          <t>Not stated on course page</t>
        </is>
      </c>
      <c r="N270" t="inlineStr"/>
      <c r="O270" t="n">
        <v>0</v>
      </c>
      <c r="P270" t="inlineStr"/>
      <c r="Q270" t="inlineStr">
        <is>
          <t>Filled</t>
        </is>
      </c>
      <c r="R270" t="n">
        <v>6.5</v>
      </c>
      <c r="S270" t="inlineStr">
        <is>
          <t>Central English policy</t>
        </is>
      </c>
      <c r="T270" t="inlineStr">
        <is>
          <t>Central rule applies (value agrees)</t>
        </is>
      </c>
      <c r="U270" t="inlineStr"/>
      <c r="V270" t="inlineStr">
        <is>
          <t>Not stated on course page</t>
        </is>
      </c>
      <c r="W270" t="inlineStr"/>
      <c r="X270" t="inlineStr"/>
      <c r="Y270" t="n">
        <v>0</v>
      </c>
      <c r="Z270" t="inlineStr">
        <is>
          <t>No</t>
        </is>
      </c>
      <c r="AA270" t="inlineStr">
        <is>
          <t>Filled</t>
        </is>
      </c>
      <c r="AB270" t="inlineStr">
        <is>
          <t>on campus</t>
        </is>
      </c>
      <c r="AC270" t="inlineStr"/>
      <c r="AD270" t="n">
        <v>0</v>
      </c>
      <c r="AE270" t="inlineStr"/>
      <c r="AF270" t="inlineStr"/>
      <c r="AG270" t="inlineStr"/>
      <c r="AH270" t="inlineStr"/>
      <c r="AI270" t="inlineStr">
        <is>
          <t>Yes</t>
        </is>
      </c>
      <c r="AJ270" t="inlineStr"/>
      <c r="AK270" t="inlineStr"/>
      <c r="AL270" t="inlineStr"/>
      <c r="AM270" t="inlineStr"/>
    </row>
    <row r="271">
      <c r="A271" t="inlineStr">
        <is>
          <t>087980F</t>
        </is>
      </c>
      <c r="B271" t="inlineStr">
        <is>
          <t>Graduate Certificate in Data Science</t>
        </is>
      </c>
      <c r="C271" t="inlineStr">
        <is>
          <t>Graduate Certificate</t>
        </is>
      </c>
      <c r="D271" t="inlineStr">
        <is>
          <t>Postgraduate coursework</t>
        </is>
      </c>
      <c r="E271" t="inlineStr">
        <is>
          <t>Advertised: official page in place</t>
        </is>
      </c>
      <c r="F271" t="inlineStr">
        <is>
          <t>https://www.sydney.edu.au/courses/courses/pc/graduate-certificate-in-data-science0.html</t>
        </is>
      </c>
      <c r="G271" t="inlineStr">
        <is>
          <t>https://www.sydney.edu.au/courses/courses/pc/graduate-certificate-in-data-science0.html</t>
        </is>
      </c>
      <c r="H271" t="inlineStr">
        <is>
          <t>Read</t>
        </is>
      </c>
      <c r="I271" t="inlineStr">
        <is>
          <t>Exact title match</t>
        </is>
      </c>
      <c r="J271" t="inlineStr"/>
      <c r="K271" t="inlineStr">
        <is>
          <t>Not sent to re-link</t>
        </is>
      </c>
      <c r="L271" t="inlineStr">
        <is>
          <t>Filled</t>
        </is>
      </c>
      <c r="M271" t="inlineStr">
        <is>
          <t>Not stated on course page</t>
        </is>
      </c>
      <c r="N271" t="inlineStr"/>
      <c r="O271" t="n">
        <v>0</v>
      </c>
      <c r="P271" t="inlineStr"/>
      <c r="Q271" t="inlineStr">
        <is>
          <t>Filled</t>
        </is>
      </c>
      <c r="R271" t="n">
        <v>6.5</v>
      </c>
      <c r="S271" t="inlineStr">
        <is>
          <t>Central English policy</t>
        </is>
      </c>
      <c r="T271" t="inlineStr">
        <is>
          <t>Central rule applies (value agrees)</t>
        </is>
      </c>
      <c r="U271" t="inlineStr"/>
      <c r="V271" t="inlineStr">
        <is>
          <t>Not stated on course page</t>
        </is>
      </c>
      <c r="W271" t="inlineStr"/>
      <c r="X271" t="inlineStr"/>
      <c r="Y271" t="n">
        <v>0</v>
      </c>
      <c r="Z271" t="inlineStr">
        <is>
          <t>No</t>
        </is>
      </c>
      <c r="AA271" t="inlineStr">
        <is>
          <t>Filled</t>
        </is>
      </c>
      <c r="AB271" t="inlineStr">
        <is>
          <t>on campus</t>
        </is>
      </c>
      <c r="AC271" t="inlineStr"/>
      <c r="AD271" t="n">
        <v>0</v>
      </c>
      <c r="AE271" t="inlineStr"/>
      <c r="AF271" t="inlineStr"/>
      <c r="AG271" t="inlineStr"/>
      <c r="AH271" t="inlineStr"/>
      <c r="AI271" t="inlineStr">
        <is>
          <t>Yes</t>
        </is>
      </c>
      <c r="AJ271" t="inlineStr"/>
      <c r="AK271" t="inlineStr"/>
      <c r="AL271" t="inlineStr"/>
      <c r="AM271" t="inlineStr"/>
    </row>
    <row r="272">
      <c r="A272" t="inlineStr">
        <is>
          <t>060909B</t>
        </is>
      </c>
      <c r="B272" t="inlineStr">
        <is>
          <t>Graduate Certificate in Design Science (Audio and Acoustics)</t>
        </is>
      </c>
      <c r="C272" t="inlineStr">
        <is>
          <t>Graduate Certificate</t>
        </is>
      </c>
      <c r="D272" t="inlineStr">
        <is>
          <t>Postgraduate coursework</t>
        </is>
      </c>
      <c r="E272" t="inlineStr">
        <is>
          <t>Page address no longer works</t>
        </is>
      </c>
      <c r="F272" t="inlineStr"/>
      <c r="G272" t="inlineStr">
        <is>
          <t>https://www.sydney.edu.au/courses/courses/pc/graduate-certificate-in-design-science-audio-and-acoustics.html</t>
        </is>
      </c>
      <c r="H272" t="inlineStr">
        <is>
          <t>Address no longer works</t>
        </is>
      </c>
      <c r="I272" t="inlineStr"/>
      <c r="J272" t="inlineStr"/>
      <c r="K272" t="inlineStr">
        <is>
          <t>Finished, no page: every candidate address was refused by the reader or did not</t>
        </is>
      </c>
      <c r="L272" t="inlineStr">
        <is>
          <t>Page found, being read</t>
        </is>
      </c>
      <c r="M272" t="inlineStr">
        <is>
          <t>Page found, being read</t>
        </is>
      </c>
      <c r="N272" t="inlineStr"/>
      <c r="O272" t="n">
        <v>0</v>
      </c>
      <c r="P272" t="inlineStr"/>
      <c r="Q272" t="inlineStr">
        <is>
          <t>Filled</t>
        </is>
      </c>
      <c r="R272" t="n">
        <v>6.5</v>
      </c>
      <c r="S272" t="inlineStr">
        <is>
          <t>Central English policy</t>
        </is>
      </c>
      <c r="T272" t="inlineStr">
        <is>
          <t>Central rule applies (value agrees)</t>
        </is>
      </c>
      <c r="U272" t="inlineStr"/>
      <c r="V272" t="inlineStr">
        <is>
          <t>Page found, being read</t>
        </is>
      </c>
      <c r="W272" t="inlineStr"/>
      <c r="X272" t="inlineStr"/>
      <c r="Y272" t="n">
        <v>0</v>
      </c>
      <c r="Z272" t="inlineStr">
        <is>
          <t>No</t>
        </is>
      </c>
      <c r="AA272" t="inlineStr">
        <is>
          <t>Not stated on course page</t>
        </is>
      </c>
      <c r="AB272" t="inlineStr"/>
      <c r="AC272" t="inlineStr">
        <is>
          <t>Skipped: the page does not state it</t>
        </is>
      </c>
      <c r="AD272" t="n">
        <v>0</v>
      </c>
      <c r="AE272" t="inlineStr"/>
      <c r="AF272" t="inlineStr"/>
      <c r="AG272" t="inlineStr"/>
      <c r="AH272" t="inlineStr"/>
      <c r="AI272" t="inlineStr"/>
      <c r="AJ272" t="inlineStr"/>
      <c r="AK272" t="inlineStr"/>
      <c r="AL272" t="inlineStr"/>
      <c r="AM272" t="inlineStr"/>
    </row>
    <row r="273">
      <c r="A273" t="inlineStr">
        <is>
          <t>048527F</t>
        </is>
      </c>
      <c r="B273" t="inlineStr">
        <is>
          <t>Graduate Certificate in Design Science (Building Services)</t>
        </is>
      </c>
      <c r="C273" t="inlineStr">
        <is>
          <t>Graduate Certificate</t>
        </is>
      </c>
      <c r="D273" t="inlineStr">
        <is>
          <t>Postgraduate coursework</t>
        </is>
      </c>
      <c r="E273" t="inlineStr">
        <is>
          <t>Page address no longer works</t>
        </is>
      </c>
      <c r="F273" t="inlineStr"/>
      <c r="G273" t="inlineStr">
        <is>
          <t>https://www.sydney.edu.au/courses/courses/pc/graduate-certificate-in-design-science-building-services.html</t>
        </is>
      </c>
      <c r="H273" t="inlineStr">
        <is>
          <t>Address no longer works</t>
        </is>
      </c>
      <c r="I273" t="inlineStr"/>
      <c r="J273" t="inlineStr"/>
      <c r="K273" t="inlineStr">
        <is>
          <t>Finished, no page: every candidate address was refused by the reader or did not</t>
        </is>
      </c>
      <c r="L273" t="inlineStr">
        <is>
          <t>Page found, being read</t>
        </is>
      </c>
      <c r="M273" t="inlineStr">
        <is>
          <t>Page found, being read</t>
        </is>
      </c>
      <c r="N273" t="inlineStr"/>
      <c r="O273" t="n">
        <v>0</v>
      </c>
      <c r="P273" t="inlineStr"/>
      <c r="Q273" t="inlineStr">
        <is>
          <t>Filled</t>
        </is>
      </c>
      <c r="R273" t="n">
        <v>6.5</v>
      </c>
      <c r="S273" t="inlineStr">
        <is>
          <t>Central English policy</t>
        </is>
      </c>
      <c r="T273" t="inlineStr">
        <is>
          <t>Central rule applies (value agrees)</t>
        </is>
      </c>
      <c r="U273" t="inlineStr"/>
      <c r="V273" t="inlineStr">
        <is>
          <t>Page found, being read</t>
        </is>
      </c>
      <c r="W273" t="inlineStr"/>
      <c r="X273" t="inlineStr"/>
      <c r="Y273" t="n">
        <v>0</v>
      </c>
      <c r="Z273" t="inlineStr">
        <is>
          <t>No</t>
        </is>
      </c>
      <c r="AA273" t="inlineStr">
        <is>
          <t>Not stated on course page</t>
        </is>
      </c>
      <c r="AB273" t="inlineStr"/>
      <c r="AC273" t="inlineStr">
        <is>
          <t>Skipped: no allowed source had a value</t>
        </is>
      </c>
      <c r="AD273" t="n">
        <v>1</v>
      </c>
      <c r="AE273" t="inlineStr"/>
      <c r="AF273" t="inlineStr"/>
      <c r="AG273" t="inlineStr"/>
      <c r="AH273" t="inlineStr"/>
      <c r="AI273" t="inlineStr"/>
      <c r="AJ273" t="inlineStr"/>
      <c r="AK273" t="inlineStr"/>
      <c r="AL273" t="inlineStr"/>
      <c r="AM273" t="inlineStr"/>
    </row>
    <row r="274">
      <c r="A274" t="inlineStr">
        <is>
          <t>048526G</t>
        </is>
      </c>
      <c r="B274" t="inlineStr">
        <is>
          <t>Graduate Certificate in Design Science (Building)</t>
        </is>
      </c>
      <c r="C274" t="inlineStr">
        <is>
          <t>Graduate Certificate</t>
        </is>
      </c>
      <c r="D274" t="inlineStr">
        <is>
          <t>Postgraduate coursework</t>
        </is>
      </c>
      <c r="E274" t="inlineStr">
        <is>
          <t>Page address no longer works</t>
        </is>
      </c>
      <c r="F274" t="inlineStr"/>
      <c r="G274" t="inlineStr">
        <is>
          <t>https://www.sydney.edu.au/courses/courses/pc/graduate-certificate-in-design-science-building.html</t>
        </is>
      </c>
      <c r="H274" t="inlineStr">
        <is>
          <t>Address no longer works</t>
        </is>
      </c>
      <c r="I274" t="inlineStr"/>
      <c r="J274" t="inlineStr"/>
      <c r="K274" t="inlineStr">
        <is>
          <t>Finished, no page: every candidate address was refused by the reader or did not</t>
        </is>
      </c>
      <c r="L274" t="inlineStr">
        <is>
          <t>Page found, being read</t>
        </is>
      </c>
      <c r="M274" t="inlineStr">
        <is>
          <t>Page found, being read</t>
        </is>
      </c>
      <c r="N274" t="inlineStr"/>
      <c r="O274" t="n">
        <v>0</v>
      </c>
      <c r="P274" t="inlineStr"/>
      <c r="Q274" t="inlineStr">
        <is>
          <t>Filled</t>
        </is>
      </c>
      <c r="R274" t="n">
        <v>6.5</v>
      </c>
      <c r="S274" t="inlineStr">
        <is>
          <t>Central English policy</t>
        </is>
      </c>
      <c r="T274" t="inlineStr">
        <is>
          <t>Central rule applies (value agrees)</t>
        </is>
      </c>
      <c r="U274" t="inlineStr"/>
      <c r="V274" t="inlineStr">
        <is>
          <t>Page found, being read</t>
        </is>
      </c>
      <c r="W274" t="inlineStr"/>
      <c r="X274" t="inlineStr"/>
      <c r="Y274" t="n">
        <v>0</v>
      </c>
      <c r="Z274" t="inlineStr">
        <is>
          <t>No</t>
        </is>
      </c>
      <c r="AA274" t="inlineStr">
        <is>
          <t>Not stated on course page</t>
        </is>
      </c>
      <c r="AB274" t="inlineStr"/>
      <c r="AC274" t="inlineStr">
        <is>
          <t>Skipped: the page does not state it</t>
        </is>
      </c>
      <c r="AD274" t="n">
        <v>0</v>
      </c>
      <c r="AE274" t="inlineStr"/>
      <c r="AF274" t="inlineStr"/>
      <c r="AG274" t="inlineStr"/>
      <c r="AH274" t="inlineStr"/>
      <c r="AI274" t="inlineStr"/>
      <c r="AJ274" t="inlineStr"/>
      <c r="AK274" t="inlineStr"/>
      <c r="AL274" t="inlineStr"/>
      <c r="AM274" t="inlineStr"/>
    </row>
    <row r="275">
      <c r="A275" t="inlineStr">
        <is>
          <t>079526F</t>
        </is>
      </c>
      <c r="B275" t="inlineStr">
        <is>
          <t>Graduate Certificate in Design Science (Illumination Design)</t>
        </is>
      </c>
      <c r="C275" t="inlineStr">
        <is>
          <t>Graduate Certificate</t>
        </is>
      </c>
      <c r="D275" t="inlineStr">
        <is>
          <t>Postgraduate coursework</t>
        </is>
      </c>
      <c r="E275" t="inlineStr">
        <is>
          <t>Page address no longer works</t>
        </is>
      </c>
      <c r="F275" t="inlineStr"/>
      <c r="G275" t="inlineStr">
        <is>
          <t>https://www.sydney.edu.au/courses/courses/pc/graduate-certificate-in-design-science-illumination-design.html</t>
        </is>
      </c>
      <c r="H275" t="inlineStr">
        <is>
          <t>Address no longer works</t>
        </is>
      </c>
      <c r="I275" t="inlineStr"/>
      <c r="J275" t="inlineStr"/>
      <c r="K275" t="inlineStr">
        <is>
          <t>Finished, no page: every candidate address was refused by the reader or did not</t>
        </is>
      </c>
      <c r="L275" t="inlineStr">
        <is>
          <t>Page found, being read</t>
        </is>
      </c>
      <c r="M275" t="inlineStr">
        <is>
          <t>Page found, being read</t>
        </is>
      </c>
      <c r="N275" t="inlineStr"/>
      <c r="O275" t="n">
        <v>0</v>
      </c>
      <c r="P275" t="inlineStr"/>
      <c r="Q275" t="inlineStr">
        <is>
          <t>Filled</t>
        </is>
      </c>
      <c r="R275" t="n">
        <v>6.5</v>
      </c>
      <c r="S275" t="inlineStr">
        <is>
          <t>Central English policy</t>
        </is>
      </c>
      <c r="T275" t="inlineStr">
        <is>
          <t>Central rule applies (value agrees)</t>
        </is>
      </c>
      <c r="U275" t="inlineStr"/>
      <c r="V275" t="inlineStr">
        <is>
          <t>Page found, being read</t>
        </is>
      </c>
      <c r="W275" t="inlineStr"/>
      <c r="X275" t="inlineStr"/>
      <c r="Y275" t="n">
        <v>0</v>
      </c>
      <c r="Z275" t="inlineStr">
        <is>
          <t>No</t>
        </is>
      </c>
      <c r="AA275" t="inlineStr">
        <is>
          <t>Not stated on course page</t>
        </is>
      </c>
      <c r="AB275" t="inlineStr"/>
      <c r="AC275" t="inlineStr">
        <is>
          <t>Skipped: the page does not state it</t>
        </is>
      </c>
      <c r="AD275" t="n">
        <v>0</v>
      </c>
      <c r="AE275" t="inlineStr"/>
      <c r="AF275" t="inlineStr"/>
      <c r="AG275" t="inlineStr"/>
      <c r="AH275" t="inlineStr"/>
      <c r="AI275" t="inlineStr"/>
      <c r="AJ275" t="inlineStr"/>
      <c r="AK275" t="inlineStr"/>
      <c r="AL275" t="inlineStr"/>
      <c r="AM275" t="inlineStr"/>
    </row>
    <row r="276">
      <c r="A276" t="inlineStr">
        <is>
          <t>053433C</t>
        </is>
      </c>
      <c r="B276" t="inlineStr">
        <is>
          <t>Graduate Certificate in Development Studies</t>
        </is>
      </c>
      <c r="C276" t="inlineStr">
        <is>
          <t>Graduate Certificate</t>
        </is>
      </c>
      <c r="D276" t="inlineStr">
        <is>
          <t>Postgraduate coursework</t>
        </is>
      </c>
      <c r="E276" t="inlineStr">
        <is>
          <t>Page found, needs a rendered read</t>
        </is>
      </c>
      <c r="F276" t="inlineStr"/>
      <c r="G276" t="inlineStr">
        <is>
          <t>https://www.sydney.edu.au/courses/courses/pc/graduate-certificate-in-development-studies.html</t>
        </is>
      </c>
      <c r="H276" t="inlineStr">
        <is>
          <t>Needs a rendered read</t>
        </is>
      </c>
      <c r="I276" t="inlineStr"/>
      <c r="J276" t="inlineStr"/>
      <c r="K276" t="inlineStr">
        <is>
          <t>Finished, no page: every candidate address was refused by the reader or did not</t>
        </is>
      </c>
      <c r="L276" t="inlineStr">
        <is>
          <t>Page found, being read</t>
        </is>
      </c>
      <c r="M276" t="inlineStr">
        <is>
          <t>Page found, being read</t>
        </is>
      </c>
      <c r="N276" t="inlineStr"/>
      <c r="O276" t="n">
        <v>0</v>
      </c>
      <c r="P276" t="inlineStr"/>
      <c r="Q276" t="inlineStr">
        <is>
          <t>Filled</t>
        </is>
      </c>
      <c r="R276" t="n">
        <v>6.5</v>
      </c>
      <c r="S276" t="inlineStr">
        <is>
          <t>Central English policy</t>
        </is>
      </c>
      <c r="T276" t="inlineStr">
        <is>
          <t>Central rule applies (value agrees)</t>
        </is>
      </c>
      <c r="U276" t="inlineStr"/>
      <c r="V276" t="inlineStr">
        <is>
          <t>Page found, being read</t>
        </is>
      </c>
      <c r="W276" t="inlineStr"/>
      <c r="X276" t="inlineStr"/>
      <c r="Y276" t="n">
        <v>0</v>
      </c>
      <c r="Z276" t="inlineStr">
        <is>
          <t>No</t>
        </is>
      </c>
      <c r="AA276" t="inlineStr">
        <is>
          <t>Not stated on course page</t>
        </is>
      </c>
      <c r="AB276" t="inlineStr"/>
      <c r="AC276" t="inlineStr">
        <is>
          <t>Skipped: no allowed source had a value</t>
        </is>
      </c>
      <c r="AD276" t="n">
        <v>1</v>
      </c>
      <c r="AE276" t="inlineStr">
        <is>
          <t>Yes</t>
        </is>
      </c>
      <c r="AF276" t="inlineStr"/>
      <c r="AG276" t="inlineStr"/>
      <c r="AH276" t="inlineStr"/>
      <c r="AI276" t="inlineStr"/>
      <c r="AJ276" t="inlineStr"/>
      <c r="AK276" t="inlineStr"/>
      <c r="AL276" t="inlineStr"/>
      <c r="AM276" t="inlineStr"/>
    </row>
    <row r="277">
      <c r="A277" t="inlineStr">
        <is>
          <t>057893J</t>
        </is>
      </c>
      <c r="B277" t="inlineStr">
        <is>
          <t>Graduate Certificate in Digital Communication and Culture</t>
        </is>
      </c>
      <c r="C277" t="inlineStr">
        <is>
          <t>Graduate Certificate</t>
        </is>
      </c>
      <c r="D277" t="inlineStr">
        <is>
          <t>Postgraduate coursework</t>
        </is>
      </c>
      <c r="E277" t="inlineStr">
        <is>
          <t>Advertised: official page in place</t>
        </is>
      </c>
      <c r="F277" t="inlineStr">
        <is>
          <t>https://www.sydney.edu.au/courses/courses/pc/graduate-certificate-in-digital-communication-and-culture.html</t>
        </is>
      </c>
      <c r="G277" t="inlineStr">
        <is>
          <t>https://www.sydney.edu.au/courses/courses/pc/graduate-certificate-in-digital-communication-and-culture.html</t>
        </is>
      </c>
      <c r="H277" t="inlineStr">
        <is>
          <t>Read</t>
        </is>
      </c>
      <c r="I277" t="inlineStr">
        <is>
          <t>Exact title match</t>
        </is>
      </c>
      <c r="J277" t="inlineStr"/>
      <c r="K277" t="inlineStr">
        <is>
          <t>Not sent to re-link</t>
        </is>
      </c>
      <c r="L277" t="inlineStr">
        <is>
          <t>Filled</t>
        </is>
      </c>
      <c r="M277" t="inlineStr">
        <is>
          <t>Not stated on course page</t>
        </is>
      </c>
      <c r="N277" t="inlineStr"/>
      <c r="O277" t="n">
        <v>0</v>
      </c>
      <c r="P277" t="inlineStr"/>
      <c r="Q277" t="inlineStr">
        <is>
          <t>Filled</t>
        </is>
      </c>
      <c r="R277" t="n">
        <v>6.5</v>
      </c>
      <c r="S277" t="inlineStr">
        <is>
          <t>Central English policy</t>
        </is>
      </c>
      <c r="T277" t="inlineStr">
        <is>
          <t>Central rule applies (value agrees)</t>
        </is>
      </c>
      <c r="U277" t="inlineStr"/>
      <c r="V277" t="inlineStr">
        <is>
          <t>Not stated on course page</t>
        </is>
      </c>
      <c r="W277" t="inlineStr"/>
      <c r="X277" t="inlineStr"/>
      <c r="Y277" t="n">
        <v>0</v>
      </c>
      <c r="Z277" t="inlineStr">
        <is>
          <t>No</t>
        </is>
      </c>
      <c r="AA277" t="inlineStr">
        <is>
          <t>Filled</t>
        </is>
      </c>
      <c r="AB277" t="inlineStr">
        <is>
          <t>on campus</t>
        </is>
      </c>
      <c r="AC277" t="inlineStr"/>
      <c r="AD277" t="n">
        <v>0</v>
      </c>
      <c r="AE277" t="inlineStr"/>
      <c r="AF277" t="inlineStr"/>
      <c r="AG277" t="inlineStr"/>
      <c r="AH277" t="inlineStr"/>
      <c r="AI277" t="inlineStr">
        <is>
          <t>Yes</t>
        </is>
      </c>
      <c r="AJ277" t="inlineStr"/>
      <c r="AK277" t="inlineStr"/>
      <c r="AL277" t="inlineStr"/>
      <c r="AM277" t="inlineStr"/>
    </row>
    <row r="278">
      <c r="A278" t="inlineStr">
        <is>
          <t>106004D</t>
        </is>
      </c>
      <c r="B278" t="inlineStr">
        <is>
          <t>Graduate Certificate in Digital Health and Data Science</t>
        </is>
      </c>
      <c r="C278" t="inlineStr">
        <is>
          <t>Graduate Certificate</t>
        </is>
      </c>
      <c r="D278" t="inlineStr">
        <is>
          <t>Postgraduate coursework</t>
        </is>
      </c>
      <c r="E278" t="inlineStr">
        <is>
          <t>Advertised: official page in place</t>
        </is>
      </c>
      <c r="F278" t="inlineStr">
        <is>
          <t>https://www.sydney.edu.au/courses/courses/pc/graduate-certificate-in-digital-health-and-data-science0.html</t>
        </is>
      </c>
      <c r="G278" t="inlineStr">
        <is>
          <t>https://www.sydney.edu.au/courses/courses/pc/graduate-certificate-in-digital-health-and-data-science0.html</t>
        </is>
      </c>
      <c r="H278" t="inlineStr">
        <is>
          <t>Read</t>
        </is>
      </c>
      <c r="I278" t="inlineStr">
        <is>
          <t>Exact title match</t>
        </is>
      </c>
      <c r="J278" t="inlineStr"/>
      <c r="K278" t="inlineStr">
        <is>
          <t>Not sent to re-link</t>
        </is>
      </c>
      <c r="L278" t="inlineStr">
        <is>
          <t>Filled</t>
        </is>
      </c>
      <c r="M278" t="inlineStr">
        <is>
          <t>Not stated on course page</t>
        </is>
      </c>
      <c r="N278" t="inlineStr"/>
      <c r="O278" t="n">
        <v>0</v>
      </c>
      <c r="P278" t="inlineStr"/>
      <c r="Q278" t="inlineStr">
        <is>
          <t>Filled</t>
        </is>
      </c>
      <c r="R278" t="n">
        <v>6.5</v>
      </c>
      <c r="S278" t="inlineStr">
        <is>
          <t>Central English policy</t>
        </is>
      </c>
      <c r="T278" t="inlineStr">
        <is>
          <t>Central rule applies (value agrees)</t>
        </is>
      </c>
      <c r="U278" t="inlineStr"/>
      <c r="V278" t="inlineStr">
        <is>
          <t>Not stated on course page</t>
        </is>
      </c>
      <c r="W278" t="inlineStr"/>
      <c r="X278" t="inlineStr"/>
      <c r="Y278" t="n">
        <v>0</v>
      </c>
      <c r="Z278" t="inlineStr">
        <is>
          <t>No</t>
        </is>
      </c>
      <c r="AA278" t="inlineStr">
        <is>
          <t>Filled</t>
        </is>
      </c>
      <c r="AB278" t="inlineStr">
        <is>
          <t>on campus</t>
        </is>
      </c>
      <c r="AC278" t="inlineStr"/>
      <c r="AD278" t="n">
        <v>0</v>
      </c>
      <c r="AE278" t="inlineStr"/>
      <c r="AF278" t="inlineStr"/>
      <c r="AG278" t="inlineStr"/>
      <c r="AH278" t="inlineStr"/>
      <c r="AI278" t="inlineStr">
        <is>
          <t>Yes</t>
        </is>
      </c>
      <c r="AJ278" t="inlineStr"/>
      <c r="AK278" t="inlineStr"/>
      <c r="AL278" t="inlineStr"/>
      <c r="AM278" t="inlineStr"/>
    </row>
    <row r="279">
      <c r="A279" t="inlineStr">
        <is>
          <t>079200F</t>
        </is>
      </c>
      <c r="B279" t="inlineStr">
        <is>
          <t>Graduate Certificate in Economic Analysis</t>
        </is>
      </c>
      <c r="C279" t="inlineStr">
        <is>
          <t>Graduate Certificate</t>
        </is>
      </c>
      <c r="D279" t="inlineStr">
        <is>
          <t>Postgraduate coursework</t>
        </is>
      </c>
      <c r="E279" t="inlineStr">
        <is>
          <t>Advertised: official page in place</t>
        </is>
      </c>
      <c r="F279" t="inlineStr">
        <is>
          <t>https://www.sydney.edu.au/courses/courses/pc/graduate-certificate-in-economic-analysis.html</t>
        </is>
      </c>
      <c r="G279" t="inlineStr">
        <is>
          <t>https://www.sydney.edu.au/courses/courses/pc/graduate-certificate-in-economic-analysis.html</t>
        </is>
      </c>
      <c r="H279" t="inlineStr">
        <is>
          <t>Read</t>
        </is>
      </c>
      <c r="I279" t="inlineStr">
        <is>
          <t>Exact title match</t>
        </is>
      </c>
      <c r="J279" t="inlineStr"/>
      <c r="K279" t="inlineStr">
        <is>
          <t>Not sent to re-link</t>
        </is>
      </c>
      <c r="L279" t="inlineStr">
        <is>
          <t>Filled</t>
        </is>
      </c>
      <c r="M279" t="inlineStr">
        <is>
          <t>Not stated on course page</t>
        </is>
      </c>
      <c r="N279" t="inlineStr"/>
      <c r="O279" t="n">
        <v>0</v>
      </c>
      <c r="P279" t="inlineStr"/>
      <c r="Q279" t="inlineStr">
        <is>
          <t>Filled</t>
        </is>
      </c>
      <c r="R279" t="n">
        <v>6.5</v>
      </c>
      <c r="S279" t="inlineStr">
        <is>
          <t>Central English policy</t>
        </is>
      </c>
      <c r="T279" t="inlineStr">
        <is>
          <t>Central rule applies (value agrees)</t>
        </is>
      </c>
      <c r="U279" t="inlineStr"/>
      <c r="V279" t="inlineStr">
        <is>
          <t>Not stated on course page</t>
        </is>
      </c>
      <c r="W279" t="inlineStr"/>
      <c r="X279" t="inlineStr"/>
      <c r="Y279" t="n">
        <v>0</v>
      </c>
      <c r="Z279" t="inlineStr">
        <is>
          <t>No</t>
        </is>
      </c>
      <c r="AA279" t="inlineStr">
        <is>
          <t>Filled</t>
        </is>
      </c>
      <c r="AB279" t="inlineStr">
        <is>
          <t>on campus</t>
        </is>
      </c>
      <c r="AC279" t="inlineStr"/>
      <c r="AD279" t="n">
        <v>0</v>
      </c>
      <c r="AE279" t="inlineStr"/>
      <c r="AF279" t="inlineStr"/>
      <c r="AG279" t="inlineStr"/>
      <c r="AH279" t="inlineStr"/>
      <c r="AI279" t="inlineStr">
        <is>
          <t>Yes</t>
        </is>
      </c>
      <c r="AJ279" t="inlineStr"/>
      <c r="AK279" t="inlineStr"/>
      <c r="AL279" t="inlineStr"/>
      <c r="AM279" t="inlineStr"/>
    </row>
    <row r="280">
      <c r="A280" t="inlineStr">
        <is>
          <t>079198F</t>
        </is>
      </c>
      <c r="B280" t="inlineStr">
        <is>
          <t>Graduate Certificate in Economics</t>
        </is>
      </c>
      <c r="C280" t="inlineStr">
        <is>
          <t>Graduate Certificate</t>
        </is>
      </c>
      <c r="D280" t="inlineStr">
        <is>
          <t>Postgraduate coursework</t>
        </is>
      </c>
      <c r="E280" t="inlineStr">
        <is>
          <t>Advertised: official page in place</t>
        </is>
      </c>
      <c r="F280" t="inlineStr">
        <is>
          <t>https://www.sydney.edu.au/courses/courses/pc/graduate-certificate-in-economics.html</t>
        </is>
      </c>
      <c r="G280" t="inlineStr">
        <is>
          <t>https://www.sydney.edu.au/courses/courses/pc/graduate-certificate-in-economics.html</t>
        </is>
      </c>
      <c r="H280" t="inlineStr">
        <is>
          <t>Read</t>
        </is>
      </c>
      <c r="I280" t="inlineStr">
        <is>
          <t>Exact title match</t>
        </is>
      </c>
      <c r="J280" t="inlineStr"/>
      <c r="K280" t="inlineStr">
        <is>
          <t>Not sent to re-link</t>
        </is>
      </c>
      <c r="L280" t="inlineStr">
        <is>
          <t>Filled</t>
        </is>
      </c>
      <c r="M280" t="inlineStr">
        <is>
          <t>Not stated on course page</t>
        </is>
      </c>
      <c r="N280" t="inlineStr"/>
      <c r="O280" t="n">
        <v>0</v>
      </c>
      <c r="P280" t="inlineStr"/>
      <c r="Q280" t="inlineStr">
        <is>
          <t>Filled</t>
        </is>
      </c>
      <c r="R280" t="n">
        <v>6.5</v>
      </c>
      <c r="S280" t="inlineStr">
        <is>
          <t>Central English policy</t>
        </is>
      </c>
      <c r="T280" t="inlineStr">
        <is>
          <t>Central rule applies (value agrees)</t>
        </is>
      </c>
      <c r="U280" t="inlineStr"/>
      <c r="V280" t="inlineStr">
        <is>
          <t>Not stated on course page</t>
        </is>
      </c>
      <c r="W280" t="inlineStr"/>
      <c r="X280" t="inlineStr"/>
      <c r="Y280" t="n">
        <v>0</v>
      </c>
      <c r="Z280" t="inlineStr">
        <is>
          <t>No</t>
        </is>
      </c>
      <c r="AA280" t="inlineStr">
        <is>
          <t>Filled</t>
        </is>
      </c>
      <c r="AB280" t="inlineStr">
        <is>
          <t>on campus</t>
        </is>
      </c>
      <c r="AC280" t="inlineStr"/>
      <c r="AD280" t="n">
        <v>0</v>
      </c>
      <c r="AE280" t="inlineStr"/>
      <c r="AF280" t="inlineStr"/>
      <c r="AG280" t="inlineStr"/>
      <c r="AH280" t="inlineStr"/>
      <c r="AI280" t="inlineStr">
        <is>
          <t>Yes</t>
        </is>
      </c>
      <c r="AJ280" t="inlineStr"/>
      <c r="AK280" t="inlineStr"/>
      <c r="AL280" t="inlineStr"/>
      <c r="AM280" t="inlineStr"/>
    </row>
    <row r="281">
      <c r="A281" t="inlineStr">
        <is>
          <t>118432G</t>
        </is>
      </c>
      <c r="B281" t="inlineStr">
        <is>
          <t>Graduate Certificate in Educational Studies</t>
        </is>
      </c>
      <c r="C281" t="inlineStr">
        <is>
          <t>Graduate Certificate</t>
        </is>
      </c>
      <c r="D281" t="inlineStr">
        <is>
          <t>Postgraduate coursework</t>
        </is>
      </c>
      <c r="E281" t="inlineStr">
        <is>
          <t>Advertised: official page in place</t>
        </is>
      </c>
      <c r="F281" t="inlineStr">
        <is>
          <t>https://www.sydney.edu.au/courses/courses/pc/graduate-certificate-in-educational-studies0.html</t>
        </is>
      </c>
      <c r="G281" t="inlineStr">
        <is>
          <t>https://www.sydney.edu.au/courses/courses/pc/graduate-certificate-in-educational-studies0.html</t>
        </is>
      </c>
      <c r="H281" t="inlineStr">
        <is>
          <t>Read</t>
        </is>
      </c>
      <c r="I281" t="inlineStr">
        <is>
          <t>Exact title match</t>
        </is>
      </c>
      <c r="J281" t="inlineStr"/>
      <c r="K281" t="inlineStr">
        <is>
          <t>Not sent to re-link</t>
        </is>
      </c>
      <c r="L281" t="inlineStr">
        <is>
          <t>Filled</t>
        </is>
      </c>
      <c r="M281" t="inlineStr">
        <is>
          <t>Not stated on course page</t>
        </is>
      </c>
      <c r="N281" t="inlineStr"/>
      <c r="O281" t="n">
        <v>0</v>
      </c>
      <c r="P281" t="inlineStr"/>
      <c r="Q281" t="inlineStr">
        <is>
          <t>Filled</t>
        </is>
      </c>
      <c r="R281" t="n">
        <v>6.5</v>
      </c>
      <c r="S281" t="inlineStr">
        <is>
          <t>Central English policy</t>
        </is>
      </c>
      <c r="T281" t="inlineStr">
        <is>
          <t>Central rule applies (value agrees)</t>
        </is>
      </c>
      <c r="U281" t="inlineStr"/>
      <c r="V281" t="inlineStr">
        <is>
          <t>Not stated on course page</t>
        </is>
      </c>
      <c r="W281" t="inlineStr"/>
      <c r="X281" t="inlineStr"/>
      <c r="Y281" t="n">
        <v>0</v>
      </c>
      <c r="Z281" t="inlineStr">
        <is>
          <t>No</t>
        </is>
      </c>
      <c r="AA281" t="inlineStr">
        <is>
          <t>Filled</t>
        </is>
      </c>
      <c r="AB281" t="inlineStr">
        <is>
          <t>on campus</t>
        </is>
      </c>
      <c r="AC281" t="inlineStr"/>
      <c r="AD281" t="n">
        <v>0</v>
      </c>
      <c r="AE281" t="inlineStr"/>
      <c r="AF281" t="inlineStr"/>
      <c r="AG281" t="inlineStr"/>
      <c r="AH281" t="inlineStr"/>
      <c r="AI281" t="inlineStr">
        <is>
          <t>Yes</t>
        </is>
      </c>
      <c r="AJ281" t="inlineStr"/>
      <c r="AK281" t="inlineStr"/>
      <c r="AL281" t="inlineStr"/>
      <c r="AM281" t="inlineStr"/>
    </row>
    <row r="282">
      <c r="A282" t="inlineStr">
        <is>
          <t>040892E</t>
        </is>
      </c>
      <c r="B282" t="inlineStr">
        <is>
          <t>Graduate Certificate in Educational Studies</t>
        </is>
      </c>
      <c r="C282" t="inlineStr">
        <is>
          <t>Graduate Certificate</t>
        </is>
      </c>
      <c r="D282" t="inlineStr">
        <is>
          <t>Postgraduate coursework</t>
        </is>
      </c>
      <c r="E282" t="inlineStr">
        <is>
          <t>Advertised: official page in place</t>
        </is>
      </c>
      <c r="F282" t="inlineStr">
        <is>
          <t>https://www.sydney.edu.au/courses/courses/pc/graduate-certificate-in-educational-studies0.html</t>
        </is>
      </c>
      <c r="G282" t="inlineStr">
        <is>
          <t>https://www.sydney.edu.au/courses/courses/pc/graduate-certificate-in-educational-studies0.html</t>
        </is>
      </c>
      <c r="H282" t="inlineStr">
        <is>
          <t>Read</t>
        </is>
      </c>
      <c r="I282" t="inlineStr">
        <is>
          <t>Exact title match</t>
        </is>
      </c>
      <c r="J282" t="inlineStr"/>
      <c r="K282" t="inlineStr">
        <is>
          <t>Not sent to re-link</t>
        </is>
      </c>
      <c r="L282" t="inlineStr">
        <is>
          <t>Filled</t>
        </is>
      </c>
      <c r="M282" t="inlineStr">
        <is>
          <t>Not stated on course page</t>
        </is>
      </c>
      <c r="N282" t="inlineStr"/>
      <c r="O282" t="n">
        <v>0</v>
      </c>
      <c r="P282" t="inlineStr"/>
      <c r="Q282" t="inlineStr">
        <is>
          <t>Filled</t>
        </is>
      </c>
      <c r="R282" t="n">
        <v>6.5</v>
      </c>
      <c r="S282" t="inlineStr">
        <is>
          <t>Central English policy</t>
        </is>
      </c>
      <c r="T282" t="inlineStr">
        <is>
          <t>Central rule applies (value agrees)</t>
        </is>
      </c>
      <c r="U282" t="inlineStr"/>
      <c r="V282" t="inlineStr">
        <is>
          <t>Not stated on course page</t>
        </is>
      </c>
      <c r="W282" t="inlineStr"/>
      <c r="X282" t="inlineStr"/>
      <c r="Y282" t="n">
        <v>0</v>
      </c>
      <c r="Z282" t="inlineStr">
        <is>
          <t>No</t>
        </is>
      </c>
      <c r="AA282" t="inlineStr">
        <is>
          <t>Filled</t>
        </is>
      </c>
      <c r="AB282" t="inlineStr">
        <is>
          <t>on campus</t>
        </is>
      </c>
      <c r="AC282" t="inlineStr"/>
      <c r="AD282" t="n">
        <v>0</v>
      </c>
      <c r="AE282" t="inlineStr"/>
      <c r="AF282" t="inlineStr"/>
      <c r="AG282" t="inlineStr"/>
      <c r="AH282" t="inlineStr"/>
      <c r="AI282" t="inlineStr">
        <is>
          <t>Yes</t>
        </is>
      </c>
      <c r="AJ282" t="inlineStr"/>
      <c r="AK282" t="inlineStr"/>
      <c r="AL282" t="inlineStr"/>
      <c r="AM282" t="inlineStr"/>
    </row>
    <row r="283">
      <c r="A283" t="inlineStr">
        <is>
          <t>118415H</t>
        </is>
      </c>
      <c r="B283" t="inlineStr">
        <is>
          <t>Graduate Certificate in Educational Studies (Special and Inclusive Education)</t>
        </is>
      </c>
      <c r="C283" t="inlineStr">
        <is>
          <t>Graduate Certificate</t>
        </is>
      </c>
      <c r="D283" t="inlineStr">
        <is>
          <t>Postgraduate coursework</t>
        </is>
      </c>
      <c r="E283" t="inlineStr">
        <is>
          <t>Advertised: official page in place</t>
        </is>
      </c>
      <c r="F283" t="inlineStr">
        <is>
          <t>https://www.sydney.edu.au/courses/courses/pc/graduate-certificate-in-educational-studies-special-and-inclusive-education1.html</t>
        </is>
      </c>
      <c r="G283" t="inlineStr">
        <is>
          <t>https://www.sydney.edu.au/courses/courses/pc/graduate-certificate-in-educational-studies-special-and-inclusive-education1.html</t>
        </is>
      </c>
      <c r="H283" t="inlineStr">
        <is>
          <t>Read</t>
        </is>
      </c>
      <c r="I283" t="inlineStr">
        <is>
          <t>Exact title match</t>
        </is>
      </c>
      <c r="J283" t="inlineStr"/>
      <c r="K283" t="inlineStr">
        <is>
          <t>Not sent to re-link</t>
        </is>
      </c>
      <c r="L283" t="inlineStr">
        <is>
          <t>Filled</t>
        </is>
      </c>
      <c r="M283" t="inlineStr">
        <is>
          <t>Not stated on course page</t>
        </is>
      </c>
      <c r="N283" t="inlineStr"/>
      <c r="O283" t="n">
        <v>0</v>
      </c>
      <c r="P283" t="inlineStr"/>
      <c r="Q283" t="inlineStr">
        <is>
          <t>Filled</t>
        </is>
      </c>
      <c r="R283" t="n">
        <v>6.5</v>
      </c>
      <c r="S283" t="inlineStr">
        <is>
          <t>Central English policy</t>
        </is>
      </c>
      <c r="T283" t="inlineStr">
        <is>
          <t>Central rule applies (value agrees)</t>
        </is>
      </c>
      <c r="U283" t="inlineStr"/>
      <c r="V283" t="inlineStr">
        <is>
          <t>Not stated on course page</t>
        </is>
      </c>
      <c r="W283" t="inlineStr"/>
      <c r="X283" t="inlineStr"/>
      <c r="Y283" t="n">
        <v>0</v>
      </c>
      <c r="Z283" t="inlineStr">
        <is>
          <t>No</t>
        </is>
      </c>
      <c r="AA283" t="inlineStr">
        <is>
          <t>Filled</t>
        </is>
      </c>
      <c r="AB283" t="inlineStr">
        <is>
          <t>on campus</t>
        </is>
      </c>
      <c r="AC283" t="inlineStr"/>
      <c r="AD283" t="n">
        <v>0</v>
      </c>
      <c r="AE283" t="inlineStr"/>
      <c r="AF283" t="inlineStr"/>
      <c r="AG283" t="inlineStr"/>
      <c r="AH283" t="inlineStr"/>
      <c r="AI283" t="inlineStr">
        <is>
          <t>Yes</t>
        </is>
      </c>
      <c r="AJ283" t="inlineStr"/>
      <c r="AK283" t="inlineStr"/>
      <c r="AL283" t="inlineStr"/>
      <c r="AM283" t="inlineStr"/>
    </row>
    <row r="284">
      <c r="A284" t="inlineStr">
        <is>
          <t>063747B</t>
        </is>
      </c>
      <c r="B284" t="inlineStr">
        <is>
          <t>Graduate Certificate in Engineeering</t>
        </is>
      </c>
      <c r="C284" t="inlineStr">
        <is>
          <t>Graduate Certificate</t>
        </is>
      </c>
      <c r="D284" t="inlineStr">
        <is>
          <t>Postgraduate coursework</t>
        </is>
      </c>
      <c r="E284" t="inlineStr">
        <is>
          <t>Page address no longer works</t>
        </is>
      </c>
      <c r="F284" t="inlineStr"/>
      <c r="G284" t="inlineStr">
        <is>
          <t>https://www.sydney.edu.au/courses/courses/pc/graduate-certificate-in-engineeering.html</t>
        </is>
      </c>
      <c r="H284" t="inlineStr">
        <is>
          <t>Address no longer works</t>
        </is>
      </c>
      <c r="I284" t="inlineStr"/>
      <c r="J284" t="inlineStr"/>
      <c r="K284" t="inlineStr">
        <is>
          <t>Finished, no page: every candidate address was refused by the reader or did not</t>
        </is>
      </c>
      <c r="L284" t="inlineStr">
        <is>
          <t>Page found, being read</t>
        </is>
      </c>
      <c r="M284" t="inlineStr">
        <is>
          <t>Page found, being read</t>
        </is>
      </c>
      <c r="N284" t="inlineStr"/>
      <c r="O284" t="n">
        <v>0</v>
      </c>
      <c r="P284" t="inlineStr"/>
      <c r="Q284" t="inlineStr">
        <is>
          <t>Filled</t>
        </is>
      </c>
      <c r="R284" t="n">
        <v>6.5</v>
      </c>
      <c r="S284" t="inlineStr">
        <is>
          <t>Central English policy</t>
        </is>
      </c>
      <c r="T284" t="inlineStr">
        <is>
          <t>Central rule applies (value agrees)</t>
        </is>
      </c>
      <c r="U284" t="inlineStr"/>
      <c r="V284" t="inlineStr">
        <is>
          <t>Page found, being read</t>
        </is>
      </c>
      <c r="W284" t="inlineStr"/>
      <c r="X284" t="inlineStr"/>
      <c r="Y284" t="n">
        <v>0</v>
      </c>
      <c r="Z284" t="inlineStr">
        <is>
          <t>No</t>
        </is>
      </c>
      <c r="AA284" t="inlineStr">
        <is>
          <t>Not stated on course page</t>
        </is>
      </c>
      <c r="AB284" t="inlineStr"/>
      <c r="AC284" t="inlineStr">
        <is>
          <t>Skipped: no allowed source had a value</t>
        </is>
      </c>
      <c r="AD284" t="n">
        <v>1</v>
      </c>
      <c r="AE284" t="inlineStr"/>
      <c r="AF284" t="inlineStr"/>
      <c r="AG284" t="inlineStr"/>
      <c r="AH284" t="inlineStr"/>
      <c r="AI284" t="inlineStr"/>
      <c r="AJ284" t="inlineStr"/>
      <c r="AK284" t="inlineStr"/>
      <c r="AL284" t="inlineStr"/>
      <c r="AM284" t="inlineStr"/>
    </row>
    <row r="285">
      <c r="A285" t="inlineStr">
        <is>
          <t>079212B</t>
        </is>
      </c>
      <c r="B285" t="inlineStr">
        <is>
          <t>Graduate Certificate in English Studies</t>
        </is>
      </c>
      <c r="C285" t="inlineStr">
        <is>
          <t>Graduate Certificate</t>
        </is>
      </c>
      <c r="D285" t="inlineStr">
        <is>
          <t>Postgraduate coursework</t>
        </is>
      </c>
      <c r="E285" t="inlineStr">
        <is>
          <t>Advertised: official page in place</t>
        </is>
      </c>
      <c r="F285" t="inlineStr">
        <is>
          <t>https://www.sydney.edu.au/courses/courses/pc/graduate-certificate-in-english-studies.html</t>
        </is>
      </c>
      <c r="G285" t="inlineStr">
        <is>
          <t>https://www.sydney.edu.au/courses/courses/pc/graduate-certificate-in-english-studies.html</t>
        </is>
      </c>
      <c r="H285" t="inlineStr">
        <is>
          <t>Read</t>
        </is>
      </c>
      <c r="I285" t="inlineStr">
        <is>
          <t>Exact title match</t>
        </is>
      </c>
      <c r="J285" t="inlineStr"/>
      <c r="K285" t="inlineStr">
        <is>
          <t>Not sent to re-link</t>
        </is>
      </c>
      <c r="L285" t="inlineStr">
        <is>
          <t>Filled</t>
        </is>
      </c>
      <c r="M285" t="inlineStr">
        <is>
          <t>Not stated on course page</t>
        </is>
      </c>
      <c r="N285" t="inlineStr"/>
      <c r="O285" t="n">
        <v>0</v>
      </c>
      <c r="P285" t="inlineStr"/>
      <c r="Q285" t="inlineStr">
        <is>
          <t>Filled</t>
        </is>
      </c>
      <c r="R285" t="n">
        <v>6.5</v>
      </c>
      <c r="S285" t="inlineStr">
        <is>
          <t>Central English policy</t>
        </is>
      </c>
      <c r="T285" t="inlineStr">
        <is>
          <t>Central rule applies (value agrees)</t>
        </is>
      </c>
      <c r="U285" t="inlineStr"/>
      <c r="V285" t="inlineStr">
        <is>
          <t>Not stated on course page</t>
        </is>
      </c>
      <c r="W285" t="inlineStr"/>
      <c r="X285" t="inlineStr"/>
      <c r="Y285" t="n">
        <v>0</v>
      </c>
      <c r="Z285" t="inlineStr">
        <is>
          <t>No</t>
        </is>
      </c>
      <c r="AA285" t="inlineStr">
        <is>
          <t>Filled</t>
        </is>
      </c>
      <c r="AB285" t="inlineStr">
        <is>
          <t>on campus</t>
        </is>
      </c>
      <c r="AC285" t="inlineStr"/>
      <c r="AD285" t="n">
        <v>0</v>
      </c>
      <c r="AE285" t="inlineStr"/>
      <c r="AF285" t="inlineStr"/>
      <c r="AG285" t="inlineStr"/>
      <c r="AH285" t="inlineStr"/>
      <c r="AI285" t="inlineStr">
        <is>
          <t>Yes</t>
        </is>
      </c>
      <c r="AJ285" t="inlineStr"/>
      <c r="AK285" t="inlineStr"/>
      <c r="AL285" t="inlineStr"/>
      <c r="AM285" t="inlineStr"/>
    </row>
    <row r="286">
      <c r="A286" t="inlineStr">
        <is>
          <t>074172A</t>
        </is>
      </c>
      <c r="B286" t="inlineStr">
        <is>
          <t>Graduate Certificate in Environmental Science</t>
        </is>
      </c>
      <c r="C286" t="inlineStr">
        <is>
          <t>Graduate Certificate</t>
        </is>
      </c>
      <c r="D286" t="inlineStr">
        <is>
          <t>Postgraduate coursework</t>
        </is>
      </c>
      <c r="E286" t="inlineStr">
        <is>
          <t>Advertised: official page in place</t>
        </is>
      </c>
      <c r="F286" t="inlineStr">
        <is>
          <t>https://www.sydney.edu.au/courses/courses/pc/graduate-certificate-in-environmental-science0.html</t>
        </is>
      </c>
      <c r="G286" t="inlineStr">
        <is>
          <t>https://www.sydney.edu.au/courses/courses/pc/graduate-certificate-in-environmental-science0.html</t>
        </is>
      </c>
      <c r="H286" t="inlineStr">
        <is>
          <t>Read</t>
        </is>
      </c>
      <c r="I286" t="inlineStr">
        <is>
          <t>Exact title match</t>
        </is>
      </c>
      <c r="J286" t="inlineStr"/>
      <c r="K286" t="inlineStr">
        <is>
          <t>Not sent to re-link</t>
        </is>
      </c>
      <c r="L286" t="inlineStr">
        <is>
          <t>Filled</t>
        </is>
      </c>
      <c r="M286" t="inlineStr">
        <is>
          <t>Not stated on course page</t>
        </is>
      </c>
      <c r="N286" t="inlineStr"/>
      <c r="O286" t="n">
        <v>0</v>
      </c>
      <c r="P286" t="inlineStr"/>
      <c r="Q286" t="inlineStr">
        <is>
          <t>Filled</t>
        </is>
      </c>
      <c r="R286" t="n">
        <v>6.5</v>
      </c>
      <c r="S286" t="inlineStr">
        <is>
          <t>Central English policy</t>
        </is>
      </c>
      <c r="T286" t="inlineStr">
        <is>
          <t>Central rule applies (value agrees)</t>
        </is>
      </c>
      <c r="U286" t="inlineStr"/>
      <c r="V286" t="inlineStr">
        <is>
          <t>Not stated on course page</t>
        </is>
      </c>
      <c r="W286" t="inlineStr"/>
      <c r="X286" t="inlineStr"/>
      <c r="Y286" t="n">
        <v>0</v>
      </c>
      <c r="Z286" t="inlineStr">
        <is>
          <t>No</t>
        </is>
      </c>
      <c r="AA286" t="inlineStr">
        <is>
          <t>Filled</t>
        </is>
      </c>
      <c r="AB286" t="inlineStr">
        <is>
          <t>on campus</t>
        </is>
      </c>
      <c r="AC286" t="inlineStr"/>
      <c r="AD286" t="n">
        <v>0</v>
      </c>
      <c r="AE286" t="inlineStr"/>
      <c r="AF286" t="inlineStr"/>
      <c r="AG286" t="inlineStr"/>
      <c r="AH286" t="inlineStr"/>
      <c r="AI286" t="inlineStr">
        <is>
          <t>Yes</t>
        </is>
      </c>
      <c r="AJ286" t="inlineStr"/>
      <c r="AK286" t="inlineStr"/>
      <c r="AL286" t="inlineStr"/>
      <c r="AM286" t="inlineStr"/>
    </row>
    <row r="287">
      <c r="A287" t="inlineStr">
        <is>
          <t>085860G</t>
        </is>
      </c>
      <c r="B287" t="inlineStr">
        <is>
          <t>Graduate Certificate in Health Security</t>
        </is>
      </c>
      <c r="C287" t="inlineStr">
        <is>
          <t>Graduate Certificate</t>
        </is>
      </c>
      <c r="D287" t="inlineStr">
        <is>
          <t>Postgraduate coursework</t>
        </is>
      </c>
      <c r="E287" t="inlineStr">
        <is>
          <t>Page found, needs a rendered read</t>
        </is>
      </c>
      <c r="F287" t="inlineStr"/>
      <c r="G287" t="inlineStr">
        <is>
          <t>https://www.sydney.edu.au/courses/courses/pc/graduate-certificate-in-health-security.html</t>
        </is>
      </c>
      <c r="H287" t="inlineStr">
        <is>
          <t>Needs a rendered read</t>
        </is>
      </c>
      <c r="I287" t="inlineStr"/>
      <c r="J287" t="inlineStr"/>
      <c r="K287" t="inlineStr">
        <is>
          <t>Finished, no page: every candidate address was refused by the reader or did not</t>
        </is>
      </c>
      <c r="L287" t="inlineStr">
        <is>
          <t>Page found, being read</t>
        </is>
      </c>
      <c r="M287" t="inlineStr">
        <is>
          <t>Page found, being read</t>
        </is>
      </c>
      <c r="N287" t="inlineStr"/>
      <c r="O287" t="n">
        <v>0</v>
      </c>
      <c r="P287" t="inlineStr"/>
      <c r="Q287" t="inlineStr">
        <is>
          <t>Filled</t>
        </is>
      </c>
      <c r="R287" t="n">
        <v>6.5</v>
      </c>
      <c r="S287" t="inlineStr">
        <is>
          <t>Central English policy</t>
        </is>
      </c>
      <c r="T287" t="inlineStr">
        <is>
          <t>Central rule applies (value agrees)</t>
        </is>
      </c>
      <c r="U287" t="inlineStr"/>
      <c r="V287" t="inlineStr">
        <is>
          <t>Page found, being read</t>
        </is>
      </c>
      <c r="W287" t="inlineStr"/>
      <c r="X287" t="inlineStr"/>
      <c r="Y287" t="n">
        <v>0</v>
      </c>
      <c r="Z287" t="inlineStr">
        <is>
          <t>No</t>
        </is>
      </c>
      <c r="AA287" t="inlineStr">
        <is>
          <t>Not stated on course page</t>
        </is>
      </c>
      <c r="AB287" t="inlineStr"/>
      <c r="AC287" t="inlineStr">
        <is>
          <t>Skipped: no allowed source had a value</t>
        </is>
      </c>
      <c r="AD287" t="n">
        <v>1</v>
      </c>
      <c r="AE287" t="inlineStr">
        <is>
          <t>Yes</t>
        </is>
      </c>
      <c r="AF287" t="inlineStr"/>
      <c r="AG287" t="inlineStr"/>
      <c r="AH287" t="inlineStr"/>
      <c r="AI287" t="inlineStr"/>
      <c r="AJ287" t="inlineStr"/>
      <c r="AK287" t="inlineStr"/>
      <c r="AL287" t="inlineStr"/>
      <c r="AM287" t="inlineStr"/>
    </row>
    <row r="288">
      <c r="A288" t="inlineStr">
        <is>
          <t>029878G</t>
        </is>
      </c>
      <c r="B288" t="inlineStr">
        <is>
          <t>Graduate Certificate in Heritage Conservation</t>
        </is>
      </c>
      <c r="C288" t="inlineStr">
        <is>
          <t>Graduate Certificate</t>
        </is>
      </c>
      <c r="D288" t="inlineStr">
        <is>
          <t>Postgraduate coursework</t>
        </is>
      </c>
      <c r="E288" t="inlineStr">
        <is>
          <t>Advertised: official page in place</t>
        </is>
      </c>
      <c r="F288" t="inlineStr">
        <is>
          <t>https://www.sydney.edu.au/courses/courses/pc/graduate-certificate-in-heritage-conservation0.html</t>
        </is>
      </c>
      <c r="G288" t="inlineStr">
        <is>
          <t>https://www.sydney.edu.au/courses/courses/pc/graduate-certificate-in-heritage-conservation0.html</t>
        </is>
      </c>
      <c r="H288" t="inlineStr">
        <is>
          <t>Read</t>
        </is>
      </c>
      <c r="I288" t="inlineStr">
        <is>
          <t>Exact title match</t>
        </is>
      </c>
      <c r="J288" t="inlineStr"/>
      <c r="K288" t="inlineStr">
        <is>
          <t>Not sent to re-link</t>
        </is>
      </c>
      <c r="L288" t="inlineStr">
        <is>
          <t>Filled</t>
        </is>
      </c>
      <c r="M288" t="inlineStr">
        <is>
          <t>Not stated on course page</t>
        </is>
      </c>
      <c r="N288" t="inlineStr"/>
      <c r="O288" t="n">
        <v>0</v>
      </c>
      <c r="P288" t="inlineStr"/>
      <c r="Q288" t="inlineStr">
        <is>
          <t>Filled</t>
        </is>
      </c>
      <c r="R288" t="n">
        <v>6.5</v>
      </c>
      <c r="S288" t="inlineStr">
        <is>
          <t>Central English policy</t>
        </is>
      </c>
      <c r="T288" t="inlineStr">
        <is>
          <t>Central rule applies (value agrees)</t>
        </is>
      </c>
      <c r="U288" t="inlineStr"/>
      <c r="V288" t="inlineStr">
        <is>
          <t>Not stated on course page</t>
        </is>
      </c>
      <c r="W288" t="inlineStr"/>
      <c r="X288" t="inlineStr"/>
      <c r="Y288" t="n">
        <v>0</v>
      </c>
      <c r="Z288" t="inlineStr">
        <is>
          <t>No</t>
        </is>
      </c>
      <c r="AA288" t="inlineStr">
        <is>
          <t>Filled</t>
        </is>
      </c>
      <c r="AB288" t="inlineStr">
        <is>
          <t>on campus</t>
        </is>
      </c>
      <c r="AC288" t="inlineStr"/>
      <c r="AD288" t="n">
        <v>0</v>
      </c>
      <c r="AE288" t="inlineStr"/>
      <c r="AF288" t="inlineStr"/>
      <c r="AG288" t="inlineStr"/>
      <c r="AH288" t="inlineStr"/>
      <c r="AI288" t="inlineStr">
        <is>
          <t>Yes</t>
        </is>
      </c>
      <c r="AJ288" t="inlineStr"/>
      <c r="AK288" t="inlineStr"/>
      <c r="AL288" t="inlineStr"/>
      <c r="AM288" t="inlineStr"/>
    </row>
    <row r="289">
      <c r="A289" t="inlineStr">
        <is>
          <t>068550G</t>
        </is>
      </c>
      <c r="B289" t="inlineStr">
        <is>
          <t>Graduate Certificate in Human and Community Services</t>
        </is>
      </c>
      <c r="C289" t="inlineStr">
        <is>
          <t>Graduate Certificate</t>
        </is>
      </c>
      <c r="D289" t="inlineStr">
        <is>
          <t>Postgraduate coursework</t>
        </is>
      </c>
      <c r="E289" t="inlineStr">
        <is>
          <t>Advertised: official page in place</t>
        </is>
      </c>
      <c r="F289" t="inlineStr">
        <is>
          <t>https://www.sydney.edu.au/courses/courses/pc/graduate-certificate-in-human-and-community-services.html</t>
        </is>
      </c>
      <c r="G289" t="inlineStr">
        <is>
          <t>https://www.sydney.edu.au/courses/courses/pc/graduate-certificate-in-human-and-community-services.html</t>
        </is>
      </c>
      <c r="H289" t="inlineStr">
        <is>
          <t>Read</t>
        </is>
      </c>
      <c r="I289" t="inlineStr">
        <is>
          <t>Exact title match</t>
        </is>
      </c>
      <c r="J289" t="inlineStr"/>
      <c r="K289" t="inlineStr">
        <is>
          <t>Not sent to re-link</t>
        </is>
      </c>
      <c r="L289" t="inlineStr">
        <is>
          <t>Filled</t>
        </is>
      </c>
      <c r="M289" t="inlineStr">
        <is>
          <t>Not stated on course page</t>
        </is>
      </c>
      <c r="N289" t="inlineStr"/>
      <c r="O289" t="n">
        <v>0</v>
      </c>
      <c r="P289" t="inlineStr"/>
      <c r="Q289" t="inlineStr">
        <is>
          <t>Filled</t>
        </is>
      </c>
      <c r="R289" t="n">
        <v>6.5</v>
      </c>
      <c r="S289" t="inlineStr">
        <is>
          <t>Central English policy</t>
        </is>
      </c>
      <c r="T289" t="inlineStr">
        <is>
          <t>Central rule applies (value agrees)</t>
        </is>
      </c>
      <c r="U289" t="inlineStr"/>
      <c r="V289" t="inlineStr">
        <is>
          <t>Not stated on course page</t>
        </is>
      </c>
      <c r="W289" t="inlineStr"/>
      <c r="X289" t="inlineStr"/>
      <c r="Y289" t="n">
        <v>0</v>
      </c>
      <c r="Z289" t="inlineStr">
        <is>
          <t>No</t>
        </is>
      </c>
      <c r="AA289" t="inlineStr">
        <is>
          <t>Filled</t>
        </is>
      </c>
      <c r="AB289" t="inlineStr">
        <is>
          <t>on campus</t>
        </is>
      </c>
      <c r="AC289" t="inlineStr"/>
      <c r="AD289" t="n">
        <v>0</v>
      </c>
      <c r="AE289" t="inlineStr"/>
      <c r="AF289" t="inlineStr"/>
      <c r="AG289" t="inlineStr"/>
      <c r="AH289" t="inlineStr"/>
      <c r="AI289" t="inlineStr">
        <is>
          <t>Yes</t>
        </is>
      </c>
      <c r="AJ289" t="inlineStr"/>
      <c r="AK289" t="inlineStr"/>
      <c r="AL289" t="inlineStr"/>
      <c r="AM289" t="inlineStr"/>
    </row>
    <row r="290">
      <c r="A290" t="inlineStr">
        <is>
          <t>061142C</t>
        </is>
      </c>
      <c r="B290" t="inlineStr">
        <is>
          <t>Graduate Certificate in Human Resource Management &amp; Industrial Relations</t>
        </is>
      </c>
      <c r="C290" t="inlineStr">
        <is>
          <t>Graduate Certificate</t>
        </is>
      </c>
      <c r="D290" t="inlineStr">
        <is>
          <t>Postgraduate coursework</t>
        </is>
      </c>
      <c r="E290" t="inlineStr">
        <is>
          <t>Advertised: official page in place</t>
        </is>
      </c>
      <c r="F290" t="inlineStr">
        <is>
          <t>https://www.sydney.edu.au/courses/courses/pc/graduate-certificate-in-human-resource-management-and-industrial-relations.html</t>
        </is>
      </c>
      <c r="G290" t="inlineStr">
        <is>
          <t>https://www.sydney.edu.au/courses/courses/pc/graduate-certificate-in-human-resource-management-and-industrial-relations.html</t>
        </is>
      </c>
      <c r="H290" t="inlineStr">
        <is>
          <t>Read</t>
        </is>
      </c>
      <c r="I290" t="inlineStr">
        <is>
          <t>Exact title match</t>
        </is>
      </c>
      <c r="J290" t="inlineStr"/>
      <c r="K290" t="inlineStr">
        <is>
          <t>Not sent to re-link</t>
        </is>
      </c>
      <c r="L290" t="inlineStr">
        <is>
          <t>Filled</t>
        </is>
      </c>
      <c r="M290" t="inlineStr">
        <is>
          <t>Not stated on course page</t>
        </is>
      </c>
      <c r="N290" t="inlineStr"/>
      <c r="O290" t="n">
        <v>0</v>
      </c>
      <c r="P290" t="inlineStr"/>
      <c r="Q290" t="inlineStr">
        <is>
          <t>Filled</t>
        </is>
      </c>
      <c r="R290" t="n">
        <v>6.5</v>
      </c>
      <c r="S290" t="inlineStr">
        <is>
          <t>Central English policy</t>
        </is>
      </c>
      <c r="T290" t="inlineStr">
        <is>
          <t>Central rule applies (value agrees)</t>
        </is>
      </c>
      <c r="U290" t="inlineStr"/>
      <c r="V290" t="inlineStr">
        <is>
          <t>Not stated on course page</t>
        </is>
      </c>
      <c r="W290" t="inlineStr"/>
      <c r="X290" t="inlineStr"/>
      <c r="Y290" t="n">
        <v>0</v>
      </c>
      <c r="Z290" t="inlineStr">
        <is>
          <t>No</t>
        </is>
      </c>
      <c r="AA290" t="inlineStr">
        <is>
          <t>Filled</t>
        </is>
      </c>
      <c r="AB290" t="inlineStr">
        <is>
          <t>on campus</t>
        </is>
      </c>
      <c r="AC290" t="inlineStr"/>
      <c r="AD290" t="n">
        <v>0</v>
      </c>
      <c r="AE290" t="inlineStr"/>
      <c r="AF290" t="inlineStr"/>
      <c r="AG290" t="inlineStr"/>
      <c r="AH290" t="inlineStr"/>
      <c r="AI290" t="inlineStr">
        <is>
          <t>Yes</t>
        </is>
      </c>
      <c r="AJ290" t="inlineStr"/>
      <c r="AK290" t="inlineStr"/>
      <c r="AL290" t="inlineStr"/>
      <c r="AM290" t="inlineStr"/>
    </row>
    <row r="291">
      <c r="A291" t="inlineStr">
        <is>
          <t>060616D</t>
        </is>
      </c>
      <c r="B291" t="inlineStr">
        <is>
          <t>Graduate Certificate in Human Rights</t>
        </is>
      </c>
      <c r="C291" t="inlineStr">
        <is>
          <t>Graduate Certificate</t>
        </is>
      </c>
      <c r="D291" t="inlineStr">
        <is>
          <t>Postgraduate coursework</t>
        </is>
      </c>
      <c r="E291" t="inlineStr">
        <is>
          <t>Page found, needs a rendered read</t>
        </is>
      </c>
      <c r="F291" t="inlineStr"/>
      <c r="G291" t="inlineStr">
        <is>
          <t>https://www.sydney.edu.au/courses/courses/pc/graduate-certificate-in-human-rights.html</t>
        </is>
      </c>
      <c r="H291" t="inlineStr">
        <is>
          <t>Needs a rendered read</t>
        </is>
      </c>
      <c r="I291" t="inlineStr"/>
      <c r="J291" t="inlineStr"/>
      <c r="K291" t="inlineStr">
        <is>
          <t>Finished, no page: every candidate address was refused by the reader or did not</t>
        </is>
      </c>
      <c r="L291" t="inlineStr">
        <is>
          <t>Page found, being read</t>
        </is>
      </c>
      <c r="M291" t="inlineStr">
        <is>
          <t>Page found, being read</t>
        </is>
      </c>
      <c r="N291" t="inlineStr"/>
      <c r="O291" t="n">
        <v>0</v>
      </c>
      <c r="P291" t="inlineStr"/>
      <c r="Q291" t="inlineStr">
        <is>
          <t>Filled</t>
        </is>
      </c>
      <c r="R291" t="n">
        <v>6.5</v>
      </c>
      <c r="S291" t="inlineStr">
        <is>
          <t>Central English policy</t>
        </is>
      </c>
      <c r="T291" t="inlineStr">
        <is>
          <t>Central rule applies (value agrees)</t>
        </is>
      </c>
      <c r="U291" t="inlineStr"/>
      <c r="V291" t="inlineStr">
        <is>
          <t>Page found, being read</t>
        </is>
      </c>
      <c r="W291" t="inlineStr"/>
      <c r="X291" t="inlineStr"/>
      <c r="Y291" t="n">
        <v>0</v>
      </c>
      <c r="Z291" t="inlineStr">
        <is>
          <t>No</t>
        </is>
      </c>
      <c r="AA291" t="inlineStr">
        <is>
          <t>Not stated on course page</t>
        </is>
      </c>
      <c r="AB291" t="inlineStr"/>
      <c r="AC291" t="inlineStr">
        <is>
          <t>Skipped: no allowed source had a value</t>
        </is>
      </c>
      <c r="AD291" t="n">
        <v>1</v>
      </c>
      <c r="AE291" t="inlineStr">
        <is>
          <t>Yes</t>
        </is>
      </c>
      <c r="AF291" t="inlineStr"/>
      <c r="AG291" t="inlineStr"/>
      <c r="AH291" t="inlineStr"/>
      <c r="AI291" t="inlineStr"/>
      <c r="AJ291" t="inlineStr"/>
      <c r="AK291" t="inlineStr"/>
      <c r="AL291" t="inlineStr"/>
      <c r="AM291" t="inlineStr"/>
    </row>
    <row r="292">
      <c r="A292" t="inlineStr">
        <is>
          <t>039122B</t>
        </is>
      </c>
      <c r="B292" t="inlineStr">
        <is>
          <t>Graduate Certificate in Information Technology</t>
        </is>
      </c>
      <c r="C292" t="inlineStr">
        <is>
          <t>Graduate Certificate</t>
        </is>
      </c>
      <c r="D292" t="inlineStr">
        <is>
          <t>Postgraduate coursework</t>
        </is>
      </c>
      <c r="E292" t="inlineStr">
        <is>
          <t>Page found, needs a rendered read</t>
        </is>
      </c>
      <c r="F292" t="inlineStr"/>
      <c r="G292" t="inlineStr">
        <is>
          <t>https://www.sydney.edu.au/courses/courses/pc/graduate-certificate-in-information-technology.html</t>
        </is>
      </c>
      <c r="H292" t="inlineStr">
        <is>
          <t>Needs a rendered read</t>
        </is>
      </c>
      <c r="I292" t="inlineStr"/>
      <c r="J292" t="inlineStr"/>
      <c r="K292" t="inlineStr">
        <is>
          <t>Finished, no page: every candidate address was refused by the reader or did not</t>
        </is>
      </c>
      <c r="L292" t="inlineStr">
        <is>
          <t>Page found, being read</t>
        </is>
      </c>
      <c r="M292" t="inlineStr">
        <is>
          <t>Page found, being read</t>
        </is>
      </c>
      <c r="N292" t="inlineStr"/>
      <c r="O292" t="n">
        <v>0</v>
      </c>
      <c r="P292" t="inlineStr"/>
      <c r="Q292" t="inlineStr">
        <is>
          <t>Filled</t>
        </is>
      </c>
      <c r="R292" t="n">
        <v>6.5</v>
      </c>
      <c r="S292" t="inlineStr">
        <is>
          <t>Central English policy</t>
        </is>
      </c>
      <c r="T292" t="inlineStr">
        <is>
          <t>Central rule applies (value agrees)</t>
        </is>
      </c>
      <c r="U292" t="inlineStr"/>
      <c r="V292" t="inlineStr">
        <is>
          <t>Page found, being read</t>
        </is>
      </c>
      <c r="W292" t="inlineStr"/>
      <c r="X292" t="inlineStr"/>
      <c r="Y292" t="n">
        <v>0</v>
      </c>
      <c r="Z292" t="inlineStr">
        <is>
          <t>No</t>
        </is>
      </c>
      <c r="AA292" t="inlineStr">
        <is>
          <t>Not stated on course page</t>
        </is>
      </c>
      <c r="AB292" t="inlineStr"/>
      <c r="AC292" t="inlineStr">
        <is>
          <t>Skipped: no allowed source had a value</t>
        </is>
      </c>
      <c r="AD292" t="n">
        <v>1</v>
      </c>
      <c r="AE292" t="inlineStr">
        <is>
          <t>Yes</t>
        </is>
      </c>
      <c r="AF292" t="inlineStr"/>
      <c r="AG292" t="inlineStr"/>
      <c r="AH292" t="inlineStr"/>
      <c r="AI292" t="inlineStr"/>
      <c r="AJ292" t="inlineStr"/>
      <c r="AK292" t="inlineStr"/>
      <c r="AL292" t="inlineStr"/>
      <c r="AM292" t="inlineStr"/>
    </row>
    <row r="293">
      <c r="A293" t="inlineStr">
        <is>
          <t>055187G</t>
        </is>
      </c>
      <c r="B293" t="inlineStr">
        <is>
          <t>Graduate Certificate in Information Technology Management</t>
        </is>
      </c>
      <c r="C293" t="inlineStr">
        <is>
          <t>Graduate Certificate</t>
        </is>
      </c>
      <c r="D293" t="inlineStr">
        <is>
          <t>Postgraduate coursework</t>
        </is>
      </c>
      <c r="E293" t="inlineStr">
        <is>
          <t>Page found, needs a rendered read</t>
        </is>
      </c>
      <c r="F293" t="inlineStr"/>
      <c r="G293" t="inlineStr">
        <is>
          <t>https://www.sydney.edu.au/courses/courses/pc/graduate-certificate-in-information-technology-management.html</t>
        </is>
      </c>
      <c r="H293" t="inlineStr">
        <is>
          <t>Needs a rendered read</t>
        </is>
      </c>
      <c r="I293" t="inlineStr"/>
      <c r="J293" t="inlineStr"/>
      <c r="K293" t="inlineStr">
        <is>
          <t>Finished, no page: every candidate address was refused by the reader or did not</t>
        </is>
      </c>
      <c r="L293" t="inlineStr">
        <is>
          <t>Page found, being read</t>
        </is>
      </c>
      <c r="M293" t="inlineStr">
        <is>
          <t>Page found, being read</t>
        </is>
      </c>
      <c r="N293" t="inlineStr"/>
      <c r="O293" t="n">
        <v>0</v>
      </c>
      <c r="P293" t="inlineStr"/>
      <c r="Q293" t="inlineStr">
        <is>
          <t>Filled</t>
        </is>
      </c>
      <c r="R293" t="n">
        <v>6.5</v>
      </c>
      <c r="S293" t="inlineStr">
        <is>
          <t>Central English policy</t>
        </is>
      </c>
      <c r="T293" t="inlineStr">
        <is>
          <t>Central rule applies (value agrees)</t>
        </is>
      </c>
      <c r="U293" t="inlineStr"/>
      <c r="V293" t="inlineStr">
        <is>
          <t>Page found, being read</t>
        </is>
      </c>
      <c r="W293" t="inlineStr"/>
      <c r="X293" t="inlineStr"/>
      <c r="Y293" t="n">
        <v>0</v>
      </c>
      <c r="Z293" t="inlineStr">
        <is>
          <t>No</t>
        </is>
      </c>
      <c r="AA293" t="inlineStr">
        <is>
          <t>Not stated on course page</t>
        </is>
      </c>
      <c r="AB293" t="inlineStr"/>
      <c r="AC293" t="inlineStr">
        <is>
          <t>Skipped: the page does not state it</t>
        </is>
      </c>
      <c r="AD293" t="n">
        <v>0</v>
      </c>
      <c r="AE293" t="inlineStr">
        <is>
          <t>Yes</t>
        </is>
      </c>
      <c r="AF293" t="inlineStr"/>
      <c r="AG293" t="inlineStr"/>
      <c r="AH293" t="inlineStr"/>
      <c r="AI293" t="inlineStr"/>
      <c r="AJ293" t="inlineStr"/>
      <c r="AK293" t="inlineStr"/>
      <c r="AL293" t="inlineStr"/>
      <c r="AM293" t="inlineStr"/>
    </row>
    <row r="294">
      <c r="A294" t="inlineStr">
        <is>
          <t>066136E</t>
        </is>
      </c>
      <c r="B294" t="inlineStr">
        <is>
          <t>Graduate Certificate in Innovation &amp; Enterprise</t>
        </is>
      </c>
      <c r="C294" t="inlineStr">
        <is>
          <t>Graduate Certificate</t>
        </is>
      </c>
      <c r="D294" t="inlineStr">
        <is>
          <t>Postgraduate coursework</t>
        </is>
      </c>
      <c r="E294" t="inlineStr">
        <is>
          <t>Advertised: official page in place</t>
        </is>
      </c>
      <c r="F294" t="inlineStr">
        <is>
          <t>https://rp-handbooks.sydney.edu.au/handbooks/archive/2017/business_school_PG/coursework/innovation_enterprise/innovation_enterprise_structure.shtml.html</t>
        </is>
      </c>
      <c r="G294" t="inlineStr">
        <is>
          <t>http://sydney.edu.au/handbooks/archive/2017/business_school_PG/coursework/innovation_enterprise/innovation_enterprise_structure.shtml.html</t>
        </is>
      </c>
      <c r="H294" t="inlineStr">
        <is>
          <t>Not a course page</t>
        </is>
      </c>
      <c r="I294" t="inlineStr"/>
      <c r="J294" t="inlineStr"/>
      <c r="K294" t="inlineStr">
        <is>
          <t>Not sent to re-link</t>
        </is>
      </c>
      <c r="L294" t="inlineStr">
        <is>
          <t>Filled</t>
        </is>
      </c>
      <c r="M294" t="inlineStr">
        <is>
          <t>Not stated on course page</t>
        </is>
      </c>
      <c r="N294" t="inlineStr"/>
      <c r="O294" t="n">
        <v>0</v>
      </c>
      <c r="P294" t="inlineStr"/>
      <c r="Q294" t="inlineStr">
        <is>
          <t>Filled</t>
        </is>
      </c>
      <c r="R294" t="n">
        <v>6.5</v>
      </c>
      <c r="S294" t="inlineStr">
        <is>
          <t>Central English policy</t>
        </is>
      </c>
      <c r="T294" t="inlineStr">
        <is>
          <t>Central rule applies (value agrees)</t>
        </is>
      </c>
      <c r="U294" t="inlineStr"/>
      <c r="V294" t="inlineStr">
        <is>
          <t>Not stated on course page</t>
        </is>
      </c>
      <c r="W294" t="inlineStr"/>
      <c r="X294" t="inlineStr"/>
      <c r="Y294" t="n">
        <v>0</v>
      </c>
      <c r="Z294" t="inlineStr">
        <is>
          <t>No</t>
        </is>
      </c>
      <c r="AA294" t="inlineStr">
        <is>
          <t>Not stated on course page</t>
        </is>
      </c>
      <c r="AB294" t="inlineStr"/>
      <c r="AC294" t="inlineStr">
        <is>
          <t>Skipped: the page does not state it</t>
        </is>
      </c>
      <c r="AD294" t="n">
        <v>0</v>
      </c>
      <c r="AE294" t="inlineStr"/>
      <c r="AF294" t="inlineStr"/>
      <c r="AG294" t="inlineStr"/>
      <c r="AH294" t="inlineStr"/>
      <c r="AI294" t="inlineStr">
        <is>
          <t>Yes</t>
        </is>
      </c>
      <c r="AJ294" t="inlineStr"/>
      <c r="AK294" t="inlineStr"/>
      <c r="AL294" t="inlineStr"/>
      <c r="AM294" t="inlineStr"/>
    </row>
    <row r="295">
      <c r="A295" t="inlineStr">
        <is>
          <t>064058G</t>
        </is>
      </c>
      <c r="B295" t="inlineStr">
        <is>
          <t>Graduate Certificate in Interaction Design and Electronic Arts</t>
        </is>
      </c>
      <c r="C295" t="inlineStr">
        <is>
          <t>Graduate Certificate</t>
        </is>
      </c>
      <c r="D295" t="inlineStr">
        <is>
          <t>Postgraduate coursework</t>
        </is>
      </c>
      <c r="E295" t="inlineStr">
        <is>
          <t>Advertised: official page in place</t>
        </is>
      </c>
      <c r="F295" t="inlineStr">
        <is>
          <t>https://www.sydney.edu.au/courses/courses/pc/graduate-certificate-in-interaction-design-and-electronic-arts.html</t>
        </is>
      </c>
      <c r="G295" t="inlineStr">
        <is>
          <t>https://www.sydney.edu.au/courses/courses/pc/graduate-certificate-in-interaction-design-and-electronic-arts.html</t>
        </is>
      </c>
      <c r="H295" t="inlineStr">
        <is>
          <t>Read</t>
        </is>
      </c>
      <c r="I295" t="inlineStr">
        <is>
          <t>Exact title match</t>
        </is>
      </c>
      <c r="J295" t="inlineStr"/>
      <c r="K295" t="inlineStr">
        <is>
          <t>Not sent to re-link</t>
        </is>
      </c>
      <c r="L295" t="inlineStr">
        <is>
          <t>Filled</t>
        </is>
      </c>
      <c r="M295" t="inlineStr">
        <is>
          <t>Not stated on course page</t>
        </is>
      </c>
      <c r="N295" t="inlineStr"/>
      <c r="O295" t="n">
        <v>0</v>
      </c>
      <c r="P295" t="inlineStr"/>
      <c r="Q295" t="inlineStr">
        <is>
          <t>Filled</t>
        </is>
      </c>
      <c r="R295" t="n">
        <v>6.5</v>
      </c>
      <c r="S295" t="inlineStr">
        <is>
          <t>Central English policy</t>
        </is>
      </c>
      <c r="T295" t="inlineStr">
        <is>
          <t>Central rule applies (value agrees)</t>
        </is>
      </c>
      <c r="U295" t="inlineStr"/>
      <c r="V295" t="inlineStr">
        <is>
          <t>Not stated on course page</t>
        </is>
      </c>
      <c r="W295" t="inlineStr"/>
      <c r="X295" t="inlineStr"/>
      <c r="Y295" t="n">
        <v>0</v>
      </c>
      <c r="Z295" t="inlineStr">
        <is>
          <t>No</t>
        </is>
      </c>
      <c r="AA295" t="inlineStr">
        <is>
          <t>Filled</t>
        </is>
      </c>
      <c r="AB295" t="inlineStr">
        <is>
          <t>on campus</t>
        </is>
      </c>
      <c r="AC295" t="inlineStr"/>
      <c r="AD295" t="n">
        <v>0</v>
      </c>
      <c r="AE295" t="inlineStr"/>
      <c r="AF295" t="inlineStr"/>
      <c r="AG295" t="inlineStr"/>
      <c r="AH295" t="inlineStr"/>
      <c r="AI295" t="inlineStr">
        <is>
          <t>Yes</t>
        </is>
      </c>
      <c r="AJ295" t="inlineStr"/>
      <c r="AK295" t="inlineStr"/>
      <c r="AL295" t="inlineStr"/>
      <c r="AM295" t="inlineStr"/>
    </row>
    <row r="296">
      <c r="A296" t="inlineStr">
        <is>
          <t>107173A</t>
        </is>
      </c>
      <c r="B296" t="inlineStr">
        <is>
          <t>Graduate Certificate in International Business</t>
        </is>
      </c>
      <c r="C296" t="inlineStr">
        <is>
          <t>Graduate Certificate</t>
        </is>
      </c>
      <c r="D296" t="inlineStr">
        <is>
          <t>Postgraduate coursework</t>
        </is>
      </c>
      <c r="E296" t="inlineStr">
        <is>
          <t>Page address no longer works</t>
        </is>
      </c>
      <c r="F296" t="inlineStr"/>
      <c r="G296" t="inlineStr">
        <is>
          <t>https://www.sydney.edu.au/courses/courses/pc/graduate-certificate-in-international-business.html</t>
        </is>
      </c>
      <c r="H296" t="inlineStr">
        <is>
          <t>Address no longer works</t>
        </is>
      </c>
      <c r="I296" t="inlineStr"/>
      <c r="J296" t="inlineStr"/>
      <c r="K296" t="inlineStr">
        <is>
          <t>Finished, no page: every candidate address was refused by the reader or did not</t>
        </is>
      </c>
      <c r="L296" t="inlineStr">
        <is>
          <t>Page found, being read</t>
        </is>
      </c>
      <c r="M296" t="inlineStr">
        <is>
          <t>Page found, being read</t>
        </is>
      </c>
      <c r="N296" t="inlineStr"/>
      <c r="O296" t="n">
        <v>0</v>
      </c>
      <c r="P296" t="inlineStr"/>
      <c r="Q296" t="inlineStr">
        <is>
          <t>Filled</t>
        </is>
      </c>
      <c r="R296" t="n">
        <v>6.5</v>
      </c>
      <c r="S296" t="inlineStr">
        <is>
          <t>Central English policy</t>
        </is>
      </c>
      <c r="T296" t="inlineStr">
        <is>
          <t>Central rule applies (value agrees)</t>
        </is>
      </c>
      <c r="U296" t="inlineStr"/>
      <c r="V296" t="inlineStr">
        <is>
          <t>Page found, being read</t>
        </is>
      </c>
      <c r="W296" t="inlineStr"/>
      <c r="X296" t="inlineStr"/>
      <c r="Y296" t="n">
        <v>0</v>
      </c>
      <c r="Z296" t="inlineStr">
        <is>
          <t>No</t>
        </is>
      </c>
      <c r="AA296" t="inlineStr">
        <is>
          <t>Not stated on course page</t>
        </is>
      </c>
      <c r="AB296" t="inlineStr"/>
      <c r="AC296" t="inlineStr">
        <is>
          <t>Skipped: no allowed source had a value</t>
        </is>
      </c>
      <c r="AD296" t="n">
        <v>1</v>
      </c>
      <c r="AE296" t="inlineStr"/>
      <c r="AF296" t="inlineStr"/>
      <c r="AG296" t="inlineStr"/>
      <c r="AH296" t="inlineStr"/>
      <c r="AI296" t="inlineStr"/>
      <c r="AJ296" t="inlineStr"/>
      <c r="AK296" t="inlineStr"/>
      <c r="AL296" t="inlineStr"/>
      <c r="AM296" t="inlineStr"/>
    </row>
    <row r="297">
      <c r="A297" t="inlineStr">
        <is>
          <t>079203C</t>
        </is>
      </c>
      <c r="B297" t="inlineStr">
        <is>
          <t>Graduate Certificate in International Relations</t>
        </is>
      </c>
      <c r="C297" t="inlineStr">
        <is>
          <t>Graduate Certificate</t>
        </is>
      </c>
      <c r="D297" t="inlineStr">
        <is>
          <t>Postgraduate coursework</t>
        </is>
      </c>
      <c r="E297" t="inlineStr">
        <is>
          <t>Advertised: official page in place</t>
        </is>
      </c>
      <c r="F297" t="inlineStr">
        <is>
          <t>https://www.sydney.edu.au/courses/courses/pc/graduate-certificate-in-international-relations.html</t>
        </is>
      </c>
      <c r="G297" t="inlineStr">
        <is>
          <t>https://www.sydney.edu.au/courses/courses/pc/graduate-certificate-in-international-relations.html</t>
        </is>
      </c>
      <c r="H297" t="inlineStr">
        <is>
          <t>Read</t>
        </is>
      </c>
      <c r="I297" t="inlineStr">
        <is>
          <t>Exact title match</t>
        </is>
      </c>
      <c r="J297" t="inlineStr"/>
      <c r="K297" t="inlineStr">
        <is>
          <t>Not sent to re-link</t>
        </is>
      </c>
      <c r="L297" t="inlineStr">
        <is>
          <t>Filled</t>
        </is>
      </c>
      <c r="M297" t="inlineStr">
        <is>
          <t>Not stated on course page</t>
        </is>
      </c>
      <c r="N297" t="inlineStr"/>
      <c r="O297" t="n">
        <v>0</v>
      </c>
      <c r="P297" t="inlineStr"/>
      <c r="Q297" t="inlineStr">
        <is>
          <t>Filled</t>
        </is>
      </c>
      <c r="R297" t="n">
        <v>6.5</v>
      </c>
      <c r="S297" t="inlineStr">
        <is>
          <t>Central English policy</t>
        </is>
      </c>
      <c r="T297" t="inlineStr">
        <is>
          <t>Central rule applies (value agrees)</t>
        </is>
      </c>
      <c r="U297" t="inlineStr"/>
      <c r="V297" t="inlineStr">
        <is>
          <t>Not stated on course page</t>
        </is>
      </c>
      <c r="W297" t="inlineStr"/>
      <c r="X297" t="inlineStr"/>
      <c r="Y297" t="n">
        <v>0</v>
      </c>
      <c r="Z297" t="inlineStr">
        <is>
          <t>No</t>
        </is>
      </c>
      <c r="AA297" t="inlineStr">
        <is>
          <t>Filled</t>
        </is>
      </c>
      <c r="AB297" t="inlineStr">
        <is>
          <t>on campus</t>
        </is>
      </c>
      <c r="AC297" t="inlineStr"/>
      <c r="AD297" t="n">
        <v>0</v>
      </c>
      <c r="AE297" t="inlineStr"/>
      <c r="AF297" t="inlineStr"/>
      <c r="AG297" t="inlineStr"/>
      <c r="AH297" t="inlineStr"/>
      <c r="AI297" t="inlineStr">
        <is>
          <t>Yes</t>
        </is>
      </c>
      <c r="AJ297" t="inlineStr"/>
      <c r="AK297" t="inlineStr"/>
      <c r="AL297" t="inlineStr"/>
      <c r="AM297" t="inlineStr"/>
    </row>
    <row r="298">
      <c r="A298" t="inlineStr">
        <is>
          <t>061189K</t>
        </is>
      </c>
      <c r="B298" t="inlineStr">
        <is>
          <t>Graduate Certificate in International Security</t>
        </is>
      </c>
      <c r="C298" t="inlineStr">
        <is>
          <t>Graduate Certificate</t>
        </is>
      </c>
      <c r="D298" t="inlineStr">
        <is>
          <t>Postgraduate coursework</t>
        </is>
      </c>
      <c r="E298" t="inlineStr">
        <is>
          <t>Page found, needs a rendered read</t>
        </is>
      </c>
      <c r="F298" t="inlineStr"/>
      <c r="G298" t="inlineStr">
        <is>
          <t>https://www.sydney.edu.au/courses/courses/pc/graduate-certificate-in-international-security.html</t>
        </is>
      </c>
      <c r="H298" t="inlineStr">
        <is>
          <t>Needs a rendered read</t>
        </is>
      </c>
      <c r="I298" t="inlineStr"/>
      <c r="J298" t="inlineStr"/>
      <c r="K298" t="inlineStr">
        <is>
          <t>Finished, no page: every candidate address was refused by the reader or did not</t>
        </is>
      </c>
      <c r="L298" t="inlineStr">
        <is>
          <t>Page found, being read</t>
        </is>
      </c>
      <c r="M298" t="inlineStr">
        <is>
          <t>Page found, being read</t>
        </is>
      </c>
      <c r="N298" t="inlineStr"/>
      <c r="O298" t="n">
        <v>0</v>
      </c>
      <c r="P298" t="inlineStr"/>
      <c r="Q298" t="inlineStr">
        <is>
          <t>Filled</t>
        </is>
      </c>
      <c r="R298" t="n">
        <v>6.5</v>
      </c>
      <c r="S298" t="inlineStr">
        <is>
          <t>Central English policy</t>
        </is>
      </c>
      <c r="T298" t="inlineStr">
        <is>
          <t>Central rule applies (value agrees)</t>
        </is>
      </c>
      <c r="U298" t="inlineStr"/>
      <c r="V298" t="inlineStr">
        <is>
          <t>Page found, being read</t>
        </is>
      </c>
      <c r="W298" t="inlineStr"/>
      <c r="X298" t="inlineStr"/>
      <c r="Y298" t="n">
        <v>0</v>
      </c>
      <c r="Z298" t="inlineStr">
        <is>
          <t>No</t>
        </is>
      </c>
      <c r="AA298" t="inlineStr">
        <is>
          <t>Not stated on course page</t>
        </is>
      </c>
      <c r="AB298" t="inlineStr"/>
      <c r="AC298" t="inlineStr">
        <is>
          <t>Skipped: the page does not state it</t>
        </is>
      </c>
      <c r="AD298" t="n">
        <v>0</v>
      </c>
      <c r="AE298" t="inlineStr">
        <is>
          <t>Yes</t>
        </is>
      </c>
      <c r="AF298" t="inlineStr"/>
      <c r="AG298" t="inlineStr"/>
      <c r="AH298" t="inlineStr"/>
      <c r="AI298" t="inlineStr"/>
      <c r="AJ298" t="inlineStr"/>
      <c r="AK298" t="inlineStr"/>
      <c r="AL298" t="inlineStr"/>
      <c r="AM298" t="inlineStr"/>
    </row>
    <row r="299">
      <c r="A299" t="inlineStr">
        <is>
          <t>023937E</t>
        </is>
      </c>
      <c r="B299" t="inlineStr">
        <is>
          <t>Graduate Certificate in International Studies</t>
        </is>
      </c>
      <c r="C299" t="inlineStr">
        <is>
          <t>Graduate Certificate</t>
        </is>
      </c>
      <c r="D299" t="inlineStr">
        <is>
          <t>Postgraduate coursework</t>
        </is>
      </c>
      <c r="E299" t="inlineStr">
        <is>
          <t>Page address no longer works</t>
        </is>
      </c>
      <c r="F299" t="inlineStr"/>
      <c r="G299" t="inlineStr">
        <is>
          <t>https://www.sydney.edu.au/courses/courses/pc/graduate-certificate-in-international-studies.html</t>
        </is>
      </c>
      <c r="H299" t="inlineStr">
        <is>
          <t>Address no longer works</t>
        </is>
      </c>
      <c r="I299" t="inlineStr"/>
      <c r="J299" t="inlineStr"/>
      <c r="K299" t="inlineStr">
        <is>
          <t>Finished, no page: every candidate address was refused by the reader or did not</t>
        </is>
      </c>
      <c r="L299" t="inlineStr">
        <is>
          <t>Page found, being read</t>
        </is>
      </c>
      <c r="M299" t="inlineStr">
        <is>
          <t>Page found, being read</t>
        </is>
      </c>
      <c r="N299" t="inlineStr"/>
      <c r="O299" t="n">
        <v>0</v>
      </c>
      <c r="P299" t="inlineStr"/>
      <c r="Q299" t="inlineStr">
        <is>
          <t>Filled</t>
        </is>
      </c>
      <c r="R299" t="n">
        <v>6.5</v>
      </c>
      <c r="S299" t="inlineStr">
        <is>
          <t>Central English policy</t>
        </is>
      </c>
      <c r="T299" t="inlineStr">
        <is>
          <t>Central rule applies (value agrees)</t>
        </is>
      </c>
      <c r="U299" t="inlineStr"/>
      <c r="V299" t="inlineStr">
        <is>
          <t>Page found, being read</t>
        </is>
      </c>
      <c r="W299" t="inlineStr"/>
      <c r="X299" t="inlineStr"/>
      <c r="Y299" t="n">
        <v>0</v>
      </c>
      <c r="Z299" t="inlineStr">
        <is>
          <t>No</t>
        </is>
      </c>
      <c r="AA299" t="inlineStr">
        <is>
          <t>Not stated on course page</t>
        </is>
      </c>
      <c r="AB299" t="inlineStr"/>
      <c r="AC299" t="inlineStr">
        <is>
          <t>Skipped: the page does not state it</t>
        </is>
      </c>
      <c r="AD299" t="n">
        <v>0</v>
      </c>
      <c r="AE299" t="inlineStr"/>
      <c r="AF299" t="inlineStr"/>
      <c r="AG299" t="inlineStr"/>
      <c r="AH299" t="inlineStr"/>
      <c r="AI299" t="inlineStr"/>
      <c r="AJ299" t="inlineStr"/>
      <c r="AK299" t="inlineStr"/>
      <c r="AL299" t="inlineStr"/>
      <c r="AM299" t="inlineStr"/>
    </row>
    <row r="300">
      <c r="A300" t="inlineStr">
        <is>
          <t>058177G</t>
        </is>
      </c>
      <c r="B300" t="inlineStr">
        <is>
          <t>Graduate Certificate in Learning Sciences and Technology</t>
        </is>
      </c>
      <c r="C300" t="inlineStr">
        <is>
          <t>Graduate Certificate</t>
        </is>
      </c>
      <c r="D300" t="inlineStr">
        <is>
          <t>Postgraduate coursework</t>
        </is>
      </c>
      <c r="E300" t="inlineStr">
        <is>
          <t>Page found, needs a rendered read</t>
        </is>
      </c>
      <c r="F300" t="inlineStr"/>
      <c r="G300" t="inlineStr">
        <is>
          <t>https://www.sydney.edu.au/courses/courses/pc/graduate-certificate-in-learning-sciences-and-technology.html</t>
        </is>
      </c>
      <c r="H300" t="inlineStr">
        <is>
          <t>Needs a rendered read</t>
        </is>
      </c>
      <c r="I300" t="inlineStr"/>
      <c r="J300" t="inlineStr"/>
      <c r="K300" t="inlineStr">
        <is>
          <t>Finished, no page: every candidate address was refused by the reader or did not</t>
        </is>
      </c>
      <c r="L300" t="inlineStr">
        <is>
          <t>Page found, being read</t>
        </is>
      </c>
      <c r="M300" t="inlineStr">
        <is>
          <t>Page found, being read</t>
        </is>
      </c>
      <c r="N300" t="inlineStr"/>
      <c r="O300" t="n">
        <v>0</v>
      </c>
      <c r="P300" t="inlineStr"/>
      <c r="Q300" t="inlineStr">
        <is>
          <t>Filled</t>
        </is>
      </c>
      <c r="R300" t="n">
        <v>6.5</v>
      </c>
      <c r="S300" t="inlineStr">
        <is>
          <t>Central English policy</t>
        </is>
      </c>
      <c r="T300" t="inlineStr">
        <is>
          <t>Central rule applies (value agrees)</t>
        </is>
      </c>
      <c r="U300" t="inlineStr"/>
      <c r="V300" t="inlineStr">
        <is>
          <t>Page found, being read</t>
        </is>
      </c>
      <c r="W300" t="inlineStr"/>
      <c r="X300" t="inlineStr"/>
      <c r="Y300" t="n">
        <v>0</v>
      </c>
      <c r="Z300" t="inlineStr">
        <is>
          <t>No</t>
        </is>
      </c>
      <c r="AA300" t="inlineStr">
        <is>
          <t>Not stated on course page</t>
        </is>
      </c>
      <c r="AB300" t="inlineStr"/>
      <c r="AC300" t="inlineStr">
        <is>
          <t>Skipped: the page does not state it</t>
        </is>
      </c>
      <c r="AD300" t="n">
        <v>0</v>
      </c>
      <c r="AE300" t="inlineStr">
        <is>
          <t>Yes</t>
        </is>
      </c>
      <c r="AF300" t="inlineStr"/>
      <c r="AG300" t="inlineStr"/>
      <c r="AH300" t="inlineStr"/>
      <c r="AI300" t="inlineStr"/>
      <c r="AJ300" t="inlineStr"/>
      <c r="AK300" t="inlineStr"/>
      <c r="AL300" t="inlineStr"/>
      <c r="AM300" t="inlineStr"/>
    </row>
    <row r="301">
      <c r="A301" t="inlineStr">
        <is>
          <t>0102041</t>
        </is>
      </c>
      <c r="B301" t="inlineStr">
        <is>
          <t>Graduate Certificate in Management</t>
        </is>
      </c>
      <c r="C301" t="inlineStr">
        <is>
          <t>Graduate Certificate</t>
        </is>
      </c>
      <c r="D301" t="inlineStr">
        <is>
          <t>Postgraduate coursework</t>
        </is>
      </c>
      <c r="E301" t="inlineStr">
        <is>
          <t>Page address no longer works</t>
        </is>
      </c>
      <c r="F301" t="inlineStr"/>
      <c r="G301" t="inlineStr">
        <is>
          <t>https://www.sydney.edu.au/courses/courses/pc/graduate-certificate-in-management.html</t>
        </is>
      </c>
      <c r="H301" t="inlineStr">
        <is>
          <t>Address no longer works</t>
        </is>
      </c>
      <c r="I301" t="inlineStr"/>
      <c r="J301" t="inlineStr"/>
      <c r="K301" t="inlineStr">
        <is>
          <t>Finished, no page: every candidate address was refused by the reader or did not</t>
        </is>
      </c>
      <c r="L301" t="inlineStr">
        <is>
          <t>Page found, being read</t>
        </is>
      </c>
      <c r="M301" t="inlineStr">
        <is>
          <t>Page found, being read</t>
        </is>
      </c>
      <c r="N301" t="inlineStr"/>
      <c r="O301" t="n">
        <v>0</v>
      </c>
      <c r="P301" t="inlineStr"/>
      <c r="Q301" t="inlineStr">
        <is>
          <t>Filled</t>
        </is>
      </c>
      <c r="R301" t="n">
        <v>6.5</v>
      </c>
      <c r="S301" t="inlineStr">
        <is>
          <t>Central English policy</t>
        </is>
      </c>
      <c r="T301" t="inlineStr">
        <is>
          <t>Central rule applies (value agrees)</t>
        </is>
      </c>
      <c r="U301" t="inlineStr"/>
      <c r="V301" t="inlineStr">
        <is>
          <t>Page found, being read</t>
        </is>
      </c>
      <c r="W301" t="inlineStr"/>
      <c r="X301" t="inlineStr"/>
      <c r="Y301" t="n">
        <v>0</v>
      </c>
      <c r="Z301" t="inlineStr">
        <is>
          <t>No</t>
        </is>
      </c>
      <c r="AA301" t="inlineStr">
        <is>
          <t>Not stated on course page</t>
        </is>
      </c>
      <c r="AB301" t="inlineStr"/>
      <c r="AC301" t="inlineStr">
        <is>
          <t>Skipped: the page does not state it</t>
        </is>
      </c>
      <c r="AD301" t="n">
        <v>0</v>
      </c>
      <c r="AE301" t="inlineStr"/>
      <c r="AF301" t="inlineStr"/>
      <c r="AG301" t="inlineStr"/>
      <c r="AH301" t="inlineStr"/>
      <c r="AI301" t="inlineStr"/>
      <c r="AJ301" t="inlineStr"/>
      <c r="AK301" t="inlineStr"/>
      <c r="AL301" t="inlineStr"/>
      <c r="AM301" t="inlineStr"/>
    </row>
    <row r="302">
      <c r="A302" t="inlineStr">
        <is>
          <t>045009G</t>
        </is>
      </c>
      <c r="B302" t="inlineStr">
        <is>
          <t>Graduate Certificate in Media Practice</t>
        </is>
      </c>
      <c r="C302" t="inlineStr">
        <is>
          <t>Graduate Certificate</t>
        </is>
      </c>
      <c r="D302" t="inlineStr">
        <is>
          <t>Postgraduate coursework</t>
        </is>
      </c>
      <c r="E302" t="inlineStr">
        <is>
          <t>Advertised: official page in place</t>
        </is>
      </c>
      <c r="F302" t="inlineStr">
        <is>
          <t>https://www.sydney.edu.au/courses/courses/pc/graduate-certificate-in-media-practice.html</t>
        </is>
      </c>
      <c r="G302" t="inlineStr">
        <is>
          <t>https://www.sydney.edu.au/courses/courses/pc/graduate-certificate-in-media-practice.html</t>
        </is>
      </c>
      <c r="H302" t="inlineStr">
        <is>
          <t>Read</t>
        </is>
      </c>
      <c r="I302" t="inlineStr">
        <is>
          <t>Exact title match</t>
        </is>
      </c>
      <c r="J302" t="inlineStr"/>
      <c r="K302" t="inlineStr">
        <is>
          <t>Not sent to re-link</t>
        </is>
      </c>
      <c r="L302" t="inlineStr">
        <is>
          <t>Filled</t>
        </is>
      </c>
      <c r="M302" t="inlineStr">
        <is>
          <t>Not stated on course page</t>
        </is>
      </c>
      <c r="N302" t="inlineStr"/>
      <c r="O302" t="n">
        <v>0</v>
      </c>
      <c r="P302" t="inlineStr"/>
      <c r="Q302" t="inlineStr">
        <is>
          <t>Filled</t>
        </is>
      </c>
      <c r="R302" t="n">
        <v>6.5</v>
      </c>
      <c r="S302" t="inlineStr">
        <is>
          <t>Central English policy</t>
        </is>
      </c>
      <c r="T302" t="inlineStr">
        <is>
          <t>Central rule applies (value agrees)</t>
        </is>
      </c>
      <c r="U302" t="inlineStr"/>
      <c r="V302" t="inlineStr">
        <is>
          <t>Filled</t>
        </is>
      </c>
      <c r="W302" t="inlineStr">
        <is>
          <t>February, August</t>
        </is>
      </c>
      <c r="X302" t="inlineStr">
        <is>
          <t>Page reader</t>
        </is>
      </c>
      <c r="Y302" t="n">
        <v>0</v>
      </c>
      <c r="Z302" t="inlineStr">
        <is>
          <t>No</t>
        </is>
      </c>
      <c r="AA302" t="inlineStr">
        <is>
          <t>Filled</t>
        </is>
      </c>
      <c r="AB302" t="inlineStr">
        <is>
          <t>on campus</t>
        </is>
      </c>
      <c r="AC302" t="inlineStr"/>
      <c r="AD302" t="n">
        <v>0</v>
      </c>
      <c r="AE302" t="inlineStr"/>
      <c r="AF302" t="inlineStr"/>
      <c r="AG302" t="inlineStr"/>
      <c r="AH302" t="inlineStr"/>
      <c r="AI302" t="inlineStr"/>
      <c r="AJ302" t="inlineStr"/>
      <c r="AK302" t="inlineStr"/>
      <c r="AL302" t="inlineStr"/>
      <c r="AM302" t="inlineStr"/>
    </row>
    <row r="303">
      <c r="A303" t="inlineStr">
        <is>
          <t>083649E</t>
        </is>
      </c>
      <c r="B303" t="inlineStr">
        <is>
          <t>Graduate Certificate in Medicine</t>
        </is>
      </c>
      <c r="C303" t="inlineStr">
        <is>
          <t>Graduate Certificate</t>
        </is>
      </c>
      <c r="D303" t="inlineStr">
        <is>
          <t>Postgraduate coursework</t>
        </is>
      </c>
      <c r="E303" t="inlineStr">
        <is>
          <t>Advertised: official page in place</t>
        </is>
      </c>
      <c r="F303" t="inlineStr">
        <is>
          <t>https://www.sydney.edu.au/courses/courses/pc/graduate-certificate-in-medicine-internal-medicine.html</t>
        </is>
      </c>
      <c r="G303" t="inlineStr">
        <is>
          <t>https://www.sydney.edu.au/courses/courses/pc/graduate-certificate-in-medicine-internal-medicine.html</t>
        </is>
      </c>
      <c r="H303" t="inlineStr">
        <is>
          <t>Read</t>
        </is>
      </c>
      <c r="I303" t="inlineStr">
        <is>
          <t>Exact title match</t>
        </is>
      </c>
      <c r="J303" t="inlineStr"/>
      <c r="K303" t="inlineStr">
        <is>
          <t>Not sent to re-link</t>
        </is>
      </c>
      <c r="L303" t="inlineStr">
        <is>
          <t>Filled</t>
        </is>
      </c>
      <c r="M303" t="inlineStr">
        <is>
          <t>Not stated on course page</t>
        </is>
      </c>
      <c r="N303" t="inlineStr"/>
      <c r="O303" t="n">
        <v>0</v>
      </c>
      <c r="P303" t="inlineStr"/>
      <c r="Q303" t="inlineStr">
        <is>
          <t>Filled</t>
        </is>
      </c>
      <c r="R303" t="n">
        <v>6.5</v>
      </c>
      <c r="S303" t="inlineStr">
        <is>
          <t>Central English policy</t>
        </is>
      </c>
      <c r="T303" t="inlineStr">
        <is>
          <t>Central rule applies (value agrees)</t>
        </is>
      </c>
      <c r="U303" t="inlineStr"/>
      <c r="V303" t="inlineStr">
        <is>
          <t>Not stated on course page</t>
        </is>
      </c>
      <c r="W303" t="inlineStr"/>
      <c r="X303" t="inlineStr"/>
      <c r="Y303" t="n">
        <v>0</v>
      </c>
      <c r="Z303" t="inlineStr">
        <is>
          <t>No</t>
        </is>
      </c>
      <c r="AA303" t="inlineStr">
        <is>
          <t>Filled</t>
        </is>
      </c>
      <c r="AB303" t="inlineStr">
        <is>
          <t>online</t>
        </is>
      </c>
      <c r="AC303" t="inlineStr">
        <is>
          <t>Filled</t>
        </is>
      </c>
      <c r="AD303" t="n">
        <v>0</v>
      </c>
      <c r="AE303" t="inlineStr"/>
      <c r="AF303" t="inlineStr"/>
      <c r="AG303" t="inlineStr"/>
      <c r="AH303" t="inlineStr"/>
      <c r="AI303" t="inlineStr">
        <is>
          <t>Yes</t>
        </is>
      </c>
      <c r="AJ303" t="inlineStr"/>
      <c r="AK303" t="inlineStr"/>
      <c r="AL303" t="inlineStr"/>
      <c r="AM303" t="inlineStr"/>
    </row>
    <row r="304">
      <c r="A304" t="inlineStr">
        <is>
          <t>107852M</t>
        </is>
      </c>
      <c r="B304" t="inlineStr">
        <is>
          <t>Graduate Certificate in Medicine (Sexual and Reproductive Health)</t>
        </is>
      </c>
      <c r="C304" t="inlineStr">
        <is>
          <t>Graduate Certificate</t>
        </is>
      </c>
      <c r="D304" t="inlineStr">
        <is>
          <t>Postgraduate coursework</t>
        </is>
      </c>
      <c r="E304" t="inlineStr">
        <is>
          <t>Advertised: official page in place</t>
        </is>
      </c>
      <c r="F304" t="inlineStr">
        <is>
          <t>https://www.sydney.edu.au/courses/courses/pc/graduate-certificate-in-medicine-sexual-and-reproductive-health0.html</t>
        </is>
      </c>
      <c r="G304" t="inlineStr">
        <is>
          <t>https://www.sydney.edu.au/courses/courses/pc/graduate-certificate-in-medicine-sexual-and-reproductive-health0.html</t>
        </is>
      </c>
      <c r="H304" t="inlineStr">
        <is>
          <t>Read</t>
        </is>
      </c>
      <c r="I304" t="inlineStr">
        <is>
          <t>Exact title match</t>
        </is>
      </c>
      <c r="J304" t="inlineStr"/>
      <c r="K304" t="inlineStr">
        <is>
          <t>Not sent to re-link</t>
        </is>
      </c>
      <c r="L304" t="inlineStr">
        <is>
          <t>Filled</t>
        </is>
      </c>
      <c r="M304" t="inlineStr">
        <is>
          <t>Not stated on course page</t>
        </is>
      </c>
      <c r="N304" t="inlineStr"/>
      <c r="O304" t="n">
        <v>0</v>
      </c>
      <c r="P304" t="inlineStr"/>
      <c r="Q304" t="inlineStr">
        <is>
          <t>Filled</t>
        </is>
      </c>
      <c r="R304" t="n">
        <v>6.5</v>
      </c>
      <c r="S304" t="inlineStr">
        <is>
          <t>Central English policy</t>
        </is>
      </c>
      <c r="T304" t="inlineStr">
        <is>
          <t>Central rule applies (value agrees)</t>
        </is>
      </c>
      <c r="U304" t="inlineStr"/>
      <c r="V304" t="inlineStr">
        <is>
          <t>Not stated on course page</t>
        </is>
      </c>
      <c r="W304" t="inlineStr"/>
      <c r="X304" t="inlineStr"/>
      <c r="Y304" t="n">
        <v>0</v>
      </c>
      <c r="Z304" t="inlineStr">
        <is>
          <t>No</t>
        </is>
      </c>
      <c r="AA304" t="inlineStr">
        <is>
          <t>Filled</t>
        </is>
      </c>
      <c r="AB304" t="inlineStr">
        <is>
          <t>on campus</t>
        </is>
      </c>
      <c r="AC304" t="inlineStr"/>
      <c r="AD304" t="n">
        <v>0</v>
      </c>
      <c r="AE304" t="inlineStr"/>
      <c r="AF304" t="inlineStr"/>
      <c r="AG304" t="inlineStr"/>
      <c r="AH304" t="inlineStr"/>
      <c r="AI304" t="inlineStr">
        <is>
          <t>Yes</t>
        </is>
      </c>
      <c r="AJ304" t="inlineStr"/>
      <c r="AK304" t="inlineStr"/>
      <c r="AL304" t="inlineStr"/>
      <c r="AM304" t="inlineStr"/>
    </row>
    <row r="305">
      <c r="A305" t="inlineStr">
        <is>
          <t>079206M</t>
        </is>
      </c>
      <c r="B305" t="inlineStr">
        <is>
          <t>Graduate Certificate in Museum and Heritage Studies</t>
        </is>
      </c>
      <c r="C305" t="inlineStr">
        <is>
          <t>Graduate Certificate</t>
        </is>
      </c>
      <c r="D305" t="inlineStr">
        <is>
          <t>Postgraduate coursework</t>
        </is>
      </c>
      <c r="E305" t="inlineStr">
        <is>
          <t>Advertised: official page in place</t>
        </is>
      </c>
      <c r="F305" t="inlineStr">
        <is>
          <t>https://www.sydney.edu.au/courses/courses/pc/graduate-certificate-in-museum-and-heritage-studies.html</t>
        </is>
      </c>
      <c r="G305" t="inlineStr">
        <is>
          <t>https://www.sydney.edu.au/courses/courses/pc/graduate-certificate-in-museum-and-heritage-studies.html</t>
        </is>
      </c>
      <c r="H305" t="inlineStr">
        <is>
          <t>Read</t>
        </is>
      </c>
      <c r="I305" t="inlineStr">
        <is>
          <t>Exact title match</t>
        </is>
      </c>
      <c r="J305" t="inlineStr"/>
      <c r="K305" t="inlineStr">
        <is>
          <t>Not sent to re-link</t>
        </is>
      </c>
      <c r="L305" t="inlineStr">
        <is>
          <t>Filled</t>
        </is>
      </c>
      <c r="M305" t="inlineStr">
        <is>
          <t>Not stated on course page</t>
        </is>
      </c>
      <c r="N305" t="inlineStr"/>
      <c r="O305" t="n">
        <v>0</v>
      </c>
      <c r="P305" t="inlineStr"/>
      <c r="Q305" t="inlineStr">
        <is>
          <t>Filled</t>
        </is>
      </c>
      <c r="R305" t="n">
        <v>6.5</v>
      </c>
      <c r="S305" t="inlineStr">
        <is>
          <t>Central English policy</t>
        </is>
      </c>
      <c r="T305" t="inlineStr">
        <is>
          <t>Central rule applies (value agrees)</t>
        </is>
      </c>
      <c r="U305" t="inlineStr"/>
      <c r="V305" t="inlineStr">
        <is>
          <t>Not stated on course page</t>
        </is>
      </c>
      <c r="W305" t="inlineStr"/>
      <c r="X305" t="inlineStr"/>
      <c r="Y305" t="n">
        <v>0</v>
      </c>
      <c r="Z305" t="inlineStr">
        <is>
          <t>No</t>
        </is>
      </c>
      <c r="AA305" t="inlineStr">
        <is>
          <t>Filled</t>
        </is>
      </c>
      <c r="AB305" t="inlineStr">
        <is>
          <t>on campus</t>
        </is>
      </c>
      <c r="AC305" t="inlineStr"/>
      <c r="AD305" t="n">
        <v>0</v>
      </c>
      <c r="AE305" t="inlineStr"/>
      <c r="AF305" t="inlineStr"/>
      <c r="AG305" t="inlineStr"/>
      <c r="AH305" t="inlineStr"/>
      <c r="AI305" t="inlineStr">
        <is>
          <t>Yes</t>
        </is>
      </c>
      <c r="AJ305" t="inlineStr"/>
      <c r="AK305" t="inlineStr"/>
      <c r="AL305" t="inlineStr"/>
      <c r="AM305" t="inlineStr"/>
    </row>
    <row r="306">
      <c r="A306" t="inlineStr">
        <is>
          <t>055333B</t>
        </is>
      </c>
      <c r="B306" t="inlineStr">
        <is>
          <t>Graduate Certificate in Peace and Conflict Studies</t>
        </is>
      </c>
      <c r="C306" t="inlineStr">
        <is>
          <t>Graduate Certificate</t>
        </is>
      </c>
      <c r="D306" t="inlineStr">
        <is>
          <t>Postgraduate coursework</t>
        </is>
      </c>
      <c r="E306" t="inlineStr">
        <is>
          <t>Page found, needs a rendered read</t>
        </is>
      </c>
      <c r="F306" t="inlineStr"/>
      <c r="G306" t="inlineStr">
        <is>
          <t>https://www.sydney.edu.au/courses/courses/pc/graduate-certificate-in-peace-and-conflict-studies.html</t>
        </is>
      </c>
      <c r="H306" t="inlineStr">
        <is>
          <t>Needs a rendered read</t>
        </is>
      </c>
      <c r="I306" t="inlineStr"/>
      <c r="J306" t="inlineStr"/>
      <c r="K306" t="inlineStr">
        <is>
          <t>Finished, no page: every candidate address was refused by the reader or did not</t>
        </is>
      </c>
      <c r="L306" t="inlineStr">
        <is>
          <t>Page found, being read</t>
        </is>
      </c>
      <c r="M306" t="inlineStr">
        <is>
          <t>Page found, being read</t>
        </is>
      </c>
      <c r="N306" t="inlineStr"/>
      <c r="O306" t="n">
        <v>0</v>
      </c>
      <c r="P306" t="inlineStr"/>
      <c r="Q306" t="inlineStr">
        <is>
          <t>Filled</t>
        </is>
      </c>
      <c r="R306" t="n">
        <v>6.5</v>
      </c>
      <c r="S306" t="inlineStr">
        <is>
          <t>Central English policy</t>
        </is>
      </c>
      <c r="T306" t="inlineStr">
        <is>
          <t>Central rule applies (value agrees)</t>
        </is>
      </c>
      <c r="U306" t="inlineStr"/>
      <c r="V306" t="inlineStr">
        <is>
          <t>Page found, being read</t>
        </is>
      </c>
      <c r="W306" t="inlineStr"/>
      <c r="X306" t="inlineStr"/>
      <c r="Y306" t="n">
        <v>0</v>
      </c>
      <c r="Z306" t="inlineStr">
        <is>
          <t>No</t>
        </is>
      </c>
      <c r="AA306" t="inlineStr">
        <is>
          <t>Not stated on course page</t>
        </is>
      </c>
      <c r="AB306" t="inlineStr"/>
      <c r="AC306" t="inlineStr">
        <is>
          <t>Skipped: no allowed source had a value</t>
        </is>
      </c>
      <c r="AD306" t="n">
        <v>1</v>
      </c>
      <c r="AE306" t="inlineStr">
        <is>
          <t>Yes</t>
        </is>
      </c>
      <c r="AF306" t="inlineStr"/>
      <c r="AG306" t="inlineStr"/>
      <c r="AH306" t="inlineStr"/>
      <c r="AI306" t="inlineStr"/>
      <c r="AJ306" t="inlineStr"/>
      <c r="AK306" t="inlineStr"/>
      <c r="AL306" t="inlineStr"/>
      <c r="AM306" t="inlineStr"/>
    </row>
    <row r="307">
      <c r="A307" t="inlineStr">
        <is>
          <t>064138G</t>
        </is>
      </c>
      <c r="B307" t="inlineStr">
        <is>
          <t>Graduate Certificate in Political Economy</t>
        </is>
      </c>
      <c r="C307" t="inlineStr">
        <is>
          <t>Graduate Certificate</t>
        </is>
      </c>
      <c r="D307" t="inlineStr">
        <is>
          <t>Postgraduate coursework</t>
        </is>
      </c>
      <c r="E307" t="inlineStr">
        <is>
          <t>Advertised: official page in place</t>
        </is>
      </c>
      <c r="F307" t="inlineStr">
        <is>
          <t>https://www.sydney.edu.au/courses/courses/pc/graduate-certificate-in-political-economy.html</t>
        </is>
      </c>
      <c r="G307" t="inlineStr">
        <is>
          <t>https://www.sydney.edu.au/courses/courses/pc/graduate-certificate-in-political-economy.html</t>
        </is>
      </c>
      <c r="H307" t="inlineStr">
        <is>
          <t>Read</t>
        </is>
      </c>
      <c r="I307" t="inlineStr">
        <is>
          <t>Exact title match</t>
        </is>
      </c>
      <c r="J307" t="inlineStr"/>
      <c r="K307" t="inlineStr">
        <is>
          <t>Not sent to re-link</t>
        </is>
      </c>
      <c r="L307" t="inlineStr">
        <is>
          <t>Filled</t>
        </is>
      </c>
      <c r="M307" t="inlineStr">
        <is>
          <t>Not stated on course page</t>
        </is>
      </c>
      <c r="N307" t="inlineStr"/>
      <c r="O307" t="n">
        <v>0</v>
      </c>
      <c r="P307" t="inlineStr"/>
      <c r="Q307" t="inlineStr">
        <is>
          <t>Filled</t>
        </is>
      </c>
      <c r="R307" t="n">
        <v>6.5</v>
      </c>
      <c r="S307" t="inlineStr">
        <is>
          <t>Central English policy</t>
        </is>
      </c>
      <c r="T307" t="inlineStr">
        <is>
          <t>Central rule applies (value agrees)</t>
        </is>
      </c>
      <c r="U307" t="inlineStr"/>
      <c r="V307" t="inlineStr">
        <is>
          <t>Not stated on course page</t>
        </is>
      </c>
      <c r="W307" t="inlineStr"/>
      <c r="X307" t="inlineStr"/>
      <c r="Y307" t="n">
        <v>0</v>
      </c>
      <c r="Z307" t="inlineStr">
        <is>
          <t>No</t>
        </is>
      </c>
      <c r="AA307" t="inlineStr">
        <is>
          <t>Filled</t>
        </is>
      </c>
      <c r="AB307" t="inlineStr">
        <is>
          <t>on campus</t>
        </is>
      </c>
      <c r="AC307" t="inlineStr"/>
      <c r="AD307" t="n">
        <v>0</v>
      </c>
      <c r="AE307" t="inlineStr"/>
      <c r="AF307" t="inlineStr"/>
      <c r="AG307" t="inlineStr"/>
      <c r="AH307" t="inlineStr"/>
      <c r="AI307" t="inlineStr">
        <is>
          <t>Yes</t>
        </is>
      </c>
      <c r="AJ307" t="inlineStr"/>
      <c r="AK307" t="inlineStr"/>
      <c r="AL307" t="inlineStr"/>
      <c r="AM307" t="inlineStr"/>
    </row>
    <row r="308">
      <c r="A308" t="inlineStr">
        <is>
          <t>107172B</t>
        </is>
      </c>
      <c r="B308" t="inlineStr">
        <is>
          <t>Graduate Certificate in Professional Accounting</t>
        </is>
      </c>
      <c r="C308" t="inlineStr">
        <is>
          <t>Graduate Certificate</t>
        </is>
      </c>
      <c r="D308" t="inlineStr">
        <is>
          <t>Postgraduate coursework</t>
        </is>
      </c>
      <c r="E308" t="inlineStr">
        <is>
          <t>Page address no longer works</t>
        </is>
      </c>
      <c r="F308" t="inlineStr"/>
      <c r="G308" t="inlineStr">
        <is>
          <t>https://www.sydney.edu.au/courses/courses/pc/graduate-certificate-in-professional-accounting.html</t>
        </is>
      </c>
      <c r="H308" t="inlineStr">
        <is>
          <t>Address no longer works</t>
        </is>
      </c>
      <c r="I308" t="inlineStr"/>
      <c r="J308" t="inlineStr"/>
      <c r="K308" t="inlineStr">
        <is>
          <t>Finished, no page: every candidate address was refused by the reader or did not</t>
        </is>
      </c>
      <c r="L308" t="inlineStr">
        <is>
          <t>Page found, being read</t>
        </is>
      </c>
      <c r="M308" t="inlineStr">
        <is>
          <t>Page found, being read</t>
        </is>
      </c>
      <c r="N308" t="inlineStr"/>
      <c r="O308" t="n">
        <v>0</v>
      </c>
      <c r="P308" t="inlineStr"/>
      <c r="Q308" t="inlineStr">
        <is>
          <t>Filled</t>
        </is>
      </c>
      <c r="R308" t="n">
        <v>6.5</v>
      </c>
      <c r="S308" t="inlineStr">
        <is>
          <t>Central English policy</t>
        </is>
      </c>
      <c r="T308" t="inlineStr">
        <is>
          <t>Central rule applies (value agrees)</t>
        </is>
      </c>
      <c r="U308" t="inlineStr"/>
      <c r="V308" t="inlineStr">
        <is>
          <t>Page found, being read</t>
        </is>
      </c>
      <c r="W308" t="inlineStr"/>
      <c r="X308" t="inlineStr"/>
      <c r="Y308" t="n">
        <v>0</v>
      </c>
      <c r="Z308" t="inlineStr">
        <is>
          <t>No</t>
        </is>
      </c>
      <c r="AA308" t="inlineStr">
        <is>
          <t>Not stated on course page</t>
        </is>
      </c>
      <c r="AB308" t="inlineStr"/>
      <c r="AC308" t="inlineStr">
        <is>
          <t>Skipped: no allowed source had a value</t>
        </is>
      </c>
      <c r="AD308" t="n">
        <v>1</v>
      </c>
      <c r="AE308" t="inlineStr"/>
      <c r="AF308" t="inlineStr"/>
      <c r="AG308" t="inlineStr"/>
      <c r="AH308" t="inlineStr"/>
      <c r="AI308" t="inlineStr"/>
      <c r="AJ308" t="inlineStr"/>
      <c r="AK308" t="inlineStr"/>
      <c r="AL308" t="inlineStr"/>
      <c r="AM308" t="inlineStr"/>
    </row>
    <row r="309">
      <c r="A309" t="inlineStr">
        <is>
          <t>107968K</t>
        </is>
      </c>
      <c r="B309" t="inlineStr">
        <is>
          <t>Graduate Certificate in Professional Accounting and Business Performance (Exit degree)</t>
        </is>
      </c>
      <c r="C309" t="inlineStr">
        <is>
          <t>Graduate Certificate</t>
        </is>
      </c>
      <c r="D309" t="inlineStr">
        <is>
          <t>Postgraduate coursework</t>
        </is>
      </c>
      <c r="E309" t="inlineStr">
        <is>
          <t>Page address no longer works</t>
        </is>
      </c>
      <c r="F309" t="inlineStr"/>
      <c r="G309" t="inlineStr">
        <is>
          <t>https://www.sydney.edu.au/courses/courses/pc/graduate-certificate-in-professional-accounting-and-business-performance-exit-degree.html</t>
        </is>
      </c>
      <c r="H309" t="inlineStr">
        <is>
          <t>Address no longer works</t>
        </is>
      </c>
      <c r="I309" t="inlineStr"/>
      <c r="J309" t="inlineStr"/>
      <c r="K309" t="inlineStr">
        <is>
          <t>Finished, no page: every candidate address was refused by the reader or did not</t>
        </is>
      </c>
      <c r="L309" t="inlineStr">
        <is>
          <t>Page found, being read</t>
        </is>
      </c>
      <c r="M309" t="inlineStr">
        <is>
          <t>Page found, being read</t>
        </is>
      </c>
      <c r="N309" t="inlineStr"/>
      <c r="O309" t="n">
        <v>0</v>
      </c>
      <c r="P309" t="inlineStr"/>
      <c r="Q309" t="inlineStr">
        <is>
          <t>Filled</t>
        </is>
      </c>
      <c r="R309" t="n">
        <v>6.5</v>
      </c>
      <c r="S309" t="inlineStr">
        <is>
          <t>Central English policy</t>
        </is>
      </c>
      <c r="T309" t="inlineStr">
        <is>
          <t>Central rule applies (value agrees)</t>
        </is>
      </c>
      <c r="U309" t="inlineStr"/>
      <c r="V309" t="inlineStr">
        <is>
          <t>Page found, being read</t>
        </is>
      </c>
      <c r="W309" t="inlineStr"/>
      <c r="X309" t="inlineStr"/>
      <c r="Y309" t="n">
        <v>0</v>
      </c>
      <c r="Z309" t="inlineStr">
        <is>
          <t>No</t>
        </is>
      </c>
      <c r="AA309" t="inlineStr">
        <is>
          <t>Not stated on course page</t>
        </is>
      </c>
      <c r="AB309" t="inlineStr"/>
      <c r="AC309" t="inlineStr">
        <is>
          <t>Skipped: no allowed source had a value</t>
        </is>
      </c>
      <c r="AD309" t="n">
        <v>1</v>
      </c>
      <c r="AE309" t="inlineStr"/>
      <c r="AF309" t="inlineStr"/>
      <c r="AG309" t="inlineStr"/>
      <c r="AH309" t="inlineStr"/>
      <c r="AI309" t="inlineStr"/>
      <c r="AJ309" t="inlineStr"/>
      <c r="AK309" t="inlineStr"/>
      <c r="AL309" t="inlineStr"/>
      <c r="AM309" t="inlineStr"/>
    </row>
    <row r="310">
      <c r="A310" t="inlineStr">
        <is>
          <t>097699B</t>
        </is>
      </c>
      <c r="B310" t="inlineStr">
        <is>
          <t>Graduate Certificate in Project and Program Management</t>
        </is>
      </c>
      <c r="C310" t="inlineStr">
        <is>
          <t>Graduate Certificate</t>
        </is>
      </c>
      <c r="D310" t="inlineStr">
        <is>
          <t>Postgraduate coursework</t>
        </is>
      </c>
      <c r="E310" t="inlineStr">
        <is>
          <t>Page found, needs a rendered read</t>
        </is>
      </c>
      <c r="F310" t="inlineStr"/>
      <c r="G310" t="inlineStr">
        <is>
          <t>https://www.sydney.edu.au/courses/courses/pc/graduate-certificate-in-project-and-program-management.html</t>
        </is>
      </c>
      <c r="H310" t="inlineStr">
        <is>
          <t>Needs a rendered read</t>
        </is>
      </c>
      <c r="I310" t="inlineStr"/>
      <c r="J310" t="inlineStr"/>
      <c r="K310" t="inlineStr">
        <is>
          <t>Finished, no page: every candidate address was refused by the reader or did not</t>
        </is>
      </c>
      <c r="L310" t="inlineStr">
        <is>
          <t>Page found, being read</t>
        </is>
      </c>
      <c r="M310" t="inlineStr">
        <is>
          <t>Page found, being read</t>
        </is>
      </c>
      <c r="N310" t="inlineStr"/>
      <c r="O310" t="n">
        <v>0</v>
      </c>
      <c r="P310" t="inlineStr"/>
      <c r="Q310" t="inlineStr">
        <is>
          <t>Filled</t>
        </is>
      </c>
      <c r="R310" t="n">
        <v>6.5</v>
      </c>
      <c r="S310" t="inlineStr">
        <is>
          <t>Central English policy</t>
        </is>
      </c>
      <c r="T310" t="inlineStr">
        <is>
          <t>Central rule applies (value agrees)</t>
        </is>
      </c>
      <c r="U310" t="inlineStr"/>
      <c r="V310" t="inlineStr">
        <is>
          <t>Page found, being read</t>
        </is>
      </c>
      <c r="W310" t="inlineStr"/>
      <c r="X310" t="inlineStr"/>
      <c r="Y310" t="n">
        <v>0</v>
      </c>
      <c r="Z310" t="inlineStr">
        <is>
          <t>No</t>
        </is>
      </c>
      <c r="AA310" t="inlineStr">
        <is>
          <t>Not stated on course page</t>
        </is>
      </c>
      <c r="AB310" t="inlineStr"/>
      <c r="AC310" t="inlineStr">
        <is>
          <t>Skipped: no allowed source had a value</t>
        </is>
      </c>
      <c r="AD310" t="n">
        <v>1</v>
      </c>
      <c r="AE310" t="inlineStr">
        <is>
          <t>Yes</t>
        </is>
      </c>
      <c r="AF310" t="inlineStr"/>
      <c r="AG310" t="inlineStr"/>
      <c r="AH310" t="inlineStr"/>
      <c r="AI310" t="inlineStr"/>
      <c r="AJ310" t="inlineStr"/>
      <c r="AK310" t="inlineStr"/>
      <c r="AL310" t="inlineStr"/>
      <c r="AM310" t="inlineStr"/>
    </row>
    <row r="311">
      <c r="A311" t="inlineStr">
        <is>
          <t>031912C</t>
        </is>
      </c>
      <c r="B311" t="inlineStr">
        <is>
          <t>Graduate Certificate in Project Management</t>
        </is>
      </c>
      <c r="C311" t="inlineStr">
        <is>
          <t>Graduate Certificate</t>
        </is>
      </c>
      <c r="D311" t="inlineStr">
        <is>
          <t>Postgraduate coursework</t>
        </is>
      </c>
      <c r="E311" t="inlineStr">
        <is>
          <t>Advertised: official page in place</t>
        </is>
      </c>
      <c r="F311" t="inlineStr">
        <is>
          <t>https://www.sydney.edu.au/courses/courses/pc/graduate-certificate-in-project-management.html</t>
        </is>
      </c>
      <c r="G311" t="inlineStr">
        <is>
          <t>https://www.sydney.edu.au/courses/courses/pc/graduate-certificate-in-project-management.html</t>
        </is>
      </c>
      <c r="H311" t="inlineStr">
        <is>
          <t>Read</t>
        </is>
      </c>
      <c r="I311" t="inlineStr">
        <is>
          <t>Exact title match</t>
        </is>
      </c>
      <c r="J311" t="inlineStr"/>
      <c r="K311" t="inlineStr">
        <is>
          <t>Not sent to re-link</t>
        </is>
      </c>
      <c r="L311" t="inlineStr">
        <is>
          <t>Filled</t>
        </is>
      </c>
      <c r="M311" t="inlineStr">
        <is>
          <t>Not stated on course page</t>
        </is>
      </c>
      <c r="N311" t="inlineStr"/>
      <c r="O311" t="n">
        <v>0</v>
      </c>
      <c r="P311" t="inlineStr"/>
      <c r="Q311" t="inlineStr">
        <is>
          <t>Filled</t>
        </is>
      </c>
      <c r="R311" t="n">
        <v>6.5</v>
      </c>
      <c r="S311" t="inlineStr">
        <is>
          <t>Central English policy</t>
        </is>
      </c>
      <c r="T311" t="inlineStr">
        <is>
          <t>Central rule applies (value agrees)</t>
        </is>
      </c>
      <c r="U311" t="inlineStr"/>
      <c r="V311" t="inlineStr">
        <is>
          <t>Not stated on course page</t>
        </is>
      </c>
      <c r="W311" t="inlineStr"/>
      <c r="X311" t="inlineStr"/>
      <c r="Y311" t="n">
        <v>0</v>
      </c>
      <c r="Z311" t="inlineStr">
        <is>
          <t>No</t>
        </is>
      </c>
      <c r="AA311" t="inlineStr">
        <is>
          <t>Filled</t>
        </is>
      </c>
      <c r="AB311" t="inlineStr">
        <is>
          <t>on campus</t>
        </is>
      </c>
      <c r="AC311" t="inlineStr"/>
      <c r="AD311" t="n">
        <v>0</v>
      </c>
      <c r="AE311" t="inlineStr"/>
      <c r="AF311" t="inlineStr"/>
      <c r="AG311" t="inlineStr"/>
      <c r="AH311" t="inlineStr"/>
      <c r="AI311" t="inlineStr">
        <is>
          <t>Yes</t>
        </is>
      </c>
      <c r="AJ311" t="inlineStr"/>
      <c r="AK311" t="inlineStr"/>
      <c r="AL311" t="inlineStr"/>
      <c r="AM311" t="inlineStr"/>
    </row>
    <row r="312">
      <c r="A312" t="inlineStr">
        <is>
          <t>023941J</t>
        </is>
      </c>
      <c r="B312" t="inlineStr">
        <is>
          <t>Graduate Certificate in Public Policy</t>
        </is>
      </c>
      <c r="C312" t="inlineStr">
        <is>
          <t>Graduate Certificate</t>
        </is>
      </c>
      <c r="D312" t="inlineStr">
        <is>
          <t>Postgraduate coursework</t>
        </is>
      </c>
      <c r="E312" t="inlineStr">
        <is>
          <t>Advertised: official page in place</t>
        </is>
      </c>
      <c r="F312" t="inlineStr">
        <is>
          <t>https://www.sydney.edu.au/courses/courses/pc/graduate-certificate-in-public-policy.html</t>
        </is>
      </c>
      <c r="G312" t="inlineStr">
        <is>
          <t>https://www.sydney.edu.au/courses/courses/pc/graduate-certificate-in-public-policy.html</t>
        </is>
      </c>
      <c r="H312" t="inlineStr">
        <is>
          <t>Read</t>
        </is>
      </c>
      <c r="I312" t="inlineStr">
        <is>
          <t>Exact title match</t>
        </is>
      </c>
      <c r="J312" t="inlineStr"/>
      <c r="K312" t="inlineStr">
        <is>
          <t>Not sent to re-link</t>
        </is>
      </c>
      <c r="L312" t="inlineStr">
        <is>
          <t>Filled</t>
        </is>
      </c>
      <c r="M312" t="inlineStr">
        <is>
          <t>Not stated on course page</t>
        </is>
      </c>
      <c r="N312" t="inlineStr"/>
      <c r="O312" t="n">
        <v>0</v>
      </c>
      <c r="P312" t="inlineStr"/>
      <c r="Q312" t="inlineStr">
        <is>
          <t>Filled</t>
        </is>
      </c>
      <c r="R312" t="n">
        <v>6.5</v>
      </c>
      <c r="S312" t="inlineStr">
        <is>
          <t>Central English policy</t>
        </is>
      </c>
      <c r="T312" t="inlineStr">
        <is>
          <t>Central rule applies (value agrees)</t>
        </is>
      </c>
      <c r="U312" t="inlineStr"/>
      <c r="V312" t="inlineStr">
        <is>
          <t>Not stated on course page</t>
        </is>
      </c>
      <c r="W312" t="inlineStr"/>
      <c r="X312" t="inlineStr"/>
      <c r="Y312" t="n">
        <v>0</v>
      </c>
      <c r="Z312" t="inlineStr">
        <is>
          <t>No</t>
        </is>
      </c>
      <c r="AA312" t="inlineStr">
        <is>
          <t>Filled</t>
        </is>
      </c>
      <c r="AB312" t="inlineStr">
        <is>
          <t>on campus</t>
        </is>
      </c>
      <c r="AC312" t="inlineStr"/>
      <c r="AD312" t="n">
        <v>0</v>
      </c>
      <c r="AE312" t="inlineStr"/>
      <c r="AF312" t="inlineStr"/>
      <c r="AG312" t="inlineStr"/>
      <c r="AH312" t="inlineStr"/>
      <c r="AI312" t="inlineStr">
        <is>
          <t>Yes</t>
        </is>
      </c>
      <c r="AJ312" t="inlineStr"/>
      <c r="AK312" t="inlineStr"/>
      <c r="AL312" t="inlineStr"/>
      <c r="AM312" t="inlineStr"/>
    </row>
    <row r="313">
      <c r="A313" t="inlineStr">
        <is>
          <t>058180A</t>
        </is>
      </c>
      <c r="B313" t="inlineStr">
        <is>
          <t>Graduate Certificate in Publishing</t>
        </is>
      </c>
      <c r="C313" t="inlineStr">
        <is>
          <t>Graduate Certificate</t>
        </is>
      </c>
      <c r="D313" t="inlineStr">
        <is>
          <t>Postgraduate coursework</t>
        </is>
      </c>
      <c r="E313" t="inlineStr">
        <is>
          <t>Advertised: official page in place</t>
        </is>
      </c>
      <c r="F313" t="inlineStr">
        <is>
          <t>https://www.sydney.edu.au/courses/courses/pc/graduate-certificate-in-publishing.html</t>
        </is>
      </c>
      <c r="G313" t="inlineStr">
        <is>
          <t>https://www.sydney.edu.au/courses/courses/pc/graduate-certificate-in-publishing.html</t>
        </is>
      </c>
      <c r="H313" t="inlineStr">
        <is>
          <t>Read</t>
        </is>
      </c>
      <c r="I313" t="inlineStr">
        <is>
          <t>Exact title match</t>
        </is>
      </c>
      <c r="J313" t="inlineStr"/>
      <c r="K313" t="inlineStr">
        <is>
          <t>Not sent to re-link</t>
        </is>
      </c>
      <c r="L313" t="inlineStr">
        <is>
          <t>Filled</t>
        </is>
      </c>
      <c r="M313" t="inlineStr">
        <is>
          <t>Not stated on course page</t>
        </is>
      </c>
      <c r="N313" t="inlineStr"/>
      <c r="O313" t="n">
        <v>0</v>
      </c>
      <c r="P313" t="inlineStr"/>
      <c r="Q313" t="inlineStr">
        <is>
          <t>Filled</t>
        </is>
      </c>
      <c r="R313" t="n">
        <v>6.5</v>
      </c>
      <c r="S313" t="inlineStr">
        <is>
          <t>Central English policy</t>
        </is>
      </c>
      <c r="T313" t="inlineStr">
        <is>
          <t>Central rule applies (value agrees)</t>
        </is>
      </c>
      <c r="U313" t="inlineStr"/>
      <c r="V313" t="inlineStr">
        <is>
          <t>Not stated on course page</t>
        </is>
      </c>
      <c r="W313" t="inlineStr"/>
      <c r="X313" t="inlineStr"/>
      <c r="Y313" t="n">
        <v>0</v>
      </c>
      <c r="Z313" t="inlineStr">
        <is>
          <t>No</t>
        </is>
      </c>
      <c r="AA313" t="inlineStr">
        <is>
          <t>Filled</t>
        </is>
      </c>
      <c r="AB313" t="inlineStr">
        <is>
          <t>on campus</t>
        </is>
      </c>
      <c r="AC313" t="inlineStr"/>
      <c r="AD313" t="n">
        <v>0</v>
      </c>
      <c r="AE313" t="inlineStr"/>
      <c r="AF313" t="inlineStr"/>
      <c r="AG313" t="inlineStr"/>
      <c r="AH313" t="inlineStr"/>
      <c r="AI313" t="inlineStr">
        <is>
          <t>Yes</t>
        </is>
      </c>
      <c r="AJ313" t="inlineStr"/>
      <c r="AK313" t="inlineStr"/>
      <c r="AL313" t="inlineStr"/>
      <c r="AM313" t="inlineStr"/>
    </row>
    <row r="314">
      <c r="A314" t="inlineStr">
        <is>
          <t>083650A</t>
        </is>
      </c>
      <c r="B314" t="inlineStr">
        <is>
          <t>Graduate Certificate in Science in Medicine</t>
        </is>
      </c>
      <c r="C314" t="inlineStr">
        <is>
          <t>Graduate Certificate</t>
        </is>
      </c>
      <c r="D314" t="inlineStr">
        <is>
          <t>Postgraduate coursework</t>
        </is>
      </c>
      <c r="E314" t="inlineStr">
        <is>
          <t>Advertised: official page in place</t>
        </is>
      </c>
      <c r="F314" t="inlineStr">
        <is>
          <t>https://www.sydney.edu.au/courses/courses/pc/graduate-certificate-in-science-in-medicine-pharmaceutical-and-medical-device-development.html</t>
        </is>
      </c>
      <c r="G314" t="inlineStr">
        <is>
          <t>https://www.sydney.edu.au/courses/courses/pc/graduate-certificate-in-science-in-medicine-pharmaceutical-and-medical-device-development.html</t>
        </is>
      </c>
      <c r="H314" t="inlineStr">
        <is>
          <t>Read</t>
        </is>
      </c>
      <c r="I314" t="inlineStr">
        <is>
          <t>Exact title match</t>
        </is>
      </c>
      <c r="J314" t="inlineStr"/>
      <c r="K314" t="inlineStr">
        <is>
          <t>Not sent to re-link</t>
        </is>
      </c>
      <c r="L314" t="inlineStr">
        <is>
          <t>Filled</t>
        </is>
      </c>
      <c r="M314" t="inlineStr">
        <is>
          <t>Not stated on course page</t>
        </is>
      </c>
      <c r="N314" t="inlineStr"/>
      <c r="O314" t="n">
        <v>0</v>
      </c>
      <c r="P314" t="inlineStr"/>
      <c r="Q314" t="inlineStr">
        <is>
          <t>Filled</t>
        </is>
      </c>
      <c r="R314" t="n">
        <v>6.5</v>
      </c>
      <c r="S314" t="inlineStr">
        <is>
          <t>Central English policy</t>
        </is>
      </c>
      <c r="T314" t="inlineStr">
        <is>
          <t>Central rule applies (value agrees)</t>
        </is>
      </c>
      <c r="U314" t="inlineStr"/>
      <c r="V314" t="inlineStr">
        <is>
          <t>Not stated on course page</t>
        </is>
      </c>
      <c r="W314" t="inlineStr"/>
      <c r="X314" t="inlineStr"/>
      <c r="Y314" t="n">
        <v>0</v>
      </c>
      <c r="Z314" t="inlineStr">
        <is>
          <t>No</t>
        </is>
      </c>
      <c r="AA314" t="inlineStr">
        <is>
          <t>Filled</t>
        </is>
      </c>
      <c r="AB314" t="inlineStr">
        <is>
          <t>online</t>
        </is>
      </c>
      <c r="AC314" t="inlineStr">
        <is>
          <t>Filled</t>
        </is>
      </c>
      <c r="AD314" t="n">
        <v>0</v>
      </c>
      <c r="AE314" t="inlineStr"/>
      <c r="AF314" t="inlineStr"/>
      <c r="AG314" t="inlineStr"/>
      <c r="AH314" t="inlineStr"/>
      <c r="AI314" t="inlineStr">
        <is>
          <t>Yes</t>
        </is>
      </c>
      <c r="AJ314" t="inlineStr"/>
      <c r="AK314" t="inlineStr"/>
      <c r="AL314" t="inlineStr"/>
      <c r="AM314" t="inlineStr"/>
    </row>
    <row r="315">
      <c r="A315" t="inlineStr">
        <is>
          <t>107855H</t>
        </is>
      </c>
      <c r="B315" t="inlineStr">
        <is>
          <t>Graduate Certificate in Science in Medicine (Sexual and Reproductive Health)</t>
        </is>
      </c>
      <c r="C315" t="inlineStr">
        <is>
          <t>Graduate Certificate</t>
        </is>
      </c>
      <c r="D315" t="inlineStr">
        <is>
          <t>Postgraduate coursework</t>
        </is>
      </c>
      <c r="E315" t="inlineStr">
        <is>
          <t>Advertised: official page in place</t>
        </is>
      </c>
      <c r="F315" t="inlineStr">
        <is>
          <t>https://www.sydney.edu.au/courses/courses/pc/graduate-certificate-in-science-in-medicine-sexual-and-reproductive-health0.html</t>
        </is>
      </c>
      <c r="G315" t="inlineStr">
        <is>
          <t>https://www.sydney.edu.au/courses/courses/pc/graduate-certificate-in-science-in-medicine-sexual-and-reproductive-health0.html</t>
        </is>
      </c>
      <c r="H315" t="inlineStr">
        <is>
          <t>Read</t>
        </is>
      </c>
      <c r="I315" t="inlineStr">
        <is>
          <t>Exact title match</t>
        </is>
      </c>
      <c r="J315" t="inlineStr"/>
      <c r="K315" t="inlineStr">
        <is>
          <t>Not sent to re-link</t>
        </is>
      </c>
      <c r="L315" t="inlineStr">
        <is>
          <t>Filled</t>
        </is>
      </c>
      <c r="M315" t="inlineStr">
        <is>
          <t>Not stated on course page</t>
        </is>
      </c>
      <c r="N315" t="inlineStr"/>
      <c r="O315" t="n">
        <v>0</v>
      </c>
      <c r="P315" t="inlineStr"/>
      <c r="Q315" t="inlineStr">
        <is>
          <t>Filled</t>
        </is>
      </c>
      <c r="R315" t="n">
        <v>6.5</v>
      </c>
      <c r="S315" t="inlineStr">
        <is>
          <t>Central English policy</t>
        </is>
      </c>
      <c r="T315" t="inlineStr">
        <is>
          <t>Central rule applies (value agrees)</t>
        </is>
      </c>
      <c r="U315" t="inlineStr"/>
      <c r="V315" t="inlineStr">
        <is>
          <t>Not stated on course page</t>
        </is>
      </c>
      <c r="W315" t="inlineStr"/>
      <c r="X315" t="inlineStr"/>
      <c r="Y315" t="n">
        <v>0</v>
      </c>
      <c r="Z315" t="inlineStr">
        <is>
          <t>No</t>
        </is>
      </c>
      <c r="AA315" t="inlineStr">
        <is>
          <t>Filled</t>
        </is>
      </c>
      <c r="AB315" t="inlineStr">
        <is>
          <t>on campus</t>
        </is>
      </c>
      <c r="AC315" t="inlineStr"/>
      <c r="AD315" t="n">
        <v>0</v>
      </c>
      <c r="AE315" t="inlineStr"/>
      <c r="AF315" t="inlineStr"/>
      <c r="AG315" t="inlineStr"/>
      <c r="AH315" t="inlineStr"/>
      <c r="AI315" t="inlineStr">
        <is>
          <t>Yes</t>
        </is>
      </c>
      <c r="AJ315" t="inlineStr"/>
      <c r="AK315" t="inlineStr"/>
      <c r="AL315" t="inlineStr"/>
      <c r="AM315" t="inlineStr"/>
    </row>
    <row r="316">
      <c r="A316" t="inlineStr">
        <is>
          <t>057118D</t>
        </is>
      </c>
      <c r="B316" t="inlineStr">
        <is>
          <t>Graduate Certificate in Social Work</t>
        </is>
      </c>
      <c r="C316" t="inlineStr">
        <is>
          <t>Graduate Certificate</t>
        </is>
      </c>
      <c r="D316" t="inlineStr">
        <is>
          <t>Postgraduate coursework</t>
        </is>
      </c>
      <c r="E316" t="inlineStr">
        <is>
          <t>Page address no longer works</t>
        </is>
      </c>
      <c r="F316" t="inlineStr"/>
      <c r="G316" t="inlineStr">
        <is>
          <t>https://www.sydney.edu.au/courses/courses/pc/graduate-certificate-in-social-work.html</t>
        </is>
      </c>
      <c r="H316" t="inlineStr">
        <is>
          <t>Address no longer works</t>
        </is>
      </c>
      <c r="I316" t="inlineStr"/>
      <c r="J316" t="inlineStr"/>
      <c r="K316" t="inlineStr">
        <is>
          <t>Re-link still trying</t>
        </is>
      </c>
      <c r="L316" t="inlineStr">
        <is>
          <t>Page found, being read</t>
        </is>
      </c>
      <c r="M316" t="inlineStr">
        <is>
          <t>Page found, being read</t>
        </is>
      </c>
      <c r="N316" t="inlineStr"/>
      <c r="O316" t="n">
        <v>0</v>
      </c>
      <c r="P316" t="inlineStr"/>
      <c r="Q316" t="inlineStr">
        <is>
          <t>Filled</t>
        </is>
      </c>
      <c r="R316" t="n">
        <v>6.5</v>
      </c>
      <c r="S316" t="inlineStr">
        <is>
          <t>Central English policy</t>
        </is>
      </c>
      <c r="T316" t="inlineStr">
        <is>
          <t>Central rule applies (value agrees)</t>
        </is>
      </c>
      <c r="U316" t="inlineStr"/>
      <c r="V316" t="inlineStr">
        <is>
          <t>Page found, being read</t>
        </is>
      </c>
      <c r="W316" t="inlineStr"/>
      <c r="X316" t="inlineStr"/>
      <c r="Y316" t="n">
        <v>0</v>
      </c>
      <c r="Z316" t="inlineStr">
        <is>
          <t>No</t>
        </is>
      </c>
      <c r="AA316" t="inlineStr">
        <is>
          <t>Not stated on course page</t>
        </is>
      </c>
      <c r="AB316" t="inlineStr"/>
      <c r="AC316" t="inlineStr">
        <is>
          <t>Skipped: no allowed source had a value</t>
        </is>
      </c>
      <c r="AD316" t="n">
        <v>1</v>
      </c>
      <c r="AE316" t="inlineStr"/>
      <c r="AF316" t="inlineStr"/>
      <c r="AG316" t="inlineStr"/>
      <c r="AH316" t="inlineStr"/>
      <c r="AI316" t="inlineStr"/>
      <c r="AJ316" t="inlineStr"/>
      <c r="AK316" t="inlineStr"/>
      <c r="AL316" t="inlineStr"/>
      <c r="AM316" t="inlineStr"/>
    </row>
    <row r="317">
      <c r="A317" t="inlineStr">
        <is>
          <t>053430F</t>
        </is>
      </c>
      <c r="B317" t="inlineStr">
        <is>
          <t>Graduate Certificate in Strategic Public Relations</t>
        </is>
      </c>
      <c r="C317" t="inlineStr">
        <is>
          <t>Graduate Certificate</t>
        </is>
      </c>
      <c r="D317" t="inlineStr">
        <is>
          <t>Postgraduate coursework</t>
        </is>
      </c>
      <c r="E317" t="inlineStr">
        <is>
          <t>Advertised: official page in place</t>
        </is>
      </c>
      <c r="F317" t="inlineStr">
        <is>
          <t>https://www.sydney.edu.au/courses/courses/pc/graduate-certificate-in-strategic-public-relations.html</t>
        </is>
      </c>
      <c r="G317" t="inlineStr">
        <is>
          <t>https://www.sydney.edu.au/courses/courses/pc/graduate-certificate-in-strategic-public-relations.html</t>
        </is>
      </c>
      <c r="H317" t="inlineStr">
        <is>
          <t>Read</t>
        </is>
      </c>
      <c r="I317" t="inlineStr">
        <is>
          <t>Exact title match</t>
        </is>
      </c>
      <c r="J317" t="inlineStr"/>
      <c r="K317" t="inlineStr">
        <is>
          <t>Not sent to re-link</t>
        </is>
      </c>
      <c r="L317" t="inlineStr">
        <is>
          <t>Filled</t>
        </is>
      </c>
      <c r="M317" t="inlineStr">
        <is>
          <t>Not stated on course page</t>
        </is>
      </c>
      <c r="N317" t="inlineStr"/>
      <c r="O317" t="n">
        <v>0</v>
      </c>
      <c r="P317" t="inlineStr"/>
      <c r="Q317" t="inlineStr">
        <is>
          <t>Filled</t>
        </is>
      </c>
      <c r="R317" t="n">
        <v>6.5</v>
      </c>
      <c r="S317" t="inlineStr">
        <is>
          <t>Central English policy</t>
        </is>
      </c>
      <c r="T317" t="inlineStr">
        <is>
          <t>Central rule applies (value agrees)</t>
        </is>
      </c>
      <c r="U317" t="inlineStr"/>
      <c r="V317" t="inlineStr">
        <is>
          <t>Not stated on course page</t>
        </is>
      </c>
      <c r="W317" t="inlineStr"/>
      <c r="X317" t="inlineStr"/>
      <c r="Y317" t="n">
        <v>0</v>
      </c>
      <c r="Z317" t="inlineStr">
        <is>
          <t>No</t>
        </is>
      </c>
      <c r="AA317" t="inlineStr">
        <is>
          <t>Filled</t>
        </is>
      </c>
      <c r="AB317" t="inlineStr">
        <is>
          <t>on campus</t>
        </is>
      </c>
      <c r="AC317" t="inlineStr"/>
      <c r="AD317" t="n">
        <v>0</v>
      </c>
      <c r="AE317" t="inlineStr"/>
      <c r="AF317" t="inlineStr"/>
      <c r="AG317" t="inlineStr"/>
      <c r="AH317" t="inlineStr"/>
      <c r="AI317" t="inlineStr">
        <is>
          <t>Yes</t>
        </is>
      </c>
      <c r="AJ317" t="inlineStr"/>
      <c r="AK317" t="inlineStr"/>
      <c r="AL317" t="inlineStr"/>
      <c r="AM317" t="inlineStr"/>
    </row>
    <row r="318">
      <c r="A318" t="inlineStr">
        <is>
          <t>068692E</t>
        </is>
      </c>
      <c r="B318" t="inlineStr">
        <is>
          <t>Graduate Certificate in Sustainability</t>
        </is>
      </c>
      <c r="C318" t="inlineStr">
        <is>
          <t>Graduate Certificate</t>
        </is>
      </c>
      <c r="D318" t="inlineStr">
        <is>
          <t>Postgraduate coursework</t>
        </is>
      </c>
      <c r="E318" t="inlineStr">
        <is>
          <t>Advertised: official page in place</t>
        </is>
      </c>
      <c r="F318" t="inlineStr">
        <is>
          <t>https://www.sydney.edu.au/courses/courses/pc/graduate-certificate-in-sustainability0.html</t>
        </is>
      </c>
      <c r="G318" t="inlineStr">
        <is>
          <t>https://www.sydney.edu.au/courses/courses/pc/graduate-certificate-in-sustainability0.html</t>
        </is>
      </c>
      <c r="H318" t="inlineStr">
        <is>
          <t>Read</t>
        </is>
      </c>
      <c r="I318" t="inlineStr">
        <is>
          <t>Exact title match</t>
        </is>
      </c>
      <c r="J318" t="inlineStr"/>
      <c r="K318" t="inlineStr">
        <is>
          <t>Not sent to re-link</t>
        </is>
      </c>
      <c r="L318" t="inlineStr">
        <is>
          <t>Filled</t>
        </is>
      </c>
      <c r="M318" t="inlineStr">
        <is>
          <t>Not stated on course page</t>
        </is>
      </c>
      <c r="N318" t="inlineStr"/>
      <c r="O318" t="n">
        <v>0</v>
      </c>
      <c r="P318" t="inlineStr"/>
      <c r="Q318" t="inlineStr">
        <is>
          <t>Filled</t>
        </is>
      </c>
      <c r="R318" t="n">
        <v>6.5</v>
      </c>
      <c r="S318" t="inlineStr">
        <is>
          <t>Central English policy</t>
        </is>
      </c>
      <c r="T318" t="inlineStr">
        <is>
          <t>Central rule applies (value agrees)</t>
        </is>
      </c>
      <c r="U318" t="inlineStr"/>
      <c r="V318" t="inlineStr">
        <is>
          <t>Not stated on course page</t>
        </is>
      </c>
      <c r="W318" t="inlineStr"/>
      <c r="X318" t="inlineStr"/>
      <c r="Y318" t="n">
        <v>0</v>
      </c>
      <c r="Z318" t="inlineStr">
        <is>
          <t>No</t>
        </is>
      </c>
      <c r="AA318" t="inlineStr">
        <is>
          <t>Filled</t>
        </is>
      </c>
      <c r="AB318" t="inlineStr">
        <is>
          <t>on campus</t>
        </is>
      </c>
      <c r="AC318" t="inlineStr"/>
      <c r="AD318" t="n">
        <v>0</v>
      </c>
      <c r="AE318" t="inlineStr"/>
      <c r="AF318" t="inlineStr"/>
      <c r="AG318" t="inlineStr"/>
      <c r="AH318" t="inlineStr"/>
      <c r="AI318" t="inlineStr">
        <is>
          <t>Yes</t>
        </is>
      </c>
      <c r="AJ318" t="inlineStr"/>
      <c r="AK318" t="inlineStr"/>
      <c r="AL318" t="inlineStr"/>
      <c r="AM318" t="inlineStr"/>
    </row>
    <row r="319">
      <c r="A319" t="inlineStr">
        <is>
          <t>118314B</t>
        </is>
      </c>
      <c r="B319" t="inlineStr">
        <is>
          <t>Graduate Certificate in Teaching English to Speakers of Other Languages</t>
        </is>
      </c>
      <c r="C319" t="inlineStr">
        <is>
          <t>Graduate Certificate</t>
        </is>
      </c>
      <c r="D319" t="inlineStr">
        <is>
          <t>Postgraduate coursework</t>
        </is>
      </c>
      <c r="E319" t="inlineStr">
        <is>
          <t>Advertised: official page in place</t>
        </is>
      </c>
      <c r="F319" t="inlineStr">
        <is>
          <t>https://www.sydney.edu.au/courses/courses/pc/graduate-certificate-in-teaching-english-to-speakers-of-other-languages.html</t>
        </is>
      </c>
      <c r="G319" t="inlineStr">
        <is>
          <t>https://www.sydney.edu.au/courses/courses/pc/graduate-certificate-in-teaching-english-to-speakers-of-other-languages.html</t>
        </is>
      </c>
      <c r="H319" t="inlineStr">
        <is>
          <t>Read</t>
        </is>
      </c>
      <c r="I319" t="inlineStr">
        <is>
          <t>Exact title match</t>
        </is>
      </c>
      <c r="J319" t="inlineStr"/>
      <c r="K319" t="inlineStr">
        <is>
          <t>Not sent to re-link</t>
        </is>
      </c>
      <c r="L319" t="inlineStr">
        <is>
          <t>Filled</t>
        </is>
      </c>
      <c r="M319" t="inlineStr">
        <is>
          <t>Not stated on course page</t>
        </is>
      </c>
      <c r="N319" t="inlineStr"/>
      <c r="O319" t="n">
        <v>0</v>
      </c>
      <c r="P319" t="inlineStr"/>
      <c r="Q319" t="inlineStr">
        <is>
          <t>Filled</t>
        </is>
      </c>
      <c r="R319" t="n">
        <v>6.5</v>
      </c>
      <c r="S319" t="inlineStr">
        <is>
          <t>Central English policy</t>
        </is>
      </c>
      <c r="T319" t="inlineStr">
        <is>
          <t>Central rule applies (value agrees)</t>
        </is>
      </c>
      <c r="U319" t="inlineStr"/>
      <c r="V319" t="inlineStr">
        <is>
          <t>Not stated on course page</t>
        </is>
      </c>
      <c r="W319" t="inlineStr"/>
      <c r="X319" t="inlineStr"/>
      <c r="Y319" t="n">
        <v>0</v>
      </c>
      <c r="Z319" t="inlineStr">
        <is>
          <t>No</t>
        </is>
      </c>
      <c r="AA319" t="inlineStr">
        <is>
          <t>Filled</t>
        </is>
      </c>
      <c r="AB319" t="inlineStr">
        <is>
          <t>on campus</t>
        </is>
      </c>
      <c r="AC319" t="inlineStr"/>
      <c r="AD319" t="n">
        <v>0</v>
      </c>
      <c r="AE319" t="inlineStr"/>
      <c r="AF319" t="inlineStr"/>
      <c r="AG319" t="inlineStr"/>
      <c r="AH319" t="inlineStr"/>
      <c r="AI319" t="inlineStr">
        <is>
          <t>Yes</t>
        </is>
      </c>
      <c r="AJ319" t="inlineStr"/>
      <c r="AK319" t="inlineStr"/>
      <c r="AL319" t="inlineStr"/>
      <c r="AM319" t="inlineStr"/>
    </row>
    <row r="320">
      <c r="A320" t="inlineStr">
        <is>
          <t>099888C</t>
        </is>
      </c>
      <c r="B320" t="inlineStr">
        <is>
          <t>Graduate Certificate in Transport</t>
        </is>
      </c>
      <c r="C320" t="inlineStr">
        <is>
          <t>Graduate Certificate</t>
        </is>
      </c>
      <c r="D320" t="inlineStr">
        <is>
          <t>Postgraduate coursework</t>
        </is>
      </c>
      <c r="E320" t="inlineStr">
        <is>
          <t>Advertised: official page in place</t>
        </is>
      </c>
      <c r="F320" t="inlineStr">
        <is>
          <t>https://www.sydney.edu.au/courses/courses/pc/graduate-certificate-in-transport.html</t>
        </is>
      </c>
      <c r="G320" t="inlineStr">
        <is>
          <t>https://www.sydney.edu.au/courses/courses/pc/graduate-certificate-in-transport.html</t>
        </is>
      </c>
      <c r="H320" t="inlineStr">
        <is>
          <t>Read</t>
        </is>
      </c>
      <c r="I320" t="inlineStr">
        <is>
          <t>Exact title match</t>
        </is>
      </c>
      <c r="J320" t="inlineStr"/>
      <c r="K320" t="inlineStr">
        <is>
          <t>Not sent to re-link</t>
        </is>
      </c>
      <c r="L320" t="inlineStr">
        <is>
          <t>Filled</t>
        </is>
      </c>
      <c r="M320" t="inlineStr">
        <is>
          <t>Not stated on course page</t>
        </is>
      </c>
      <c r="N320" t="inlineStr"/>
      <c r="O320" t="n">
        <v>0</v>
      </c>
      <c r="P320" t="inlineStr"/>
      <c r="Q320" t="inlineStr">
        <is>
          <t>Filled</t>
        </is>
      </c>
      <c r="R320" t="n">
        <v>6.5</v>
      </c>
      <c r="S320" t="inlineStr">
        <is>
          <t>Central English policy</t>
        </is>
      </c>
      <c r="T320" t="inlineStr">
        <is>
          <t>Central rule applies (value agrees)</t>
        </is>
      </c>
      <c r="U320" t="inlineStr"/>
      <c r="V320" t="inlineStr">
        <is>
          <t>Not stated on course page</t>
        </is>
      </c>
      <c r="W320" t="inlineStr"/>
      <c r="X320" t="inlineStr"/>
      <c r="Y320" t="n">
        <v>0</v>
      </c>
      <c r="Z320" t="inlineStr">
        <is>
          <t>No</t>
        </is>
      </c>
      <c r="AA320" t="inlineStr">
        <is>
          <t>Filled</t>
        </is>
      </c>
      <c r="AB320" t="inlineStr">
        <is>
          <t>on campus</t>
        </is>
      </c>
      <c r="AC320" t="inlineStr"/>
      <c r="AD320" t="n">
        <v>0</v>
      </c>
      <c r="AE320" t="inlineStr"/>
      <c r="AF320" t="inlineStr"/>
      <c r="AG320" t="inlineStr"/>
      <c r="AH320" t="inlineStr"/>
      <c r="AI320" t="inlineStr">
        <is>
          <t>Yes</t>
        </is>
      </c>
      <c r="AJ320" t="inlineStr"/>
      <c r="AK320" t="inlineStr"/>
      <c r="AL320" t="inlineStr"/>
      <c r="AM320" t="inlineStr"/>
    </row>
    <row r="321">
      <c r="A321" t="inlineStr">
        <is>
          <t>024656F</t>
        </is>
      </c>
      <c r="B321" t="inlineStr">
        <is>
          <t>Graduate Certificate in Transport Management</t>
        </is>
      </c>
      <c r="C321" t="inlineStr">
        <is>
          <t>Graduate Certificate</t>
        </is>
      </c>
      <c r="D321" t="inlineStr">
        <is>
          <t>Postgraduate coursework</t>
        </is>
      </c>
      <c r="E321" t="inlineStr">
        <is>
          <t>Page found, needs a rendered read</t>
        </is>
      </c>
      <c r="F321" t="inlineStr"/>
      <c r="G321" t="inlineStr">
        <is>
          <t>https://www.sydney.edu.au/courses/courses/pc/graduate-certificate-in-transport-management.html</t>
        </is>
      </c>
      <c r="H321" t="inlineStr">
        <is>
          <t>Needs a rendered read</t>
        </is>
      </c>
      <c r="I321" t="inlineStr"/>
      <c r="J321" t="inlineStr"/>
      <c r="K321" t="inlineStr">
        <is>
          <t>Finished, no page: every candidate address was refused by the reader or did not</t>
        </is>
      </c>
      <c r="L321" t="inlineStr">
        <is>
          <t>Page found, being read</t>
        </is>
      </c>
      <c r="M321" t="inlineStr">
        <is>
          <t>Page found, being read</t>
        </is>
      </c>
      <c r="N321" t="inlineStr"/>
      <c r="O321" t="n">
        <v>0</v>
      </c>
      <c r="P321" t="inlineStr"/>
      <c r="Q321" t="inlineStr">
        <is>
          <t>Filled</t>
        </is>
      </c>
      <c r="R321" t="n">
        <v>6.5</v>
      </c>
      <c r="S321" t="inlineStr">
        <is>
          <t>Central English policy</t>
        </is>
      </c>
      <c r="T321" t="inlineStr">
        <is>
          <t>Central rule applies (value agrees)</t>
        </is>
      </c>
      <c r="U321" t="inlineStr"/>
      <c r="V321" t="inlineStr">
        <is>
          <t>Page found, being read</t>
        </is>
      </c>
      <c r="W321" t="inlineStr"/>
      <c r="X321" t="inlineStr"/>
      <c r="Y321" t="n">
        <v>0</v>
      </c>
      <c r="Z321" t="inlineStr">
        <is>
          <t>No</t>
        </is>
      </c>
      <c r="AA321" t="inlineStr">
        <is>
          <t>Not stated on course page</t>
        </is>
      </c>
      <c r="AB321" t="inlineStr"/>
      <c r="AC321" t="inlineStr">
        <is>
          <t>Skipped: no allowed source had a value</t>
        </is>
      </c>
      <c r="AD321" t="n">
        <v>1</v>
      </c>
      <c r="AE321" t="inlineStr">
        <is>
          <t>Yes</t>
        </is>
      </c>
      <c r="AF321" t="inlineStr"/>
      <c r="AG321" t="inlineStr"/>
      <c r="AH321" t="inlineStr"/>
      <c r="AI321" t="inlineStr"/>
      <c r="AJ321" t="inlineStr"/>
      <c r="AK321" t="inlineStr"/>
      <c r="AL321" t="inlineStr"/>
      <c r="AM321" t="inlineStr"/>
    </row>
    <row r="322">
      <c r="A322" t="inlineStr">
        <is>
          <t>029880B</t>
        </is>
      </c>
      <c r="B322" t="inlineStr">
        <is>
          <t>Graduate Certificate in Urban and Regional Planning</t>
        </is>
      </c>
      <c r="C322" t="inlineStr">
        <is>
          <t>Graduate Certificate</t>
        </is>
      </c>
      <c r="D322" t="inlineStr">
        <is>
          <t>Postgraduate coursework</t>
        </is>
      </c>
      <c r="E322" t="inlineStr">
        <is>
          <t>Advertised: official page in place</t>
        </is>
      </c>
      <c r="F322" t="inlineStr">
        <is>
          <t>https://www.sydney.edu.au/courses/courses/pc/graduate-certificate-in-urban-and-regional-planning.html</t>
        </is>
      </c>
      <c r="G322" t="inlineStr">
        <is>
          <t>https://www.sydney.edu.au/courses/courses/pc/graduate-certificate-in-urban-and-regional-planning.html</t>
        </is>
      </c>
      <c r="H322" t="inlineStr">
        <is>
          <t>Read</t>
        </is>
      </c>
      <c r="I322" t="inlineStr">
        <is>
          <t>Exact title match</t>
        </is>
      </c>
      <c r="J322" t="inlineStr"/>
      <c r="K322" t="inlineStr">
        <is>
          <t>Not sent to re-link</t>
        </is>
      </c>
      <c r="L322" t="inlineStr">
        <is>
          <t>Filled</t>
        </is>
      </c>
      <c r="M322" t="inlineStr">
        <is>
          <t>Not stated on course page</t>
        </is>
      </c>
      <c r="N322" t="inlineStr"/>
      <c r="O322" t="n">
        <v>0</v>
      </c>
      <c r="P322" t="inlineStr"/>
      <c r="Q322" t="inlineStr">
        <is>
          <t>Filled</t>
        </is>
      </c>
      <c r="R322" t="n">
        <v>6.5</v>
      </c>
      <c r="S322" t="inlineStr">
        <is>
          <t>Central English policy</t>
        </is>
      </c>
      <c r="T322" t="inlineStr">
        <is>
          <t>Central rule applies (value agrees)</t>
        </is>
      </c>
      <c r="U322" t="inlineStr"/>
      <c r="V322" t="inlineStr">
        <is>
          <t>Not stated on course page</t>
        </is>
      </c>
      <c r="W322" t="inlineStr"/>
      <c r="X322" t="inlineStr"/>
      <c r="Y322" t="n">
        <v>0</v>
      </c>
      <c r="Z322" t="inlineStr">
        <is>
          <t>No</t>
        </is>
      </c>
      <c r="AA322" t="inlineStr">
        <is>
          <t>Filled</t>
        </is>
      </c>
      <c r="AB322" t="inlineStr">
        <is>
          <t>on campus</t>
        </is>
      </c>
      <c r="AC322" t="inlineStr"/>
      <c r="AD322" t="n">
        <v>0</v>
      </c>
      <c r="AE322" t="inlineStr"/>
      <c r="AF322" t="inlineStr"/>
      <c r="AG322" t="inlineStr"/>
      <c r="AH322" t="inlineStr"/>
      <c r="AI322" t="inlineStr">
        <is>
          <t>Yes</t>
        </is>
      </c>
      <c r="AJ322" t="inlineStr"/>
      <c r="AK322" t="inlineStr"/>
      <c r="AL322" t="inlineStr"/>
      <c r="AM322" t="inlineStr"/>
    </row>
    <row r="323">
      <c r="A323" t="inlineStr">
        <is>
          <t>029879F</t>
        </is>
      </c>
      <c r="B323" t="inlineStr">
        <is>
          <t>Graduate Certificate in Urban Design</t>
        </is>
      </c>
      <c r="C323" t="inlineStr">
        <is>
          <t>Graduate Certificate</t>
        </is>
      </c>
      <c r="D323" t="inlineStr">
        <is>
          <t>Postgraduate coursework</t>
        </is>
      </c>
      <c r="E323" t="inlineStr">
        <is>
          <t>Advertised: official page in place</t>
        </is>
      </c>
      <c r="F323" t="inlineStr">
        <is>
          <t>https://www.sydney.edu.au/courses/courses/pc/graduate-certificate-in-urban-design.html</t>
        </is>
      </c>
      <c r="G323" t="inlineStr">
        <is>
          <t>https://www.sydney.edu.au/courses/courses/pc/graduate-certificate-in-urban-design.html</t>
        </is>
      </c>
      <c r="H323" t="inlineStr">
        <is>
          <t>Read</t>
        </is>
      </c>
      <c r="I323" t="inlineStr">
        <is>
          <t>Exact title match</t>
        </is>
      </c>
      <c r="J323" t="inlineStr"/>
      <c r="K323" t="inlineStr">
        <is>
          <t>Not sent to re-link</t>
        </is>
      </c>
      <c r="L323" t="inlineStr">
        <is>
          <t>Filled</t>
        </is>
      </c>
      <c r="M323" t="inlineStr">
        <is>
          <t>Not stated on course page</t>
        </is>
      </c>
      <c r="N323" t="inlineStr"/>
      <c r="O323" t="n">
        <v>0</v>
      </c>
      <c r="P323" t="inlineStr"/>
      <c r="Q323" t="inlineStr">
        <is>
          <t>Filled</t>
        </is>
      </c>
      <c r="R323" t="n">
        <v>6.5</v>
      </c>
      <c r="S323" t="inlineStr">
        <is>
          <t>Central English policy</t>
        </is>
      </c>
      <c r="T323" t="inlineStr">
        <is>
          <t>Central rule applies (value agrees)</t>
        </is>
      </c>
      <c r="U323" t="inlineStr"/>
      <c r="V323" t="inlineStr">
        <is>
          <t>Waiting for Layer 4 review</t>
        </is>
      </c>
      <c r="W323" t="inlineStr"/>
      <c r="X323" t="inlineStr"/>
      <c r="Y323" t="n">
        <v>0</v>
      </c>
      <c r="Z323" t="inlineStr">
        <is>
          <t>No</t>
        </is>
      </c>
      <c r="AA323" t="inlineStr">
        <is>
          <t>Filled</t>
        </is>
      </c>
      <c r="AB323" t="inlineStr">
        <is>
          <t>on campus</t>
        </is>
      </c>
      <c r="AC323" t="inlineStr"/>
      <c r="AD323" t="n">
        <v>0</v>
      </c>
      <c r="AE323" t="inlineStr"/>
      <c r="AF323" t="inlineStr">
        <is>
          <t>Yes</t>
        </is>
      </c>
      <c r="AG323" t="inlineStr"/>
      <c r="AH323" t="inlineStr"/>
      <c r="AI323" t="inlineStr">
        <is>
          <t>Yes</t>
        </is>
      </c>
      <c r="AJ323" t="inlineStr"/>
      <c r="AK323" t="inlineStr"/>
      <c r="AL323" t="inlineStr"/>
      <c r="AM323" t="inlineStr"/>
    </row>
    <row r="324">
      <c r="A324" t="inlineStr">
        <is>
          <t>096316G</t>
        </is>
      </c>
      <c r="B324" t="inlineStr">
        <is>
          <t>Graduate Certificate of Crosscultural and Applied Linguistics</t>
        </is>
      </c>
      <c r="C324" t="inlineStr">
        <is>
          <t>Graduate Certificate</t>
        </is>
      </c>
      <c r="D324" t="inlineStr">
        <is>
          <t>Postgraduate coursework</t>
        </is>
      </c>
      <c r="E324" t="inlineStr">
        <is>
          <t>Advertised: official page in place</t>
        </is>
      </c>
      <c r="F324" t="inlineStr">
        <is>
          <t>https://www.sydney.edu.au/courses/courses/pc/graduate-certificate-in-crosscultural-and-applied-linguistics.html</t>
        </is>
      </c>
      <c r="G324" t="inlineStr">
        <is>
          <t>https://www.sydney.edu.au/courses/courses/pc/graduate-certificate-in-crosscultural-and-applied-linguistics.html</t>
        </is>
      </c>
      <c r="H324" t="inlineStr">
        <is>
          <t>Read</t>
        </is>
      </c>
      <c r="I324" t="inlineStr">
        <is>
          <t>Exact title match</t>
        </is>
      </c>
      <c r="J324" t="inlineStr"/>
      <c r="K324" t="inlineStr">
        <is>
          <t>Not sent to re-link</t>
        </is>
      </c>
      <c r="L324" t="inlineStr">
        <is>
          <t>Filled</t>
        </is>
      </c>
      <c r="M324" t="inlineStr">
        <is>
          <t>Not stated on course page</t>
        </is>
      </c>
      <c r="N324" t="inlineStr"/>
      <c r="O324" t="n">
        <v>0</v>
      </c>
      <c r="P324" t="inlineStr"/>
      <c r="Q324" t="inlineStr">
        <is>
          <t>Filled</t>
        </is>
      </c>
      <c r="R324" t="n">
        <v>6.5</v>
      </c>
      <c r="S324" t="inlineStr">
        <is>
          <t>Central English policy</t>
        </is>
      </c>
      <c r="T324" t="inlineStr">
        <is>
          <t>Central rule applies (value agrees)</t>
        </is>
      </c>
      <c r="U324" t="inlineStr"/>
      <c r="V324" t="inlineStr">
        <is>
          <t>Not stated on course page</t>
        </is>
      </c>
      <c r="W324" t="inlineStr"/>
      <c r="X324" t="inlineStr"/>
      <c r="Y324" t="n">
        <v>0</v>
      </c>
      <c r="Z324" t="inlineStr">
        <is>
          <t>No</t>
        </is>
      </c>
      <c r="AA324" t="inlineStr">
        <is>
          <t>Filled</t>
        </is>
      </c>
      <c r="AB324" t="inlineStr">
        <is>
          <t>on campus</t>
        </is>
      </c>
      <c r="AC324" t="inlineStr"/>
      <c r="AD324" t="n">
        <v>0</v>
      </c>
      <c r="AE324" t="inlineStr"/>
      <c r="AF324" t="inlineStr"/>
      <c r="AG324" t="inlineStr"/>
      <c r="AH324" t="inlineStr"/>
      <c r="AI324" t="inlineStr">
        <is>
          <t>Yes</t>
        </is>
      </c>
      <c r="AJ324" t="inlineStr"/>
      <c r="AK324" t="inlineStr"/>
      <c r="AL324" t="inlineStr"/>
      <c r="AM324" t="inlineStr"/>
    </row>
    <row r="325">
      <c r="A325" t="inlineStr">
        <is>
          <t>106360F</t>
        </is>
      </c>
      <c r="B325" t="inlineStr">
        <is>
          <t>Graduate Certificate of Social Justice</t>
        </is>
      </c>
      <c r="C325" t="inlineStr">
        <is>
          <t>Graduate Certificate</t>
        </is>
      </c>
      <c r="D325" t="inlineStr">
        <is>
          <t>Postgraduate coursework</t>
        </is>
      </c>
      <c r="E325" t="inlineStr">
        <is>
          <t>Page address no longer works</t>
        </is>
      </c>
      <c r="F325" t="inlineStr"/>
      <c r="G325" t="inlineStr">
        <is>
          <t>https://www.sydney.edu.au/courses/courses/pc/graduate-certificate-of-social-justice.html</t>
        </is>
      </c>
      <c r="H325" t="inlineStr">
        <is>
          <t>Address no longer works</t>
        </is>
      </c>
      <c r="I325" t="inlineStr"/>
      <c r="J325" t="inlineStr"/>
      <c r="K325" t="inlineStr">
        <is>
          <t>Finished, no page: every candidate address was refused by the reader or did not</t>
        </is>
      </c>
      <c r="L325" t="inlineStr">
        <is>
          <t>Page found, being read</t>
        </is>
      </c>
      <c r="M325" t="inlineStr">
        <is>
          <t>Page found, being read</t>
        </is>
      </c>
      <c r="N325" t="inlineStr"/>
      <c r="O325" t="n">
        <v>0</v>
      </c>
      <c r="P325" t="inlineStr"/>
      <c r="Q325" t="inlineStr">
        <is>
          <t>Filled</t>
        </is>
      </c>
      <c r="R325" t="n">
        <v>6.5</v>
      </c>
      <c r="S325" t="inlineStr">
        <is>
          <t>Central English policy</t>
        </is>
      </c>
      <c r="T325" t="inlineStr">
        <is>
          <t>Central rule applies (value agrees)</t>
        </is>
      </c>
      <c r="U325" t="inlineStr"/>
      <c r="V325" t="inlineStr">
        <is>
          <t>Page found, being read</t>
        </is>
      </c>
      <c r="W325" t="inlineStr"/>
      <c r="X325" t="inlineStr"/>
      <c r="Y325" t="n">
        <v>0</v>
      </c>
      <c r="Z325" t="inlineStr">
        <is>
          <t>No</t>
        </is>
      </c>
      <c r="AA325" t="inlineStr">
        <is>
          <t>Not stated on course page</t>
        </is>
      </c>
      <c r="AB325" t="inlineStr"/>
      <c r="AC325" t="inlineStr">
        <is>
          <t>Skipped: no allowed source had a value</t>
        </is>
      </c>
      <c r="AD325" t="n">
        <v>1</v>
      </c>
      <c r="AE325" t="inlineStr"/>
      <c r="AF325" t="inlineStr"/>
      <c r="AG325" t="inlineStr"/>
      <c r="AH325" t="inlineStr"/>
      <c r="AI325" t="inlineStr"/>
      <c r="AJ325" t="inlineStr"/>
      <c r="AK325" t="inlineStr"/>
      <c r="AL325" t="inlineStr"/>
      <c r="AM325" t="inlineStr"/>
    </row>
    <row r="326">
      <c r="A326" t="inlineStr">
        <is>
          <t>084692E</t>
        </is>
      </c>
      <c r="B326" t="inlineStr">
        <is>
          <t>Graduate Diploma in Advanced Nursing Practice</t>
        </is>
      </c>
      <c r="C326" t="inlineStr">
        <is>
          <t>Graduate Diploma</t>
        </is>
      </c>
      <c r="D326" t="inlineStr">
        <is>
          <t>Postgraduate coursework</t>
        </is>
      </c>
      <c r="E326" t="inlineStr">
        <is>
          <t>Page found, needs a rendered read</t>
        </is>
      </c>
      <c r="F326" t="inlineStr"/>
      <c r="G326" t="inlineStr">
        <is>
          <t>https://www.sydney.edu.au/courses/courses/pc/graduate-diploma-in-advanced-nursing-practice.html</t>
        </is>
      </c>
      <c r="H326" t="inlineStr">
        <is>
          <t>Needs a rendered read</t>
        </is>
      </c>
      <c r="I326" t="inlineStr"/>
      <c r="J326" t="inlineStr"/>
      <c r="K326" t="inlineStr">
        <is>
          <t>Finished, no page: every candidate address was refused by the reader or did not</t>
        </is>
      </c>
      <c r="L326" t="inlineStr">
        <is>
          <t>Page found, being read</t>
        </is>
      </c>
      <c r="M326" t="inlineStr">
        <is>
          <t>Page found, being read</t>
        </is>
      </c>
      <c r="N326" t="inlineStr"/>
      <c r="O326" t="n">
        <v>0</v>
      </c>
      <c r="P326" t="inlineStr"/>
      <c r="Q326" t="inlineStr">
        <is>
          <t>Filled</t>
        </is>
      </c>
      <c r="R326" t="n">
        <v>6.5</v>
      </c>
      <c r="S326" t="inlineStr">
        <is>
          <t>Central English policy</t>
        </is>
      </c>
      <c r="T326" t="inlineStr">
        <is>
          <t>Central rule applies (value agrees)</t>
        </is>
      </c>
      <c r="U326" t="inlineStr"/>
      <c r="V326" t="inlineStr">
        <is>
          <t>Page found, being read</t>
        </is>
      </c>
      <c r="W326" t="inlineStr"/>
      <c r="X326" t="inlineStr"/>
      <c r="Y326" t="n">
        <v>0</v>
      </c>
      <c r="Z326" t="inlineStr">
        <is>
          <t>No</t>
        </is>
      </c>
      <c r="AA326" t="inlineStr">
        <is>
          <t>Not stated on course page</t>
        </is>
      </c>
      <c r="AB326" t="inlineStr"/>
      <c r="AC326" t="inlineStr">
        <is>
          <t>Skipped: no allowed source had a value</t>
        </is>
      </c>
      <c r="AD326" t="n">
        <v>1</v>
      </c>
      <c r="AE326" t="inlineStr">
        <is>
          <t>Yes</t>
        </is>
      </c>
      <c r="AF326" t="inlineStr"/>
      <c r="AG326" t="inlineStr"/>
      <c r="AH326" t="inlineStr"/>
      <c r="AI326" t="inlineStr"/>
      <c r="AJ326" t="inlineStr"/>
      <c r="AK326" t="inlineStr"/>
      <c r="AL326" t="inlineStr"/>
      <c r="AM326" t="inlineStr"/>
    </row>
    <row r="327">
      <c r="A327" t="inlineStr">
        <is>
          <t>084694C</t>
        </is>
      </c>
      <c r="B327" t="inlineStr">
        <is>
          <t>Graduate Diploma in Agriculture and Environment</t>
        </is>
      </c>
      <c r="C327" t="inlineStr">
        <is>
          <t>Graduate Diploma</t>
        </is>
      </c>
      <c r="D327" t="inlineStr">
        <is>
          <t>Postgraduate coursework</t>
        </is>
      </c>
      <c r="E327" t="inlineStr">
        <is>
          <t>Advertised: official page in place</t>
        </is>
      </c>
      <c r="F327" t="inlineStr">
        <is>
          <t>https://www.sydney.edu.au/courses/courses/pc/graduate-diploma-in-agriculture-and-environment0.html</t>
        </is>
      </c>
      <c r="G327" t="inlineStr">
        <is>
          <t>https://www.sydney.edu.au/courses/courses/pc/graduate-diploma-in-agriculture-and-environment0.html</t>
        </is>
      </c>
      <c r="H327" t="inlineStr">
        <is>
          <t>Read</t>
        </is>
      </c>
      <c r="I327" t="inlineStr">
        <is>
          <t>Exact title match</t>
        </is>
      </c>
      <c r="J327" t="inlineStr"/>
      <c r="K327" t="inlineStr">
        <is>
          <t>Not sent to re-link</t>
        </is>
      </c>
      <c r="L327" t="inlineStr">
        <is>
          <t>Filled</t>
        </is>
      </c>
      <c r="M327" t="inlineStr">
        <is>
          <t>Not stated on course page</t>
        </is>
      </c>
      <c r="N327" t="inlineStr"/>
      <c r="O327" t="n">
        <v>0</v>
      </c>
      <c r="P327" t="inlineStr"/>
      <c r="Q327" t="inlineStr">
        <is>
          <t>Filled</t>
        </is>
      </c>
      <c r="R327" t="n">
        <v>6.5</v>
      </c>
      <c r="S327" t="inlineStr">
        <is>
          <t>Central English policy</t>
        </is>
      </c>
      <c r="T327" t="inlineStr">
        <is>
          <t>Central rule applies (value agrees)</t>
        </is>
      </c>
      <c r="U327" t="inlineStr"/>
      <c r="V327" t="inlineStr">
        <is>
          <t>Not stated on course page</t>
        </is>
      </c>
      <c r="W327" t="inlineStr"/>
      <c r="X327" t="inlineStr"/>
      <c r="Y327" t="n">
        <v>0</v>
      </c>
      <c r="Z327" t="inlineStr">
        <is>
          <t>No</t>
        </is>
      </c>
      <c r="AA327" t="inlineStr">
        <is>
          <t>Filled</t>
        </is>
      </c>
      <c r="AB327" t="inlineStr">
        <is>
          <t>on campus</t>
        </is>
      </c>
      <c r="AC327" t="inlineStr"/>
      <c r="AD327" t="n">
        <v>0</v>
      </c>
      <c r="AE327" t="inlineStr"/>
      <c r="AF327" t="inlineStr"/>
      <c r="AG327" t="inlineStr"/>
      <c r="AH327" t="inlineStr"/>
      <c r="AI327" t="inlineStr">
        <is>
          <t>Yes</t>
        </is>
      </c>
      <c r="AJ327" t="inlineStr"/>
      <c r="AK327" t="inlineStr"/>
      <c r="AL327" t="inlineStr"/>
      <c r="AM327" t="inlineStr"/>
    </row>
    <row r="328">
      <c r="A328" t="inlineStr">
        <is>
          <t>082895K</t>
        </is>
      </c>
      <c r="B328" t="inlineStr">
        <is>
          <t>Graduate Diploma in Architectural Science</t>
        </is>
      </c>
      <c r="C328" t="inlineStr">
        <is>
          <t>Graduate Diploma</t>
        </is>
      </c>
      <c r="D328" t="inlineStr">
        <is>
          <t>Postgraduate coursework</t>
        </is>
      </c>
      <c r="E328" t="inlineStr">
        <is>
          <t>Page address no longer works</t>
        </is>
      </c>
      <c r="F328" t="inlineStr"/>
      <c r="G328" t="inlineStr">
        <is>
          <t>https://www.sydney.edu.au/courses/courses/pc/graduate-diploma-in-architectural-science.html</t>
        </is>
      </c>
      <c r="H328" t="inlineStr">
        <is>
          <t>Address no longer works</t>
        </is>
      </c>
      <c r="I328" t="inlineStr"/>
      <c r="J328" t="inlineStr"/>
      <c r="K328" t="inlineStr">
        <is>
          <t>Finished, no page: every candidate address was refused by the reader or did not</t>
        </is>
      </c>
      <c r="L328" t="inlineStr">
        <is>
          <t>Page found, being read</t>
        </is>
      </c>
      <c r="M328" t="inlineStr">
        <is>
          <t>Page found, being read</t>
        </is>
      </c>
      <c r="N328" t="inlineStr"/>
      <c r="O328" t="n">
        <v>0</v>
      </c>
      <c r="P328" t="inlineStr"/>
      <c r="Q328" t="inlineStr">
        <is>
          <t>Filled</t>
        </is>
      </c>
      <c r="R328" t="n">
        <v>6.5</v>
      </c>
      <c r="S328" t="inlineStr">
        <is>
          <t>Central English policy</t>
        </is>
      </c>
      <c r="T328" t="inlineStr">
        <is>
          <t>Central rule applies (value agrees)</t>
        </is>
      </c>
      <c r="U328" t="inlineStr"/>
      <c r="V328" t="inlineStr">
        <is>
          <t>Page found, being read</t>
        </is>
      </c>
      <c r="W328" t="inlineStr"/>
      <c r="X328" t="inlineStr"/>
      <c r="Y328" t="n">
        <v>0</v>
      </c>
      <c r="Z328" t="inlineStr">
        <is>
          <t>No</t>
        </is>
      </c>
      <c r="AA328" t="inlineStr">
        <is>
          <t>Not stated on course page</t>
        </is>
      </c>
      <c r="AB328" t="inlineStr"/>
      <c r="AC328" t="inlineStr">
        <is>
          <t>Skipped: the page does not state it</t>
        </is>
      </c>
      <c r="AD328" t="n">
        <v>0</v>
      </c>
      <c r="AE328" t="inlineStr"/>
      <c r="AF328" t="inlineStr"/>
      <c r="AG328" t="inlineStr"/>
      <c r="AH328" t="inlineStr"/>
      <c r="AI328" t="inlineStr"/>
      <c r="AJ328" t="inlineStr"/>
      <c r="AK328" t="inlineStr"/>
      <c r="AL328" t="inlineStr"/>
      <c r="AM328" t="inlineStr"/>
    </row>
    <row r="329">
      <c r="A329" t="inlineStr">
        <is>
          <t>079210D</t>
        </is>
      </c>
      <c r="B329" t="inlineStr">
        <is>
          <t>Graduate Diploma in Art Curating</t>
        </is>
      </c>
      <c r="C329" t="inlineStr">
        <is>
          <t>Graduate Diploma</t>
        </is>
      </c>
      <c r="D329" t="inlineStr">
        <is>
          <t>Postgraduate coursework</t>
        </is>
      </c>
      <c r="E329" t="inlineStr">
        <is>
          <t>Advertised: official page in place</t>
        </is>
      </c>
      <c r="F329" t="inlineStr">
        <is>
          <t>https://www.sydney.edu.au/courses/courses/pc/graduate-diploma-in-art-curating.html</t>
        </is>
      </c>
      <c r="G329" t="inlineStr">
        <is>
          <t>https://www.sydney.edu.au/courses/courses/pc/graduate-diploma-in-art-curating.html</t>
        </is>
      </c>
      <c r="H329" t="inlineStr">
        <is>
          <t>Read</t>
        </is>
      </c>
      <c r="I329" t="inlineStr">
        <is>
          <t>Exact title match</t>
        </is>
      </c>
      <c r="J329" t="inlineStr"/>
      <c r="K329" t="inlineStr">
        <is>
          <t>Not sent to re-link</t>
        </is>
      </c>
      <c r="L329" t="inlineStr">
        <is>
          <t>Filled</t>
        </is>
      </c>
      <c r="M329" t="inlineStr">
        <is>
          <t>Not stated on course page</t>
        </is>
      </c>
      <c r="N329" t="inlineStr"/>
      <c r="O329" t="n">
        <v>0</v>
      </c>
      <c r="P329" t="inlineStr"/>
      <c r="Q329" t="inlineStr">
        <is>
          <t>Filled</t>
        </is>
      </c>
      <c r="R329" t="n">
        <v>6.5</v>
      </c>
      <c r="S329" t="inlineStr">
        <is>
          <t>Central English policy</t>
        </is>
      </c>
      <c r="T329" t="inlineStr">
        <is>
          <t>Central rule applies (value agrees)</t>
        </is>
      </c>
      <c r="U329" t="inlineStr"/>
      <c r="V329" t="inlineStr">
        <is>
          <t>Not stated on course page</t>
        </is>
      </c>
      <c r="W329" t="inlineStr"/>
      <c r="X329" t="inlineStr"/>
      <c r="Y329" t="n">
        <v>0</v>
      </c>
      <c r="Z329" t="inlineStr">
        <is>
          <t>No</t>
        </is>
      </c>
      <c r="AA329" t="inlineStr">
        <is>
          <t>Filled</t>
        </is>
      </c>
      <c r="AB329" t="inlineStr">
        <is>
          <t>on campus</t>
        </is>
      </c>
      <c r="AC329" t="inlineStr"/>
      <c r="AD329" t="n">
        <v>0</v>
      </c>
      <c r="AE329" t="inlineStr"/>
      <c r="AF329" t="inlineStr"/>
      <c r="AG329" t="inlineStr"/>
      <c r="AH329" t="inlineStr"/>
      <c r="AI329" t="inlineStr">
        <is>
          <t>Yes</t>
        </is>
      </c>
      <c r="AJ329" t="inlineStr"/>
      <c r="AK329" t="inlineStr"/>
      <c r="AL329" t="inlineStr"/>
      <c r="AM329" t="inlineStr"/>
    </row>
    <row r="330">
      <c r="A330" t="inlineStr">
        <is>
          <t>054971B</t>
        </is>
      </c>
      <c r="B330" t="inlineStr">
        <is>
          <t>Graduate Diploma in Bioethics</t>
        </is>
      </c>
      <c r="C330" t="inlineStr">
        <is>
          <t>Graduate Diploma</t>
        </is>
      </c>
      <c r="D330" t="inlineStr">
        <is>
          <t>Postgraduate coursework</t>
        </is>
      </c>
      <c r="E330" t="inlineStr">
        <is>
          <t>Advertised: official page in place</t>
        </is>
      </c>
      <c r="F330" t="inlineStr">
        <is>
          <t>https://www.sydney.edu.au/courses/courses/pc/graduate-diploma-in-bioethics.html</t>
        </is>
      </c>
      <c r="G330" t="inlineStr">
        <is>
          <t>https://www.sydney.edu.au/courses/courses/pc/graduate-diploma-in-bioethics.html</t>
        </is>
      </c>
      <c r="H330" t="inlineStr">
        <is>
          <t>Read</t>
        </is>
      </c>
      <c r="I330" t="inlineStr">
        <is>
          <t>Exact title match</t>
        </is>
      </c>
      <c r="J330" t="inlineStr"/>
      <c r="K330" t="inlineStr">
        <is>
          <t>Not sent to re-link</t>
        </is>
      </c>
      <c r="L330" t="inlineStr">
        <is>
          <t>Filled</t>
        </is>
      </c>
      <c r="M330" t="inlineStr">
        <is>
          <t>Not stated on course page</t>
        </is>
      </c>
      <c r="N330" t="inlineStr"/>
      <c r="O330" t="n">
        <v>0</v>
      </c>
      <c r="P330" t="inlineStr"/>
      <c r="Q330" t="inlineStr">
        <is>
          <t>Filled</t>
        </is>
      </c>
      <c r="R330" t="n">
        <v>6.5</v>
      </c>
      <c r="S330" t="inlineStr">
        <is>
          <t>Central English policy</t>
        </is>
      </c>
      <c r="T330" t="inlineStr">
        <is>
          <t>Central rule applies (value agrees)</t>
        </is>
      </c>
      <c r="U330" t="inlineStr"/>
      <c r="V330" t="inlineStr">
        <is>
          <t>Not stated on course page</t>
        </is>
      </c>
      <c r="W330" t="inlineStr"/>
      <c r="X330" t="inlineStr"/>
      <c r="Y330" t="n">
        <v>0</v>
      </c>
      <c r="Z330" t="inlineStr">
        <is>
          <t>No</t>
        </is>
      </c>
      <c r="AA330" t="inlineStr">
        <is>
          <t>Filled</t>
        </is>
      </c>
      <c r="AB330" t="inlineStr">
        <is>
          <t>on campus</t>
        </is>
      </c>
      <c r="AC330" t="inlineStr"/>
      <c r="AD330" t="n">
        <v>0</v>
      </c>
      <c r="AE330" t="inlineStr"/>
      <c r="AF330" t="inlineStr"/>
      <c r="AG330" t="inlineStr"/>
      <c r="AH330" t="inlineStr"/>
      <c r="AI330" t="inlineStr">
        <is>
          <t>Yes</t>
        </is>
      </c>
      <c r="AJ330" t="inlineStr"/>
      <c r="AK330" t="inlineStr"/>
      <c r="AL330" t="inlineStr"/>
      <c r="AM330" t="inlineStr"/>
    </row>
    <row r="331">
      <c r="A331" t="inlineStr">
        <is>
          <t>102405H</t>
        </is>
      </c>
      <c r="B331" t="inlineStr">
        <is>
          <t>Graduate Diploma in Biomedical Sciences (Infection and Immunity)</t>
        </is>
      </c>
      <c r="C331" t="inlineStr">
        <is>
          <t>Graduate Diploma</t>
        </is>
      </c>
      <c r="D331" t="inlineStr">
        <is>
          <t>Postgraduate coursework</t>
        </is>
      </c>
      <c r="E331" t="inlineStr">
        <is>
          <t>Page address no longer works</t>
        </is>
      </c>
      <c r="F331" t="inlineStr"/>
      <c r="G331" t="inlineStr">
        <is>
          <t>https://www.sydney.edu.au/courses/courses/pc/graduate-diploma-in-biomedical-sciences-infection-and-immunity.html</t>
        </is>
      </c>
      <c r="H331" t="inlineStr">
        <is>
          <t>Address no longer works</t>
        </is>
      </c>
      <c r="I331" t="inlineStr"/>
      <c r="J331" t="inlineStr"/>
      <c r="K331" t="inlineStr">
        <is>
          <t>Re-link still trying</t>
        </is>
      </c>
      <c r="L331" t="inlineStr">
        <is>
          <t>Page found, being read</t>
        </is>
      </c>
      <c r="M331" t="inlineStr">
        <is>
          <t>Page found, being read</t>
        </is>
      </c>
      <c r="N331" t="inlineStr"/>
      <c r="O331" t="n">
        <v>0</v>
      </c>
      <c r="P331" t="inlineStr"/>
      <c r="Q331" t="inlineStr">
        <is>
          <t>Filled</t>
        </is>
      </c>
      <c r="R331" t="n">
        <v>6.5</v>
      </c>
      <c r="S331" t="inlineStr">
        <is>
          <t>Central English policy</t>
        </is>
      </c>
      <c r="T331" t="inlineStr">
        <is>
          <t>Central rule applies (value agrees)</t>
        </is>
      </c>
      <c r="U331" t="inlineStr"/>
      <c r="V331" t="inlineStr">
        <is>
          <t>Page found, being read</t>
        </is>
      </c>
      <c r="W331" t="inlineStr"/>
      <c r="X331" t="inlineStr"/>
      <c r="Y331" t="n">
        <v>0</v>
      </c>
      <c r="Z331" t="inlineStr">
        <is>
          <t>No</t>
        </is>
      </c>
      <c r="AA331" t="inlineStr">
        <is>
          <t>Not stated on course page</t>
        </is>
      </c>
      <c r="AB331" t="inlineStr"/>
      <c r="AC331" t="inlineStr">
        <is>
          <t>Skipped: no allowed source had a value</t>
        </is>
      </c>
      <c r="AD331" t="n">
        <v>1</v>
      </c>
      <c r="AE331" t="inlineStr"/>
      <c r="AF331" t="inlineStr"/>
      <c r="AG331" t="inlineStr"/>
      <c r="AH331" t="inlineStr"/>
      <c r="AI331" t="inlineStr"/>
      <c r="AJ331" t="inlineStr"/>
      <c r="AK331" t="inlineStr"/>
      <c r="AL331" t="inlineStr"/>
      <c r="AM331" t="inlineStr"/>
    </row>
    <row r="332">
      <c r="A332" t="inlineStr">
        <is>
          <t>068826G</t>
        </is>
      </c>
      <c r="B332" t="inlineStr">
        <is>
          <t>Graduate Diploma in Brain and Mind Sciences</t>
        </is>
      </c>
      <c r="C332" t="inlineStr">
        <is>
          <t>Graduate Diploma</t>
        </is>
      </c>
      <c r="D332" t="inlineStr">
        <is>
          <t>Postgraduate coursework</t>
        </is>
      </c>
      <c r="E332" t="inlineStr">
        <is>
          <t>Advertised: official page in place</t>
        </is>
      </c>
      <c r="F332" t="inlineStr">
        <is>
          <t>https://www.sydney.edu.au/courses/courses/pc/graduate-diploma-in-brain-and-mind-sciences.html</t>
        </is>
      </c>
      <c r="G332" t="inlineStr">
        <is>
          <t>https://www.sydney.edu.au/courses/courses/pc/graduate-diploma-in-brain-and-mind-sciences.html</t>
        </is>
      </c>
      <c r="H332" t="inlineStr">
        <is>
          <t>Read</t>
        </is>
      </c>
      <c r="I332" t="inlineStr">
        <is>
          <t>Exact title match</t>
        </is>
      </c>
      <c r="J332" t="inlineStr"/>
      <c r="K332" t="inlineStr">
        <is>
          <t>Not sent to re-link</t>
        </is>
      </c>
      <c r="L332" t="inlineStr">
        <is>
          <t>Filled</t>
        </is>
      </c>
      <c r="M332" t="inlineStr">
        <is>
          <t>Not stated on course page</t>
        </is>
      </c>
      <c r="N332" t="inlineStr"/>
      <c r="O332" t="n">
        <v>0</v>
      </c>
      <c r="P332" t="inlineStr"/>
      <c r="Q332" t="inlineStr">
        <is>
          <t>Filled</t>
        </is>
      </c>
      <c r="R332" t="n">
        <v>6.5</v>
      </c>
      <c r="S332" t="inlineStr">
        <is>
          <t>Central English policy</t>
        </is>
      </c>
      <c r="T332" t="inlineStr">
        <is>
          <t>Central rule applies (value agrees)</t>
        </is>
      </c>
      <c r="U332" t="inlineStr"/>
      <c r="V332" t="inlineStr">
        <is>
          <t>Filled</t>
        </is>
      </c>
      <c r="W332" t="inlineStr">
        <is>
          <t>February</t>
        </is>
      </c>
      <c r="X332" t="inlineStr">
        <is>
          <t>Page reader</t>
        </is>
      </c>
      <c r="Y332" t="n">
        <v>0</v>
      </c>
      <c r="Z332" t="inlineStr">
        <is>
          <t>No</t>
        </is>
      </c>
      <c r="AA332" t="inlineStr">
        <is>
          <t>Filled</t>
        </is>
      </c>
      <c r="AB332" t="inlineStr">
        <is>
          <t>on campus</t>
        </is>
      </c>
      <c r="AC332" t="inlineStr"/>
      <c r="AD332" t="n">
        <v>0</v>
      </c>
      <c r="AE332" t="inlineStr"/>
      <c r="AF332" t="inlineStr"/>
      <c r="AG332" t="inlineStr"/>
      <c r="AH332" t="inlineStr"/>
      <c r="AI332" t="inlineStr"/>
      <c r="AJ332" t="inlineStr"/>
      <c r="AK332" t="inlineStr"/>
      <c r="AL332" t="inlineStr"/>
      <c r="AM332" t="inlineStr"/>
    </row>
    <row r="333">
      <c r="A333" t="inlineStr">
        <is>
          <t>116200F</t>
        </is>
      </c>
      <c r="B333" t="inlineStr">
        <is>
          <t>Graduate Diploma in Building Performance and Sustainable Design</t>
        </is>
      </c>
      <c r="C333" t="inlineStr">
        <is>
          <t>Graduate Diploma</t>
        </is>
      </c>
      <c r="D333" t="inlineStr">
        <is>
          <t>Postgraduate coursework</t>
        </is>
      </c>
      <c r="E333" t="inlineStr">
        <is>
          <t>Advertised: official page in place</t>
        </is>
      </c>
      <c r="F333" t="inlineStr">
        <is>
          <t>https://www.sydney.edu.au/courses/courses/pc/graduate-diploma-in-building-performance-and-sustainable-design.html</t>
        </is>
      </c>
      <c r="G333" t="inlineStr">
        <is>
          <t>https://www.sydney.edu.au/courses/courses/pc/graduate-diploma-in-building-performance-and-sustainable-design.html</t>
        </is>
      </c>
      <c r="H333" t="inlineStr">
        <is>
          <t>Read</t>
        </is>
      </c>
      <c r="I333" t="inlineStr">
        <is>
          <t>Exact title match</t>
        </is>
      </c>
      <c r="J333" t="inlineStr"/>
      <c r="K333" t="inlineStr">
        <is>
          <t>Not sent to re-link</t>
        </is>
      </c>
      <c r="L333" t="inlineStr">
        <is>
          <t>Filled</t>
        </is>
      </c>
      <c r="M333" t="inlineStr">
        <is>
          <t>Not stated on course page</t>
        </is>
      </c>
      <c r="N333" t="inlineStr"/>
      <c r="O333" t="n">
        <v>0</v>
      </c>
      <c r="P333" t="inlineStr"/>
      <c r="Q333" t="inlineStr">
        <is>
          <t>Filled</t>
        </is>
      </c>
      <c r="R333" t="n">
        <v>6.5</v>
      </c>
      <c r="S333" t="inlineStr">
        <is>
          <t>Central English policy</t>
        </is>
      </c>
      <c r="T333" t="inlineStr">
        <is>
          <t>Central rule applies (value agrees)</t>
        </is>
      </c>
      <c r="U333" t="inlineStr"/>
      <c r="V333" t="inlineStr">
        <is>
          <t>Not stated on course page</t>
        </is>
      </c>
      <c r="W333" t="inlineStr"/>
      <c r="X333" t="inlineStr"/>
      <c r="Y333" t="n">
        <v>0</v>
      </c>
      <c r="Z333" t="inlineStr">
        <is>
          <t>No</t>
        </is>
      </c>
      <c r="AA333" t="inlineStr">
        <is>
          <t>Filled</t>
        </is>
      </c>
      <c r="AB333" t="inlineStr">
        <is>
          <t>on campus</t>
        </is>
      </c>
      <c r="AC333" t="inlineStr"/>
      <c r="AD333" t="n">
        <v>0</v>
      </c>
      <c r="AE333" t="inlineStr"/>
      <c r="AF333" t="inlineStr"/>
      <c r="AG333" t="inlineStr"/>
      <c r="AH333" t="inlineStr"/>
      <c r="AI333" t="inlineStr">
        <is>
          <t>Yes</t>
        </is>
      </c>
      <c r="AJ333" t="inlineStr"/>
      <c r="AK333" t="inlineStr"/>
      <c r="AL333" t="inlineStr"/>
      <c r="AM333" t="inlineStr"/>
    </row>
    <row r="334">
      <c r="A334" t="inlineStr">
        <is>
          <t>093678F</t>
        </is>
      </c>
      <c r="B334" t="inlineStr">
        <is>
          <t>Graduate Diploma in Business Law</t>
        </is>
      </c>
      <c r="C334" t="inlineStr">
        <is>
          <t>Graduate Diploma</t>
        </is>
      </c>
      <c r="D334" t="inlineStr">
        <is>
          <t>Postgraduate coursework</t>
        </is>
      </c>
      <c r="E334" t="inlineStr">
        <is>
          <t>Advertised: official page in place</t>
        </is>
      </c>
      <c r="F334" t="inlineStr">
        <is>
          <t>https://www.sydney.edu.au/courses/courses/pc/graduate-diploma-in-business-law.html</t>
        </is>
      </c>
      <c r="G334" t="inlineStr">
        <is>
          <t>https://www.sydney.edu.au/courses/courses/pc/graduate-diploma-in-business-law.html</t>
        </is>
      </c>
      <c r="H334" t="inlineStr">
        <is>
          <t>Read</t>
        </is>
      </c>
      <c r="I334" t="inlineStr">
        <is>
          <t>Exact title match</t>
        </is>
      </c>
      <c r="J334" t="inlineStr"/>
      <c r="K334" t="inlineStr">
        <is>
          <t>Not sent to re-link</t>
        </is>
      </c>
      <c r="L334" t="inlineStr">
        <is>
          <t>Filled</t>
        </is>
      </c>
      <c r="M334" t="inlineStr">
        <is>
          <t>Not stated on course page</t>
        </is>
      </c>
      <c r="N334" t="inlineStr"/>
      <c r="O334" t="n">
        <v>0</v>
      </c>
      <c r="P334" t="inlineStr"/>
      <c r="Q334" t="inlineStr">
        <is>
          <t>Filled</t>
        </is>
      </c>
      <c r="R334" t="n">
        <v>6.5</v>
      </c>
      <c r="S334" t="inlineStr">
        <is>
          <t>Central English policy</t>
        </is>
      </c>
      <c r="T334" t="inlineStr">
        <is>
          <t>Central rule applies (value agrees)</t>
        </is>
      </c>
      <c r="U334" t="inlineStr"/>
      <c r="V334" t="inlineStr">
        <is>
          <t>Filled</t>
        </is>
      </c>
      <c r="W334" t="inlineStr">
        <is>
          <t>February, August</t>
        </is>
      </c>
      <c r="X334" t="inlineStr">
        <is>
          <t>Page reader</t>
        </is>
      </c>
      <c r="Y334" t="n">
        <v>0</v>
      </c>
      <c r="Z334" t="inlineStr">
        <is>
          <t>No</t>
        </is>
      </c>
      <c r="AA334" t="inlineStr">
        <is>
          <t>Filled</t>
        </is>
      </c>
      <c r="AB334" t="inlineStr">
        <is>
          <t>on campus</t>
        </is>
      </c>
      <c r="AC334" t="inlineStr"/>
      <c r="AD334" t="n">
        <v>0</v>
      </c>
      <c r="AE334" t="inlineStr"/>
      <c r="AF334" t="inlineStr"/>
      <c r="AG334" t="inlineStr"/>
      <c r="AH334" t="inlineStr"/>
      <c r="AI334" t="inlineStr"/>
      <c r="AJ334" t="inlineStr"/>
      <c r="AK334" t="inlineStr"/>
      <c r="AL334" t="inlineStr"/>
      <c r="AM334" t="inlineStr"/>
    </row>
    <row r="335">
      <c r="A335" t="inlineStr">
        <is>
          <t>068768A</t>
        </is>
      </c>
      <c r="B335" t="inlineStr">
        <is>
          <t>Graduate Diploma in Cancer and Haematology Nursing</t>
        </is>
      </c>
      <c r="C335" t="inlineStr">
        <is>
          <t>Graduate Diploma</t>
        </is>
      </c>
      <c r="D335" t="inlineStr">
        <is>
          <t>Postgraduate coursework</t>
        </is>
      </c>
      <c r="E335" t="inlineStr">
        <is>
          <t>Page found, needs a rendered read</t>
        </is>
      </c>
      <c r="F335" t="inlineStr"/>
      <c r="G335" t="inlineStr">
        <is>
          <t>https://www.sydney.edu.au/courses/courses/pc/graduate-diploma-in-cancer-and-haematology-nursing.html</t>
        </is>
      </c>
      <c r="H335" t="inlineStr">
        <is>
          <t>Needs a rendered read</t>
        </is>
      </c>
      <c r="I335" t="inlineStr"/>
      <c r="J335" t="inlineStr"/>
      <c r="K335" t="inlineStr">
        <is>
          <t>Finished, no page: every candidate address was refused by the reader or did not</t>
        </is>
      </c>
      <c r="L335" t="inlineStr">
        <is>
          <t>Page found, being read</t>
        </is>
      </c>
      <c r="M335" t="inlineStr">
        <is>
          <t>Page found, being read</t>
        </is>
      </c>
      <c r="N335" t="inlineStr"/>
      <c r="O335" t="n">
        <v>0</v>
      </c>
      <c r="P335" t="inlineStr"/>
      <c r="Q335" t="inlineStr">
        <is>
          <t>Filled</t>
        </is>
      </c>
      <c r="R335" t="n">
        <v>6.5</v>
      </c>
      <c r="S335" t="inlineStr">
        <is>
          <t>Central English policy</t>
        </is>
      </c>
      <c r="T335" t="inlineStr">
        <is>
          <t>Central rule applies (value agrees)</t>
        </is>
      </c>
      <c r="U335" t="inlineStr"/>
      <c r="V335" t="inlineStr">
        <is>
          <t>Page found, being read</t>
        </is>
      </c>
      <c r="W335" t="inlineStr"/>
      <c r="X335" t="inlineStr"/>
      <c r="Y335" t="n">
        <v>0</v>
      </c>
      <c r="Z335" t="inlineStr">
        <is>
          <t>No</t>
        </is>
      </c>
      <c r="AA335" t="inlineStr">
        <is>
          <t>Not stated on course page</t>
        </is>
      </c>
      <c r="AB335" t="inlineStr"/>
      <c r="AC335" t="inlineStr">
        <is>
          <t>Skipped: the page does not state it</t>
        </is>
      </c>
      <c r="AD335" t="n">
        <v>0</v>
      </c>
      <c r="AE335" t="inlineStr">
        <is>
          <t>Yes</t>
        </is>
      </c>
      <c r="AF335" t="inlineStr"/>
      <c r="AG335" t="inlineStr"/>
      <c r="AH335" t="inlineStr"/>
      <c r="AI335" t="inlineStr"/>
      <c r="AJ335" t="inlineStr"/>
      <c r="AK335" t="inlineStr"/>
      <c r="AL335" t="inlineStr"/>
      <c r="AM335" t="inlineStr"/>
    </row>
    <row r="336">
      <c r="A336" t="inlineStr">
        <is>
          <t>113096C</t>
        </is>
      </c>
      <c r="B336" t="inlineStr">
        <is>
          <t>Graduate Diploma in Clinical Dentistry (Advanced Pulp Biology)</t>
        </is>
      </c>
      <c r="C336" t="inlineStr">
        <is>
          <t>Graduate Diploma</t>
        </is>
      </c>
      <c r="D336" t="inlineStr">
        <is>
          <t>Postgraduate coursework</t>
        </is>
      </c>
      <c r="E336" t="inlineStr">
        <is>
          <t>Page address no longer works</t>
        </is>
      </c>
      <c r="F336" t="inlineStr"/>
      <c r="G336" t="inlineStr">
        <is>
          <t>https://www.sydney.edu.au/courses/courses/pc/graduate-diploma-in-clinical-dentistry-advanced-pulp-biology.html</t>
        </is>
      </c>
      <c r="H336" t="inlineStr">
        <is>
          <t>Address no longer works</t>
        </is>
      </c>
      <c r="I336" t="inlineStr"/>
      <c r="J336" t="inlineStr"/>
      <c r="K336" t="inlineStr">
        <is>
          <t>Finished, no page: every candidate address was refused by the reader or did not</t>
        </is>
      </c>
      <c r="L336" t="inlineStr">
        <is>
          <t>Page found, being read</t>
        </is>
      </c>
      <c r="M336" t="inlineStr">
        <is>
          <t>Page found, being read</t>
        </is>
      </c>
      <c r="N336" t="inlineStr"/>
      <c r="O336" t="n">
        <v>0</v>
      </c>
      <c r="P336" t="inlineStr"/>
      <c r="Q336" t="inlineStr">
        <is>
          <t>Filled</t>
        </is>
      </c>
      <c r="R336" t="n">
        <v>6.5</v>
      </c>
      <c r="S336" t="inlineStr">
        <is>
          <t>Central English policy</t>
        </is>
      </c>
      <c r="T336" t="inlineStr">
        <is>
          <t>Central rule applies (value agrees)</t>
        </is>
      </c>
      <c r="U336" t="inlineStr"/>
      <c r="V336" t="inlineStr">
        <is>
          <t>Page found, being read</t>
        </is>
      </c>
      <c r="W336" t="inlineStr"/>
      <c r="X336" t="inlineStr"/>
      <c r="Y336" t="n">
        <v>0</v>
      </c>
      <c r="Z336" t="inlineStr">
        <is>
          <t>No</t>
        </is>
      </c>
      <c r="AA336" t="inlineStr">
        <is>
          <t>Not stated on course page</t>
        </is>
      </c>
      <c r="AB336" t="inlineStr"/>
      <c r="AC336" t="inlineStr">
        <is>
          <t>Skipped: no allowed source had a value</t>
        </is>
      </c>
      <c r="AD336" t="n">
        <v>1</v>
      </c>
      <c r="AE336" t="inlineStr"/>
      <c r="AF336" t="inlineStr"/>
      <c r="AG336" t="inlineStr"/>
      <c r="AH336" t="inlineStr"/>
      <c r="AI336" t="inlineStr"/>
      <c r="AJ336" t="inlineStr"/>
      <c r="AK336" t="inlineStr"/>
      <c r="AL336" t="inlineStr"/>
      <c r="AM336" t="inlineStr"/>
    </row>
    <row r="337">
      <c r="A337" t="inlineStr">
        <is>
          <t>112626A</t>
        </is>
      </c>
      <c r="B337" t="inlineStr">
        <is>
          <t>Graduate Diploma in Clinical Dentistry (Advanced Restorative)</t>
        </is>
      </c>
      <c r="C337" t="inlineStr">
        <is>
          <t>Graduate Diploma</t>
        </is>
      </c>
      <c r="D337" t="inlineStr">
        <is>
          <t>Postgraduate coursework</t>
        </is>
      </c>
      <c r="E337" t="inlineStr">
        <is>
          <t>Advertised: official page in place</t>
        </is>
      </c>
      <c r="F337" t="inlineStr">
        <is>
          <t>https://www.sydney.edu.au/courses/courses/pc/graduate-diploma-in-clinical-dentistry-advanced-restorative0.html</t>
        </is>
      </c>
      <c r="G337" t="inlineStr">
        <is>
          <t>https://www.sydney.edu.au/courses/courses/pc/graduate-diploma-in-clinical-dentistry-advanced-restorative0.html</t>
        </is>
      </c>
      <c r="H337" t="inlineStr">
        <is>
          <t>Read</t>
        </is>
      </c>
      <c r="I337" t="inlineStr">
        <is>
          <t>Exact title match</t>
        </is>
      </c>
      <c r="J337" t="inlineStr"/>
      <c r="K337" t="inlineStr">
        <is>
          <t>Not sent to re-link</t>
        </is>
      </c>
      <c r="L337" t="inlineStr">
        <is>
          <t>Filled</t>
        </is>
      </c>
      <c r="M337" t="inlineStr">
        <is>
          <t>Not stated on course page</t>
        </is>
      </c>
      <c r="N337" t="inlineStr"/>
      <c r="O337" t="n">
        <v>0</v>
      </c>
      <c r="P337" t="inlineStr"/>
      <c r="Q337" t="inlineStr">
        <is>
          <t>Filled</t>
        </is>
      </c>
      <c r="R337" t="n">
        <v>6.5</v>
      </c>
      <c r="S337" t="inlineStr">
        <is>
          <t>Central English policy</t>
        </is>
      </c>
      <c r="T337" t="inlineStr">
        <is>
          <t>Central rule applies (value agrees)</t>
        </is>
      </c>
      <c r="U337" t="inlineStr"/>
      <c r="V337" t="inlineStr">
        <is>
          <t>Not stated on course page</t>
        </is>
      </c>
      <c r="W337" t="inlineStr"/>
      <c r="X337" t="inlineStr"/>
      <c r="Y337" t="n">
        <v>0</v>
      </c>
      <c r="Z337" t="inlineStr">
        <is>
          <t>No</t>
        </is>
      </c>
      <c r="AA337" t="inlineStr">
        <is>
          <t>Filled</t>
        </is>
      </c>
      <c r="AB337" t="inlineStr">
        <is>
          <t>on campus</t>
        </is>
      </c>
      <c r="AC337" t="inlineStr"/>
      <c r="AD337" t="n">
        <v>0</v>
      </c>
      <c r="AE337" t="inlineStr"/>
      <c r="AF337" t="inlineStr"/>
      <c r="AG337" t="inlineStr"/>
      <c r="AH337" t="inlineStr"/>
      <c r="AI337" t="inlineStr">
        <is>
          <t>Yes</t>
        </is>
      </c>
      <c r="AJ337" t="inlineStr"/>
      <c r="AK337" t="inlineStr"/>
      <c r="AL337" t="inlineStr"/>
      <c r="AM337" t="inlineStr"/>
    </row>
    <row r="338">
      <c r="A338" t="inlineStr">
        <is>
          <t>076247D</t>
        </is>
      </c>
      <c r="B338" t="inlineStr">
        <is>
          <t>Graduate Diploma in Clinical Dentistry (Surgical Dentistry)</t>
        </is>
      </c>
      <c r="C338" t="inlineStr">
        <is>
          <t>Graduate Diploma</t>
        </is>
      </c>
      <c r="D338" t="inlineStr">
        <is>
          <t>Postgraduate coursework</t>
        </is>
      </c>
      <c r="E338" t="inlineStr">
        <is>
          <t>Advertised: official page in place</t>
        </is>
      </c>
      <c r="F338" t="inlineStr">
        <is>
          <t>https://www.sydney.edu.au/courses/courses/pc/graduate-diploma-in-clinical-dentistry-surgical-dentistry.html</t>
        </is>
      </c>
      <c r="G338" t="inlineStr">
        <is>
          <t>https://www.sydney.edu.au/courses/courses/pc/graduate-diploma-in-clinical-dentistry-surgical-dentistry.html</t>
        </is>
      </c>
      <c r="H338" t="inlineStr">
        <is>
          <t>Read</t>
        </is>
      </c>
      <c r="I338" t="inlineStr">
        <is>
          <t>Exact title match</t>
        </is>
      </c>
      <c r="J338" t="inlineStr"/>
      <c r="K338" t="inlineStr">
        <is>
          <t>Not sent to re-link</t>
        </is>
      </c>
      <c r="L338" t="inlineStr">
        <is>
          <t>Filled</t>
        </is>
      </c>
      <c r="M338" t="inlineStr">
        <is>
          <t>Not stated on course page</t>
        </is>
      </c>
      <c r="N338" t="inlineStr"/>
      <c r="O338" t="n">
        <v>0</v>
      </c>
      <c r="P338" t="inlineStr"/>
      <c r="Q338" t="inlineStr">
        <is>
          <t>Filled</t>
        </is>
      </c>
      <c r="R338" t="n">
        <v>6.5</v>
      </c>
      <c r="S338" t="inlineStr">
        <is>
          <t>Central English policy</t>
        </is>
      </c>
      <c r="T338" t="inlineStr">
        <is>
          <t>Central rule applies (value agrees)</t>
        </is>
      </c>
      <c r="U338" t="inlineStr"/>
      <c r="V338" t="inlineStr">
        <is>
          <t>Not stated on course page</t>
        </is>
      </c>
      <c r="W338" t="inlineStr"/>
      <c r="X338" t="inlineStr"/>
      <c r="Y338" t="n">
        <v>0</v>
      </c>
      <c r="Z338" t="inlineStr">
        <is>
          <t>No</t>
        </is>
      </c>
      <c r="AA338" t="inlineStr">
        <is>
          <t>Filled</t>
        </is>
      </c>
      <c r="AB338" t="inlineStr">
        <is>
          <t>on campus</t>
        </is>
      </c>
      <c r="AC338" t="inlineStr"/>
      <c r="AD338" t="n">
        <v>0</v>
      </c>
      <c r="AE338" t="inlineStr"/>
      <c r="AF338" t="inlineStr"/>
      <c r="AG338" t="inlineStr"/>
      <c r="AH338" t="inlineStr"/>
      <c r="AI338" t="inlineStr">
        <is>
          <t>Yes</t>
        </is>
      </c>
      <c r="AJ338" t="inlineStr"/>
      <c r="AK338" t="inlineStr"/>
      <c r="AL338" t="inlineStr"/>
      <c r="AM338" t="inlineStr"/>
    </row>
    <row r="339">
      <c r="A339" t="inlineStr">
        <is>
          <t>073071C</t>
        </is>
      </c>
      <c r="B339" t="inlineStr">
        <is>
          <t>Graduate Diploma in Clinical Epidemiology</t>
        </is>
      </c>
      <c r="C339" t="inlineStr">
        <is>
          <t>Graduate Diploma</t>
        </is>
      </c>
      <c r="D339" t="inlineStr">
        <is>
          <t>Postgraduate coursework</t>
        </is>
      </c>
      <c r="E339" t="inlineStr">
        <is>
          <t>Advertised: official page in place</t>
        </is>
      </c>
      <c r="F339" t="inlineStr">
        <is>
          <t>https://www.sydney.edu.au/courses/courses/pc/graduate-diploma-in-clinical-epidemiology.html</t>
        </is>
      </c>
      <c r="G339" t="inlineStr">
        <is>
          <t>https://www.sydney.edu.au/courses/courses/pc/graduate-diploma-in-clinical-epidemiology.html</t>
        </is>
      </c>
      <c r="H339" t="inlineStr">
        <is>
          <t>Read</t>
        </is>
      </c>
      <c r="I339" t="inlineStr">
        <is>
          <t>Exact title match</t>
        </is>
      </c>
      <c r="J339" t="inlineStr"/>
      <c r="K339" t="inlineStr">
        <is>
          <t>Not sent to re-link</t>
        </is>
      </c>
      <c r="L339" t="inlineStr">
        <is>
          <t>Filled</t>
        </is>
      </c>
      <c r="M339" t="inlineStr">
        <is>
          <t>Not stated on course page</t>
        </is>
      </c>
      <c r="N339" t="inlineStr"/>
      <c r="O339" t="n">
        <v>0</v>
      </c>
      <c r="P339" t="inlineStr"/>
      <c r="Q339" t="inlineStr">
        <is>
          <t>Filled</t>
        </is>
      </c>
      <c r="R339" t="n">
        <v>6.5</v>
      </c>
      <c r="S339" t="inlineStr">
        <is>
          <t>Central English policy</t>
        </is>
      </c>
      <c r="T339" t="inlineStr">
        <is>
          <t>Central rule applies (value agrees)</t>
        </is>
      </c>
      <c r="U339" t="inlineStr"/>
      <c r="V339" t="inlineStr">
        <is>
          <t>Not stated on course page</t>
        </is>
      </c>
      <c r="W339" t="inlineStr"/>
      <c r="X339" t="inlineStr"/>
      <c r="Y339" t="n">
        <v>0</v>
      </c>
      <c r="Z339" t="inlineStr">
        <is>
          <t>No</t>
        </is>
      </c>
      <c r="AA339" t="inlineStr">
        <is>
          <t>Filled</t>
        </is>
      </c>
      <c r="AB339" t="inlineStr">
        <is>
          <t>on campus</t>
        </is>
      </c>
      <c r="AC339" t="inlineStr"/>
      <c r="AD339" t="n">
        <v>0</v>
      </c>
      <c r="AE339" t="inlineStr"/>
      <c r="AF339" t="inlineStr"/>
      <c r="AG339" t="inlineStr"/>
      <c r="AH339" t="inlineStr"/>
      <c r="AI339" t="inlineStr">
        <is>
          <t>Yes</t>
        </is>
      </c>
      <c r="AJ339" t="inlineStr"/>
      <c r="AK339" t="inlineStr"/>
      <c r="AL339" t="inlineStr"/>
      <c r="AM339" t="inlineStr"/>
    </row>
    <row r="340">
      <c r="A340" t="inlineStr">
        <is>
          <t>074184G</t>
        </is>
      </c>
      <c r="B340" t="inlineStr">
        <is>
          <t>Graduate Diploma in Coaching Psychology</t>
        </is>
      </c>
      <c r="C340" t="inlineStr">
        <is>
          <t>Graduate Diploma</t>
        </is>
      </c>
      <c r="D340" t="inlineStr">
        <is>
          <t>Postgraduate coursework</t>
        </is>
      </c>
      <c r="E340" t="inlineStr">
        <is>
          <t>Page found, needs a rendered read</t>
        </is>
      </c>
      <c r="F340" t="inlineStr"/>
      <c r="G340" t="inlineStr">
        <is>
          <t>https://www.sydney.edu.au/courses/courses/pc/graduate-diploma-in-coaching-psychology.html</t>
        </is>
      </c>
      <c r="H340" t="inlineStr">
        <is>
          <t>Needs a rendered read</t>
        </is>
      </c>
      <c r="I340" t="inlineStr"/>
      <c r="J340" t="inlineStr"/>
      <c r="K340" t="inlineStr">
        <is>
          <t>Finished, no page: every candidate address was refused by the reader or did not</t>
        </is>
      </c>
      <c r="L340" t="inlineStr">
        <is>
          <t>Page found, being read</t>
        </is>
      </c>
      <c r="M340" t="inlineStr">
        <is>
          <t>Page found, being read</t>
        </is>
      </c>
      <c r="N340" t="inlineStr"/>
      <c r="O340" t="n">
        <v>0</v>
      </c>
      <c r="P340" t="inlineStr"/>
      <c r="Q340" t="inlineStr">
        <is>
          <t>Filled</t>
        </is>
      </c>
      <c r="R340" t="n">
        <v>6.5</v>
      </c>
      <c r="S340" t="inlineStr">
        <is>
          <t>Central English policy</t>
        </is>
      </c>
      <c r="T340" t="inlineStr">
        <is>
          <t>Central rule applies (value agrees)</t>
        </is>
      </c>
      <c r="U340" t="inlineStr"/>
      <c r="V340" t="inlineStr">
        <is>
          <t>Page found, being read</t>
        </is>
      </c>
      <c r="W340" t="inlineStr"/>
      <c r="X340" t="inlineStr"/>
      <c r="Y340" t="n">
        <v>0</v>
      </c>
      <c r="Z340" t="inlineStr">
        <is>
          <t>No</t>
        </is>
      </c>
      <c r="AA340" t="inlineStr">
        <is>
          <t>Not stated on course page</t>
        </is>
      </c>
      <c r="AB340" t="inlineStr"/>
      <c r="AC340" t="inlineStr">
        <is>
          <t>Skipped: no allowed source had a value</t>
        </is>
      </c>
      <c r="AD340" t="n">
        <v>1</v>
      </c>
      <c r="AE340" t="inlineStr">
        <is>
          <t>Yes</t>
        </is>
      </c>
      <c r="AF340" t="inlineStr"/>
      <c r="AG340" t="inlineStr"/>
      <c r="AH340" t="inlineStr"/>
      <c r="AI340" t="inlineStr"/>
      <c r="AJ340" t="inlineStr"/>
      <c r="AK340" t="inlineStr"/>
      <c r="AL340" t="inlineStr"/>
      <c r="AM340" t="inlineStr"/>
    </row>
    <row r="341">
      <c r="A341" t="inlineStr">
        <is>
          <t>019182M</t>
        </is>
      </c>
      <c r="B341" t="inlineStr">
        <is>
          <t>Graduate Diploma in Commerce</t>
        </is>
      </c>
      <c r="C341" t="inlineStr">
        <is>
          <t>Graduate Diploma</t>
        </is>
      </c>
      <c r="D341" t="inlineStr">
        <is>
          <t>Postgraduate coursework</t>
        </is>
      </c>
      <c r="E341" t="inlineStr">
        <is>
          <t>Advertised: official page in place</t>
        </is>
      </c>
      <c r="F341" t="inlineStr">
        <is>
          <t>https://www.sydney.edu.au/courses/courses/pc/graduate-diploma-in-commerce0.html</t>
        </is>
      </c>
      <c r="G341" t="inlineStr">
        <is>
          <t>https://www.sydney.edu.au/courses/courses/pc/graduate-diploma-in-commerce0.html</t>
        </is>
      </c>
      <c r="H341" t="inlineStr">
        <is>
          <t>Read</t>
        </is>
      </c>
      <c r="I341" t="inlineStr">
        <is>
          <t>Exact title match</t>
        </is>
      </c>
      <c r="J341" t="inlineStr"/>
      <c r="K341" t="inlineStr">
        <is>
          <t>Not sent to re-link</t>
        </is>
      </c>
      <c r="L341" t="inlineStr">
        <is>
          <t>Filled</t>
        </is>
      </c>
      <c r="M341" t="inlineStr">
        <is>
          <t>Not stated on course page</t>
        </is>
      </c>
      <c r="N341" t="inlineStr"/>
      <c r="O341" t="n">
        <v>0</v>
      </c>
      <c r="P341" t="inlineStr"/>
      <c r="Q341" t="inlineStr">
        <is>
          <t>Filled</t>
        </is>
      </c>
      <c r="R341" t="n">
        <v>6.5</v>
      </c>
      <c r="S341" t="inlineStr">
        <is>
          <t>Central English policy</t>
        </is>
      </c>
      <c r="T341" t="inlineStr">
        <is>
          <t>Central rule applies (value agrees)</t>
        </is>
      </c>
      <c r="U341" t="inlineStr"/>
      <c r="V341" t="inlineStr">
        <is>
          <t>Not stated on course page</t>
        </is>
      </c>
      <c r="W341" t="inlineStr"/>
      <c r="X341" t="inlineStr"/>
      <c r="Y341" t="n">
        <v>0</v>
      </c>
      <c r="Z341" t="inlineStr">
        <is>
          <t>No</t>
        </is>
      </c>
      <c r="AA341" t="inlineStr">
        <is>
          <t>Filled</t>
        </is>
      </c>
      <c r="AB341" t="inlineStr">
        <is>
          <t>on campus</t>
        </is>
      </c>
      <c r="AC341" t="inlineStr"/>
      <c r="AD341" t="n">
        <v>0</v>
      </c>
      <c r="AE341" t="inlineStr"/>
      <c r="AF341" t="inlineStr"/>
      <c r="AG341" t="inlineStr"/>
      <c r="AH341" t="inlineStr"/>
      <c r="AI341" t="inlineStr">
        <is>
          <t>Yes</t>
        </is>
      </c>
      <c r="AJ341" t="inlineStr"/>
      <c r="AK341" t="inlineStr"/>
      <c r="AL341" t="inlineStr"/>
      <c r="AM341" t="inlineStr"/>
    </row>
    <row r="342">
      <c r="A342" t="inlineStr">
        <is>
          <t>098597M</t>
        </is>
      </c>
      <c r="B342" t="inlineStr">
        <is>
          <t>Graduate Diploma in Communication Disorders</t>
        </is>
      </c>
      <c r="C342" t="inlineStr">
        <is>
          <t>Graduate Diploma</t>
        </is>
      </c>
      <c r="D342" t="inlineStr">
        <is>
          <t>Postgraduate coursework</t>
        </is>
      </c>
      <c r="E342" t="inlineStr">
        <is>
          <t>Page address no longer works</t>
        </is>
      </c>
      <c r="F342" t="inlineStr"/>
      <c r="G342" t="inlineStr">
        <is>
          <t>https://www.sydney.edu.au/courses/courses/pc/graduate-diploma-in-communication-disorders.html</t>
        </is>
      </c>
      <c r="H342" t="inlineStr">
        <is>
          <t>Address no longer works</t>
        </is>
      </c>
      <c r="I342" t="inlineStr"/>
      <c r="J342" t="inlineStr"/>
      <c r="K342" t="inlineStr">
        <is>
          <t>Finished, no page: every candidate address was refused by the reader or did not</t>
        </is>
      </c>
      <c r="L342" t="inlineStr">
        <is>
          <t>Page found, being read</t>
        </is>
      </c>
      <c r="M342" t="inlineStr">
        <is>
          <t>Page found, being read</t>
        </is>
      </c>
      <c r="N342" t="inlineStr"/>
      <c r="O342" t="n">
        <v>0</v>
      </c>
      <c r="P342" t="inlineStr"/>
      <c r="Q342" t="inlineStr">
        <is>
          <t>Filled</t>
        </is>
      </c>
      <c r="R342" t="n">
        <v>6.5</v>
      </c>
      <c r="S342" t="inlineStr">
        <is>
          <t>Central English policy</t>
        </is>
      </c>
      <c r="T342" t="inlineStr">
        <is>
          <t>Central rule applies (value agrees)</t>
        </is>
      </c>
      <c r="U342" t="inlineStr"/>
      <c r="V342" t="inlineStr">
        <is>
          <t>Page found, being read</t>
        </is>
      </c>
      <c r="W342" t="inlineStr"/>
      <c r="X342" t="inlineStr"/>
      <c r="Y342" t="n">
        <v>0</v>
      </c>
      <c r="Z342" t="inlineStr">
        <is>
          <t>No</t>
        </is>
      </c>
      <c r="AA342" t="inlineStr">
        <is>
          <t>Not stated on course page</t>
        </is>
      </c>
      <c r="AB342" t="inlineStr"/>
      <c r="AC342" t="inlineStr">
        <is>
          <t>Skipped: no allowed source had a value</t>
        </is>
      </c>
      <c r="AD342" t="n">
        <v>1</v>
      </c>
      <c r="AE342" t="inlineStr"/>
      <c r="AF342" t="inlineStr"/>
      <c r="AG342" t="inlineStr"/>
      <c r="AH342" t="inlineStr"/>
      <c r="AI342" t="inlineStr"/>
      <c r="AJ342" t="inlineStr"/>
      <c r="AK342" t="inlineStr"/>
      <c r="AL342" t="inlineStr"/>
      <c r="AM342" t="inlineStr"/>
    </row>
    <row r="343">
      <c r="A343" t="inlineStr">
        <is>
          <t>089811G</t>
        </is>
      </c>
      <c r="B343" t="inlineStr">
        <is>
          <t>Graduate Diploma in Complex Systems</t>
        </is>
      </c>
      <c r="C343" t="inlineStr">
        <is>
          <t>Graduate Diploma</t>
        </is>
      </c>
      <c r="D343" t="inlineStr">
        <is>
          <t>Postgraduate coursework</t>
        </is>
      </c>
      <c r="E343" t="inlineStr">
        <is>
          <t>Page found, needs a rendered read</t>
        </is>
      </c>
      <c r="F343" t="inlineStr"/>
      <c r="G343" t="inlineStr">
        <is>
          <t>https://www.sydney.edu.au/courses/courses/pc/graduate-diploma-in-complex-systems.html</t>
        </is>
      </c>
      <c r="H343" t="inlineStr">
        <is>
          <t>Needs a rendered read</t>
        </is>
      </c>
      <c r="I343" t="inlineStr"/>
      <c r="J343" t="inlineStr"/>
      <c r="K343" t="inlineStr">
        <is>
          <t>Finished, no page: every candidate address was refused by the reader or did not</t>
        </is>
      </c>
      <c r="L343" t="inlineStr">
        <is>
          <t>Page found, being read</t>
        </is>
      </c>
      <c r="M343" t="inlineStr">
        <is>
          <t>Page found, being read</t>
        </is>
      </c>
      <c r="N343" t="inlineStr"/>
      <c r="O343" t="n">
        <v>0</v>
      </c>
      <c r="P343" t="inlineStr"/>
      <c r="Q343" t="inlineStr">
        <is>
          <t>Filled</t>
        </is>
      </c>
      <c r="R343" t="n">
        <v>6.5</v>
      </c>
      <c r="S343" t="inlineStr">
        <is>
          <t>Central English policy</t>
        </is>
      </c>
      <c r="T343" t="inlineStr">
        <is>
          <t>Central rule applies (value agrees)</t>
        </is>
      </c>
      <c r="U343" t="inlineStr"/>
      <c r="V343" t="inlineStr">
        <is>
          <t>Page found, being read</t>
        </is>
      </c>
      <c r="W343" t="inlineStr"/>
      <c r="X343" t="inlineStr"/>
      <c r="Y343" t="n">
        <v>0</v>
      </c>
      <c r="Z343" t="inlineStr">
        <is>
          <t>No</t>
        </is>
      </c>
      <c r="AA343" t="inlineStr">
        <is>
          <t>Not stated on course page</t>
        </is>
      </c>
      <c r="AB343" t="inlineStr"/>
      <c r="AC343" t="inlineStr">
        <is>
          <t>Skipped: the quote is not on the page</t>
        </is>
      </c>
      <c r="AD343" t="n">
        <v>0</v>
      </c>
      <c r="AE343" t="inlineStr">
        <is>
          <t>Yes</t>
        </is>
      </c>
      <c r="AF343" t="inlineStr"/>
      <c r="AG343" t="inlineStr"/>
      <c r="AH343" t="inlineStr"/>
      <c r="AI343" t="inlineStr"/>
      <c r="AJ343" t="inlineStr"/>
      <c r="AK343" t="inlineStr">
        <is>
          <t>Yes</t>
        </is>
      </c>
      <c r="AL343" t="inlineStr"/>
      <c r="AM343" t="inlineStr"/>
    </row>
    <row r="344">
      <c r="A344" t="inlineStr">
        <is>
          <t>111672C</t>
        </is>
      </c>
      <c r="B344" t="inlineStr">
        <is>
          <t>Graduate Diploma in Computer Science</t>
        </is>
      </c>
      <c r="C344" t="inlineStr">
        <is>
          <t>Graduate Diploma</t>
        </is>
      </c>
      <c r="D344" t="inlineStr">
        <is>
          <t>Postgraduate coursework</t>
        </is>
      </c>
      <c r="E344" t="inlineStr">
        <is>
          <t>Advertised: official page in place</t>
        </is>
      </c>
      <c r="F344" t="inlineStr">
        <is>
          <t>https://www.sydney.edu.au/courses/courses/pc/graduate-diploma-in-computer-science.html</t>
        </is>
      </c>
      <c r="G344" t="inlineStr">
        <is>
          <t>https://www.sydney.edu.au/courses/courses/pc/graduate-diploma-in-computer-science.html</t>
        </is>
      </c>
      <c r="H344" t="inlineStr">
        <is>
          <t>Read</t>
        </is>
      </c>
      <c r="I344" t="inlineStr">
        <is>
          <t>Exact title match</t>
        </is>
      </c>
      <c r="J344" t="inlineStr"/>
      <c r="K344" t="inlineStr">
        <is>
          <t>Not sent to re-link</t>
        </is>
      </c>
      <c r="L344" t="inlineStr">
        <is>
          <t>Filled</t>
        </is>
      </c>
      <c r="M344" t="inlineStr">
        <is>
          <t>Not stated on course page</t>
        </is>
      </c>
      <c r="N344" t="inlineStr"/>
      <c r="O344" t="n">
        <v>0</v>
      </c>
      <c r="P344" t="inlineStr"/>
      <c r="Q344" t="inlineStr">
        <is>
          <t>Filled</t>
        </is>
      </c>
      <c r="R344" t="n">
        <v>6.5</v>
      </c>
      <c r="S344" t="inlineStr">
        <is>
          <t>Central English policy</t>
        </is>
      </c>
      <c r="T344" t="inlineStr">
        <is>
          <t>Central rule applies (value agrees)</t>
        </is>
      </c>
      <c r="U344" t="inlineStr"/>
      <c r="V344" t="inlineStr">
        <is>
          <t>Not stated on course page</t>
        </is>
      </c>
      <c r="W344" t="inlineStr"/>
      <c r="X344" t="inlineStr"/>
      <c r="Y344" t="n">
        <v>0</v>
      </c>
      <c r="Z344" t="inlineStr">
        <is>
          <t>No</t>
        </is>
      </c>
      <c r="AA344" t="inlineStr">
        <is>
          <t>Filled</t>
        </is>
      </c>
      <c r="AB344" t="inlineStr">
        <is>
          <t>on campus</t>
        </is>
      </c>
      <c r="AC344" t="inlineStr"/>
      <c r="AD344" t="n">
        <v>0</v>
      </c>
      <c r="AE344" t="inlineStr"/>
      <c r="AF344" t="inlineStr"/>
      <c r="AG344" t="inlineStr"/>
      <c r="AH344" t="inlineStr"/>
      <c r="AI344" t="inlineStr">
        <is>
          <t>Yes</t>
        </is>
      </c>
      <c r="AJ344" t="inlineStr"/>
      <c r="AK344" t="inlineStr"/>
      <c r="AL344" t="inlineStr"/>
      <c r="AM344" t="inlineStr"/>
    </row>
    <row r="345">
      <c r="A345" t="inlineStr">
        <is>
          <t>083641B</t>
        </is>
      </c>
      <c r="B345" t="inlineStr">
        <is>
          <t>Graduate Diploma in Computing</t>
        </is>
      </c>
      <c r="C345" t="inlineStr">
        <is>
          <t>Graduate Diploma</t>
        </is>
      </c>
      <c r="D345" t="inlineStr">
        <is>
          <t>Postgraduate coursework</t>
        </is>
      </c>
      <c r="E345" t="inlineStr">
        <is>
          <t>Advertised: official page in place</t>
        </is>
      </c>
      <c r="F345" t="inlineStr">
        <is>
          <t>https://www.sydney.edu.au/handbooks/archive/2023/engineering_pg/computer_science/graduate_diploma_computing.html</t>
        </is>
      </c>
      <c r="G345" t="inlineStr">
        <is>
          <t>https://www.sydney.edu.au/handbooks/archive/2023/engineering_pg/computer_science/graduate_diploma_computing.html</t>
        </is>
      </c>
      <c r="H345" t="inlineStr">
        <is>
          <t>Read</t>
        </is>
      </c>
      <c r="I345" t="inlineStr">
        <is>
          <t>Exact title match</t>
        </is>
      </c>
      <c r="J345" t="inlineStr"/>
      <c r="K345" t="inlineStr">
        <is>
          <t>Not sent to re-link</t>
        </is>
      </c>
      <c r="L345" t="inlineStr">
        <is>
          <t>Filled</t>
        </is>
      </c>
      <c r="M345" t="inlineStr">
        <is>
          <t>Not stated on course page</t>
        </is>
      </c>
      <c r="N345" t="inlineStr"/>
      <c r="O345" t="n">
        <v>0</v>
      </c>
      <c r="P345" t="inlineStr"/>
      <c r="Q345" t="inlineStr">
        <is>
          <t>Filled</t>
        </is>
      </c>
      <c r="R345" t="n">
        <v>6.5</v>
      </c>
      <c r="S345" t="inlineStr">
        <is>
          <t>Central English policy</t>
        </is>
      </c>
      <c r="T345" t="inlineStr">
        <is>
          <t>Central rule applies (value agrees)</t>
        </is>
      </c>
      <c r="U345" t="inlineStr"/>
      <c r="V345" t="inlineStr">
        <is>
          <t>Not stated on course page</t>
        </is>
      </c>
      <c r="W345" t="inlineStr"/>
      <c r="X345" t="inlineStr"/>
      <c r="Y345" t="n">
        <v>0</v>
      </c>
      <c r="Z345" t="inlineStr">
        <is>
          <t>No</t>
        </is>
      </c>
      <c r="AA345" t="inlineStr">
        <is>
          <t>Not stated on course page</t>
        </is>
      </c>
      <c r="AB345" t="inlineStr"/>
      <c r="AC345" t="inlineStr">
        <is>
          <t>Skipped: the page does not state it</t>
        </is>
      </c>
      <c r="AD345" t="n">
        <v>0</v>
      </c>
      <c r="AE345" t="inlineStr"/>
      <c r="AF345" t="inlineStr"/>
      <c r="AG345" t="inlineStr"/>
      <c r="AH345" t="inlineStr"/>
      <c r="AI345" t="inlineStr">
        <is>
          <t>Yes</t>
        </is>
      </c>
      <c r="AJ345" t="inlineStr"/>
      <c r="AK345" t="inlineStr"/>
      <c r="AL345" t="inlineStr"/>
      <c r="AM345" t="inlineStr"/>
    </row>
    <row r="346">
      <c r="A346" t="inlineStr">
        <is>
          <t>050959G</t>
        </is>
      </c>
      <c r="B346" t="inlineStr">
        <is>
          <t>Graduate Diploma in Computing</t>
        </is>
      </c>
      <c r="C346" t="inlineStr">
        <is>
          <t>Graduate Diploma</t>
        </is>
      </c>
      <c r="D346" t="inlineStr">
        <is>
          <t>Postgraduate coursework</t>
        </is>
      </c>
      <c r="E346" t="inlineStr">
        <is>
          <t>Advertised: official page in place</t>
        </is>
      </c>
      <c r="F346" t="inlineStr">
        <is>
          <t>https://www.sydney.edu.au/handbooks/archive/2023/engineering_pg/computer_science/graduate_diploma_computing.html</t>
        </is>
      </c>
      <c r="G346" t="inlineStr">
        <is>
          <t>https://www.sydney.edu.au/handbooks/archive/2023/engineering_pg/computer_science/graduate_diploma_computing.html</t>
        </is>
      </c>
      <c r="H346" t="inlineStr">
        <is>
          <t>Read</t>
        </is>
      </c>
      <c r="I346" t="inlineStr">
        <is>
          <t>Exact title match</t>
        </is>
      </c>
      <c r="J346" t="inlineStr"/>
      <c r="K346" t="inlineStr">
        <is>
          <t>Not sent to re-link</t>
        </is>
      </c>
      <c r="L346" t="inlineStr">
        <is>
          <t>Filled</t>
        </is>
      </c>
      <c r="M346" t="inlineStr">
        <is>
          <t>Not stated on course page</t>
        </is>
      </c>
      <c r="N346" t="inlineStr"/>
      <c r="O346" t="n">
        <v>0</v>
      </c>
      <c r="P346" t="inlineStr"/>
      <c r="Q346" t="inlineStr">
        <is>
          <t>Filled</t>
        </is>
      </c>
      <c r="R346" t="n">
        <v>6.5</v>
      </c>
      <c r="S346" t="inlineStr">
        <is>
          <t>Central English policy</t>
        </is>
      </c>
      <c r="T346" t="inlineStr">
        <is>
          <t>Central rule applies (value agrees)</t>
        </is>
      </c>
      <c r="U346" t="inlineStr"/>
      <c r="V346" t="inlineStr">
        <is>
          <t>Not stated on course page</t>
        </is>
      </c>
      <c r="W346" t="inlineStr"/>
      <c r="X346" t="inlineStr"/>
      <c r="Y346" t="n">
        <v>0</v>
      </c>
      <c r="Z346" t="inlineStr">
        <is>
          <t>No</t>
        </is>
      </c>
      <c r="AA346" t="inlineStr">
        <is>
          <t>Not stated on course page</t>
        </is>
      </c>
      <c r="AB346" t="inlineStr"/>
      <c r="AC346" t="inlineStr">
        <is>
          <t>Skipped: the page does not state it</t>
        </is>
      </c>
      <c r="AD346" t="n">
        <v>0</v>
      </c>
      <c r="AE346" t="inlineStr"/>
      <c r="AF346" t="inlineStr"/>
      <c r="AG346" t="inlineStr"/>
      <c r="AH346" t="inlineStr"/>
      <c r="AI346" t="inlineStr">
        <is>
          <t>Yes</t>
        </is>
      </c>
      <c r="AJ346" t="inlineStr"/>
      <c r="AK346" t="inlineStr"/>
      <c r="AL346" t="inlineStr"/>
      <c r="AM346" t="inlineStr"/>
    </row>
    <row r="347">
      <c r="A347" t="inlineStr">
        <is>
          <t>096317G</t>
        </is>
      </c>
      <c r="B347" t="inlineStr">
        <is>
          <t>Graduate Diploma in Computing</t>
        </is>
      </c>
      <c r="C347" t="inlineStr">
        <is>
          <t>Graduate Diploma</t>
        </is>
      </c>
      <c r="D347" t="inlineStr">
        <is>
          <t>Postgraduate coursework</t>
        </is>
      </c>
      <c r="E347" t="inlineStr">
        <is>
          <t>Advertised: official page in place</t>
        </is>
      </c>
      <c r="F347" t="inlineStr">
        <is>
          <t>https://www.sydney.edu.au/handbooks/archive/2023/engineering_pg/computer_science/graduate_diploma_computing.html</t>
        </is>
      </c>
      <c r="G347" t="inlineStr">
        <is>
          <t>https://www.sydney.edu.au/handbooks/archive/2023/engineering_pg/computer_science/graduate_diploma_computing.html</t>
        </is>
      </c>
      <c r="H347" t="inlineStr">
        <is>
          <t>Read</t>
        </is>
      </c>
      <c r="I347" t="inlineStr">
        <is>
          <t>Exact title match</t>
        </is>
      </c>
      <c r="J347" t="inlineStr"/>
      <c r="K347" t="inlineStr">
        <is>
          <t>Not sent to re-link</t>
        </is>
      </c>
      <c r="L347" t="inlineStr">
        <is>
          <t>Filled</t>
        </is>
      </c>
      <c r="M347" t="inlineStr">
        <is>
          <t>Not stated on course page</t>
        </is>
      </c>
      <c r="N347" t="inlineStr"/>
      <c r="O347" t="n">
        <v>0</v>
      </c>
      <c r="P347" t="inlineStr"/>
      <c r="Q347" t="inlineStr">
        <is>
          <t>Filled</t>
        </is>
      </c>
      <c r="R347" t="n">
        <v>6.5</v>
      </c>
      <c r="S347" t="inlineStr">
        <is>
          <t>Central English policy</t>
        </is>
      </c>
      <c r="T347" t="inlineStr">
        <is>
          <t>Central rule applies (value agrees)</t>
        </is>
      </c>
      <c r="U347" t="inlineStr"/>
      <c r="V347" t="inlineStr">
        <is>
          <t>Not stated on course page</t>
        </is>
      </c>
      <c r="W347" t="inlineStr"/>
      <c r="X347" t="inlineStr"/>
      <c r="Y347" t="n">
        <v>0</v>
      </c>
      <c r="Z347" t="inlineStr">
        <is>
          <t>No</t>
        </is>
      </c>
      <c r="AA347" t="inlineStr">
        <is>
          <t>Not stated on course page</t>
        </is>
      </c>
      <c r="AB347" t="inlineStr"/>
      <c r="AC347" t="inlineStr">
        <is>
          <t>Skipped: the page does not state it</t>
        </is>
      </c>
      <c r="AD347" t="n">
        <v>0</v>
      </c>
      <c r="AE347" t="inlineStr"/>
      <c r="AF347" t="inlineStr"/>
      <c r="AG347" t="inlineStr"/>
      <c r="AH347" t="inlineStr"/>
      <c r="AI347" t="inlineStr">
        <is>
          <t>Yes</t>
        </is>
      </c>
      <c r="AJ347" t="inlineStr"/>
      <c r="AK347" t="inlineStr"/>
      <c r="AL347" t="inlineStr"/>
      <c r="AM347" t="inlineStr"/>
    </row>
    <row r="348">
      <c r="A348" t="inlineStr">
        <is>
          <t>055324C</t>
        </is>
      </c>
      <c r="B348" t="inlineStr">
        <is>
          <t>Graduate Diploma in Creative Writing</t>
        </is>
      </c>
      <c r="C348" t="inlineStr">
        <is>
          <t>Graduate Diploma</t>
        </is>
      </c>
      <c r="D348" t="inlineStr">
        <is>
          <t>Postgraduate coursework</t>
        </is>
      </c>
      <c r="E348" t="inlineStr">
        <is>
          <t>Advertised: official page in place</t>
        </is>
      </c>
      <c r="F348" t="inlineStr">
        <is>
          <t>https://www.sydney.edu.au/courses/courses/pc/graduate-diploma-in-creative-writing.html</t>
        </is>
      </c>
      <c r="G348" t="inlineStr">
        <is>
          <t>https://www.sydney.edu.au/courses/courses/pc/graduate-diploma-in-creative-writing.html</t>
        </is>
      </c>
      <c r="H348" t="inlineStr">
        <is>
          <t>Read</t>
        </is>
      </c>
      <c r="I348" t="inlineStr">
        <is>
          <t>Exact title match</t>
        </is>
      </c>
      <c r="J348" t="inlineStr"/>
      <c r="K348" t="inlineStr">
        <is>
          <t>Not sent to re-link</t>
        </is>
      </c>
      <c r="L348" t="inlineStr">
        <is>
          <t>Filled</t>
        </is>
      </c>
      <c r="M348" t="inlineStr">
        <is>
          <t>Not stated on course page</t>
        </is>
      </c>
      <c r="N348" t="inlineStr"/>
      <c r="O348" t="n">
        <v>0</v>
      </c>
      <c r="P348" t="inlineStr"/>
      <c r="Q348" t="inlineStr">
        <is>
          <t>Filled</t>
        </is>
      </c>
      <c r="R348" t="n">
        <v>6.5</v>
      </c>
      <c r="S348" t="inlineStr">
        <is>
          <t>Central English policy</t>
        </is>
      </c>
      <c r="T348" t="inlineStr">
        <is>
          <t>Central rule applies (value agrees)</t>
        </is>
      </c>
      <c r="U348" t="inlineStr"/>
      <c r="V348" t="inlineStr">
        <is>
          <t>Not stated on course page</t>
        </is>
      </c>
      <c r="W348" t="inlineStr"/>
      <c r="X348" t="inlineStr"/>
      <c r="Y348" t="n">
        <v>0</v>
      </c>
      <c r="Z348" t="inlineStr">
        <is>
          <t>No</t>
        </is>
      </c>
      <c r="AA348" t="inlineStr">
        <is>
          <t>Filled</t>
        </is>
      </c>
      <c r="AB348" t="inlineStr">
        <is>
          <t>on campus</t>
        </is>
      </c>
      <c r="AC348" t="inlineStr"/>
      <c r="AD348" t="n">
        <v>0</v>
      </c>
      <c r="AE348" t="inlineStr"/>
      <c r="AF348" t="inlineStr"/>
      <c r="AG348" t="inlineStr"/>
      <c r="AH348" t="inlineStr"/>
      <c r="AI348" t="inlineStr">
        <is>
          <t>Yes</t>
        </is>
      </c>
      <c r="AJ348" t="inlineStr"/>
      <c r="AK348" t="inlineStr"/>
      <c r="AL348" t="inlineStr"/>
      <c r="AM348" t="inlineStr"/>
    </row>
    <row r="349">
      <c r="A349" t="inlineStr">
        <is>
          <t>008401G</t>
        </is>
      </c>
      <c r="B349" t="inlineStr">
        <is>
          <t>Graduate Diploma in Criminology</t>
        </is>
      </c>
      <c r="C349" t="inlineStr">
        <is>
          <t>Graduate Diploma</t>
        </is>
      </c>
      <c r="D349" t="inlineStr">
        <is>
          <t>Postgraduate coursework</t>
        </is>
      </c>
      <c r="E349" t="inlineStr">
        <is>
          <t>Advertised: official page in place</t>
        </is>
      </c>
      <c r="F349" t="inlineStr">
        <is>
          <t>https://www.sydney.edu.au/courses/courses/pc/graduate-diploma-in-criminology.html</t>
        </is>
      </c>
      <c r="G349" t="inlineStr">
        <is>
          <t>https://www.sydney.edu.au/courses/courses/pc/graduate-diploma-in-criminology.html</t>
        </is>
      </c>
      <c r="H349" t="inlineStr">
        <is>
          <t>Read</t>
        </is>
      </c>
      <c r="I349" t="inlineStr">
        <is>
          <t>Exact title match</t>
        </is>
      </c>
      <c r="J349" t="inlineStr"/>
      <c r="K349" t="inlineStr">
        <is>
          <t>Not sent to re-link</t>
        </is>
      </c>
      <c r="L349" t="inlineStr">
        <is>
          <t>Filled</t>
        </is>
      </c>
      <c r="M349" t="inlineStr">
        <is>
          <t>Not stated on course page</t>
        </is>
      </c>
      <c r="N349" t="inlineStr"/>
      <c r="O349" t="n">
        <v>0</v>
      </c>
      <c r="P349" t="inlineStr"/>
      <c r="Q349" t="inlineStr">
        <is>
          <t>Filled</t>
        </is>
      </c>
      <c r="R349" t="n">
        <v>6.5</v>
      </c>
      <c r="S349" t="inlineStr">
        <is>
          <t>Central English policy</t>
        </is>
      </c>
      <c r="T349" t="inlineStr">
        <is>
          <t>Central rule applies (value agrees)</t>
        </is>
      </c>
      <c r="U349" t="inlineStr"/>
      <c r="V349" t="inlineStr">
        <is>
          <t>Not stated on course page</t>
        </is>
      </c>
      <c r="W349" t="inlineStr"/>
      <c r="X349" t="inlineStr"/>
      <c r="Y349" t="n">
        <v>0</v>
      </c>
      <c r="Z349" t="inlineStr">
        <is>
          <t>No</t>
        </is>
      </c>
      <c r="AA349" t="inlineStr">
        <is>
          <t>Filled</t>
        </is>
      </c>
      <c r="AB349" t="inlineStr">
        <is>
          <t>on campus</t>
        </is>
      </c>
      <c r="AC349" t="inlineStr"/>
      <c r="AD349" t="n">
        <v>0</v>
      </c>
      <c r="AE349" t="inlineStr"/>
      <c r="AF349" t="inlineStr"/>
      <c r="AG349" t="inlineStr"/>
      <c r="AH349" t="inlineStr"/>
      <c r="AI349" t="inlineStr">
        <is>
          <t>Yes</t>
        </is>
      </c>
      <c r="AJ349" t="inlineStr"/>
      <c r="AK349" t="inlineStr"/>
      <c r="AL349" t="inlineStr"/>
      <c r="AM349" t="inlineStr"/>
    </row>
    <row r="350">
      <c r="A350" t="inlineStr">
        <is>
          <t>061297F</t>
        </is>
      </c>
      <c r="B350" t="inlineStr">
        <is>
          <t>Graduate Diploma in Cultural Studies</t>
        </is>
      </c>
      <c r="C350" t="inlineStr">
        <is>
          <t>Graduate Diploma</t>
        </is>
      </c>
      <c r="D350" t="inlineStr">
        <is>
          <t>Postgraduate coursework</t>
        </is>
      </c>
      <c r="E350" t="inlineStr">
        <is>
          <t>Advertised: official page in place</t>
        </is>
      </c>
      <c r="F350" t="inlineStr">
        <is>
          <t>https://www.sydney.edu.au/courses/courses/pc/graduate-diploma-in-cultural-studies.html</t>
        </is>
      </c>
      <c r="G350" t="inlineStr">
        <is>
          <t>https://www.sydney.edu.au/courses/courses/pc/graduate-diploma-in-cultural-studies.html</t>
        </is>
      </c>
      <c r="H350" t="inlineStr">
        <is>
          <t>Read</t>
        </is>
      </c>
      <c r="I350" t="inlineStr">
        <is>
          <t>Exact title match</t>
        </is>
      </c>
      <c r="J350" t="inlineStr"/>
      <c r="K350" t="inlineStr">
        <is>
          <t>Not sent to re-link</t>
        </is>
      </c>
      <c r="L350" t="inlineStr">
        <is>
          <t>Filled</t>
        </is>
      </c>
      <c r="M350" t="inlineStr">
        <is>
          <t>Not stated on course page</t>
        </is>
      </c>
      <c r="N350" t="inlineStr"/>
      <c r="O350" t="n">
        <v>0</v>
      </c>
      <c r="P350" t="inlineStr"/>
      <c r="Q350" t="inlineStr">
        <is>
          <t>Filled</t>
        </is>
      </c>
      <c r="R350" t="n">
        <v>6.5</v>
      </c>
      <c r="S350" t="inlineStr">
        <is>
          <t>Central English policy</t>
        </is>
      </c>
      <c r="T350" t="inlineStr">
        <is>
          <t>Central rule applies (value agrees)</t>
        </is>
      </c>
      <c r="U350" t="inlineStr"/>
      <c r="V350" t="inlineStr">
        <is>
          <t>Not stated on course page</t>
        </is>
      </c>
      <c r="W350" t="inlineStr"/>
      <c r="X350" t="inlineStr"/>
      <c r="Y350" t="n">
        <v>0</v>
      </c>
      <c r="Z350" t="inlineStr">
        <is>
          <t>No</t>
        </is>
      </c>
      <c r="AA350" t="inlineStr">
        <is>
          <t>Filled</t>
        </is>
      </c>
      <c r="AB350" t="inlineStr">
        <is>
          <t>on campus</t>
        </is>
      </c>
      <c r="AC350" t="inlineStr"/>
      <c r="AD350" t="n">
        <v>0</v>
      </c>
      <c r="AE350" t="inlineStr"/>
      <c r="AF350" t="inlineStr"/>
      <c r="AG350" t="inlineStr"/>
      <c r="AH350" t="inlineStr"/>
      <c r="AI350" t="inlineStr">
        <is>
          <t>Yes</t>
        </is>
      </c>
      <c r="AJ350" t="inlineStr"/>
      <c r="AK350" t="inlineStr"/>
      <c r="AL350" t="inlineStr"/>
      <c r="AM350" t="inlineStr"/>
    </row>
    <row r="351">
      <c r="A351" t="inlineStr">
        <is>
          <t>108762E</t>
        </is>
      </c>
      <c r="B351" t="inlineStr">
        <is>
          <t>Graduate Diploma in Cybersecurity</t>
        </is>
      </c>
      <c r="C351" t="inlineStr">
        <is>
          <t>Graduate Diploma</t>
        </is>
      </c>
      <c r="D351" t="inlineStr">
        <is>
          <t>Postgraduate coursework</t>
        </is>
      </c>
      <c r="E351" t="inlineStr">
        <is>
          <t>Advertised: official page in place</t>
        </is>
      </c>
      <c r="F351" t="inlineStr">
        <is>
          <t>https://www.sydney.edu.au/courses/courses/pc/graduate-diploma-in-cybersecurity.html</t>
        </is>
      </c>
      <c r="G351" t="inlineStr">
        <is>
          <t>https://www.sydney.edu.au/courses/courses/pc/graduate-diploma-in-cybersecurity.html</t>
        </is>
      </c>
      <c r="H351" t="inlineStr">
        <is>
          <t>Read</t>
        </is>
      </c>
      <c r="I351" t="inlineStr">
        <is>
          <t>Exact title match</t>
        </is>
      </c>
      <c r="J351" t="inlineStr"/>
      <c r="K351" t="inlineStr">
        <is>
          <t>Not sent to re-link</t>
        </is>
      </c>
      <c r="L351" t="inlineStr">
        <is>
          <t>Filled</t>
        </is>
      </c>
      <c r="M351" t="inlineStr">
        <is>
          <t>Not stated on course page</t>
        </is>
      </c>
      <c r="N351" t="inlineStr"/>
      <c r="O351" t="n">
        <v>0</v>
      </c>
      <c r="P351" t="inlineStr"/>
      <c r="Q351" t="inlineStr">
        <is>
          <t>Filled</t>
        </is>
      </c>
      <c r="R351" t="n">
        <v>6.5</v>
      </c>
      <c r="S351" t="inlineStr">
        <is>
          <t>Central English policy</t>
        </is>
      </c>
      <c r="T351" t="inlineStr">
        <is>
          <t>Central rule applies (value agrees)</t>
        </is>
      </c>
      <c r="U351" t="inlineStr"/>
      <c r="V351" t="inlineStr">
        <is>
          <t>Not stated on course page</t>
        </is>
      </c>
      <c r="W351" t="inlineStr"/>
      <c r="X351" t="inlineStr"/>
      <c r="Y351" t="n">
        <v>0</v>
      </c>
      <c r="Z351" t="inlineStr">
        <is>
          <t>No</t>
        </is>
      </c>
      <c r="AA351" t="inlineStr">
        <is>
          <t>Filled</t>
        </is>
      </c>
      <c r="AB351" t="inlineStr">
        <is>
          <t>on campus</t>
        </is>
      </c>
      <c r="AC351" t="inlineStr"/>
      <c r="AD351" t="n">
        <v>0</v>
      </c>
      <c r="AE351" t="inlineStr"/>
      <c r="AF351" t="inlineStr"/>
      <c r="AG351" t="inlineStr"/>
      <c r="AH351" t="inlineStr"/>
      <c r="AI351" t="inlineStr">
        <is>
          <t>Yes</t>
        </is>
      </c>
      <c r="AJ351" t="inlineStr"/>
      <c r="AK351" t="inlineStr"/>
      <c r="AL351" t="inlineStr"/>
      <c r="AM351" t="inlineStr"/>
    </row>
    <row r="352">
      <c r="A352" t="inlineStr">
        <is>
          <t>108765B</t>
        </is>
      </c>
      <c r="B352" t="inlineStr">
        <is>
          <t>Graduate Diploma in Data Science</t>
        </is>
      </c>
      <c r="C352" t="inlineStr">
        <is>
          <t>Graduate Diploma</t>
        </is>
      </c>
      <c r="D352" t="inlineStr">
        <is>
          <t>Postgraduate coursework</t>
        </is>
      </c>
      <c r="E352" t="inlineStr">
        <is>
          <t>Advertised: official page in place</t>
        </is>
      </c>
      <c r="F352" t="inlineStr">
        <is>
          <t>https://www.sydney.edu.au/courses/courses/pc/graduate-diploma-in-data-science.html</t>
        </is>
      </c>
      <c r="G352" t="inlineStr">
        <is>
          <t>https://www.sydney.edu.au/courses/courses/pc/graduate-diploma-in-data-science.html</t>
        </is>
      </c>
      <c r="H352" t="inlineStr">
        <is>
          <t>Read</t>
        </is>
      </c>
      <c r="I352" t="inlineStr">
        <is>
          <t>Exact title match</t>
        </is>
      </c>
      <c r="J352" t="inlineStr"/>
      <c r="K352" t="inlineStr">
        <is>
          <t>Not sent to re-link</t>
        </is>
      </c>
      <c r="L352" t="inlineStr">
        <is>
          <t>Filled</t>
        </is>
      </c>
      <c r="M352" t="inlineStr">
        <is>
          <t>Not stated on course page</t>
        </is>
      </c>
      <c r="N352" t="inlineStr"/>
      <c r="O352" t="n">
        <v>0</v>
      </c>
      <c r="P352" t="inlineStr"/>
      <c r="Q352" t="inlineStr">
        <is>
          <t>Filled</t>
        </is>
      </c>
      <c r="R352" t="n">
        <v>6.5</v>
      </c>
      <c r="S352" t="inlineStr">
        <is>
          <t>Central English policy</t>
        </is>
      </c>
      <c r="T352" t="inlineStr">
        <is>
          <t>Central rule applies (value agrees)</t>
        </is>
      </c>
      <c r="U352" t="inlineStr"/>
      <c r="V352" t="inlineStr">
        <is>
          <t>Not stated on course page</t>
        </is>
      </c>
      <c r="W352" t="inlineStr"/>
      <c r="X352" t="inlineStr"/>
      <c r="Y352" t="n">
        <v>0</v>
      </c>
      <c r="Z352" t="inlineStr">
        <is>
          <t>No</t>
        </is>
      </c>
      <c r="AA352" t="inlineStr">
        <is>
          <t>Filled</t>
        </is>
      </c>
      <c r="AB352" t="inlineStr">
        <is>
          <t>on campus</t>
        </is>
      </c>
      <c r="AC352" t="inlineStr"/>
      <c r="AD352" t="n">
        <v>0</v>
      </c>
      <c r="AE352" t="inlineStr"/>
      <c r="AF352" t="inlineStr"/>
      <c r="AG352" t="inlineStr"/>
      <c r="AH352" t="inlineStr"/>
      <c r="AI352" t="inlineStr">
        <is>
          <t>Yes</t>
        </is>
      </c>
      <c r="AJ352" t="inlineStr"/>
      <c r="AK352" t="inlineStr"/>
      <c r="AL352" t="inlineStr"/>
      <c r="AM352" t="inlineStr"/>
    </row>
    <row r="353">
      <c r="A353" t="inlineStr">
        <is>
          <t>097886K</t>
        </is>
      </c>
      <c r="B353" t="inlineStr">
        <is>
          <t>Graduate Diploma in Design</t>
        </is>
      </c>
      <c r="C353" t="inlineStr">
        <is>
          <t>Graduate Diploma</t>
        </is>
      </c>
      <c r="D353" t="inlineStr">
        <is>
          <t>Postgraduate coursework</t>
        </is>
      </c>
      <c r="E353" t="inlineStr">
        <is>
          <t>Advertised: official page in place</t>
        </is>
      </c>
      <c r="F353" t="inlineStr">
        <is>
          <t>https://www.sydney.edu.au/courses/courses/pc/graduate-diploma-in-design.html</t>
        </is>
      </c>
      <c r="G353" t="inlineStr">
        <is>
          <t>https://www.sydney.edu.au/courses/courses/pc/graduate-diploma-in-design.html</t>
        </is>
      </c>
      <c r="H353" t="inlineStr">
        <is>
          <t>Read</t>
        </is>
      </c>
      <c r="I353" t="inlineStr">
        <is>
          <t>Exact title match</t>
        </is>
      </c>
      <c r="J353" t="inlineStr"/>
      <c r="K353" t="inlineStr">
        <is>
          <t>Not sent to re-link</t>
        </is>
      </c>
      <c r="L353" t="inlineStr">
        <is>
          <t>Filled</t>
        </is>
      </c>
      <c r="M353" t="inlineStr">
        <is>
          <t>Not stated on course page</t>
        </is>
      </c>
      <c r="N353" t="inlineStr"/>
      <c r="O353" t="n">
        <v>0</v>
      </c>
      <c r="P353" t="inlineStr"/>
      <c r="Q353" t="inlineStr">
        <is>
          <t>Filled</t>
        </is>
      </c>
      <c r="R353" t="n">
        <v>6.5</v>
      </c>
      <c r="S353" t="inlineStr">
        <is>
          <t>Central English policy</t>
        </is>
      </c>
      <c r="T353" t="inlineStr">
        <is>
          <t>Central rule applies (value agrees)</t>
        </is>
      </c>
      <c r="U353" t="inlineStr"/>
      <c r="V353" t="inlineStr">
        <is>
          <t>Not stated on course page</t>
        </is>
      </c>
      <c r="W353" t="inlineStr"/>
      <c r="X353" t="inlineStr"/>
      <c r="Y353" t="n">
        <v>0</v>
      </c>
      <c r="Z353" t="inlineStr">
        <is>
          <t>No</t>
        </is>
      </c>
      <c r="AA353" t="inlineStr">
        <is>
          <t>Filled</t>
        </is>
      </c>
      <c r="AB353" t="inlineStr">
        <is>
          <t>on campus</t>
        </is>
      </c>
      <c r="AC353" t="inlineStr"/>
      <c r="AD353" t="n">
        <v>0</v>
      </c>
      <c r="AE353" t="inlineStr"/>
      <c r="AF353" t="inlineStr"/>
      <c r="AG353" t="inlineStr"/>
      <c r="AH353" t="inlineStr"/>
      <c r="AI353" t="inlineStr">
        <is>
          <t>Yes</t>
        </is>
      </c>
      <c r="AJ353" t="inlineStr"/>
      <c r="AK353" t="inlineStr"/>
      <c r="AL353" t="inlineStr"/>
      <c r="AM353" t="inlineStr"/>
    </row>
    <row r="354">
      <c r="A354" t="inlineStr">
        <is>
          <t>048518G</t>
        </is>
      </c>
      <c r="B354" t="inlineStr">
        <is>
          <t>Graduate Diploma in Design Science (Building Services)</t>
        </is>
      </c>
      <c r="C354" t="inlineStr">
        <is>
          <t>Graduate Diploma</t>
        </is>
      </c>
      <c r="D354" t="inlineStr">
        <is>
          <t>Postgraduate coursework</t>
        </is>
      </c>
      <c r="E354" t="inlineStr">
        <is>
          <t>Page address no longer works</t>
        </is>
      </c>
      <c r="F354" t="inlineStr"/>
      <c r="G354" t="inlineStr">
        <is>
          <t>https://www.sydney.edu.au/courses/courses/pc/graduate-diploma-in-design-science-building-services.html</t>
        </is>
      </c>
      <c r="H354" t="inlineStr">
        <is>
          <t>Address no longer works</t>
        </is>
      </c>
      <c r="I354" t="inlineStr"/>
      <c r="J354" t="inlineStr"/>
      <c r="K354" t="inlineStr">
        <is>
          <t>Finished, no page: every candidate address was refused by the reader or did not</t>
        </is>
      </c>
      <c r="L354" t="inlineStr">
        <is>
          <t>Page found, being read</t>
        </is>
      </c>
      <c r="M354" t="inlineStr">
        <is>
          <t>Page found, being read</t>
        </is>
      </c>
      <c r="N354" t="inlineStr"/>
      <c r="O354" t="n">
        <v>0</v>
      </c>
      <c r="P354" t="inlineStr"/>
      <c r="Q354" t="inlineStr">
        <is>
          <t>Filled</t>
        </is>
      </c>
      <c r="R354" t="n">
        <v>6.5</v>
      </c>
      <c r="S354" t="inlineStr">
        <is>
          <t>Central English policy</t>
        </is>
      </c>
      <c r="T354" t="inlineStr">
        <is>
          <t>Central rule applies (value agrees)</t>
        </is>
      </c>
      <c r="U354" t="inlineStr"/>
      <c r="V354" t="inlineStr">
        <is>
          <t>Page found, being read</t>
        </is>
      </c>
      <c r="W354" t="inlineStr"/>
      <c r="X354" t="inlineStr"/>
      <c r="Y354" t="n">
        <v>0</v>
      </c>
      <c r="Z354" t="inlineStr">
        <is>
          <t>No</t>
        </is>
      </c>
      <c r="AA354" t="inlineStr">
        <is>
          <t>Not stated on course page</t>
        </is>
      </c>
      <c r="AB354" t="inlineStr"/>
      <c r="AC354" t="inlineStr">
        <is>
          <t>Skipped: no allowed source had a value</t>
        </is>
      </c>
      <c r="AD354" t="n">
        <v>1</v>
      </c>
      <c r="AE354" t="inlineStr"/>
      <c r="AF354" t="inlineStr"/>
      <c r="AG354" t="inlineStr"/>
      <c r="AH354" t="inlineStr"/>
      <c r="AI354" t="inlineStr"/>
      <c r="AJ354" t="inlineStr"/>
      <c r="AK354" t="inlineStr"/>
      <c r="AL354" t="inlineStr"/>
      <c r="AM354" t="inlineStr"/>
    </row>
    <row r="355">
      <c r="A355" t="inlineStr">
        <is>
          <t>048517G</t>
        </is>
      </c>
      <c r="B355" t="inlineStr">
        <is>
          <t>Graduate Diploma in Design Science (Building)</t>
        </is>
      </c>
      <c r="C355" t="inlineStr">
        <is>
          <t>Graduate Diploma</t>
        </is>
      </c>
      <c r="D355" t="inlineStr">
        <is>
          <t>Postgraduate coursework</t>
        </is>
      </c>
      <c r="E355" t="inlineStr">
        <is>
          <t>Page address no longer works</t>
        </is>
      </c>
      <c r="F355" t="inlineStr"/>
      <c r="G355" t="inlineStr">
        <is>
          <t>https://www.sydney.edu.au/courses/courses/pc/graduate-diploma-in-design-science-building.html</t>
        </is>
      </c>
      <c r="H355" t="inlineStr">
        <is>
          <t>Address no longer works</t>
        </is>
      </c>
      <c r="I355" t="inlineStr"/>
      <c r="J355" t="inlineStr"/>
      <c r="K355" t="inlineStr">
        <is>
          <t>Finished, no page: every candidate address was refused by the reader or did not</t>
        </is>
      </c>
      <c r="L355" t="inlineStr">
        <is>
          <t>Page found, being read</t>
        </is>
      </c>
      <c r="M355" t="inlineStr">
        <is>
          <t>Page found, being read</t>
        </is>
      </c>
      <c r="N355" t="inlineStr"/>
      <c r="O355" t="n">
        <v>0</v>
      </c>
      <c r="P355" t="inlineStr"/>
      <c r="Q355" t="inlineStr">
        <is>
          <t>Filled</t>
        </is>
      </c>
      <c r="R355" t="n">
        <v>6.5</v>
      </c>
      <c r="S355" t="inlineStr">
        <is>
          <t>Central English policy</t>
        </is>
      </c>
      <c r="T355" t="inlineStr">
        <is>
          <t>Central rule applies (value agrees)</t>
        </is>
      </c>
      <c r="U355" t="inlineStr"/>
      <c r="V355" t="inlineStr">
        <is>
          <t>Page found, being read</t>
        </is>
      </c>
      <c r="W355" t="inlineStr"/>
      <c r="X355" t="inlineStr"/>
      <c r="Y355" t="n">
        <v>0</v>
      </c>
      <c r="Z355" t="inlineStr">
        <is>
          <t>No</t>
        </is>
      </c>
      <c r="AA355" t="inlineStr">
        <is>
          <t>Not stated on course page</t>
        </is>
      </c>
      <c r="AB355" t="inlineStr"/>
      <c r="AC355" t="inlineStr">
        <is>
          <t>Skipped: no allowed source had a value</t>
        </is>
      </c>
      <c r="AD355" t="n">
        <v>1</v>
      </c>
      <c r="AE355" t="inlineStr"/>
      <c r="AF355" t="inlineStr"/>
      <c r="AG355" t="inlineStr"/>
      <c r="AH355" t="inlineStr"/>
      <c r="AI355" t="inlineStr"/>
      <c r="AJ355" t="inlineStr"/>
      <c r="AK355" t="inlineStr"/>
      <c r="AL355" t="inlineStr"/>
      <c r="AM355" t="inlineStr"/>
    </row>
    <row r="356">
      <c r="A356" t="inlineStr">
        <is>
          <t>079527E</t>
        </is>
      </c>
      <c r="B356" t="inlineStr">
        <is>
          <t>Graduate Diploma in Design Science (Illumination Design)</t>
        </is>
      </c>
      <c r="C356" t="inlineStr">
        <is>
          <t>Graduate Diploma</t>
        </is>
      </c>
      <c r="D356" t="inlineStr">
        <is>
          <t>Postgraduate coursework</t>
        </is>
      </c>
      <c r="E356" t="inlineStr">
        <is>
          <t>Page address no longer works</t>
        </is>
      </c>
      <c r="F356" t="inlineStr"/>
      <c r="G356" t="inlineStr">
        <is>
          <t>https://www.sydney.edu.au/courses/courses/pc/graduate-diploma-in-design-science-illumination-design.html</t>
        </is>
      </c>
      <c r="H356" t="inlineStr">
        <is>
          <t>Address no longer works</t>
        </is>
      </c>
      <c r="I356" t="inlineStr"/>
      <c r="J356" t="inlineStr"/>
      <c r="K356" t="inlineStr">
        <is>
          <t>Finished, no page: every candidate address was refused by the reader or did not</t>
        </is>
      </c>
      <c r="L356" t="inlineStr">
        <is>
          <t>Page found, being read</t>
        </is>
      </c>
      <c r="M356" t="inlineStr">
        <is>
          <t>Page found, being read</t>
        </is>
      </c>
      <c r="N356" t="inlineStr"/>
      <c r="O356" t="n">
        <v>0</v>
      </c>
      <c r="P356" t="inlineStr"/>
      <c r="Q356" t="inlineStr">
        <is>
          <t>Filled</t>
        </is>
      </c>
      <c r="R356" t="n">
        <v>6.5</v>
      </c>
      <c r="S356" t="inlineStr">
        <is>
          <t>Central English policy</t>
        </is>
      </c>
      <c r="T356" t="inlineStr">
        <is>
          <t>Central rule applies (value agrees)</t>
        </is>
      </c>
      <c r="U356" t="inlineStr"/>
      <c r="V356" t="inlineStr">
        <is>
          <t>Page found, being read</t>
        </is>
      </c>
      <c r="W356" t="inlineStr"/>
      <c r="X356" t="inlineStr"/>
      <c r="Y356" t="n">
        <v>0</v>
      </c>
      <c r="Z356" t="inlineStr">
        <is>
          <t>No</t>
        </is>
      </c>
      <c r="AA356" t="inlineStr">
        <is>
          <t>Not stated on course page</t>
        </is>
      </c>
      <c r="AB356" t="inlineStr"/>
      <c r="AC356" t="inlineStr">
        <is>
          <t>Skipped: no allowed source had a value</t>
        </is>
      </c>
      <c r="AD356" t="n">
        <v>1</v>
      </c>
      <c r="AE356" t="inlineStr"/>
      <c r="AF356" t="inlineStr"/>
      <c r="AG356" t="inlineStr"/>
      <c r="AH356" t="inlineStr"/>
      <c r="AI356" t="inlineStr"/>
      <c r="AJ356" t="inlineStr"/>
      <c r="AK356" t="inlineStr"/>
      <c r="AL356" t="inlineStr"/>
      <c r="AM356" t="inlineStr"/>
    </row>
    <row r="357">
      <c r="A357" t="inlineStr">
        <is>
          <t>048523K</t>
        </is>
      </c>
      <c r="B357" t="inlineStr">
        <is>
          <t>Graduate Diploma in Design Science (Sustainable Design)</t>
        </is>
      </c>
      <c r="C357" t="inlineStr">
        <is>
          <t>Graduate Diploma</t>
        </is>
      </c>
      <c r="D357" t="inlineStr">
        <is>
          <t>Postgraduate coursework</t>
        </is>
      </c>
      <c r="E357" t="inlineStr">
        <is>
          <t>Page address no longer works</t>
        </is>
      </c>
      <c r="F357" t="inlineStr"/>
      <c r="G357" t="inlineStr">
        <is>
          <t>https://www.sydney.edu.au/courses/courses/pc/graduate-diploma-in-design-science-sustainable-design.html</t>
        </is>
      </c>
      <c r="H357" t="inlineStr">
        <is>
          <t>Address no longer works</t>
        </is>
      </c>
      <c r="I357" t="inlineStr"/>
      <c r="J357" t="inlineStr"/>
      <c r="K357" t="inlineStr">
        <is>
          <t>Finished, no page: every candidate address was refused by the reader or did not</t>
        </is>
      </c>
      <c r="L357" t="inlineStr">
        <is>
          <t>Page found, being read</t>
        </is>
      </c>
      <c r="M357" t="inlineStr">
        <is>
          <t>Page found, being read</t>
        </is>
      </c>
      <c r="N357" t="inlineStr"/>
      <c r="O357" t="n">
        <v>0</v>
      </c>
      <c r="P357" t="inlineStr"/>
      <c r="Q357" t="inlineStr">
        <is>
          <t>Filled</t>
        </is>
      </c>
      <c r="R357" t="n">
        <v>6.5</v>
      </c>
      <c r="S357" t="inlineStr">
        <is>
          <t>Central English policy</t>
        </is>
      </c>
      <c r="T357" t="inlineStr">
        <is>
          <t>Central rule applies (value agrees)</t>
        </is>
      </c>
      <c r="U357" t="inlineStr"/>
      <c r="V357" t="inlineStr">
        <is>
          <t>Page found, being read</t>
        </is>
      </c>
      <c r="W357" t="inlineStr"/>
      <c r="X357" t="inlineStr"/>
      <c r="Y357" t="n">
        <v>0</v>
      </c>
      <c r="Z357" t="inlineStr">
        <is>
          <t>No</t>
        </is>
      </c>
      <c r="AA357" t="inlineStr">
        <is>
          <t>Not stated on course page</t>
        </is>
      </c>
      <c r="AB357" t="inlineStr"/>
      <c r="AC357" t="inlineStr">
        <is>
          <t>Skipped: no allowed source had a value</t>
        </is>
      </c>
      <c r="AD357" t="n">
        <v>1</v>
      </c>
      <c r="AE357" t="inlineStr"/>
      <c r="AF357" t="inlineStr"/>
      <c r="AG357" t="inlineStr"/>
      <c r="AH357" t="inlineStr"/>
      <c r="AI357" t="inlineStr"/>
      <c r="AJ357" t="inlineStr"/>
      <c r="AK357" t="inlineStr"/>
      <c r="AL357" t="inlineStr"/>
      <c r="AM357" t="inlineStr"/>
    </row>
    <row r="358">
      <c r="A358" t="inlineStr">
        <is>
          <t>053432D</t>
        </is>
      </c>
      <c r="B358" t="inlineStr">
        <is>
          <t>Graduate Diploma in Development Studies</t>
        </is>
      </c>
      <c r="C358" t="inlineStr">
        <is>
          <t>Graduate Diploma</t>
        </is>
      </c>
      <c r="D358" t="inlineStr">
        <is>
          <t>Postgraduate coursework</t>
        </is>
      </c>
      <c r="E358" t="inlineStr">
        <is>
          <t>Page found, needs a rendered read</t>
        </is>
      </c>
      <c r="F358" t="inlineStr"/>
      <c r="G358" t="inlineStr">
        <is>
          <t>https://www.sydney.edu.au/courses/courses/pc/graduate-diploma-in-development-studies.html</t>
        </is>
      </c>
      <c r="H358" t="inlineStr">
        <is>
          <t>Needs a rendered read</t>
        </is>
      </c>
      <c r="I358" t="inlineStr"/>
      <c r="J358" t="inlineStr"/>
      <c r="K358" t="inlineStr">
        <is>
          <t>Finished, no page: every candidate address was refused by the reader or did not</t>
        </is>
      </c>
      <c r="L358" t="inlineStr">
        <is>
          <t>Page found, being read</t>
        </is>
      </c>
      <c r="M358" t="inlineStr">
        <is>
          <t>Page found, being read</t>
        </is>
      </c>
      <c r="N358" t="inlineStr"/>
      <c r="O358" t="n">
        <v>0</v>
      </c>
      <c r="P358" t="inlineStr"/>
      <c r="Q358" t="inlineStr">
        <is>
          <t>Filled</t>
        </is>
      </c>
      <c r="R358" t="n">
        <v>6.5</v>
      </c>
      <c r="S358" t="inlineStr">
        <is>
          <t>Central English policy</t>
        </is>
      </c>
      <c r="T358" t="inlineStr">
        <is>
          <t>Central rule applies (value agrees)</t>
        </is>
      </c>
      <c r="U358" t="inlineStr"/>
      <c r="V358" t="inlineStr">
        <is>
          <t>Page found, being read</t>
        </is>
      </c>
      <c r="W358" t="inlineStr"/>
      <c r="X358" t="inlineStr"/>
      <c r="Y358" t="n">
        <v>0</v>
      </c>
      <c r="Z358" t="inlineStr">
        <is>
          <t>No</t>
        </is>
      </c>
      <c r="AA358" t="inlineStr">
        <is>
          <t>Not stated on course page</t>
        </is>
      </c>
      <c r="AB358" t="inlineStr"/>
      <c r="AC358" t="inlineStr">
        <is>
          <t>Skipped: no allowed source had a value</t>
        </is>
      </c>
      <c r="AD358" t="n">
        <v>1</v>
      </c>
      <c r="AE358" t="inlineStr">
        <is>
          <t>Yes</t>
        </is>
      </c>
      <c r="AF358" t="inlineStr"/>
      <c r="AG358" t="inlineStr"/>
      <c r="AH358" t="inlineStr"/>
      <c r="AI358" t="inlineStr"/>
      <c r="AJ358" t="inlineStr"/>
      <c r="AK358" t="inlineStr"/>
      <c r="AL358" t="inlineStr"/>
      <c r="AM358" t="inlineStr"/>
    </row>
    <row r="359">
      <c r="A359" t="inlineStr">
        <is>
          <t>057891M</t>
        </is>
      </c>
      <c r="B359" t="inlineStr">
        <is>
          <t>Graduate Diploma in Digital Communication and Culture</t>
        </is>
      </c>
      <c r="C359" t="inlineStr">
        <is>
          <t>Graduate Diploma</t>
        </is>
      </c>
      <c r="D359" t="inlineStr">
        <is>
          <t>Postgraduate coursework</t>
        </is>
      </c>
      <c r="E359" t="inlineStr">
        <is>
          <t>Advertised: official page in place</t>
        </is>
      </c>
      <c r="F359" t="inlineStr">
        <is>
          <t>https://www.sydney.edu.au/courses/courses/pc/graduate-diploma-in-digital-communication-and-culture.html</t>
        </is>
      </c>
      <c r="G359" t="inlineStr">
        <is>
          <t>https://www.sydney.edu.au/courses/courses/pc/graduate-diploma-in-digital-communication-and-culture.html</t>
        </is>
      </c>
      <c r="H359" t="inlineStr">
        <is>
          <t>Read</t>
        </is>
      </c>
      <c r="I359" t="inlineStr">
        <is>
          <t>Exact title match</t>
        </is>
      </c>
      <c r="J359" t="inlineStr"/>
      <c r="K359" t="inlineStr">
        <is>
          <t>Not sent to re-link</t>
        </is>
      </c>
      <c r="L359" t="inlineStr">
        <is>
          <t>Filled</t>
        </is>
      </c>
      <c r="M359" t="inlineStr">
        <is>
          <t>Not stated on course page</t>
        </is>
      </c>
      <c r="N359" t="inlineStr"/>
      <c r="O359" t="n">
        <v>0</v>
      </c>
      <c r="P359" t="inlineStr"/>
      <c r="Q359" t="inlineStr">
        <is>
          <t>Filled</t>
        </is>
      </c>
      <c r="R359" t="n">
        <v>6.5</v>
      </c>
      <c r="S359" t="inlineStr">
        <is>
          <t>Central English policy</t>
        </is>
      </c>
      <c r="T359" t="inlineStr">
        <is>
          <t>Central rule applies (value agrees)</t>
        </is>
      </c>
      <c r="U359" t="inlineStr"/>
      <c r="V359" t="inlineStr">
        <is>
          <t>Filled</t>
        </is>
      </c>
      <c r="W359" t="inlineStr">
        <is>
          <t>February, August</t>
        </is>
      </c>
      <c r="X359" t="inlineStr">
        <is>
          <t>Page reader</t>
        </is>
      </c>
      <c r="Y359" t="n">
        <v>0</v>
      </c>
      <c r="Z359" t="inlineStr">
        <is>
          <t>No</t>
        </is>
      </c>
      <c r="AA359" t="inlineStr">
        <is>
          <t>Filled</t>
        </is>
      </c>
      <c r="AB359" t="inlineStr">
        <is>
          <t>on campus</t>
        </is>
      </c>
      <c r="AC359" t="inlineStr"/>
      <c r="AD359" t="n">
        <v>0</v>
      </c>
      <c r="AE359" t="inlineStr"/>
      <c r="AF359" t="inlineStr"/>
      <c r="AG359" t="inlineStr"/>
      <c r="AH359" t="inlineStr"/>
      <c r="AI359" t="inlineStr"/>
      <c r="AJ359" t="inlineStr"/>
      <c r="AK359" t="inlineStr"/>
      <c r="AL359" t="inlineStr"/>
      <c r="AM359" t="inlineStr"/>
    </row>
    <row r="360">
      <c r="A360" t="inlineStr">
        <is>
          <t>079201E</t>
        </is>
      </c>
      <c r="B360" t="inlineStr">
        <is>
          <t>Graduate Diploma in Economic Analysis</t>
        </is>
      </c>
      <c r="C360" t="inlineStr">
        <is>
          <t>Graduate Diploma</t>
        </is>
      </c>
      <c r="D360" t="inlineStr">
        <is>
          <t>Postgraduate coursework</t>
        </is>
      </c>
      <c r="E360" t="inlineStr">
        <is>
          <t>Advertised: official page in place</t>
        </is>
      </c>
      <c r="F360" t="inlineStr">
        <is>
          <t>https://www.sydney.edu.au/courses/courses/pc/graduate-diploma-in-economic-analysis.html</t>
        </is>
      </c>
      <c r="G360" t="inlineStr">
        <is>
          <t>https://www.sydney.edu.au/courses/courses/pc/graduate-diploma-in-economic-analysis.html</t>
        </is>
      </c>
      <c r="H360" t="inlineStr">
        <is>
          <t>Read</t>
        </is>
      </c>
      <c r="I360" t="inlineStr">
        <is>
          <t>Exact title match</t>
        </is>
      </c>
      <c r="J360" t="inlineStr"/>
      <c r="K360" t="inlineStr">
        <is>
          <t>Not sent to re-link</t>
        </is>
      </c>
      <c r="L360" t="inlineStr">
        <is>
          <t>Filled</t>
        </is>
      </c>
      <c r="M360" t="inlineStr">
        <is>
          <t>Not stated on course page</t>
        </is>
      </c>
      <c r="N360" t="inlineStr"/>
      <c r="O360" t="n">
        <v>0</v>
      </c>
      <c r="P360" t="inlineStr"/>
      <c r="Q360" t="inlineStr">
        <is>
          <t>Filled</t>
        </is>
      </c>
      <c r="R360" t="n">
        <v>6.5</v>
      </c>
      <c r="S360" t="inlineStr">
        <is>
          <t>Central English policy</t>
        </is>
      </c>
      <c r="T360" t="inlineStr">
        <is>
          <t>Central rule applies (value agrees)</t>
        </is>
      </c>
      <c r="U360" t="inlineStr"/>
      <c r="V360" t="inlineStr">
        <is>
          <t>Not stated on course page</t>
        </is>
      </c>
      <c r="W360" t="inlineStr"/>
      <c r="X360" t="inlineStr"/>
      <c r="Y360" t="n">
        <v>0</v>
      </c>
      <c r="Z360" t="inlineStr">
        <is>
          <t>No</t>
        </is>
      </c>
      <c r="AA360" t="inlineStr">
        <is>
          <t>Filled</t>
        </is>
      </c>
      <c r="AB360" t="inlineStr">
        <is>
          <t>on campus</t>
        </is>
      </c>
      <c r="AC360" t="inlineStr"/>
      <c r="AD360" t="n">
        <v>0</v>
      </c>
      <c r="AE360" t="inlineStr"/>
      <c r="AF360" t="inlineStr"/>
      <c r="AG360" t="inlineStr"/>
      <c r="AH360" t="inlineStr"/>
      <c r="AI360" t="inlineStr">
        <is>
          <t>Yes</t>
        </is>
      </c>
      <c r="AJ360" t="inlineStr"/>
      <c r="AK360" t="inlineStr"/>
      <c r="AL360" t="inlineStr"/>
      <c r="AM360" t="inlineStr"/>
    </row>
    <row r="361">
      <c r="A361" t="inlineStr">
        <is>
          <t>053965G</t>
        </is>
      </c>
      <c r="B361" t="inlineStr">
        <is>
          <t>Graduate Diploma in Economics</t>
        </is>
      </c>
      <c r="C361" t="inlineStr">
        <is>
          <t>Graduate Diploma</t>
        </is>
      </c>
      <c r="D361" t="inlineStr">
        <is>
          <t>Postgraduate coursework</t>
        </is>
      </c>
      <c r="E361" t="inlineStr">
        <is>
          <t>Advertised: official page in place</t>
        </is>
      </c>
      <c r="F361" t="inlineStr">
        <is>
          <t>https://www.sydney.edu.au/courses/courses/pc/graduate-diploma-in-economics.html</t>
        </is>
      </c>
      <c r="G361" t="inlineStr">
        <is>
          <t>https://www.sydney.edu.au/courses/courses/pc/graduate-diploma-in-economics.html</t>
        </is>
      </c>
      <c r="H361" t="inlineStr">
        <is>
          <t>Read</t>
        </is>
      </c>
      <c r="I361" t="inlineStr">
        <is>
          <t>Exact title match</t>
        </is>
      </c>
      <c r="J361" t="inlineStr"/>
      <c r="K361" t="inlineStr">
        <is>
          <t>Not sent to re-link</t>
        </is>
      </c>
      <c r="L361" t="inlineStr">
        <is>
          <t>Filled</t>
        </is>
      </c>
      <c r="M361" t="inlineStr">
        <is>
          <t>Not stated on course page</t>
        </is>
      </c>
      <c r="N361" t="inlineStr"/>
      <c r="O361" t="n">
        <v>0</v>
      </c>
      <c r="P361" t="inlineStr"/>
      <c r="Q361" t="inlineStr">
        <is>
          <t>Filled</t>
        </is>
      </c>
      <c r="R361" t="n">
        <v>6.5</v>
      </c>
      <c r="S361" t="inlineStr">
        <is>
          <t>Central English policy</t>
        </is>
      </c>
      <c r="T361" t="inlineStr">
        <is>
          <t>Central rule applies (value agrees)</t>
        </is>
      </c>
      <c r="U361" t="inlineStr"/>
      <c r="V361" t="inlineStr">
        <is>
          <t>Not stated on course page</t>
        </is>
      </c>
      <c r="W361" t="inlineStr"/>
      <c r="X361" t="inlineStr"/>
      <c r="Y361" t="n">
        <v>0</v>
      </c>
      <c r="Z361" t="inlineStr">
        <is>
          <t>No</t>
        </is>
      </c>
      <c r="AA361" t="inlineStr">
        <is>
          <t>Filled</t>
        </is>
      </c>
      <c r="AB361" t="inlineStr">
        <is>
          <t>on campus</t>
        </is>
      </c>
      <c r="AC361" t="inlineStr"/>
      <c r="AD361" t="n">
        <v>0</v>
      </c>
      <c r="AE361" t="inlineStr"/>
      <c r="AF361" t="inlineStr"/>
      <c r="AG361" t="inlineStr"/>
      <c r="AH361" t="inlineStr"/>
      <c r="AI361" t="inlineStr">
        <is>
          <t>Yes</t>
        </is>
      </c>
      <c r="AJ361" t="inlineStr"/>
      <c r="AK361" t="inlineStr"/>
      <c r="AL361" t="inlineStr"/>
      <c r="AM361" t="inlineStr"/>
    </row>
    <row r="362">
      <c r="A362" t="inlineStr">
        <is>
          <t>118429B</t>
        </is>
      </c>
      <c r="B362" t="inlineStr">
        <is>
          <t>Graduate Diploma in Educational Studies</t>
        </is>
      </c>
      <c r="C362" t="inlineStr">
        <is>
          <t>Graduate Diploma</t>
        </is>
      </c>
      <c r="D362" t="inlineStr">
        <is>
          <t>Postgraduate coursework</t>
        </is>
      </c>
      <c r="E362" t="inlineStr">
        <is>
          <t>Advertised: official page in place</t>
        </is>
      </c>
      <c r="F362" t="inlineStr">
        <is>
          <t>https://www.sydney.edu.au/courses/courses/pc/graduate-diploma-in-educational-studies0.html</t>
        </is>
      </c>
      <c r="G362" t="inlineStr">
        <is>
          <t>https://www.sydney.edu.au/courses/courses/pc/graduate-diploma-in-educational-studies0.html</t>
        </is>
      </c>
      <c r="H362" t="inlineStr">
        <is>
          <t>Read</t>
        </is>
      </c>
      <c r="I362" t="inlineStr">
        <is>
          <t>Exact title match</t>
        </is>
      </c>
      <c r="J362" t="inlineStr"/>
      <c r="K362" t="inlineStr">
        <is>
          <t>Not sent to re-link</t>
        </is>
      </c>
      <c r="L362" t="inlineStr">
        <is>
          <t>Filled</t>
        </is>
      </c>
      <c r="M362" t="inlineStr">
        <is>
          <t>Not stated on course page</t>
        </is>
      </c>
      <c r="N362" t="inlineStr"/>
      <c r="O362" t="n">
        <v>0</v>
      </c>
      <c r="P362" t="inlineStr"/>
      <c r="Q362" t="inlineStr">
        <is>
          <t>Filled</t>
        </is>
      </c>
      <c r="R362" t="n">
        <v>6.5</v>
      </c>
      <c r="S362" t="inlineStr">
        <is>
          <t>Central English policy</t>
        </is>
      </c>
      <c r="T362" t="inlineStr">
        <is>
          <t>Central rule applies (value agrees)</t>
        </is>
      </c>
      <c r="U362" t="inlineStr"/>
      <c r="V362" t="inlineStr">
        <is>
          <t>Not stated on course page</t>
        </is>
      </c>
      <c r="W362" t="inlineStr"/>
      <c r="X362" t="inlineStr"/>
      <c r="Y362" t="n">
        <v>0</v>
      </c>
      <c r="Z362" t="inlineStr">
        <is>
          <t>No</t>
        </is>
      </c>
      <c r="AA362" t="inlineStr">
        <is>
          <t>Filled</t>
        </is>
      </c>
      <c r="AB362" t="inlineStr">
        <is>
          <t>on campus</t>
        </is>
      </c>
      <c r="AC362" t="inlineStr"/>
      <c r="AD362" t="n">
        <v>0</v>
      </c>
      <c r="AE362" t="inlineStr"/>
      <c r="AF362" t="inlineStr"/>
      <c r="AG362" t="inlineStr"/>
      <c r="AH362" t="inlineStr"/>
      <c r="AI362" t="inlineStr">
        <is>
          <t>Yes</t>
        </is>
      </c>
      <c r="AJ362" t="inlineStr"/>
      <c r="AK362" t="inlineStr"/>
      <c r="AL362" t="inlineStr"/>
      <c r="AM362" t="inlineStr"/>
    </row>
    <row r="363">
      <c r="A363" t="inlineStr">
        <is>
          <t>024659C</t>
        </is>
      </c>
      <c r="B363" t="inlineStr">
        <is>
          <t>Graduate Diploma in Educational Studies</t>
        </is>
      </c>
      <c r="C363" t="inlineStr">
        <is>
          <t>Graduate Diploma</t>
        </is>
      </c>
      <c r="D363" t="inlineStr">
        <is>
          <t>Postgraduate coursework</t>
        </is>
      </c>
      <c r="E363" t="inlineStr">
        <is>
          <t>Advertised: official page in place</t>
        </is>
      </c>
      <c r="F363" t="inlineStr">
        <is>
          <t>https://www.sydney.edu.au/courses/courses/pc/graduate-diploma-in-educational-studies0.html</t>
        </is>
      </c>
      <c r="G363" t="inlineStr">
        <is>
          <t>https://www.sydney.edu.au/courses/courses/pc/graduate-diploma-in-educational-studies0.html</t>
        </is>
      </c>
      <c r="H363" t="inlineStr">
        <is>
          <t>Read</t>
        </is>
      </c>
      <c r="I363" t="inlineStr">
        <is>
          <t>Exact title match</t>
        </is>
      </c>
      <c r="J363" t="inlineStr"/>
      <c r="K363" t="inlineStr">
        <is>
          <t>Not sent to re-link</t>
        </is>
      </c>
      <c r="L363" t="inlineStr">
        <is>
          <t>Filled</t>
        </is>
      </c>
      <c r="M363" t="inlineStr">
        <is>
          <t>Not stated on course page</t>
        </is>
      </c>
      <c r="N363" t="inlineStr"/>
      <c r="O363" t="n">
        <v>0</v>
      </c>
      <c r="P363" t="inlineStr"/>
      <c r="Q363" t="inlineStr">
        <is>
          <t>Filled</t>
        </is>
      </c>
      <c r="R363" t="n">
        <v>6.5</v>
      </c>
      <c r="S363" t="inlineStr">
        <is>
          <t>Central English policy</t>
        </is>
      </c>
      <c r="T363" t="inlineStr">
        <is>
          <t>Central rule applies (value agrees)</t>
        </is>
      </c>
      <c r="U363" t="inlineStr"/>
      <c r="V363" t="inlineStr">
        <is>
          <t>Not stated on course page</t>
        </is>
      </c>
      <c r="W363" t="inlineStr"/>
      <c r="X363" t="inlineStr"/>
      <c r="Y363" t="n">
        <v>0</v>
      </c>
      <c r="Z363" t="inlineStr">
        <is>
          <t>No</t>
        </is>
      </c>
      <c r="AA363" t="inlineStr">
        <is>
          <t>Filled</t>
        </is>
      </c>
      <c r="AB363" t="inlineStr">
        <is>
          <t>on campus</t>
        </is>
      </c>
      <c r="AC363" t="inlineStr"/>
      <c r="AD363" t="n">
        <v>0</v>
      </c>
      <c r="AE363" t="inlineStr"/>
      <c r="AF363" t="inlineStr"/>
      <c r="AG363" t="inlineStr"/>
      <c r="AH363" t="inlineStr"/>
      <c r="AI363" t="inlineStr">
        <is>
          <t>Yes</t>
        </is>
      </c>
      <c r="AJ363" t="inlineStr"/>
      <c r="AK363" t="inlineStr"/>
      <c r="AL363" t="inlineStr"/>
      <c r="AM363" t="inlineStr"/>
    </row>
    <row r="364">
      <c r="A364" t="inlineStr">
        <is>
          <t>118414J</t>
        </is>
      </c>
      <c r="B364" t="inlineStr">
        <is>
          <t>Graduate Diploma in Educational Studies (Special and Inclusive Education)</t>
        </is>
      </c>
      <c r="C364" t="inlineStr">
        <is>
          <t>Graduate Diploma</t>
        </is>
      </c>
      <c r="D364" t="inlineStr">
        <is>
          <t>Postgraduate coursework</t>
        </is>
      </c>
      <c r="E364" t="inlineStr">
        <is>
          <t>Advertised: official page in place</t>
        </is>
      </c>
      <c r="F364" t="inlineStr">
        <is>
          <t>https://www.sydney.edu.au/courses/courses/pc/graduate-diploma-in-educational-studies-special-and-inclusive-education1.html</t>
        </is>
      </c>
      <c r="G364" t="inlineStr">
        <is>
          <t>https://www.sydney.edu.au/courses/courses/pc/graduate-diploma-in-educational-studies-special-and-inclusive-education1.html</t>
        </is>
      </c>
      <c r="H364" t="inlineStr">
        <is>
          <t>Read</t>
        </is>
      </c>
      <c r="I364" t="inlineStr">
        <is>
          <t>Exact title match</t>
        </is>
      </c>
      <c r="J364" t="inlineStr"/>
      <c r="K364" t="inlineStr">
        <is>
          <t>Not sent to re-link</t>
        </is>
      </c>
      <c r="L364" t="inlineStr">
        <is>
          <t>Filled</t>
        </is>
      </c>
      <c r="M364" t="inlineStr">
        <is>
          <t>Not stated on course page</t>
        </is>
      </c>
      <c r="N364" t="inlineStr"/>
      <c r="O364" t="n">
        <v>0</v>
      </c>
      <c r="P364" t="inlineStr"/>
      <c r="Q364" t="inlineStr">
        <is>
          <t>Filled</t>
        </is>
      </c>
      <c r="R364" t="n">
        <v>6.5</v>
      </c>
      <c r="S364" t="inlineStr">
        <is>
          <t>Central English policy</t>
        </is>
      </c>
      <c r="T364" t="inlineStr">
        <is>
          <t>Central rule applies (value agrees)</t>
        </is>
      </c>
      <c r="U364" t="inlineStr"/>
      <c r="V364" t="inlineStr">
        <is>
          <t>Not stated on course page</t>
        </is>
      </c>
      <c r="W364" t="inlineStr"/>
      <c r="X364" t="inlineStr"/>
      <c r="Y364" t="n">
        <v>0</v>
      </c>
      <c r="Z364" t="inlineStr">
        <is>
          <t>No</t>
        </is>
      </c>
      <c r="AA364" t="inlineStr">
        <is>
          <t>Filled</t>
        </is>
      </c>
      <c r="AB364" t="inlineStr">
        <is>
          <t>on campus</t>
        </is>
      </c>
      <c r="AC364" t="inlineStr"/>
      <c r="AD364" t="n">
        <v>0</v>
      </c>
      <c r="AE364" t="inlineStr"/>
      <c r="AF364" t="inlineStr"/>
      <c r="AG364" t="inlineStr"/>
      <c r="AH364" t="inlineStr"/>
      <c r="AI364" t="inlineStr">
        <is>
          <t>Yes</t>
        </is>
      </c>
      <c r="AJ364" t="inlineStr"/>
      <c r="AK364" t="inlineStr"/>
      <c r="AL364" t="inlineStr"/>
      <c r="AM364" t="inlineStr"/>
    </row>
    <row r="365">
      <c r="A365" t="inlineStr">
        <is>
          <t>068770G</t>
        </is>
      </c>
      <c r="B365" t="inlineStr">
        <is>
          <t>Graduate Diploma in Emergency Nursing</t>
        </is>
      </c>
      <c r="C365" t="inlineStr">
        <is>
          <t>Graduate Diploma</t>
        </is>
      </c>
      <c r="D365" t="inlineStr">
        <is>
          <t>Postgraduate coursework</t>
        </is>
      </c>
      <c r="E365" t="inlineStr">
        <is>
          <t>No page found</t>
        </is>
      </c>
      <c r="F365" t="inlineStr"/>
      <c r="G365" t="inlineStr"/>
      <c r="H365" t="inlineStr"/>
      <c r="I365" t="inlineStr"/>
      <c r="J365" t="inlineStr"/>
      <c r="K365" t="inlineStr">
        <is>
          <t>Not sent to re-link</t>
        </is>
      </c>
      <c r="L365" t="inlineStr">
        <is>
          <t>Searching for course page</t>
        </is>
      </c>
      <c r="M365" t="inlineStr">
        <is>
          <t>Searching for course page</t>
        </is>
      </c>
      <c r="N365" t="inlineStr"/>
      <c r="O365" t="n">
        <v>0</v>
      </c>
      <c r="P365" t="inlineStr"/>
      <c r="Q365" t="inlineStr">
        <is>
          <t>Filled</t>
        </is>
      </c>
      <c r="R365" t="n">
        <v>6.5</v>
      </c>
      <c r="S365" t="inlineStr">
        <is>
          <t>Central English policy</t>
        </is>
      </c>
      <c r="T365" t="inlineStr">
        <is>
          <t>Central rule applies (value agrees)</t>
        </is>
      </c>
      <c r="U365" t="inlineStr"/>
      <c r="V365" t="inlineStr">
        <is>
          <t>Searching for course page</t>
        </is>
      </c>
      <c r="W365" t="inlineStr"/>
      <c r="X365" t="inlineStr"/>
      <c r="Y365" t="n">
        <v>0</v>
      </c>
      <c r="Z365" t="inlineStr">
        <is>
          <t>No</t>
        </is>
      </c>
      <c r="AA365" t="inlineStr">
        <is>
          <t>Not stated on course page</t>
        </is>
      </c>
      <c r="AB365" t="inlineStr"/>
      <c r="AC365" t="inlineStr">
        <is>
          <t>Skipped: no allowed source had a value</t>
        </is>
      </c>
      <c r="AD365" t="n">
        <v>0</v>
      </c>
      <c r="AE365" t="inlineStr"/>
      <c r="AF365" t="inlineStr"/>
      <c r="AG365" t="inlineStr"/>
      <c r="AH365" t="inlineStr"/>
      <c r="AI365" t="inlineStr"/>
      <c r="AJ365" t="inlineStr"/>
      <c r="AK365" t="inlineStr"/>
      <c r="AL365" t="inlineStr"/>
      <c r="AM365" t="inlineStr"/>
    </row>
    <row r="366">
      <c r="A366" t="inlineStr">
        <is>
          <t>061793A</t>
        </is>
      </c>
      <c r="B366" t="inlineStr">
        <is>
          <t>Graduate Diploma in Engineering</t>
        </is>
      </c>
      <c r="C366" t="inlineStr">
        <is>
          <t>Graduate Diploma</t>
        </is>
      </c>
      <c r="D366" t="inlineStr">
        <is>
          <t>Postgraduate coursework</t>
        </is>
      </c>
      <c r="E366" t="inlineStr">
        <is>
          <t>Advertised: official page in place</t>
        </is>
      </c>
      <c r="F366" t="inlineStr">
        <is>
          <t>https://www.sydney.edu.au/courses/courses/pc/graduate-diploma-in-engineering.html</t>
        </is>
      </c>
      <c r="G366" t="inlineStr">
        <is>
          <t>https://www.sydney.edu.au/courses/courses/pc/graduate-diploma-in-engineering.html</t>
        </is>
      </c>
      <c r="H366" t="inlineStr">
        <is>
          <t>Read</t>
        </is>
      </c>
      <c r="I366" t="inlineStr">
        <is>
          <t>Exact title match</t>
        </is>
      </c>
      <c r="J366" t="inlineStr"/>
      <c r="K366" t="inlineStr">
        <is>
          <t>Not sent to re-link</t>
        </is>
      </c>
      <c r="L366" t="inlineStr">
        <is>
          <t>Filled</t>
        </is>
      </c>
      <c r="M366" t="inlineStr">
        <is>
          <t>Not stated on course page</t>
        </is>
      </c>
      <c r="N366" t="inlineStr"/>
      <c r="O366" t="n">
        <v>0</v>
      </c>
      <c r="P366" t="inlineStr"/>
      <c r="Q366" t="inlineStr">
        <is>
          <t>Filled</t>
        </is>
      </c>
      <c r="R366" t="n">
        <v>6.5</v>
      </c>
      <c r="S366" t="inlineStr">
        <is>
          <t>Central English policy</t>
        </is>
      </c>
      <c r="T366" t="inlineStr">
        <is>
          <t>Central rule applies (value agrees)</t>
        </is>
      </c>
      <c r="U366" t="inlineStr"/>
      <c r="V366" t="inlineStr">
        <is>
          <t>Not stated on course page</t>
        </is>
      </c>
      <c r="W366" t="inlineStr"/>
      <c r="X366" t="inlineStr"/>
      <c r="Y366" t="n">
        <v>0</v>
      </c>
      <c r="Z366" t="inlineStr">
        <is>
          <t>No</t>
        </is>
      </c>
      <c r="AA366" t="inlineStr">
        <is>
          <t>Filled</t>
        </is>
      </c>
      <c r="AB366" t="inlineStr">
        <is>
          <t>on campus</t>
        </is>
      </c>
      <c r="AC366" t="inlineStr"/>
      <c r="AD366" t="n">
        <v>0</v>
      </c>
      <c r="AE366" t="inlineStr"/>
      <c r="AF366" t="inlineStr"/>
      <c r="AG366" t="inlineStr"/>
      <c r="AH366" t="inlineStr"/>
      <c r="AI366" t="inlineStr">
        <is>
          <t>Yes</t>
        </is>
      </c>
      <c r="AJ366" t="inlineStr"/>
      <c r="AK366" t="inlineStr"/>
      <c r="AL366" t="inlineStr"/>
      <c r="AM366" t="inlineStr"/>
    </row>
    <row r="367">
      <c r="A367" t="inlineStr">
        <is>
          <t>079213A</t>
        </is>
      </c>
      <c r="B367" t="inlineStr">
        <is>
          <t>Graduate Diploma in English Studies</t>
        </is>
      </c>
      <c r="C367" t="inlineStr">
        <is>
          <t>Graduate Diploma</t>
        </is>
      </c>
      <c r="D367" t="inlineStr">
        <is>
          <t>Postgraduate coursework</t>
        </is>
      </c>
      <c r="E367" t="inlineStr">
        <is>
          <t>Advertised: official page in place</t>
        </is>
      </c>
      <c r="F367" t="inlineStr">
        <is>
          <t>https://www.sydney.edu.au/courses/courses/pc/graduate-diploma-in-english-studies.html</t>
        </is>
      </c>
      <c r="G367" t="inlineStr">
        <is>
          <t>https://www.sydney.edu.au/courses/courses/pc/graduate-diploma-in-english-studies.html</t>
        </is>
      </c>
      <c r="H367" t="inlineStr">
        <is>
          <t>Read</t>
        </is>
      </c>
      <c r="I367" t="inlineStr">
        <is>
          <t>Exact title match</t>
        </is>
      </c>
      <c r="J367" t="inlineStr"/>
      <c r="K367" t="inlineStr">
        <is>
          <t>Not sent to re-link</t>
        </is>
      </c>
      <c r="L367" t="inlineStr">
        <is>
          <t>Filled</t>
        </is>
      </c>
      <c r="M367" t="inlineStr">
        <is>
          <t>Not stated on course page</t>
        </is>
      </c>
      <c r="N367" t="inlineStr"/>
      <c r="O367" t="n">
        <v>0</v>
      </c>
      <c r="P367" t="inlineStr"/>
      <c r="Q367" t="inlineStr">
        <is>
          <t>Filled</t>
        </is>
      </c>
      <c r="R367" t="n">
        <v>6.5</v>
      </c>
      <c r="S367" t="inlineStr">
        <is>
          <t>Central English policy</t>
        </is>
      </c>
      <c r="T367" t="inlineStr">
        <is>
          <t>Central rule applies (value agrees)</t>
        </is>
      </c>
      <c r="U367" t="inlineStr"/>
      <c r="V367" t="inlineStr">
        <is>
          <t>Not stated on course page</t>
        </is>
      </c>
      <c r="W367" t="inlineStr"/>
      <c r="X367" t="inlineStr"/>
      <c r="Y367" t="n">
        <v>0</v>
      </c>
      <c r="Z367" t="inlineStr">
        <is>
          <t>No</t>
        </is>
      </c>
      <c r="AA367" t="inlineStr">
        <is>
          <t>Filled</t>
        </is>
      </c>
      <c r="AB367" t="inlineStr">
        <is>
          <t>on campus</t>
        </is>
      </c>
      <c r="AC367" t="inlineStr"/>
      <c r="AD367" t="n">
        <v>0</v>
      </c>
      <c r="AE367" t="inlineStr"/>
      <c r="AF367" t="inlineStr"/>
      <c r="AG367" t="inlineStr"/>
      <c r="AH367" t="inlineStr"/>
      <c r="AI367" t="inlineStr">
        <is>
          <t>Yes</t>
        </is>
      </c>
      <c r="AJ367" t="inlineStr"/>
      <c r="AK367" t="inlineStr"/>
      <c r="AL367" t="inlineStr"/>
      <c r="AM367" t="inlineStr"/>
    </row>
    <row r="368">
      <c r="A368" t="inlineStr">
        <is>
          <t>028448D</t>
        </is>
      </c>
      <c r="B368" t="inlineStr">
        <is>
          <t>Graduate Diploma in Environmental Law</t>
        </is>
      </c>
      <c r="C368" t="inlineStr">
        <is>
          <t>Graduate Diploma</t>
        </is>
      </c>
      <c r="D368" t="inlineStr">
        <is>
          <t>Postgraduate coursework</t>
        </is>
      </c>
      <c r="E368" t="inlineStr">
        <is>
          <t>Advertised: official page in place</t>
        </is>
      </c>
      <c r="F368" t="inlineStr">
        <is>
          <t>https://www.sydney.edu.au/courses/courses/pc/graduate-diploma-in-environmental-law.html</t>
        </is>
      </c>
      <c r="G368" t="inlineStr">
        <is>
          <t>https://www.sydney.edu.au/courses/courses/pc/graduate-diploma-in-environmental-law.html</t>
        </is>
      </c>
      <c r="H368" t="inlineStr">
        <is>
          <t>Read</t>
        </is>
      </c>
      <c r="I368" t="inlineStr">
        <is>
          <t>Exact title match</t>
        </is>
      </c>
      <c r="J368" t="inlineStr"/>
      <c r="K368" t="inlineStr">
        <is>
          <t>Not sent to re-link</t>
        </is>
      </c>
      <c r="L368" t="inlineStr">
        <is>
          <t>Filled</t>
        </is>
      </c>
      <c r="M368" t="inlineStr">
        <is>
          <t>Not stated on course page</t>
        </is>
      </c>
      <c r="N368" t="inlineStr"/>
      <c r="O368" t="n">
        <v>0</v>
      </c>
      <c r="P368" t="inlineStr"/>
      <c r="Q368" t="inlineStr">
        <is>
          <t>Filled</t>
        </is>
      </c>
      <c r="R368" t="n">
        <v>6.5</v>
      </c>
      <c r="S368" t="inlineStr">
        <is>
          <t>Central English policy</t>
        </is>
      </c>
      <c r="T368" t="inlineStr">
        <is>
          <t>Central rule applies (value agrees)</t>
        </is>
      </c>
      <c r="U368" t="inlineStr"/>
      <c r="V368" t="inlineStr">
        <is>
          <t>Not stated on course page</t>
        </is>
      </c>
      <c r="W368" t="inlineStr"/>
      <c r="X368" t="inlineStr"/>
      <c r="Y368" t="n">
        <v>0</v>
      </c>
      <c r="Z368" t="inlineStr">
        <is>
          <t>No</t>
        </is>
      </c>
      <c r="AA368" t="inlineStr">
        <is>
          <t>Filled</t>
        </is>
      </c>
      <c r="AB368" t="inlineStr">
        <is>
          <t>on campus</t>
        </is>
      </c>
      <c r="AC368" t="inlineStr"/>
      <c r="AD368" t="n">
        <v>0</v>
      </c>
      <c r="AE368" t="inlineStr"/>
      <c r="AF368" t="inlineStr"/>
      <c r="AG368" t="inlineStr"/>
      <c r="AH368" t="inlineStr"/>
      <c r="AI368" t="inlineStr">
        <is>
          <t>Yes</t>
        </is>
      </c>
      <c r="AJ368" t="inlineStr"/>
      <c r="AK368" t="inlineStr"/>
      <c r="AL368" t="inlineStr"/>
      <c r="AM368" t="inlineStr"/>
    </row>
    <row r="369">
      <c r="A369" t="inlineStr">
        <is>
          <t>074173M</t>
        </is>
      </c>
      <c r="B369" t="inlineStr">
        <is>
          <t>Graduate Diploma in Environmental Science</t>
        </is>
      </c>
      <c r="C369" t="inlineStr">
        <is>
          <t>Graduate Diploma</t>
        </is>
      </c>
      <c r="D369" t="inlineStr">
        <is>
          <t>Postgraduate coursework</t>
        </is>
      </c>
      <c r="E369" t="inlineStr">
        <is>
          <t>Advertised: official page in place</t>
        </is>
      </c>
      <c r="F369" t="inlineStr">
        <is>
          <t>https://www.sydney.edu.au/courses/courses/pc/graduate-diploma-in-environmental-science0.html</t>
        </is>
      </c>
      <c r="G369" t="inlineStr">
        <is>
          <t>https://www.sydney.edu.au/courses/courses/pc/graduate-diploma-in-environmental-science0.html</t>
        </is>
      </c>
      <c r="H369" t="inlineStr">
        <is>
          <t>Read</t>
        </is>
      </c>
      <c r="I369" t="inlineStr">
        <is>
          <t>Exact title match</t>
        </is>
      </c>
      <c r="J369" t="inlineStr"/>
      <c r="K369" t="inlineStr">
        <is>
          <t>Not sent to re-link</t>
        </is>
      </c>
      <c r="L369" t="inlineStr">
        <is>
          <t>Filled</t>
        </is>
      </c>
      <c r="M369" t="inlineStr">
        <is>
          <t>Not stated on course page</t>
        </is>
      </c>
      <c r="N369" t="inlineStr"/>
      <c r="O369" t="n">
        <v>0</v>
      </c>
      <c r="P369" t="inlineStr"/>
      <c r="Q369" t="inlineStr">
        <is>
          <t>Filled</t>
        </is>
      </c>
      <c r="R369" t="n">
        <v>6.5</v>
      </c>
      <c r="S369" t="inlineStr">
        <is>
          <t>Central English policy</t>
        </is>
      </c>
      <c r="T369" t="inlineStr">
        <is>
          <t>Central rule applies (value agrees)</t>
        </is>
      </c>
      <c r="U369" t="inlineStr"/>
      <c r="V369" t="inlineStr">
        <is>
          <t>Not stated on course page</t>
        </is>
      </c>
      <c r="W369" t="inlineStr"/>
      <c r="X369" t="inlineStr"/>
      <c r="Y369" t="n">
        <v>0</v>
      </c>
      <c r="Z369" t="inlineStr">
        <is>
          <t>No</t>
        </is>
      </c>
      <c r="AA369" t="inlineStr">
        <is>
          <t>Filled</t>
        </is>
      </c>
      <c r="AB369" t="inlineStr">
        <is>
          <t>on campus</t>
        </is>
      </c>
      <c r="AC369" t="inlineStr"/>
      <c r="AD369" t="n">
        <v>0</v>
      </c>
      <c r="AE369" t="inlineStr"/>
      <c r="AF369" t="inlineStr"/>
      <c r="AG369" t="inlineStr"/>
      <c r="AH369" t="inlineStr"/>
      <c r="AI369" t="inlineStr">
        <is>
          <t>Yes</t>
        </is>
      </c>
      <c r="AJ369" t="inlineStr"/>
      <c r="AK369" t="inlineStr"/>
      <c r="AL369" t="inlineStr"/>
      <c r="AM369" t="inlineStr"/>
    </row>
    <row r="370">
      <c r="A370" t="inlineStr">
        <is>
          <t>055519C</t>
        </is>
      </c>
      <c r="B370" t="inlineStr">
        <is>
          <t>Graduate Diploma in Facilities Management</t>
        </is>
      </c>
      <c r="C370" t="inlineStr">
        <is>
          <t>Graduate Diploma</t>
        </is>
      </c>
      <c r="D370" t="inlineStr">
        <is>
          <t>Postgraduate coursework</t>
        </is>
      </c>
      <c r="E370" t="inlineStr">
        <is>
          <t>Page address no longer works</t>
        </is>
      </c>
      <c r="F370" t="inlineStr"/>
      <c r="G370" t="inlineStr">
        <is>
          <t>https://www.sydney.edu.au/courses/courses/pc/graduate-diploma-in-facilities-management.html</t>
        </is>
      </c>
      <c r="H370" t="inlineStr">
        <is>
          <t>Address no longer works</t>
        </is>
      </c>
      <c r="I370" t="inlineStr"/>
      <c r="J370" t="inlineStr"/>
      <c r="K370" t="inlineStr">
        <is>
          <t>Finished, no page: every candidate address was refused by the reader or did not</t>
        </is>
      </c>
      <c r="L370" t="inlineStr">
        <is>
          <t>Page found, being read</t>
        </is>
      </c>
      <c r="M370" t="inlineStr">
        <is>
          <t>Page found, being read</t>
        </is>
      </c>
      <c r="N370" t="inlineStr"/>
      <c r="O370" t="n">
        <v>0</v>
      </c>
      <c r="P370" t="inlineStr"/>
      <c r="Q370" t="inlineStr">
        <is>
          <t>Filled</t>
        </is>
      </c>
      <c r="R370" t="n">
        <v>6.5</v>
      </c>
      <c r="S370" t="inlineStr">
        <is>
          <t>Central English policy</t>
        </is>
      </c>
      <c r="T370" t="inlineStr">
        <is>
          <t>Central rule applies (value agrees)</t>
        </is>
      </c>
      <c r="U370" t="inlineStr"/>
      <c r="V370" t="inlineStr">
        <is>
          <t>Page found, being read</t>
        </is>
      </c>
      <c r="W370" t="inlineStr"/>
      <c r="X370" t="inlineStr"/>
      <c r="Y370" t="n">
        <v>0</v>
      </c>
      <c r="Z370" t="inlineStr">
        <is>
          <t>No</t>
        </is>
      </c>
      <c r="AA370" t="inlineStr">
        <is>
          <t>Not stated on course page</t>
        </is>
      </c>
      <c r="AB370" t="inlineStr"/>
      <c r="AC370" t="inlineStr">
        <is>
          <t>Skipped: no allowed source had a value</t>
        </is>
      </c>
      <c r="AD370" t="n">
        <v>1</v>
      </c>
      <c r="AE370" t="inlineStr"/>
      <c r="AF370" t="inlineStr"/>
      <c r="AG370" t="inlineStr"/>
      <c r="AH370" t="inlineStr"/>
      <c r="AI370" t="inlineStr"/>
      <c r="AJ370" t="inlineStr"/>
      <c r="AK370" t="inlineStr"/>
      <c r="AL370" t="inlineStr"/>
      <c r="AM370" t="inlineStr"/>
    </row>
    <row r="371">
      <c r="A371" t="inlineStr">
        <is>
          <t>110294K</t>
        </is>
      </c>
      <c r="B371" t="inlineStr">
        <is>
          <t>Graduate Diploma in Global Health</t>
        </is>
      </c>
      <c r="C371" t="inlineStr">
        <is>
          <t>Graduate Diploma</t>
        </is>
      </c>
      <c r="D371" t="inlineStr">
        <is>
          <t>Postgraduate coursework</t>
        </is>
      </c>
      <c r="E371" t="inlineStr">
        <is>
          <t>Page address no longer works</t>
        </is>
      </c>
      <c r="F371" t="inlineStr"/>
      <c r="G371" t="inlineStr">
        <is>
          <t>https://www.sydney.edu.au/courses/courses/pc/graduate-diploma-in-global-health.html</t>
        </is>
      </c>
      <c r="H371" t="inlineStr">
        <is>
          <t>Address no longer works</t>
        </is>
      </c>
      <c r="I371" t="inlineStr"/>
      <c r="J371" t="inlineStr"/>
      <c r="K371" t="inlineStr">
        <is>
          <t>Finished, no page: every candidate address was refused by the reader or did not</t>
        </is>
      </c>
      <c r="L371" t="inlineStr">
        <is>
          <t>Page found, being read</t>
        </is>
      </c>
      <c r="M371" t="inlineStr">
        <is>
          <t>Page found, being read</t>
        </is>
      </c>
      <c r="N371" t="inlineStr"/>
      <c r="O371" t="n">
        <v>0</v>
      </c>
      <c r="P371" t="inlineStr"/>
      <c r="Q371" t="inlineStr">
        <is>
          <t>Filled</t>
        </is>
      </c>
      <c r="R371" t="n">
        <v>6.5</v>
      </c>
      <c r="S371" t="inlineStr">
        <is>
          <t>Central English policy</t>
        </is>
      </c>
      <c r="T371" t="inlineStr">
        <is>
          <t>Central rule applies (value agrees)</t>
        </is>
      </c>
      <c r="U371" t="inlineStr"/>
      <c r="V371" t="inlineStr">
        <is>
          <t>Page found, being read</t>
        </is>
      </c>
      <c r="W371" t="inlineStr"/>
      <c r="X371" t="inlineStr"/>
      <c r="Y371" t="n">
        <v>0</v>
      </c>
      <c r="Z371" t="inlineStr">
        <is>
          <t>No</t>
        </is>
      </c>
      <c r="AA371" t="inlineStr">
        <is>
          <t>Not stated on course page</t>
        </is>
      </c>
      <c r="AB371" t="inlineStr"/>
      <c r="AC371" t="inlineStr">
        <is>
          <t>Skipped: no allowed source had a value</t>
        </is>
      </c>
      <c r="AD371" t="n">
        <v>1</v>
      </c>
      <c r="AE371" t="inlineStr"/>
      <c r="AF371" t="inlineStr"/>
      <c r="AG371" t="inlineStr"/>
      <c r="AH371" t="inlineStr"/>
      <c r="AI371" t="inlineStr"/>
      <c r="AJ371" t="inlineStr"/>
      <c r="AK371" t="inlineStr"/>
      <c r="AL371" t="inlineStr"/>
      <c r="AM371" t="inlineStr"/>
    </row>
    <row r="372">
      <c r="A372" t="inlineStr">
        <is>
          <t>063949C</t>
        </is>
      </c>
      <c r="B372" t="inlineStr">
        <is>
          <t>Graduate Diploma in Health Communication</t>
        </is>
      </c>
      <c r="C372" t="inlineStr">
        <is>
          <t>Graduate Diploma</t>
        </is>
      </c>
      <c r="D372" t="inlineStr">
        <is>
          <t>Postgraduate coursework</t>
        </is>
      </c>
      <c r="E372" t="inlineStr">
        <is>
          <t>Page found, needs a rendered read</t>
        </is>
      </c>
      <c r="F372" t="inlineStr"/>
      <c r="G372" t="inlineStr">
        <is>
          <t>https://www.sydney.edu.au/courses/courses/pc/graduate-diploma-in-health-communication.html</t>
        </is>
      </c>
      <c r="H372" t="inlineStr">
        <is>
          <t>Needs a rendered read</t>
        </is>
      </c>
      <c r="I372" t="inlineStr"/>
      <c r="J372" t="inlineStr"/>
      <c r="K372" t="inlineStr">
        <is>
          <t>Finished, no page: every candidate address was refused by the reader or did not</t>
        </is>
      </c>
      <c r="L372" t="inlineStr">
        <is>
          <t>Page found, being read</t>
        </is>
      </c>
      <c r="M372" t="inlineStr">
        <is>
          <t>Page found, being read</t>
        </is>
      </c>
      <c r="N372" t="inlineStr"/>
      <c r="O372" t="n">
        <v>0</v>
      </c>
      <c r="P372" t="inlineStr"/>
      <c r="Q372" t="inlineStr">
        <is>
          <t>Filled</t>
        </is>
      </c>
      <c r="R372" t="n">
        <v>6.5</v>
      </c>
      <c r="S372" t="inlineStr">
        <is>
          <t>Central English policy</t>
        </is>
      </c>
      <c r="T372" t="inlineStr">
        <is>
          <t>Central rule applies (value agrees)</t>
        </is>
      </c>
      <c r="U372" t="inlineStr"/>
      <c r="V372" t="inlineStr">
        <is>
          <t>Page found, being read</t>
        </is>
      </c>
      <c r="W372" t="inlineStr"/>
      <c r="X372" t="inlineStr"/>
      <c r="Y372" t="n">
        <v>0</v>
      </c>
      <c r="Z372" t="inlineStr">
        <is>
          <t>No</t>
        </is>
      </c>
      <c r="AA372" t="inlineStr">
        <is>
          <t>Not stated on course page</t>
        </is>
      </c>
      <c r="AB372" t="inlineStr"/>
      <c r="AC372" t="inlineStr">
        <is>
          <t>Skipped: no allowed source had a value</t>
        </is>
      </c>
      <c r="AD372" t="n">
        <v>1</v>
      </c>
      <c r="AE372" t="inlineStr">
        <is>
          <t>Yes</t>
        </is>
      </c>
      <c r="AF372" t="inlineStr"/>
      <c r="AG372" t="inlineStr"/>
      <c r="AH372" t="inlineStr"/>
      <c r="AI372" t="inlineStr"/>
      <c r="AJ372" t="inlineStr"/>
      <c r="AK372" t="inlineStr"/>
      <c r="AL372" t="inlineStr"/>
      <c r="AM372" t="inlineStr"/>
    </row>
    <row r="373">
      <c r="A373" t="inlineStr">
        <is>
          <t>053868J</t>
        </is>
      </c>
      <c r="B373" t="inlineStr">
        <is>
          <t>Graduate Diploma in Health Policy and Planning</t>
        </is>
      </c>
      <c r="C373" t="inlineStr">
        <is>
          <t>Graduate Diploma</t>
        </is>
      </c>
      <c r="D373" t="inlineStr">
        <is>
          <t>Postgraduate coursework</t>
        </is>
      </c>
      <c r="E373" t="inlineStr">
        <is>
          <t>Advertised: official page in place</t>
        </is>
      </c>
      <c r="F373" t="inlineStr">
        <is>
          <t>https://www.sydney.edu.au/courses/courses/pc/graduate-diploma-in-health-policy-and-planning.html</t>
        </is>
      </c>
      <c r="G373" t="inlineStr">
        <is>
          <t>https://www.sydney.edu.au/courses/courses/pc/graduate-diploma-in-health-policy-and-planning.html</t>
        </is>
      </c>
      <c r="H373" t="inlineStr">
        <is>
          <t>Read</t>
        </is>
      </c>
      <c r="I373" t="inlineStr">
        <is>
          <t>Exact title match</t>
        </is>
      </c>
      <c r="J373" t="inlineStr"/>
      <c r="K373" t="inlineStr">
        <is>
          <t>Not sent to re-link</t>
        </is>
      </c>
      <c r="L373" t="inlineStr">
        <is>
          <t>Filled</t>
        </is>
      </c>
      <c r="M373" t="inlineStr">
        <is>
          <t>Not stated on course page</t>
        </is>
      </c>
      <c r="N373" t="inlineStr"/>
      <c r="O373" t="n">
        <v>0</v>
      </c>
      <c r="P373" t="inlineStr"/>
      <c r="Q373" t="inlineStr">
        <is>
          <t>Filled</t>
        </is>
      </c>
      <c r="R373" t="n">
        <v>6.5</v>
      </c>
      <c r="S373" t="inlineStr">
        <is>
          <t>Central English policy</t>
        </is>
      </c>
      <c r="T373" t="inlineStr">
        <is>
          <t>Central rule applies (value agrees)</t>
        </is>
      </c>
      <c r="U373" t="inlineStr"/>
      <c r="V373" t="inlineStr">
        <is>
          <t>Not stated on course page</t>
        </is>
      </c>
      <c r="W373" t="inlineStr"/>
      <c r="X373" t="inlineStr"/>
      <c r="Y373" t="n">
        <v>0</v>
      </c>
      <c r="Z373" t="inlineStr">
        <is>
          <t>No</t>
        </is>
      </c>
      <c r="AA373" t="inlineStr">
        <is>
          <t>Filled</t>
        </is>
      </c>
      <c r="AB373" t="inlineStr">
        <is>
          <t>on campus</t>
        </is>
      </c>
      <c r="AC373" t="inlineStr"/>
      <c r="AD373" t="n">
        <v>0</v>
      </c>
      <c r="AE373" t="inlineStr"/>
      <c r="AF373" t="inlineStr"/>
      <c r="AG373" t="inlineStr"/>
      <c r="AH373" t="inlineStr"/>
      <c r="AI373" t="inlineStr">
        <is>
          <t>Yes</t>
        </is>
      </c>
      <c r="AJ373" t="inlineStr"/>
      <c r="AK373" t="inlineStr"/>
      <c r="AL373" t="inlineStr"/>
      <c r="AM373" t="inlineStr"/>
    </row>
    <row r="374">
      <c r="A374" t="inlineStr">
        <is>
          <t>083977M</t>
        </is>
      </c>
      <c r="B374" t="inlineStr">
        <is>
          <t>Graduate Diploma in Health Technology Innovation</t>
        </is>
      </c>
      <c r="C374" t="inlineStr">
        <is>
          <t>Graduate Diploma</t>
        </is>
      </c>
      <c r="D374" t="inlineStr">
        <is>
          <t>Postgraduate coursework</t>
        </is>
      </c>
      <c r="E374" t="inlineStr">
        <is>
          <t>Page found, needs a rendered read</t>
        </is>
      </c>
      <c r="F374" t="inlineStr"/>
      <c r="G374" t="inlineStr">
        <is>
          <t>https://www.sydney.edu.au/courses/courses/pc/graduate-diploma-in-health-technology-innovation.html</t>
        </is>
      </c>
      <c r="H374" t="inlineStr">
        <is>
          <t>Needs a rendered read</t>
        </is>
      </c>
      <c r="I374" t="inlineStr"/>
      <c r="J374" t="inlineStr"/>
      <c r="K374" t="inlineStr">
        <is>
          <t>Finished, no page: every candidate address was refused by the reader or did not</t>
        </is>
      </c>
      <c r="L374" t="inlineStr">
        <is>
          <t>Page found, being read</t>
        </is>
      </c>
      <c r="M374" t="inlineStr">
        <is>
          <t>Page found, being read</t>
        </is>
      </c>
      <c r="N374" t="inlineStr"/>
      <c r="O374" t="n">
        <v>0</v>
      </c>
      <c r="P374" t="inlineStr"/>
      <c r="Q374" t="inlineStr">
        <is>
          <t>Filled</t>
        </is>
      </c>
      <c r="R374" t="n">
        <v>6.5</v>
      </c>
      <c r="S374" t="inlineStr">
        <is>
          <t>Central English policy</t>
        </is>
      </c>
      <c r="T374" t="inlineStr">
        <is>
          <t>Central rule applies (value agrees)</t>
        </is>
      </c>
      <c r="U374" t="inlineStr"/>
      <c r="V374" t="inlineStr">
        <is>
          <t>Page found, being read</t>
        </is>
      </c>
      <c r="W374" t="inlineStr"/>
      <c r="X374" t="inlineStr"/>
      <c r="Y374" t="n">
        <v>0</v>
      </c>
      <c r="Z374" t="inlineStr">
        <is>
          <t>No</t>
        </is>
      </c>
      <c r="AA374" t="inlineStr">
        <is>
          <t>Not stated on course page</t>
        </is>
      </c>
      <c r="AB374" t="inlineStr"/>
      <c r="AC374" t="inlineStr">
        <is>
          <t>Skipped: the page does not state it</t>
        </is>
      </c>
      <c r="AD374" t="n">
        <v>0</v>
      </c>
      <c r="AE374" t="inlineStr">
        <is>
          <t>Yes</t>
        </is>
      </c>
      <c r="AF374" t="inlineStr"/>
      <c r="AG374" t="inlineStr"/>
      <c r="AH374" t="inlineStr"/>
      <c r="AI374" t="inlineStr"/>
      <c r="AJ374" t="inlineStr"/>
      <c r="AK374" t="inlineStr"/>
      <c r="AL374" t="inlineStr"/>
      <c r="AM374" t="inlineStr"/>
    </row>
    <row r="375">
      <c r="A375" t="inlineStr">
        <is>
          <t>009982F</t>
        </is>
      </c>
      <c r="B375" t="inlineStr">
        <is>
          <t>Graduate Diploma in Heritage Conservation</t>
        </is>
      </c>
      <c r="C375" t="inlineStr">
        <is>
          <t>Graduate Diploma</t>
        </is>
      </c>
      <c r="D375" t="inlineStr">
        <is>
          <t>Postgraduate coursework</t>
        </is>
      </c>
      <c r="E375" t="inlineStr">
        <is>
          <t>Advertised: official page in place</t>
        </is>
      </c>
      <c r="F375" t="inlineStr">
        <is>
          <t>https://www.sydney.edu.au/courses/courses/pc/graduate-diploma-in-heritage-conservation0.html</t>
        </is>
      </c>
      <c r="G375" t="inlineStr">
        <is>
          <t>https://www.sydney.edu.au/courses/courses/pc/graduate-diploma-in-heritage-conservation0.html</t>
        </is>
      </c>
      <c r="H375" t="inlineStr">
        <is>
          <t>Read</t>
        </is>
      </c>
      <c r="I375" t="inlineStr">
        <is>
          <t>Exact title match</t>
        </is>
      </c>
      <c r="J375" t="inlineStr"/>
      <c r="K375" t="inlineStr">
        <is>
          <t>Not sent to re-link</t>
        </is>
      </c>
      <c r="L375" t="inlineStr">
        <is>
          <t>Filled</t>
        </is>
      </c>
      <c r="M375" t="inlineStr">
        <is>
          <t>Not stated on course page</t>
        </is>
      </c>
      <c r="N375" t="inlineStr"/>
      <c r="O375" t="n">
        <v>0</v>
      </c>
      <c r="P375" t="inlineStr"/>
      <c r="Q375" t="inlineStr">
        <is>
          <t>Filled</t>
        </is>
      </c>
      <c r="R375" t="n">
        <v>6.5</v>
      </c>
      <c r="S375" t="inlineStr">
        <is>
          <t>Central English policy</t>
        </is>
      </c>
      <c r="T375" t="inlineStr">
        <is>
          <t>Central rule applies (value agrees)</t>
        </is>
      </c>
      <c r="U375" t="inlineStr"/>
      <c r="V375" t="inlineStr">
        <is>
          <t>Not stated on course page</t>
        </is>
      </c>
      <c r="W375" t="inlineStr"/>
      <c r="X375" t="inlineStr"/>
      <c r="Y375" t="n">
        <v>0</v>
      </c>
      <c r="Z375" t="inlineStr">
        <is>
          <t>No</t>
        </is>
      </c>
      <c r="AA375" t="inlineStr">
        <is>
          <t>Filled</t>
        </is>
      </c>
      <c r="AB375" t="inlineStr">
        <is>
          <t>on campus</t>
        </is>
      </c>
      <c r="AC375" t="inlineStr"/>
      <c r="AD375" t="n">
        <v>0</v>
      </c>
      <c r="AE375" t="inlineStr"/>
      <c r="AF375" t="inlineStr"/>
      <c r="AG375" t="inlineStr"/>
      <c r="AH375" t="inlineStr"/>
      <c r="AI375" t="inlineStr">
        <is>
          <t>Yes</t>
        </is>
      </c>
      <c r="AJ375" t="inlineStr"/>
      <c r="AK375" t="inlineStr"/>
      <c r="AL375" t="inlineStr"/>
      <c r="AM375" t="inlineStr"/>
    </row>
    <row r="376">
      <c r="A376" t="inlineStr">
        <is>
          <t>061141D</t>
        </is>
      </c>
      <c r="B376" t="inlineStr">
        <is>
          <t>Graduate Diploma in Human Resource Management &amp; Industrial Relations</t>
        </is>
      </c>
      <c r="C376" t="inlineStr">
        <is>
          <t>Graduate Diploma</t>
        </is>
      </c>
      <c r="D376" t="inlineStr">
        <is>
          <t>Postgraduate coursework</t>
        </is>
      </c>
      <c r="E376" t="inlineStr">
        <is>
          <t>Advertised: official page in place</t>
        </is>
      </c>
      <c r="F376" t="inlineStr">
        <is>
          <t>https://www.sydney.edu.au/courses/courses/pc/graduate-diploma-in-human-resource-management-and-industrial-relations.html</t>
        </is>
      </c>
      <c r="G376" t="inlineStr">
        <is>
          <t>https://www.sydney.edu.au/courses/courses/pc/graduate-diploma-in-human-resource-management-and-industrial-relations.html</t>
        </is>
      </c>
      <c r="H376" t="inlineStr">
        <is>
          <t>Read</t>
        </is>
      </c>
      <c r="I376" t="inlineStr">
        <is>
          <t>Exact title match</t>
        </is>
      </c>
      <c r="J376" t="inlineStr"/>
      <c r="K376" t="inlineStr">
        <is>
          <t>Not sent to re-link</t>
        </is>
      </c>
      <c r="L376" t="inlineStr">
        <is>
          <t>Filled</t>
        </is>
      </c>
      <c r="M376" t="inlineStr">
        <is>
          <t>Not stated on course page</t>
        </is>
      </c>
      <c r="N376" t="inlineStr"/>
      <c r="O376" t="n">
        <v>0</v>
      </c>
      <c r="P376" t="inlineStr"/>
      <c r="Q376" t="inlineStr">
        <is>
          <t>Filled</t>
        </is>
      </c>
      <c r="R376" t="n">
        <v>6.5</v>
      </c>
      <c r="S376" t="inlineStr">
        <is>
          <t>Central English policy</t>
        </is>
      </c>
      <c r="T376" t="inlineStr">
        <is>
          <t>Central rule applies (value agrees)</t>
        </is>
      </c>
      <c r="U376" t="inlineStr"/>
      <c r="V376" t="inlineStr">
        <is>
          <t>Not stated on course page</t>
        </is>
      </c>
      <c r="W376" t="inlineStr"/>
      <c r="X376" t="inlineStr"/>
      <c r="Y376" t="n">
        <v>0</v>
      </c>
      <c r="Z376" t="inlineStr">
        <is>
          <t>No</t>
        </is>
      </c>
      <c r="AA376" t="inlineStr">
        <is>
          <t>Filled</t>
        </is>
      </c>
      <c r="AB376" t="inlineStr">
        <is>
          <t>on campus</t>
        </is>
      </c>
      <c r="AC376" t="inlineStr"/>
      <c r="AD376" t="n">
        <v>0</v>
      </c>
      <c r="AE376" t="inlineStr"/>
      <c r="AF376" t="inlineStr"/>
      <c r="AG376" t="inlineStr"/>
      <c r="AH376" t="inlineStr"/>
      <c r="AI376" t="inlineStr">
        <is>
          <t>Yes</t>
        </is>
      </c>
      <c r="AJ376" t="inlineStr"/>
      <c r="AK376" t="inlineStr"/>
      <c r="AL376" t="inlineStr"/>
      <c r="AM376" t="inlineStr"/>
    </row>
    <row r="377">
      <c r="A377" t="inlineStr">
        <is>
          <t>060615E</t>
        </is>
      </c>
      <c r="B377" t="inlineStr">
        <is>
          <t>Graduate Diploma in Human Rights</t>
        </is>
      </c>
      <c r="C377" t="inlineStr">
        <is>
          <t>Graduate Diploma</t>
        </is>
      </c>
      <c r="D377" t="inlineStr">
        <is>
          <t>Postgraduate coursework</t>
        </is>
      </c>
      <c r="E377" t="inlineStr">
        <is>
          <t>Page found, needs a rendered read</t>
        </is>
      </c>
      <c r="F377" t="inlineStr"/>
      <c r="G377" t="inlineStr">
        <is>
          <t>https://www.sydney.edu.au/courses/courses/pc/graduate-diploma-in-human-rights.html</t>
        </is>
      </c>
      <c r="H377" t="inlineStr">
        <is>
          <t>Needs a rendered read</t>
        </is>
      </c>
      <c r="I377" t="inlineStr"/>
      <c r="J377" t="inlineStr"/>
      <c r="K377" t="inlineStr">
        <is>
          <t>Finished, no page: every candidate address was refused by the reader or did not</t>
        </is>
      </c>
      <c r="L377" t="inlineStr">
        <is>
          <t>Page found, being read</t>
        </is>
      </c>
      <c r="M377" t="inlineStr">
        <is>
          <t>Page found, being read</t>
        </is>
      </c>
      <c r="N377" t="inlineStr"/>
      <c r="O377" t="n">
        <v>0</v>
      </c>
      <c r="P377" t="inlineStr"/>
      <c r="Q377" t="inlineStr">
        <is>
          <t>Filled</t>
        </is>
      </c>
      <c r="R377" t="n">
        <v>6.5</v>
      </c>
      <c r="S377" t="inlineStr">
        <is>
          <t>Central English policy</t>
        </is>
      </c>
      <c r="T377" t="inlineStr">
        <is>
          <t>Central rule applies (value agrees)</t>
        </is>
      </c>
      <c r="U377" t="inlineStr"/>
      <c r="V377" t="inlineStr">
        <is>
          <t>Page found, being read</t>
        </is>
      </c>
      <c r="W377" t="inlineStr"/>
      <c r="X377" t="inlineStr"/>
      <c r="Y377" t="n">
        <v>0</v>
      </c>
      <c r="Z377" t="inlineStr">
        <is>
          <t>No</t>
        </is>
      </c>
      <c r="AA377" t="inlineStr">
        <is>
          <t>Not stated on course page</t>
        </is>
      </c>
      <c r="AB377" t="inlineStr"/>
      <c r="AC377" t="inlineStr">
        <is>
          <t>Skipped: no allowed source had a value</t>
        </is>
      </c>
      <c r="AD377" t="n">
        <v>1</v>
      </c>
      <c r="AE377" t="inlineStr">
        <is>
          <t>Yes</t>
        </is>
      </c>
      <c r="AF377" t="inlineStr"/>
      <c r="AG377" t="inlineStr"/>
      <c r="AH377" t="inlineStr"/>
      <c r="AI377" t="inlineStr"/>
      <c r="AJ377" t="inlineStr"/>
      <c r="AK377" t="inlineStr"/>
      <c r="AL377" t="inlineStr"/>
      <c r="AM377" t="inlineStr"/>
    </row>
    <row r="378">
      <c r="A378" t="inlineStr">
        <is>
          <t>039123A</t>
        </is>
      </c>
      <c r="B378" t="inlineStr">
        <is>
          <t>Graduate Diploma in Information Technology</t>
        </is>
      </c>
      <c r="C378" t="inlineStr">
        <is>
          <t>Graduate Diploma</t>
        </is>
      </c>
      <c r="D378" t="inlineStr">
        <is>
          <t>Postgraduate coursework</t>
        </is>
      </c>
      <c r="E378" t="inlineStr">
        <is>
          <t>Page found, needs a rendered read</t>
        </is>
      </c>
      <c r="F378" t="inlineStr"/>
      <c r="G378" t="inlineStr">
        <is>
          <t>https://www.sydney.edu.au/courses/courses/pc/graduate-diploma-in-information-technology.html</t>
        </is>
      </c>
      <c r="H378" t="inlineStr">
        <is>
          <t>Needs a rendered read</t>
        </is>
      </c>
      <c r="I378" t="inlineStr"/>
      <c r="J378" t="inlineStr"/>
      <c r="K378" t="inlineStr">
        <is>
          <t>Finished, no page: every candidate address was refused by the reader or did not</t>
        </is>
      </c>
      <c r="L378" t="inlineStr">
        <is>
          <t>Page found, being read</t>
        </is>
      </c>
      <c r="M378" t="inlineStr">
        <is>
          <t>Page found, being read</t>
        </is>
      </c>
      <c r="N378" t="inlineStr"/>
      <c r="O378" t="n">
        <v>0</v>
      </c>
      <c r="P378" t="inlineStr"/>
      <c r="Q378" t="inlineStr">
        <is>
          <t>Filled</t>
        </is>
      </c>
      <c r="R378" t="n">
        <v>6.5</v>
      </c>
      <c r="S378" t="inlineStr">
        <is>
          <t>Central English policy</t>
        </is>
      </c>
      <c r="T378" t="inlineStr">
        <is>
          <t>Central rule applies (value agrees)</t>
        </is>
      </c>
      <c r="U378" t="inlineStr"/>
      <c r="V378" t="inlineStr">
        <is>
          <t>Page found, being read</t>
        </is>
      </c>
      <c r="W378" t="inlineStr"/>
      <c r="X378" t="inlineStr"/>
      <c r="Y378" t="n">
        <v>0</v>
      </c>
      <c r="Z378" t="inlineStr">
        <is>
          <t>No</t>
        </is>
      </c>
      <c r="AA378" t="inlineStr">
        <is>
          <t>Not stated on course page</t>
        </is>
      </c>
      <c r="AB378" t="inlineStr"/>
      <c r="AC378" t="inlineStr">
        <is>
          <t>Skipped: the page does not state it</t>
        </is>
      </c>
      <c r="AD378" t="n">
        <v>0</v>
      </c>
      <c r="AE378" t="inlineStr">
        <is>
          <t>Yes</t>
        </is>
      </c>
      <c r="AF378" t="inlineStr"/>
      <c r="AG378" t="inlineStr"/>
      <c r="AH378" t="inlineStr"/>
      <c r="AI378" t="inlineStr"/>
      <c r="AJ378" t="inlineStr"/>
      <c r="AK378" t="inlineStr"/>
      <c r="AL378" t="inlineStr"/>
      <c r="AM378" t="inlineStr"/>
    </row>
    <row r="379">
      <c r="A379" t="inlineStr">
        <is>
          <t>055185J</t>
        </is>
      </c>
      <c r="B379" t="inlineStr">
        <is>
          <t>Graduate Diploma in Information Technology Management</t>
        </is>
      </c>
      <c r="C379" t="inlineStr">
        <is>
          <t>Graduate Diploma</t>
        </is>
      </c>
      <c r="D379" t="inlineStr">
        <is>
          <t>Postgraduate coursework</t>
        </is>
      </c>
      <c r="E379" t="inlineStr">
        <is>
          <t>Page found, needs a rendered read</t>
        </is>
      </c>
      <c r="F379" t="inlineStr"/>
      <c r="G379" t="inlineStr">
        <is>
          <t>https://www.sydney.edu.au/courses/courses/pc/graduate-diploma-in-information-technology-management.html</t>
        </is>
      </c>
      <c r="H379" t="inlineStr">
        <is>
          <t>Needs a rendered read</t>
        </is>
      </c>
      <c r="I379" t="inlineStr"/>
      <c r="J379" t="inlineStr"/>
      <c r="K379" t="inlineStr">
        <is>
          <t>Finished, no page: every candidate address was refused by the reader or did not</t>
        </is>
      </c>
      <c r="L379" t="inlineStr">
        <is>
          <t>Page found, being read</t>
        </is>
      </c>
      <c r="M379" t="inlineStr">
        <is>
          <t>Page found, being read</t>
        </is>
      </c>
      <c r="N379" t="inlineStr"/>
      <c r="O379" t="n">
        <v>0</v>
      </c>
      <c r="P379" t="inlineStr"/>
      <c r="Q379" t="inlineStr">
        <is>
          <t>Filled</t>
        </is>
      </c>
      <c r="R379" t="n">
        <v>6.5</v>
      </c>
      <c r="S379" t="inlineStr">
        <is>
          <t>Central English policy</t>
        </is>
      </c>
      <c r="T379" t="inlineStr">
        <is>
          <t>Central rule applies (value agrees)</t>
        </is>
      </c>
      <c r="U379" t="inlineStr"/>
      <c r="V379" t="inlineStr">
        <is>
          <t>Page found, being read</t>
        </is>
      </c>
      <c r="W379" t="inlineStr"/>
      <c r="X379" t="inlineStr"/>
      <c r="Y379" t="n">
        <v>0</v>
      </c>
      <c r="Z379" t="inlineStr">
        <is>
          <t>No</t>
        </is>
      </c>
      <c r="AA379" t="inlineStr">
        <is>
          <t>Not stated on course page</t>
        </is>
      </c>
      <c r="AB379" t="inlineStr"/>
      <c r="AC379" t="inlineStr">
        <is>
          <t>Skipped: no allowed source had a value</t>
        </is>
      </c>
      <c r="AD379" t="n">
        <v>1</v>
      </c>
      <c r="AE379" t="inlineStr">
        <is>
          <t>Yes</t>
        </is>
      </c>
      <c r="AF379" t="inlineStr"/>
      <c r="AG379" t="inlineStr"/>
      <c r="AH379" t="inlineStr"/>
      <c r="AI379" t="inlineStr"/>
      <c r="AJ379" t="inlineStr"/>
      <c r="AK379" t="inlineStr"/>
      <c r="AL379" t="inlineStr"/>
      <c r="AM379" t="inlineStr"/>
    </row>
    <row r="380">
      <c r="A380" t="inlineStr">
        <is>
          <t>068771F</t>
        </is>
      </c>
      <c r="B380" t="inlineStr">
        <is>
          <t>Graduate Diploma in Intensive Care Nursing</t>
        </is>
      </c>
      <c r="C380" t="inlineStr">
        <is>
          <t>Graduate Diploma</t>
        </is>
      </c>
      <c r="D380" t="inlineStr">
        <is>
          <t>Postgraduate coursework</t>
        </is>
      </c>
      <c r="E380" t="inlineStr">
        <is>
          <t>Page found, needs a rendered read</t>
        </is>
      </c>
      <c r="F380" t="inlineStr"/>
      <c r="G380" t="inlineStr">
        <is>
          <t>https://www.sydney.edu.au/courses/courses/pc/graduate-diploma-in-intensive-care-nursing.html</t>
        </is>
      </c>
      <c r="H380" t="inlineStr">
        <is>
          <t>Needs a rendered read</t>
        </is>
      </c>
      <c r="I380" t="inlineStr"/>
      <c r="J380" t="inlineStr"/>
      <c r="K380" t="inlineStr">
        <is>
          <t>Finished, no page: every candidate address was refused by the reader or did not</t>
        </is>
      </c>
      <c r="L380" t="inlineStr">
        <is>
          <t>Page found, being read</t>
        </is>
      </c>
      <c r="M380" t="inlineStr">
        <is>
          <t>Page found, being read</t>
        </is>
      </c>
      <c r="N380" t="inlineStr"/>
      <c r="O380" t="n">
        <v>0</v>
      </c>
      <c r="P380" t="inlineStr"/>
      <c r="Q380" t="inlineStr">
        <is>
          <t>Filled</t>
        </is>
      </c>
      <c r="R380" t="n">
        <v>6.5</v>
      </c>
      <c r="S380" t="inlineStr">
        <is>
          <t>Central English policy</t>
        </is>
      </c>
      <c r="T380" t="inlineStr">
        <is>
          <t>Central rule applies (value agrees)</t>
        </is>
      </c>
      <c r="U380" t="inlineStr"/>
      <c r="V380" t="inlineStr">
        <is>
          <t>Page found, being read</t>
        </is>
      </c>
      <c r="W380" t="inlineStr"/>
      <c r="X380" t="inlineStr"/>
      <c r="Y380" t="n">
        <v>0</v>
      </c>
      <c r="Z380" t="inlineStr">
        <is>
          <t>No</t>
        </is>
      </c>
      <c r="AA380" t="inlineStr">
        <is>
          <t>Not stated on course page</t>
        </is>
      </c>
      <c r="AB380" t="inlineStr"/>
      <c r="AC380" t="inlineStr">
        <is>
          <t>Skipped: the page does not state it</t>
        </is>
      </c>
      <c r="AD380" t="n">
        <v>0</v>
      </c>
      <c r="AE380" t="inlineStr">
        <is>
          <t>Yes</t>
        </is>
      </c>
      <c r="AF380" t="inlineStr"/>
      <c r="AG380" t="inlineStr"/>
      <c r="AH380" t="inlineStr"/>
      <c r="AI380" t="inlineStr"/>
      <c r="AJ380" t="inlineStr"/>
      <c r="AK380" t="inlineStr"/>
      <c r="AL380" t="inlineStr"/>
      <c r="AM380" t="inlineStr"/>
    </row>
    <row r="381">
      <c r="A381" t="inlineStr">
        <is>
          <t>064059G</t>
        </is>
      </c>
      <c r="B381" t="inlineStr">
        <is>
          <t>Graduate Diploma in Interaction Design and Electronics Arts</t>
        </is>
      </c>
      <c r="C381" t="inlineStr">
        <is>
          <t>Graduate Diploma</t>
        </is>
      </c>
      <c r="D381" t="inlineStr">
        <is>
          <t>Postgraduate coursework</t>
        </is>
      </c>
      <c r="E381" t="inlineStr">
        <is>
          <t>Page address no longer works</t>
        </is>
      </c>
      <c r="F381" t="inlineStr"/>
      <c r="G381" t="inlineStr">
        <is>
          <t>https://www.sydney.edu.au/courses/courses/pc/graduate-diploma-in-interaction-design-and-electronics-arts.html</t>
        </is>
      </c>
      <c r="H381" t="inlineStr">
        <is>
          <t>Address no longer works</t>
        </is>
      </c>
      <c r="I381" t="inlineStr"/>
      <c r="J381" t="inlineStr"/>
      <c r="K381" t="inlineStr">
        <is>
          <t>Re-link still trying</t>
        </is>
      </c>
      <c r="L381" t="inlineStr">
        <is>
          <t>Page found, being read</t>
        </is>
      </c>
      <c r="M381" t="inlineStr">
        <is>
          <t>Page found, being read</t>
        </is>
      </c>
      <c r="N381" t="inlineStr"/>
      <c r="O381" t="n">
        <v>0</v>
      </c>
      <c r="P381" t="inlineStr"/>
      <c r="Q381" t="inlineStr">
        <is>
          <t>Filled</t>
        </is>
      </c>
      <c r="R381" t="n">
        <v>6.5</v>
      </c>
      <c r="S381" t="inlineStr">
        <is>
          <t>Central English policy</t>
        </is>
      </c>
      <c r="T381" t="inlineStr">
        <is>
          <t>Central rule applies (value agrees)</t>
        </is>
      </c>
      <c r="U381" t="inlineStr"/>
      <c r="V381" t="inlineStr">
        <is>
          <t>Page found, being read</t>
        </is>
      </c>
      <c r="W381" t="inlineStr"/>
      <c r="X381" t="inlineStr"/>
      <c r="Y381" t="n">
        <v>0</v>
      </c>
      <c r="Z381" t="inlineStr">
        <is>
          <t>No</t>
        </is>
      </c>
      <c r="AA381" t="inlineStr">
        <is>
          <t>Not stated on course page</t>
        </is>
      </c>
      <c r="AB381" t="inlineStr"/>
      <c r="AC381" t="inlineStr">
        <is>
          <t>Skipped: no allowed source had a value</t>
        </is>
      </c>
      <c r="AD381" t="n">
        <v>1</v>
      </c>
      <c r="AE381" t="inlineStr"/>
      <c r="AF381" t="inlineStr"/>
      <c r="AG381" t="inlineStr"/>
      <c r="AH381" t="inlineStr"/>
      <c r="AI381" t="inlineStr"/>
      <c r="AJ381" t="inlineStr"/>
      <c r="AK381" t="inlineStr"/>
      <c r="AL381" t="inlineStr"/>
      <c r="AM381" t="inlineStr"/>
    </row>
    <row r="382">
      <c r="A382" t="inlineStr">
        <is>
          <t>030526K</t>
        </is>
      </c>
      <c r="B382" t="inlineStr">
        <is>
          <t>Graduate Diploma in International Law</t>
        </is>
      </c>
      <c r="C382" t="inlineStr">
        <is>
          <t>Graduate Diploma</t>
        </is>
      </c>
      <c r="D382" t="inlineStr">
        <is>
          <t>Postgraduate coursework</t>
        </is>
      </c>
      <c r="E382" t="inlineStr">
        <is>
          <t>Advertised: official page in place</t>
        </is>
      </c>
      <c r="F382" t="inlineStr">
        <is>
          <t>https://www.sydney.edu.au/courses/courses/pc/graduate-diploma-in-international-law.html</t>
        </is>
      </c>
      <c r="G382" t="inlineStr">
        <is>
          <t>https://www.sydney.edu.au/courses/courses/pc/graduate-diploma-in-international-law.html</t>
        </is>
      </c>
      <c r="H382" t="inlineStr">
        <is>
          <t>Read</t>
        </is>
      </c>
      <c r="I382" t="inlineStr">
        <is>
          <t>Exact title match</t>
        </is>
      </c>
      <c r="J382" t="inlineStr"/>
      <c r="K382" t="inlineStr">
        <is>
          <t>Not sent to re-link</t>
        </is>
      </c>
      <c r="L382" t="inlineStr">
        <is>
          <t>Filled</t>
        </is>
      </c>
      <c r="M382" t="inlineStr">
        <is>
          <t>Not stated on course page</t>
        </is>
      </c>
      <c r="N382" t="inlineStr"/>
      <c r="O382" t="n">
        <v>0</v>
      </c>
      <c r="P382" t="inlineStr"/>
      <c r="Q382" t="inlineStr">
        <is>
          <t>Filled</t>
        </is>
      </c>
      <c r="R382" t="n">
        <v>6.5</v>
      </c>
      <c r="S382" t="inlineStr">
        <is>
          <t>Central English policy</t>
        </is>
      </c>
      <c r="T382" t="inlineStr">
        <is>
          <t>Central rule applies (value agrees)</t>
        </is>
      </c>
      <c r="U382" t="inlineStr"/>
      <c r="V382" t="inlineStr">
        <is>
          <t>Not stated on course page</t>
        </is>
      </c>
      <c r="W382" t="inlineStr"/>
      <c r="X382" t="inlineStr"/>
      <c r="Y382" t="n">
        <v>0</v>
      </c>
      <c r="Z382" t="inlineStr">
        <is>
          <t>No</t>
        </is>
      </c>
      <c r="AA382" t="inlineStr">
        <is>
          <t>Filled</t>
        </is>
      </c>
      <c r="AB382" t="inlineStr">
        <is>
          <t>on campus</t>
        </is>
      </c>
      <c r="AC382" t="inlineStr"/>
      <c r="AD382" t="n">
        <v>0</v>
      </c>
      <c r="AE382" t="inlineStr"/>
      <c r="AF382" t="inlineStr"/>
      <c r="AG382" t="inlineStr"/>
      <c r="AH382" t="inlineStr"/>
      <c r="AI382" t="inlineStr">
        <is>
          <t>Yes</t>
        </is>
      </c>
      <c r="AJ382" t="inlineStr"/>
      <c r="AK382" t="inlineStr"/>
      <c r="AL382" t="inlineStr"/>
      <c r="AM382" t="inlineStr"/>
    </row>
    <row r="383">
      <c r="A383" t="inlineStr">
        <is>
          <t>079204B</t>
        </is>
      </c>
      <c r="B383" t="inlineStr">
        <is>
          <t>Graduate Diploma in International Relations</t>
        </is>
      </c>
      <c r="C383" t="inlineStr">
        <is>
          <t>Graduate Diploma</t>
        </is>
      </c>
      <c r="D383" t="inlineStr">
        <is>
          <t>Postgraduate coursework</t>
        </is>
      </c>
      <c r="E383" t="inlineStr">
        <is>
          <t>Advertised: official page in place</t>
        </is>
      </c>
      <c r="F383" t="inlineStr">
        <is>
          <t>https://www.sydney.edu.au/courses/courses/pc/graduate-diploma-in-international-relations.html</t>
        </is>
      </c>
      <c r="G383" t="inlineStr">
        <is>
          <t>https://www.sydney.edu.au/courses/courses/pc/graduate-diploma-in-international-relations.html</t>
        </is>
      </c>
      <c r="H383" t="inlineStr">
        <is>
          <t>Read</t>
        </is>
      </c>
      <c r="I383" t="inlineStr">
        <is>
          <t>Exact title match</t>
        </is>
      </c>
      <c r="J383" t="inlineStr"/>
      <c r="K383" t="inlineStr">
        <is>
          <t>Not sent to re-link</t>
        </is>
      </c>
      <c r="L383" t="inlineStr">
        <is>
          <t>Filled</t>
        </is>
      </c>
      <c r="M383" t="inlineStr">
        <is>
          <t>Not stated on course page</t>
        </is>
      </c>
      <c r="N383" t="inlineStr"/>
      <c r="O383" t="n">
        <v>0</v>
      </c>
      <c r="P383" t="inlineStr"/>
      <c r="Q383" t="inlineStr">
        <is>
          <t>Filled</t>
        </is>
      </c>
      <c r="R383" t="n">
        <v>6.5</v>
      </c>
      <c r="S383" t="inlineStr">
        <is>
          <t>Central English policy</t>
        </is>
      </c>
      <c r="T383" t="inlineStr">
        <is>
          <t>Central rule applies (value agrees)</t>
        </is>
      </c>
      <c r="U383" t="inlineStr"/>
      <c r="V383" t="inlineStr">
        <is>
          <t>Not stated on course page</t>
        </is>
      </c>
      <c r="W383" t="inlineStr"/>
      <c r="X383" t="inlineStr"/>
      <c r="Y383" t="n">
        <v>0</v>
      </c>
      <c r="Z383" t="inlineStr">
        <is>
          <t>No</t>
        </is>
      </c>
      <c r="AA383" t="inlineStr">
        <is>
          <t>Filled</t>
        </is>
      </c>
      <c r="AB383" t="inlineStr">
        <is>
          <t>on campus</t>
        </is>
      </c>
      <c r="AC383" t="inlineStr"/>
      <c r="AD383" t="n">
        <v>0</v>
      </c>
      <c r="AE383" t="inlineStr"/>
      <c r="AF383" t="inlineStr"/>
      <c r="AG383" t="inlineStr"/>
      <c r="AH383" t="inlineStr"/>
      <c r="AI383" t="inlineStr">
        <is>
          <t>Yes</t>
        </is>
      </c>
      <c r="AJ383" t="inlineStr"/>
      <c r="AK383" t="inlineStr"/>
      <c r="AL383" t="inlineStr"/>
      <c r="AM383" t="inlineStr"/>
    </row>
    <row r="384">
      <c r="A384" t="inlineStr">
        <is>
          <t>061188M</t>
        </is>
      </c>
      <c r="B384" t="inlineStr">
        <is>
          <t>Graduate Diploma in International Security</t>
        </is>
      </c>
      <c r="C384" t="inlineStr">
        <is>
          <t>Graduate Diploma</t>
        </is>
      </c>
      <c r="D384" t="inlineStr">
        <is>
          <t>Postgraduate coursework</t>
        </is>
      </c>
      <c r="E384" t="inlineStr">
        <is>
          <t>Page found, needs a rendered read</t>
        </is>
      </c>
      <c r="F384" t="inlineStr"/>
      <c r="G384" t="inlineStr">
        <is>
          <t>https://www.sydney.edu.au/courses/courses/pc/graduate-diploma-in-international-security.html</t>
        </is>
      </c>
      <c r="H384" t="inlineStr">
        <is>
          <t>Needs a rendered read</t>
        </is>
      </c>
      <c r="I384" t="inlineStr"/>
      <c r="J384" t="inlineStr"/>
      <c r="K384" t="inlineStr">
        <is>
          <t>Finished, no page: every candidate address was refused by the reader or did not</t>
        </is>
      </c>
      <c r="L384" t="inlineStr">
        <is>
          <t>Page found, being read</t>
        </is>
      </c>
      <c r="M384" t="inlineStr">
        <is>
          <t>Page found, being read</t>
        </is>
      </c>
      <c r="N384" t="inlineStr"/>
      <c r="O384" t="n">
        <v>0</v>
      </c>
      <c r="P384" t="inlineStr"/>
      <c r="Q384" t="inlineStr">
        <is>
          <t>Filled</t>
        </is>
      </c>
      <c r="R384" t="n">
        <v>6.5</v>
      </c>
      <c r="S384" t="inlineStr">
        <is>
          <t>Central English policy</t>
        </is>
      </c>
      <c r="T384" t="inlineStr">
        <is>
          <t>Central rule applies (value agrees)</t>
        </is>
      </c>
      <c r="U384" t="inlineStr"/>
      <c r="V384" t="inlineStr">
        <is>
          <t>Page found, being read</t>
        </is>
      </c>
      <c r="W384" t="inlineStr"/>
      <c r="X384" t="inlineStr"/>
      <c r="Y384" t="n">
        <v>0</v>
      </c>
      <c r="Z384" t="inlineStr">
        <is>
          <t>No</t>
        </is>
      </c>
      <c r="AA384" t="inlineStr">
        <is>
          <t>Not stated on course page</t>
        </is>
      </c>
      <c r="AB384" t="inlineStr"/>
      <c r="AC384" t="inlineStr">
        <is>
          <t>Skipped: no allowed source had a value</t>
        </is>
      </c>
      <c r="AD384" t="n">
        <v>1</v>
      </c>
      <c r="AE384" t="inlineStr">
        <is>
          <t>Yes</t>
        </is>
      </c>
      <c r="AF384" t="inlineStr"/>
      <c r="AG384" t="inlineStr"/>
      <c r="AH384" t="inlineStr"/>
      <c r="AI384" t="inlineStr"/>
      <c r="AJ384" t="inlineStr"/>
      <c r="AK384" t="inlineStr"/>
      <c r="AL384" t="inlineStr"/>
      <c r="AM384" t="inlineStr"/>
    </row>
    <row r="385">
      <c r="A385" t="inlineStr">
        <is>
          <t>008402F</t>
        </is>
      </c>
      <c r="B385" t="inlineStr">
        <is>
          <t>Graduate Diploma in Jurisprudence</t>
        </is>
      </c>
      <c r="C385" t="inlineStr">
        <is>
          <t>Graduate Diploma</t>
        </is>
      </c>
      <c r="D385" t="inlineStr">
        <is>
          <t>Postgraduate coursework</t>
        </is>
      </c>
      <c r="E385" t="inlineStr">
        <is>
          <t>Page found, needs a rendered read</t>
        </is>
      </c>
      <c r="F385" t="inlineStr"/>
      <c r="G385" t="inlineStr">
        <is>
          <t>https://www.sydney.edu.au/courses/courses/pc/graduate-diploma-in-jurisprudence.html</t>
        </is>
      </c>
      <c r="H385" t="inlineStr">
        <is>
          <t>Needs a rendered read</t>
        </is>
      </c>
      <c r="I385" t="inlineStr"/>
      <c r="J385" t="inlineStr"/>
      <c r="K385" t="inlineStr">
        <is>
          <t>Finished, no page: every candidate address was refused by the reader or did not</t>
        </is>
      </c>
      <c r="L385" t="inlineStr">
        <is>
          <t>Page found, being read</t>
        </is>
      </c>
      <c r="M385" t="inlineStr">
        <is>
          <t>Page found, being read</t>
        </is>
      </c>
      <c r="N385" t="inlineStr"/>
      <c r="O385" t="n">
        <v>0</v>
      </c>
      <c r="P385" t="inlineStr"/>
      <c r="Q385" t="inlineStr">
        <is>
          <t>Filled</t>
        </is>
      </c>
      <c r="R385" t="n">
        <v>6.5</v>
      </c>
      <c r="S385" t="inlineStr">
        <is>
          <t>Central English policy</t>
        </is>
      </c>
      <c r="T385" t="inlineStr">
        <is>
          <t>Central rule applies (value agrees)</t>
        </is>
      </c>
      <c r="U385" t="inlineStr"/>
      <c r="V385" t="inlineStr">
        <is>
          <t>Page found, being read</t>
        </is>
      </c>
      <c r="W385" t="inlineStr"/>
      <c r="X385" t="inlineStr"/>
      <c r="Y385" t="n">
        <v>0</v>
      </c>
      <c r="Z385" t="inlineStr">
        <is>
          <t>No</t>
        </is>
      </c>
      <c r="AA385" t="inlineStr">
        <is>
          <t>Not stated on course page</t>
        </is>
      </c>
      <c r="AB385" t="inlineStr"/>
      <c r="AC385" t="inlineStr">
        <is>
          <t>Skipped: no allowed source had a value</t>
        </is>
      </c>
      <c r="AD385" t="n">
        <v>1</v>
      </c>
      <c r="AE385" t="inlineStr">
        <is>
          <t>Yes</t>
        </is>
      </c>
      <c r="AF385" t="inlineStr"/>
      <c r="AG385" t="inlineStr"/>
      <c r="AH385" t="inlineStr"/>
      <c r="AI385" t="inlineStr"/>
      <c r="AJ385" t="inlineStr"/>
      <c r="AK385" t="inlineStr"/>
      <c r="AL385" t="inlineStr"/>
      <c r="AM385" t="inlineStr"/>
    </row>
    <row r="386">
      <c r="A386" t="inlineStr">
        <is>
          <t>008403E</t>
        </is>
      </c>
      <c r="B386" t="inlineStr">
        <is>
          <t>Graduate Diploma in Law</t>
        </is>
      </c>
      <c r="C386" t="inlineStr">
        <is>
          <t>Graduate Diploma</t>
        </is>
      </c>
      <c r="D386" t="inlineStr">
        <is>
          <t>Postgraduate coursework</t>
        </is>
      </c>
      <c r="E386" t="inlineStr">
        <is>
          <t>Advertised: official page in place</t>
        </is>
      </c>
      <c r="F386" t="inlineStr">
        <is>
          <t>https://www.sydney.edu.au/courses/courses/pc/graduate-diploma-in-law.html</t>
        </is>
      </c>
      <c r="G386" t="inlineStr">
        <is>
          <t>https://www.sydney.edu.au/courses/courses/pc/graduate-diploma-in-law.html</t>
        </is>
      </c>
      <c r="H386" t="inlineStr">
        <is>
          <t>Read</t>
        </is>
      </c>
      <c r="I386" t="inlineStr">
        <is>
          <t>Exact title match</t>
        </is>
      </c>
      <c r="J386" t="inlineStr"/>
      <c r="K386" t="inlineStr">
        <is>
          <t>Not sent to re-link</t>
        </is>
      </c>
      <c r="L386" t="inlineStr">
        <is>
          <t>Filled</t>
        </is>
      </c>
      <c r="M386" t="inlineStr">
        <is>
          <t>Not stated on course page</t>
        </is>
      </c>
      <c r="N386" t="inlineStr"/>
      <c r="O386" t="n">
        <v>0</v>
      </c>
      <c r="P386" t="inlineStr"/>
      <c r="Q386" t="inlineStr">
        <is>
          <t>Filled</t>
        </is>
      </c>
      <c r="R386" t="n">
        <v>6.5</v>
      </c>
      <c r="S386" t="inlineStr">
        <is>
          <t>Central English policy</t>
        </is>
      </c>
      <c r="T386" t="inlineStr">
        <is>
          <t>Central rule applies (value agrees)</t>
        </is>
      </c>
      <c r="U386" t="inlineStr"/>
      <c r="V386" t="inlineStr">
        <is>
          <t>Filled</t>
        </is>
      </c>
      <c r="W386" t="inlineStr">
        <is>
          <t>February, August</t>
        </is>
      </c>
      <c r="X386" t="inlineStr">
        <is>
          <t>Page reader</t>
        </is>
      </c>
      <c r="Y386" t="n">
        <v>0</v>
      </c>
      <c r="Z386" t="inlineStr">
        <is>
          <t>No</t>
        </is>
      </c>
      <c r="AA386" t="inlineStr">
        <is>
          <t>Filled</t>
        </is>
      </c>
      <c r="AB386" t="inlineStr">
        <is>
          <t>on campus</t>
        </is>
      </c>
      <c r="AC386" t="inlineStr"/>
      <c r="AD386" t="n">
        <v>0</v>
      </c>
      <c r="AE386" t="inlineStr"/>
      <c r="AF386" t="inlineStr"/>
      <c r="AG386" t="inlineStr"/>
      <c r="AH386" t="inlineStr"/>
      <c r="AI386" t="inlineStr"/>
      <c r="AJ386" t="inlineStr"/>
      <c r="AK386" t="inlineStr"/>
      <c r="AL386" t="inlineStr"/>
      <c r="AM386" t="inlineStr"/>
    </row>
    <row r="387">
      <c r="A387" t="inlineStr">
        <is>
          <t>058176G</t>
        </is>
      </c>
      <c r="B387" t="inlineStr">
        <is>
          <t>Graduate Diploma in Learning Sciences and Technology</t>
        </is>
      </c>
      <c r="C387" t="inlineStr">
        <is>
          <t>Graduate Diploma</t>
        </is>
      </c>
      <c r="D387" t="inlineStr">
        <is>
          <t>Postgraduate coursework</t>
        </is>
      </c>
      <c r="E387" t="inlineStr">
        <is>
          <t>Page found, needs a rendered read</t>
        </is>
      </c>
      <c r="F387" t="inlineStr"/>
      <c r="G387" t="inlineStr">
        <is>
          <t>https://www.sydney.edu.au/courses/courses/pc/graduate-diploma-in-learning-sciences-and-technology.html</t>
        </is>
      </c>
      <c r="H387" t="inlineStr">
        <is>
          <t>Needs a rendered read</t>
        </is>
      </c>
      <c r="I387" t="inlineStr"/>
      <c r="J387" t="inlineStr"/>
      <c r="K387" t="inlineStr">
        <is>
          <t>Finished, no page: every candidate address was refused by the reader or did not</t>
        </is>
      </c>
      <c r="L387" t="inlineStr">
        <is>
          <t>Page found, being read</t>
        </is>
      </c>
      <c r="M387" t="inlineStr">
        <is>
          <t>Page found, being read</t>
        </is>
      </c>
      <c r="N387" t="inlineStr"/>
      <c r="O387" t="n">
        <v>0</v>
      </c>
      <c r="P387" t="inlineStr"/>
      <c r="Q387" t="inlineStr">
        <is>
          <t>Filled</t>
        </is>
      </c>
      <c r="R387" t="n">
        <v>6.5</v>
      </c>
      <c r="S387" t="inlineStr">
        <is>
          <t>Central English policy</t>
        </is>
      </c>
      <c r="T387" t="inlineStr">
        <is>
          <t>Central rule applies (value agrees)</t>
        </is>
      </c>
      <c r="U387" t="inlineStr"/>
      <c r="V387" t="inlineStr">
        <is>
          <t>Page found, being read</t>
        </is>
      </c>
      <c r="W387" t="inlineStr"/>
      <c r="X387" t="inlineStr"/>
      <c r="Y387" t="n">
        <v>0</v>
      </c>
      <c r="Z387" t="inlineStr">
        <is>
          <t>No</t>
        </is>
      </c>
      <c r="AA387" t="inlineStr">
        <is>
          <t>Not stated on course page</t>
        </is>
      </c>
      <c r="AB387" t="inlineStr"/>
      <c r="AC387" t="inlineStr">
        <is>
          <t>Skipped: the page does not state it</t>
        </is>
      </c>
      <c r="AD387" t="n">
        <v>0</v>
      </c>
      <c r="AE387" t="inlineStr">
        <is>
          <t>Yes</t>
        </is>
      </c>
      <c r="AF387" t="inlineStr"/>
      <c r="AG387" t="inlineStr"/>
      <c r="AH387" t="inlineStr"/>
      <c r="AI387" t="inlineStr"/>
      <c r="AJ387" t="inlineStr"/>
      <c r="AK387" t="inlineStr"/>
      <c r="AL387" t="inlineStr"/>
      <c r="AM387" t="inlineStr"/>
    </row>
    <row r="388">
      <c r="A388" t="inlineStr">
        <is>
          <t>088746G</t>
        </is>
      </c>
      <c r="B388" t="inlineStr">
        <is>
          <t>Graduate Diploma in Logistics and Supply Chain Management</t>
        </is>
      </c>
      <c r="C388" t="inlineStr">
        <is>
          <t>Graduate Diploma</t>
        </is>
      </c>
      <c r="D388" t="inlineStr">
        <is>
          <t>Postgraduate coursework</t>
        </is>
      </c>
      <c r="E388" t="inlineStr">
        <is>
          <t>Advertised: official page in place</t>
        </is>
      </c>
      <c r="F388" t="inlineStr">
        <is>
          <t>https://www.sydney.edu.au/courses/courses/pc/graduate-diploma-in-logistics-and-supply-chain-management.html</t>
        </is>
      </c>
      <c r="G388" t="inlineStr">
        <is>
          <t>https://www.sydney.edu.au/courses/courses/pc/graduate-diploma-in-logistics-and-supply-chain-management.html</t>
        </is>
      </c>
      <c r="H388" t="inlineStr">
        <is>
          <t>Read</t>
        </is>
      </c>
      <c r="I388" t="inlineStr">
        <is>
          <t>Exact title match</t>
        </is>
      </c>
      <c r="J388" t="inlineStr"/>
      <c r="K388" t="inlineStr">
        <is>
          <t>Not sent to re-link</t>
        </is>
      </c>
      <c r="L388" t="inlineStr">
        <is>
          <t>Filled</t>
        </is>
      </c>
      <c r="M388" t="inlineStr">
        <is>
          <t>Not stated on course page</t>
        </is>
      </c>
      <c r="N388" t="inlineStr"/>
      <c r="O388" t="n">
        <v>0</v>
      </c>
      <c r="P388" t="inlineStr"/>
      <c r="Q388" t="inlineStr">
        <is>
          <t>Filled</t>
        </is>
      </c>
      <c r="R388" t="n">
        <v>6.5</v>
      </c>
      <c r="S388" t="inlineStr">
        <is>
          <t>Central English policy</t>
        </is>
      </c>
      <c r="T388" t="inlineStr">
        <is>
          <t>Central rule applies (value agrees)</t>
        </is>
      </c>
      <c r="U388" t="inlineStr"/>
      <c r="V388" t="inlineStr">
        <is>
          <t>Not stated on course page</t>
        </is>
      </c>
      <c r="W388" t="inlineStr"/>
      <c r="X388" t="inlineStr"/>
      <c r="Y388" t="n">
        <v>0</v>
      </c>
      <c r="Z388" t="inlineStr">
        <is>
          <t>No</t>
        </is>
      </c>
      <c r="AA388" t="inlineStr">
        <is>
          <t>Filled</t>
        </is>
      </c>
      <c r="AB388" t="inlineStr">
        <is>
          <t>on campus</t>
        </is>
      </c>
      <c r="AC388" t="inlineStr"/>
      <c r="AD388" t="n">
        <v>0</v>
      </c>
      <c r="AE388" t="inlineStr"/>
      <c r="AF388" t="inlineStr"/>
      <c r="AG388" t="inlineStr"/>
      <c r="AH388" t="inlineStr"/>
      <c r="AI388" t="inlineStr">
        <is>
          <t>Yes</t>
        </is>
      </c>
      <c r="AJ388" t="inlineStr"/>
      <c r="AK388" t="inlineStr"/>
      <c r="AL388" t="inlineStr"/>
      <c r="AM388" t="inlineStr"/>
    </row>
    <row r="389">
      <c r="A389" t="inlineStr">
        <is>
          <t>074731G</t>
        </is>
      </c>
      <c r="B389" t="inlineStr">
        <is>
          <t>Graduate Diploma in Marine Science and Management</t>
        </is>
      </c>
      <c r="C389" t="inlineStr">
        <is>
          <t>Graduate Diploma</t>
        </is>
      </c>
      <c r="D389" t="inlineStr">
        <is>
          <t>Postgraduate coursework</t>
        </is>
      </c>
      <c r="E389" t="inlineStr">
        <is>
          <t>Advertised: official page in place</t>
        </is>
      </c>
      <c r="F389" t="inlineStr">
        <is>
          <t>https://www.sydney.edu.au/courses/courses/pc/graduate-diploma-in-marine-science-and-management.html</t>
        </is>
      </c>
      <c r="G389" t="inlineStr">
        <is>
          <t>https://www.sydney.edu.au/courses/courses/pc/graduate-diploma-in-marine-science-and-management.html</t>
        </is>
      </c>
      <c r="H389" t="inlineStr">
        <is>
          <t>Read</t>
        </is>
      </c>
      <c r="I389" t="inlineStr">
        <is>
          <t>Exact title match</t>
        </is>
      </c>
      <c r="J389" t="inlineStr"/>
      <c r="K389" t="inlineStr">
        <is>
          <t>Not sent to re-link</t>
        </is>
      </c>
      <c r="L389" t="inlineStr">
        <is>
          <t>Filled</t>
        </is>
      </c>
      <c r="M389" t="inlineStr">
        <is>
          <t>Not stated on course page</t>
        </is>
      </c>
      <c r="N389" t="inlineStr"/>
      <c r="O389" t="n">
        <v>0</v>
      </c>
      <c r="P389" t="inlineStr"/>
      <c r="Q389" t="inlineStr">
        <is>
          <t>Filled</t>
        </is>
      </c>
      <c r="R389" t="n">
        <v>6.5</v>
      </c>
      <c r="S389" t="inlineStr">
        <is>
          <t>Central English policy</t>
        </is>
      </c>
      <c r="T389" t="inlineStr">
        <is>
          <t>Central rule applies (value agrees)</t>
        </is>
      </c>
      <c r="U389" t="inlineStr"/>
      <c r="V389" t="inlineStr">
        <is>
          <t>Not stated on course page</t>
        </is>
      </c>
      <c r="W389" t="inlineStr"/>
      <c r="X389" t="inlineStr"/>
      <c r="Y389" t="n">
        <v>0</v>
      </c>
      <c r="Z389" t="inlineStr">
        <is>
          <t>No</t>
        </is>
      </c>
      <c r="AA389" t="inlineStr">
        <is>
          <t>Filled</t>
        </is>
      </c>
      <c r="AB389" t="inlineStr">
        <is>
          <t>on campus</t>
        </is>
      </c>
      <c r="AC389" t="inlineStr"/>
      <c r="AD389" t="n">
        <v>0</v>
      </c>
      <c r="AE389" t="inlineStr"/>
      <c r="AF389" t="inlineStr"/>
      <c r="AG389" t="inlineStr"/>
      <c r="AH389" t="inlineStr"/>
      <c r="AI389" t="inlineStr">
        <is>
          <t>Yes</t>
        </is>
      </c>
      <c r="AJ389" t="inlineStr"/>
      <c r="AK389" t="inlineStr"/>
      <c r="AL389" t="inlineStr"/>
      <c r="AM389" t="inlineStr"/>
    </row>
    <row r="390">
      <c r="A390" t="inlineStr">
        <is>
          <t>072571B</t>
        </is>
      </c>
      <c r="B390" t="inlineStr">
        <is>
          <t>Graduate Diploma in Marketing</t>
        </is>
      </c>
      <c r="C390" t="inlineStr">
        <is>
          <t>Graduate Diploma</t>
        </is>
      </c>
      <c r="D390" t="inlineStr">
        <is>
          <t>Postgraduate coursework</t>
        </is>
      </c>
      <c r="E390" t="inlineStr">
        <is>
          <t>Page found, needs a rendered read</t>
        </is>
      </c>
      <c r="F390" t="inlineStr"/>
      <c r="G390" t="inlineStr">
        <is>
          <t>https://www.sydney.edu.au/courses/courses/pc/graduate-diploma-in-marketing.html</t>
        </is>
      </c>
      <c r="H390" t="inlineStr">
        <is>
          <t>Needs a rendered read</t>
        </is>
      </c>
      <c r="I390" t="inlineStr"/>
      <c r="J390" t="inlineStr"/>
      <c r="K390" t="inlineStr">
        <is>
          <t>Finished, no page: every candidate address was refused by the reader or did not</t>
        </is>
      </c>
      <c r="L390" t="inlineStr">
        <is>
          <t>Page found, being read</t>
        </is>
      </c>
      <c r="M390" t="inlineStr">
        <is>
          <t>Page found, being read</t>
        </is>
      </c>
      <c r="N390" t="inlineStr"/>
      <c r="O390" t="n">
        <v>0</v>
      </c>
      <c r="P390" t="inlineStr"/>
      <c r="Q390" t="inlineStr">
        <is>
          <t>Filled</t>
        </is>
      </c>
      <c r="R390" t="n">
        <v>6.5</v>
      </c>
      <c r="S390" t="inlineStr">
        <is>
          <t>Central English policy</t>
        </is>
      </c>
      <c r="T390" t="inlineStr">
        <is>
          <t>Central rule applies (value agrees)</t>
        </is>
      </c>
      <c r="U390" t="inlineStr"/>
      <c r="V390" t="inlineStr">
        <is>
          <t>Page found, being read</t>
        </is>
      </c>
      <c r="W390" t="inlineStr"/>
      <c r="X390" t="inlineStr"/>
      <c r="Y390" t="n">
        <v>0</v>
      </c>
      <c r="Z390" t="inlineStr">
        <is>
          <t>No</t>
        </is>
      </c>
      <c r="AA390" t="inlineStr">
        <is>
          <t>Not stated on course page</t>
        </is>
      </c>
      <c r="AB390" t="inlineStr"/>
      <c r="AC390" t="inlineStr">
        <is>
          <t>Skipped: no allowed source had a value</t>
        </is>
      </c>
      <c r="AD390" t="n">
        <v>1</v>
      </c>
      <c r="AE390" t="inlineStr">
        <is>
          <t>Yes</t>
        </is>
      </c>
      <c r="AF390" t="inlineStr"/>
      <c r="AG390" t="inlineStr"/>
      <c r="AH390" t="inlineStr"/>
      <c r="AI390" t="inlineStr"/>
      <c r="AJ390" t="inlineStr"/>
      <c r="AK390" t="inlineStr"/>
      <c r="AL390" t="inlineStr"/>
      <c r="AM390" t="inlineStr"/>
    </row>
    <row r="391">
      <c r="A391" t="inlineStr">
        <is>
          <t>045006M</t>
        </is>
      </c>
      <c r="B391" t="inlineStr">
        <is>
          <t>Graduate Diploma in Media Practice</t>
        </is>
      </c>
      <c r="C391" t="inlineStr">
        <is>
          <t>Graduate Diploma</t>
        </is>
      </c>
      <c r="D391" t="inlineStr">
        <is>
          <t>Postgraduate coursework</t>
        </is>
      </c>
      <c r="E391" t="inlineStr">
        <is>
          <t>Advertised: official page in place</t>
        </is>
      </c>
      <c r="F391" t="inlineStr">
        <is>
          <t>https://www.sydney.edu.au/courses/courses/pc/graduate-diploma-in-media-practice.html</t>
        </is>
      </c>
      <c r="G391" t="inlineStr">
        <is>
          <t>https://www.sydney.edu.au/courses/courses/pc/graduate-diploma-in-media-practice.html</t>
        </is>
      </c>
      <c r="H391" t="inlineStr">
        <is>
          <t>Read</t>
        </is>
      </c>
      <c r="I391" t="inlineStr">
        <is>
          <t>Exact title match</t>
        </is>
      </c>
      <c r="J391" t="inlineStr"/>
      <c r="K391" t="inlineStr">
        <is>
          <t>Not sent to re-link</t>
        </is>
      </c>
      <c r="L391" t="inlineStr">
        <is>
          <t>Filled</t>
        </is>
      </c>
      <c r="M391" t="inlineStr">
        <is>
          <t>Not stated on course page</t>
        </is>
      </c>
      <c r="N391" t="inlineStr"/>
      <c r="O391" t="n">
        <v>0</v>
      </c>
      <c r="P391" t="inlineStr"/>
      <c r="Q391" t="inlineStr">
        <is>
          <t>Filled</t>
        </is>
      </c>
      <c r="R391" t="n">
        <v>6.5</v>
      </c>
      <c r="S391" t="inlineStr">
        <is>
          <t>Central English policy</t>
        </is>
      </c>
      <c r="T391" t="inlineStr">
        <is>
          <t>Central rule applies (value agrees)</t>
        </is>
      </c>
      <c r="U391" t="inlineStr"/>
      <c r="V391" t="inlineStr">
        <is>
          <t>Not stated on course page</t>
        </is>
      </c>
      <c r="W391" t="inlineStr"/>
      <c r="X391" t="inlineStr"/>
      <c r="Y391" t="n">
        <v>0</v>
      </c>
      <c r="Z391" t="inlineStr">
        <is>
          <t>No</t>
        </is>
      </c>
      <c r="AA391" t="inlineStr">
        <is>
          <t>Filled</t>
        </is>
      </c>
      <c r="AB391" t="inlineStr">
        <is>
          <t>on campus</t>
        </is>
      </c>
      <c r="AC391" t="inlineStr"/>
      <c r="AD391" t="n">
        <v>0</v>
      </c>
      <c r="AE391" t="inlineStr"/>
      <c r="AF391" t="inlineStr"/>
      <c r="AG391" t="inlineStr"/>
      <c r="AH391" t="inlineStr"/>
      <c r="AI391" t="inlineStr">
        <is>
          <t>Yes</t>
        </is>
      </c>
      <c r="AJ391" t="inlineStr"/>
      <c r="AK391" t="inlineStr"/>
      <c r="AL391" t="inlineStr"/>
      <c r="AM391" t="inlineStr"/>
    </row>
    <row r="392">
      <c r="A392" t="inlineStr">
        <is>
          <t>050098D</t>
        </is>
      </c>
      <c r="B392" t="inlineStr">
        <is>
          <t>Graduate Diploma in Medical Physics</t>
        </is>
      </c>
      <c r="C392" t="inlineStr">
        <is>
          <t>Graduate Diploma</t>
        </is>
      </c>
      <c r="D392" t="inlineStr">
        <is>
          <t>Postgraduate coursework</t>
        </is>
      </c>
      <c r="E392" t="inlineStr">
        <is>
          <t>Advertised: official page in place</t>
        </is>
      </c>
      <c r="F392" t="inlineStr">
        <is>
          <t>https://www.sydney.edu.au/courses/courses/pc/graduate-diploma-in-medical-physics.html</t>
        </is>
      </c>
      <c r="G392" t="inlineStr">
        <is>
          <t>https://www.sydney.edu.au/courses/courses/pc/graduate-diploma-in-medical-physics.html</t>
        </is>
      </c>
      <c r="H392" t="inlineStr">
        <is>
          <t>Read</t>
        </is>
      </c>
      <c r="I392" t="inlineStr">
        <is>
          <t>Exact title match</t>
        </is>
      </c>
      <c r="J392" t="inlineStr"/>
      <c r="K392" t="inlineStr">
        <is>
          <t>Not sent to re-link</t>
        </is>
      </c>
      <c r="L392" t="inlineStr">
        <is>
          <t>Filled</t>
        </is>
      </c>
      <c r="M392" t="inlineStr">
        <is>
          <t>Not stated on course page</t>
        </is>
      </c>
      <c r="N392" t="inlineStr"/>
      <c r="O392" t="n">
        <v>0</v>
      </c>
      <c r="P392" t="inlineStr"/>
      <c r="Q392" t="inlineStr">
        <is>
          <t>Filled</t>
        </is>
      </c>
      <c r="R392" t="n">
        <v>6.5</v>
      </c>
      <c r="S392" t="inlineStr">
        <is>
          <t>Central English policy</t>
        </is>
      </c>
      <c r="T392" t="inlineStr">
        <is>
          <t>Central rule applies (value agrees)</t>
        </is>
      </c>
      <c r="U392" t="inlineStr"/>
      <c r="V392" t="inlineStr">
        <is>
          <t>Not stated on course page</t>
        </is>
      </c>
      <c r="W392" t="inlineStr"/>
      <c r="X392" t="inlineStr"/>
      <c r="Y392" t="n">
        <v>0</v>
      </c>
      <c r="Z392" t="inlineStr">
        <is>
          <t>No</t>
        </is>
      </c>
      <c r="AA392" t="inlineStr">
        <is>
          <t>Filled</t>
        </is>
      </c>
      <c r="AB392" t="inlineStr">
        <is>
          <t>on campus</t>
        </is>
      </c>
      <c r="AC392" t="inlineStr"/>
      <c r="AD392" t="n">
        <v>0</v>
      </c>
      <c r="AE392" t="inlineStr"/>
      <c r="AF392" t="inlineStr"/>
      <c r="AG392" t="inlineStr"/>
      <c r="AH392" t="inlineStr"/>
      <c r="AI392" t="inlineStr">
        <is>
          <t>Yes</t>
        </is>
      </c>
      <c r="AJ392" t="inlineStr"/>
      <c r="AK392" t="inlineStr"/>
      <c r="AL392" t="inlineStr"/>
      <c r="AM392" t="inlineStr"/>
    </row>
    <row r="393">
      <c r="A393" t="inlineStr">
        <is>
          <t>083647G</t>
        </is>
      </c>
      <c r="B393" t="inlineStr">
        <is>
          <t>Graduate Diploma in Medicine</t>
        </is>
      </c>
      <c r="C393" t="inlineStr">
        <is>
          <t>Graduate Diploma</t>
        </is>
      </c>
      <c r="D393" t="inlineStr">
        <is>
          <t>Postgraduate coursework</t>
        </is>
      </c>
      <c r="E393" t="inlineStr">
        <is>
          <t>Advertised: official page in place</t>
        </is>
      </c>
      <c r="F393" t="inlineStr">
        <is>
          <t>https://www.sydney.edu.au/courses/courses/pc/graduate-diploma-in-medicine-internal-medicine.html</t>
        </is>
      </c>
      <c r="G393" t="inlineStr">
        <is>
          <t>https://www.sydney.edu.au/courses/courses/pc/graduate-diploma-in-medicine-internal-medicine.html</t>
        </is>
      </c>
      <c r="H393" t="inlineStr">
        <is>
          <t>Read</t>
        </is>
      </c>
      <c r="I393" t="inlineStr">
        <is>
          <t>Exact title match</t>
        </is>
      </c>
      <c r="J393" t="inlineStr"/>
      <c r="K393" t="inlineStr">
        <is>
          <t>Not sent to re-link</t>
        </is>
      </c>
      <c r="L393" t="inlineStr">
        <is>
          <t>Filled</t>
        </is>
      </c>
      <c r="M393" t="inlineStr">
        <is>
          <t>Not stated on course page</t>
        </is>
      </c>
      <c r="N393" t="inlineStr"/>
      <c r="O393" t="n">
        <v>0</v>
      </c>
      <c r="P393" t="inlineStr"/>
      <c r="Q393" t="inlineStr">
        <is>
          <t>Filled</t>
        </is>
      </c>
      <c r="R393" t="n">
        <v>6.5</v>
      </c>
      <c r="S393" t="inlineStr">
        <is>
          <t>Central English policy</t>
        </is>
      </c>
      <c r="T393" t="inlineStr">
        <is>
          <t>Central rule applies (value agrees)</t>
        </is>
      </c>
      <c r="U393" t="inlineStr"/>
      <c r="V393" t="inlineStr">
        <is>
          <t>Not stated on course page</t>
        </is>
      </c>
      <c r="W393" t="inlineStr"/>
      <c r="X393" t="inlineStr"/>
      <c r="Y393" t="n">
        <v>0</v>
      </c>
      <c r="Z393" t="inlineStr">
        <is>
          <t>No</t>
        </is>
      </c>
      <c r="AA393" t="inlineStr">
        <is>
          <t>Filled</t>
        </is>
      </c>
      <c r="AB393" t="inlineStr">
        <is>
          <t>online</t>
        </is>
      </c>
      <c r="AC393" t="inlineStr">
        <is>
          <t>Filled</t>
        </is>
      </c>
      <c r="AD393" t="n">
        <v>0</v>
      </c>
      <c r="AE393" t="inlineStr"/>
      <c r="AF393" t="inlineStr"/>
      <c r="AG393" t="inlineStr"/>
      <c r="AH393" t="inlineStr"/>
      <c r="AI393" t="inlineStr">
        <is>
          <t>Yes</t>
        </is>
      </c>
      <c r="AJ393" t="inlineStr"/>
      <c r="AK393" t="inlineStr"/>
      <c r="AL393" t="inlineStr"/>
      <c r="AM393" t="inlineStr"/>
    </row>
    <row r="394">
      <c r="A394" t="inlineStr">
        <is>
          <t>107851A</t>
        </is>
      </c>
      <c r="B394" t="inlineStr">
        <is>
          <t>Graduate Diploma in Medicine (Sexual and Reproductive Health)</t>
        </is>
      </c>
      <c r="C394" t="inlineStr">
        <is>
          <t>Graduate Diploma</t>
        </is>
      </c>
      <c r="D394" t="inlineStr">
        <is>
          <t>Postgraduate coursework</t>
        </is>
      </c>
      <c r="E394" t="inlineStr">
        <is>
          <t>Advertised: official page in place</t>
        </is>
      </c>
      <c r="F394" t="inlineStr">
        <is>
          <t>https://www.sydney.edu.au/courses/courses/pc/graduate-diploma-in-medicine-sexual-and-reproductive-health0.html</t>
        </is>
      </c>
      <c r="G394" t="inlineStr">
        <is>
          <t>https://www.sydney.edu.au/courses/courses/pc/graduate-diploma-in-medicine-sexual-and-reproductive-health0.html</t>
        </is>
      </c>
      <c r="H394" t="inlineStr">
        <is>
          <t>Read</t>
        </is>
      </c>
      <c r="I394" t="inlineStr">
        <is>
          <t>Exact title match</t>
        </is>
      </c>
      <c r="J394" t="inlineStr"/>
      <c r="K394" t="inlineStr">
        <is>
          <t>Not sent to re-link</t>
        </is>
      </c>
      <c r="L394" t="inlineStr">
        <is>
          <t>Filled</t>
        </is>
      </c>
      <c r="M394" t="inlineStr">
        <is>
          <t>Not stated on course page</t>
        </is>
      </c>
      <c r="N394" t="inlineStr"/>
      <c r="O394" t="n">
        <v>0</v>
      </c>
      <c r="P394" t="inlineStr"/>
      <c r="Q394" t="inlineStr">
        <is>
          <t>Filled</t>
        </is>
      </c>
      <c r="R394" t="n">
        <v>6.5</v>
      </c>
      <c r="S394" t="inlineStr">
        <is>
          <t>Central English policy</t>
        </is>
      </c>
      <c r="T394" t="inlineStr">
        <is>
          <t>Central rule applies (value agrees)</t>
        </is>
      </c>
      <c r="U394" t="inlineStr"/>
      <c r="V394" t="inlineStr">
        <is>
          <t>Not stated on course page</t>
        </is>
      </c>
      <c r="W394" t="inlineStr"/>
      <c r="X394" t="inlineStr"/>
      <c r="Y394" t="n">
        <v>0</v>
      </c>
      <c r="Z394" t="inlineStr">
        <is>
          <t>No</t>
        </is>
      </c>
      <c r="AA394" t="inlineStr">
        <is>
          <t>Filled</t>
        </is>
      </c>
      <c r="AB394" t="inlineStr">
        <is>
          <t>on campus</t>
        </is>
      </c>
      <c r="AC394" t="inlineStr"/>
      <c r="AD394" t="n">
        <v>0</v>
      </c>
      <c r="AE394" t="inlineStr"/>
      <c r="AF394" t="inlineStr"/>
      <c r="AG394" t="inlineStr"/>
      <c r="AH394" t="inlineStr"/>
      <c r="AI394" t="inlineStr">
        <is>
          <t>Yes</t>
        </is>
      </c>
      <c r="AJ394" t="inlineStr"/>
      <c r="AK394" t="inlineStr"/>
      <c r="AL394" t="inlineStr"/>
      <c r="AM394" t="inlineStr"/>
    </row>
    <row r="395">
      <c r="A395" t="inlineStr">
        <is>
          <t>068772E</t>
        </is>
      </c>
      <c r="B395" t="inlineStr">
        <is>
          <t>Graduate Diploma in Mental Health Nursing</t>
        </is>
      </c>
      <c r="C395" t="inlineStr">
        <is>
          <t>Graduate Diploma</t>
        </is>
      </c>
      <c r="D395" t="inlineStr">
        <is>
          <t>Postgraduate coursework</t>
        </is>
      </c>
      <c r="E395" t="inlineStr">
        <is>
          <t>Page found, needs a rendered read</t>
        </is>
      </c>
      <c r="F395" t="inlineStr"/>
      <c r="G395" t="inlineStr">
        <is>
          <t>https://www.sydney.edu.au/courses/courses/pc/graduate-diploma-in-mental-health-nursing.html</t>
        </is>
      </c>
      <c r="H395" t="inlineStr">
        <is>
          <t>Needs a rendered read</t>
        </is>
      </c>
      <c r="I395" t="inlineStr"/>
      <c r="J395" t="inlineStr"/>
      <c r="K395" t="inlineStr">
        <is>
          <t>Finished, no page: every candidate address was refused by the reader or did not</t>
        </is>
      </c>
      <c r="L395" t="inlineStr">
        <is>
          <t>Page found, being read</t>
        </is>
      </c>
      <c r="M395" t="inlineStr">
        <is>
          <t>Page found, being read</t>
        </is>
      </c>
      <c r="N395" t="inlineStr"/>
      <c r="O395" t="n">
        <v>0</v>
      </c>
      <c r="P395" t="inlineStr"/>
      <c r="Q395" t="inlineStr">
        <is>
          <t>Filled</t>
        </is>
      </c>
      <c r="R395" t="n">
        <v>6.5</v>
      </c>
      <c r="S395" t="inlineStr">
        <is>
          <t>Central English policy</t>
        </is>
      </c>
      <c r="T395" t="inlineStr">
        <is>
          <t>Central rule applies (value agrees)</t>
        </is>
      </c>
      <c r="U395" t="inlineStr"/>
      <c r="V395" t="inlineStr">
        <is>
          <t>Page found, being read</t>
        </is>
      </c>
      <c r="W395" t="inlineStr"/>
      <c r="X395" t="inlineStr"/>
      <c r="Y395" t="n">
        <v>0</v>
      </c>
      <c r="Z395" t="inlineStr">
        <is>
          <t>No</t>
        </is>
      </c>
      <c r="AA395" t="inlineStr">
        <is>
          <t>Not stated on course page</t>
        </is>
      </c>
      <c r="AB395" t="inlineStr"/>
      <c r="AC395" t="inlineStr">
        <is>
          <t>Skipped: the quote is not on the page</t>
        </is>
      </c>
      <c r="AD395" t="n">
        <v>0</v>
      </c>
      <c r="AE395" t="inlineStr">
        <is>
          <t>Yes</t>
        </is>
      </c>
      <c r="AF395" t="inlineStr"/>
      <c r="AG395" t="inlineStr"/>
      <c r="AH395" t="inlineStr"/>
      <c r="AI395" t="inlineStr"/>
      <c r="AJ395" t="inlineStr"/>
      <c r="AK395" t="inlineStr">
        <is>
          <t>Yes</t>
        </is>
      </c>
      <c r="AL395" t="inlineStr"/>
      <c r="AM395" t="inlineStr"/>
    </row>
    <row r="396">
      <c r="A396" t="inlineStr">
        <is>
          <t>090778D</t>
        </is>
      </c>
      <c r="B396" t="inlineStr">
        <is>
          <t>Graduate Diploma in Moving Image</t>
        </is>
      </c>
      <c r="C396" t="inlineStr">
        <is>
          <t>Graduate Diploma</t>
        </is>
      </c>
      <c r="D396" t="inlineStr">
        <is>
          <t>Postgraduate coursework</t>
        </is>
      </c>
      <c r="E396" t="inlineStr">
        <is>
          <t>Page address no longer works</t>
        </is>
      </c>
      <c r="F396" t="inlineStr"/>
      <c r="G396" t="inlineStr">
        <is>
          <t>https://www.sydney.edu.au/courses/courses/pc/graduate-diploma-in-moving-image.html</t>
        </is>
      </c>
      <c r="H396" t="inlineStr">
        <is>
          <t>Address no longer works</t>
        </is>
      </c>
      <c r="I396" t="inlineStr"/>
      <c r="J396" t="inlineStr"/>
      <c r="K396" t="inlineStr">
        <is>
          <t>Finished, no page: every candidate address was refused by the reader or did not</t>
        </is>
      </c>
      <c r="L396" t="inlineStr">
        <is>
          <t>Page found, being read</t>
        </is>
      </c>
      <c r="M396" t="inlineStr">
        <is>
          <t>Page found, being read</t>
        </is>
      </c>
      <c r="N396" t="inlineStr"/>
      <c r="O396" t="n">
        <v>0</v>
      </c>
      <c r="P396" t="inlineStr"/>
      <c r="Q396" t="inlineStr">
        <is>
          <t>Filled</t>
        </is>
      </c>
      <c r="R396" t="n">
        <v>6.5</v>
      </c>
      <c r="S396" t="inlineStr">
        <is>
          <t>Central English policy</t>
        </is>
      </c>
      <c r="T396" t="inlineStr">
        <is>
          <t>Central rule applies (value agrees)</t>
        </is>
      </c>
      <c r="U396" t="inlineStr"/>
      <c r="V396" t="inlineStr">
        <is>
          <t>Page found, being read</t>
        </is>
      </c>
      <c r="W396" t="inlineStr"/>
      <c r="X396" t="inlineStr"/>
      <c r="Y396" t="n">
        <v>0</v>
      </c>
      <c r="Z396" t="inlineStr">
        <is>
          <t>No</t>
        </is>
      </c>
      <c r="AA396" t="inlineStr">
        <is>
          <t>Not stated on course page</t>
        </is>
      </c>
      <c r="AB396" t="inlineStr"/>
      <c r="AC396" t="inlineStr">
        <is>
          <t>Skipped: no allowed source had a value</t>
        </is>
      </c>
      <c r="AD396" t="n">
        <v>1</v>
      </c>
      <c r="AE396" t="inlineStr"/>
      <c r="AF396" t="inlineStr"/>
      <c r="AG396" t="inlineStr"/>
      <c r="AH396" t="inlineStr"/>
      <c r="AI396" t="inlineStr"/>
      <c r="AJ396" t="inlineStr"/>
      <c r="AK396" t="inlineStr"/>
      <c r="AL396" t="inlineStr"/>
      <c r="AM396" t="inlineStr"/>
    </row>
    <row r="397">
      <c r="A397" t="inlineStr">
        <is>
          <t>079207K</t>
        </is>
      </c>
      <c r="B397" t="inlineStr">
        <is>
          <t>Graduate Diploma in Museum and Heritage Studies</t>
        </is>
      </c>
      <c r="C397" t="inlineStr">
        <is>
          <t>Graduate Diploma</t>
        </is>
      </c>
      <c r="D397" t="inlineStr">
        <is>
          <t>Postgraduate coursework</t>
        </is>
      </c>
      <c r="E397" t="inlineStr">
        <is>
          <t>Advertised: official page in place</t>
        </is>
      </c>
      <c r="F397" t="inlineStr">
        <is>
          <t>https://www.sydney.edu.au/courses/courses/pc/graduate-diploma-in-museum-and-heritage-studies.html</t>
        </is>
      </c>
      <c r="G397" t="inlineStr">
        <is>
          <t>https://www.sydney.edu.au/courses/courses/pc/graduate-diploma-in-museum-and-heritage-studies.html</t>
        </is>
      </c>
      <c r="H397" t="inlineStr">
        <is>
          <t>Read</t>
        </is>
      </c>
      <c r="I397" t="inlineStr">
        <is>
          <t>Exact title match</t>
        </is>
      </c>
      <c r="J397" t="inlineStr"/>
      <c r="K397" t="inlineStr">
        <is>
          <t>Not sent to re-link</t>
        </is>
      </c>
      <c r="L397" t="inlineStr">
        <is>
          <t>Filled</t>
        </is>
      </c>
      <c r="M397" t="inlineStr">
        <is>
          <t>Not stated on course page</t>
        </is>
      </c>
      <c r="N397" t="inlineStr"/>
      <c r="O397" t="n">
        <v>0</v>
      </c>
      <c r="P397" t="inlineStr"/>
      <c r="Q397" t="inlineStr">
        <is>
          <t>Filled</t>
        </is>
      </c>
      <c r="R397" t="n">
        <v>6.5</v>
      </c>
      <c r="S397" t="inlineStr">
        <is>
          <t>Central English policy</t>
        </is>
      </c>
      <c r="T397" t="inlineStr">
        <is>
          <t>Central rule applies (value agrees)</t>
        </is>
      </c>
      <c r="U397" t="inlineStr"/>
      <c r="V397" t="inlineStr">
        <is>
          <t>Not stated on course page</t>
        </is>
      </c>
      <c r="W397" t="inlineStr"/>
      <c r="X397" t="inlineStr"/>
      <c r="Y397" t="n">
        <v>0</v>
      </c>
      <c r="Z397" t="inlineStr">
        <is>
          <t>No</t>
        </is>
      </c>
      <c r="AA397" t="inlineStr">
        <is>
          <t>Filled</t>
        </is>
      </c>
      <c r="AB397" t="inlineStr">
        <is>
          <t>on campus</t>
        </is>
      </c>
      <c r="AC397" t="inlineStr"/>
      <c r="AD397" t="n">
        <v>0</v>
      </c>
      <c r="AE397" t="inlineStr"/>
      <c r="AF397" t="inlineStr"/>
      <c r="AG397" t="inlineStr"/>
      <c r="AH397" t="inlineStr"/>
      <c r="AI397" t="inlineStr">
        <is>
          <t>Yes</t>
        </is>
      </c>
      <c r="AJ397" t="inlineStr"/>
      <c r="AK397" t="inlineStr"/>
      <c r="AL397" t="inlineStr"/>
      <c r="AM397" t="inlineStr"/>
    </row>
    <row r="398">
      <c r="A398" t="inlineStr">
        <is>
          <t>008450J</t>
        </is>
      </c>
      <c r="B398" t="inlineStr">
        <is>
          <t>Graduate Diploma in Music (Accompaniment)</t>
        </is>
      </c>
      <c r="C398" t="inlineStr">
        <is>
          <t>Graduate Diploma</t>
        </is>
      </c>
      <c r="D398" t="inlineStr">
        <is>
          <t>Postgraduate coursework</t>
        </is>
      </c>
      <c r="E398" t="inlineStr">
        <is>
          <t>Page address no longer works</t>
        </is>
      </c>
      <c r="F398" t="inlineStr"/>
      <c r="G398" t="inlineStr">
        <is>
          <t>https://www.sydney.edu.au/courses/courses/pc/graduate-diploma-in-music-accompaniment.html</t>
        </is>
      </c>
      <c r="H398" t="inlineStr">
        <is>
          <t>Address no longer works</t>
        </is>
      </c>
      <c r="I398" t="inlineStr"/>
      <c r="J398" t="inlineStr"/>
      <c r="K398" t="inlineStr">
        <is>
          <t>Finished, no page: every candidate address was refused by the reader or did not</t>
        </is>
      </c>
      <c r="L398" t="inlineStr">
        <is>
          <t>Page found, being read</t>
        </is>
      </c>
      <c r="M398" t="inlineStr">
        <is>
          <t>Page found, being read</t>
        </is>
      </c>
      <c r="N398" t="inlineStr"/>
      <c r="O398" t="n">
        <v>0</v>
      </c>
      <c r="P398" t="inlineStr"/>
      <c r="Q398" t="inlineStr">
        <is>
          <t>Filled</t>
        </is>
      </c>
      <c r="R398" t="n">
        <v>6.5</v>
      </c>
      <c r="S398" t="inlineStr">
        <is>
          <t>Central English policy</t>
        </is>
      </c>
      <c r="T398" t="inlineStr">
        <is>
          <t>Central rule applies (value agrees)</t>
        </is>
      </c>
      <c r="U398" t="inlineStr"/>
      <c r="V398" t="inlineStr">
        <is>
          <t>Page found, being read</t>
        </is>
      </c>
      <c r="W398" t="inlineStr"/>
      <c r="X398" t="inlineStr"/>
      <c r="Y398" t="n">
        <v>0</v>
      </c>
      <c r="Z398" t="inlineStr">
        <is>
          <t>No</t>
        </is>
      </c>
      <c r="AA398" t="inlineStr">
        <is>
          <t>Not stated on course page</t>
        </is>
      </c>
      <c r="AB398" t="inlineStr"/>
      <c r="AC398" t="inlineStr">
        <is>
          <t>Skipped: no allowed source had a value</t>
        </is>
      </c>
      <c r="AD398" t="n">
        <v>1</v>
      </c>
      <c r="AE398" t="inlineStr"/>
      <c r="AF398" t="inlineStr"/>
      <c r="AG398" t="inlineStr"/>
      <c r="AH398" t="inlineStr"/>
      <c r="AI398" t="inlineStr"/>
      <c r="AJ398" t="inlineStr"/>
      <c r="AK398" t="inlineStr"/>
      <c r="AL398" t="inlineStr"/>
      <c r="AM398" t="inlineStr"/>
    </row>
    <row r="399">
      <c r="A399" t="inlineStr">
        <is>
          <t>008448C</t>
        </is>
      </c>
      <c r="B399" t="inlineStr">
        <is>
          <t>Graduate Diploma in Music (Opera)</t>
        </is>
      </c>
      <c r="C399" t="inlineStr">
        <is>
          <t>Graduate Diploma</t>
        </is>
      </c>
      <c r="D399" t="inlineStr">
        <is>
          <t>Postgraduate coursework</t>
        </is>
      </c>
      <c r="E399" t="inlineStr">
        <is>
          <t>Advertised: official page in place</t>
        </is>
      </c>
      <c r="F399" t="inlineStr">
        <is>
          <t>https://www.sydney.edu.au/handbooks/archive/2024/conservatorium/postgraduate/graduate_diploma_music_opera_performance.html</t>
        </is>
      </c>
      <c r="G399" t="inlineStr">
        <is>
          <t>https://www.sydney.edu.au/handbooks/archive/2024/conservatorium/postgraduate/graduate_diploma_music_opera_performance.html</t>
        </is>
      </c>
      <c r="H399" t="inlineStr">
        <is>
          <t>Read</t>
        </is>
      </c>
      <c r="I399" t="inlineStr">
        <is>
          <t>Exact title match</t>
        </is>
      </c>
      <c r="J399" t="inlineStr"/>
      <c r="K399" t="inlineStr">
        <is>
          <t>Not sent to re-link</t>
        </is>
      </c>
      <c r="L399" t="inlineStr">
        <is>
          <t>Filled</t>
        </is>
      </c>
      <c r="M399" t="inlineStr">
        <is>
          <t>Not stated on course page</t>
        </is>
      </c>
      <c r="N399" t="inlineStr"/>
      <c r="O399" t="n">
        <v>0</v>
      </c>
      <c r="P399" t="inlineStr"/>
      <c r="Q399" t="inlineStr">
        <is>
          <t>Filled</t>
        </is>
      </c>
      <c r="R399" t="n">
        <v>6.5</v>
      </c>
      <c r="S399" t="inlineStr">
        <is>
          <t>Central English policy</t>
        </is>
      </c>
      <c r="T399" t="inlineStr">
        <is>
          <t>Central rule applies (value agrees)</t>
        </is>
      </c>
      <c r="U399" t="inlineStr"/>
      <c r="V399" t="inlineStr">
        <is>
          <t>Not stated on course page</t>
        </is>
      </c>
      <c r="W399" t="inlineStr"/>
      <c r="X399" t="inlineStr"/>
      <c r="Y399" t="n">
        <v>0</v>
      </c>
      <c r="Z399" t="inlineStr">
        <is>
          <t>No</t>
        </is>
      </c>
      <c r="AA399" t="inlineStr">
        <is>
          <t>Filled</t>
        </is>
      </c>
      <c r="AB399" t="inlineStr">
        <is>
          <t>on campus</t>
        </is>
      </c>
      <c r="AC399" t="inlineStr">
        <is>
          <t>Filled</t>
        </is>
      </c>
      <c r="AD399" t="n">
        <v>0</v>
      </c>
      <c r="AE399" t="inlineStr"/>
      <c r="AF399" t="inlineStr"/>
      <c r="AG399" t="inlineStr"/>
      <c r="AH399" t="inlineStr"/>
      <c r="AI399" t="inlineStr">
        <is>
          <t>Yes</t>
        </is>
      </c>
      <c r="AJ399" t="inlineStr"/>
      <c r="AK399" t="inlineStr"/>
      <c r="AL399" t="inlineStr"/>
      <c r="AM399" t="inlineStr"/>
    </row>
    <row r="400">
      <c r="A400" t="inlineStr">
        <is>
          <t>053875K</t>
        </is>
      </c>
      <c r="B400" t="inlineStr">
        <is>
          <t>Graduate Diploma in Music (Pedgagogy)</t>
        </is>
      </c>
      <c r="C400" t="inlineStr">
        <is>
          <t>Graduate Diploma</t>
        </is>
      </c>
      <c r="D400" t="inlineStr">
        <is>
          <t>Postgraduate coursework</t>
        </is>
      </c>
      <c r="E400" t="inlineStr">
        <is>
          <t>Page address no longer works</t>
        </is>
      </c>
      <c r="F400" t="inlineStr"/>
      <c r="G400" t="inlineStr">
        <is>
          <t>https://www.sydney.edu.au/courses/courses/pc/graduate-diploma-in-music-pedgagogy.html</t>
        </is>
      </c>
      <c r="H400" t="inlineStr">
        <is>
          <t>Address no longer works</t>
        </is>
      </c>
      <c r="I400" t="inlineStr"/>
      <c r="J400" t="inlineStr"/>
      <c r="K400" t="inlineStr">
        <is>
          <t>Finished, no page: every candidate address was refused by the reader or did not</t>
        </is>
      </c>
      <c r="L400" t="inlineStr">
        <is>
          <t>Page found, being read</t>
        </is>
      </c>
      <c r="M400" t="inlineStr">
        <is>
          <t>Page found, being read</t>
        </is>
      </c>
      <c r="N400" t="inlineStr"/>
      <c r="O400" t="n">
        <v>0</v>
      </c>
      <c r="P400" t="inlineStr"/>
      <c r="Q400" t="inlineStr">
        <is>
          <t>Filled</t>
        </is>
      </c>
      <c r="R400" t="n">
        <v>6.5</v>
      </c>
      <c r="S400" t="inlineStr">
        <is>
          <t>Central English policy</t>
        </is>
      </c>
      <c r="T400" t="inlineStr">
        <is>
          <t>Central rule applies (value agrees)</t>
        </is>
      </c>
      <c r="U400" t="inlineStr"/>
      <c r="V400" t="inlineStr">
        <is>
          <t>Page found, being read</t>
        </is>
      </c>
      <c r="W400" t="inlineStr"/>
      <c r="X400" t="inlineStr"/>
      <c r="Y400" t="n">
        <v>0</v>
      </c>
      <c r="Z400" t="inlineStr">
        <is>
          <t>No</t>
        </is>
      </c>
      <c r="AA400" t="inlineStr">
        <is>
          <t>Not stated on course page</t>
        </is>
      </c>
      <c r="AB400" t="inlineStr"/>
      <c r="AC400" t="inlineStr">
        <is>
          <t>Skipped: no allowed source had a value</t>
        </is>
      </c>
      <c r="AD400" t="n">
        <v>1</v>
      </c>
      <c r="AE400" t="inlineStr"/>
      <c r="AF400" t="inlineStr"/>
      <c r="AG400" t="inlineStr"/>
      <c r="AH400" t="inlineStr"/>
      <c r="AI400" t="inlineStr"/>
      <c r="AJ400" t="inlineStr"/>
      <c r="AK400" t="inlineStr"/>
      <c r="AL400" t="inlineStr"/>
      <c r="AM400" t="inlineStr"/>
    </row>
    <row r="401">
      <c r="A401" t="inlineStr">
        <is>
          <t>058359A</t>
        </is>
      </c>
      <c r="B401" t="inlineStr">
        <is>
          <t>Graduate Diploma in Music (Performance)</t>
        </is>
      </c>
      <c r="C401" t="inlineStr">
        <is>
          <t>Graduate Diploma</t>
        </is>
      </c>
      <c r="D401" t="inlineStr">
        <is>
          <t>Postgraduate coursework</t>
        </is>
      </c>
      <c r="E401" t="inlineStr">
        <is>
          <t>Advertised: official page in place</t>
        </is>
      </c>
      <c r="F401" t="inlineStr">
        <is>
          <t>https://www.sydney.edu.au/courses/courses/pc/graduate-diploma-in-music-performance.html</t>
        </is>
      </c>
      <c r="G401" t="inlineStr">
        <is>
          <t>https://www.sydney.edu.au/courses/courses/pc/graduate-diploma-in-music-performance.html</t>
        </is>
      </c>
      <c r="H401" t="inlineStr">
        <is>
          <t>Read</t>
        </is>
      </c>
      <c r="I401" t="inlineStr">
        <is>
          <t>Exact title match</t>
        </is>
      </c>
      <c r="J401" t="inlineStr"/>
      <c r="K401" t="inlineStr">
        <is>
          <t>Not sent to re-link</t>
        </is>
      </c>
      <c r="L401" t="inlineStr">
        <is>
          <t>Filled</t>
        </is>
      </c>
      <c r="M401" t="inlineStr">
        <is>
          <t>Not stated on course page</t>
        </is>
      </c>
      <c r="N401" t="inlineStr"/>
      <c r="O401" t="n">
        <v>0</v>
      </c>
      <c r="P401" t="inlineStr"/>
      <c r="Q401" t="inlineStr">
        <is>
          <t>Filled</t>
        </is>
      </c>
      <c r="R401" t="n">
        <v>6.5</v>
      </c>
      <c r="S401" t="inlineStr">
        <is>
          <t>Central English policy</t>
        </is>
      </c>
      <c r="T401" t="inlineStr">
        <is>
          <t>Central rule applies (value agrees)</t>
        </is>
      </c>
      <c r="U401" t="inlineStr"/>
      <c r="V401" t="inlineStr">
        <is>
          <t>Not stated on course page</t>
        </is>
      </c>
      <c r="W401" t="inlineStr"/>
      <c r="X401" t="inlineStr"/>
      <c r="Y401" t="n">
        <v>0</v>
      </c>
      <c r="Z401" t="inlineStr">
        <is>
          <t>No</t>
        </is>
      </c>
      <c r="AA401" t="inlineStr">
        <is>
          <t>Filled</t>
        </is>
      </c>
      <c r="AB401" t="inlineStr">
        <is>
          <t>on campus</t>
        </is>
      </c>
      <c r="AC401" t="inlineStr"/>
      <c r="AD401" t="n">
        <v>0</v>
      </c>
      <c r="AE401" t="inlineStr"/>
      <c r="AF401" t="inlineStr"/>
      <c r="AG401" t="inlineStr"/>
      <c r="AH401" t="inlineStr"/>
      <c r="AI401" t="inlineStr">
        <is>
          <t>Yes</t>
        </is>
      </c>
      <c r="AJ401" t="inlineStr"/>
      <c r="AK401" t="inlineStr"/>
      <c r="AL401" t="inlineStr"/>
      <c r="AM401" t="inlineStr"/>
    </row>
    <row r="402">
      <c r="A402" t="inlineStr">
        <is>
          <t>055332C</t>
        </is>
      </c>
      <c r="B402" t="inlineStr">
        <is>
          <t>Graduate Diploma in Peace and Conflict Studies</t>
        </is>
      </c>
      <c r="C402" t="inlineStr">
        <is>
          <t>Graduate Diploma</t>
        </is>
      </c>
      <c r="D402" t="inlineStr">
        <is>
          <t>Postgraduate coursework</t>
        </is>
      </c>
      <c r="E402" t="inlineStr">
        <is>
          <t>Page found, needs a rendered read</t>
        </is>
      </c>
      <c r="F402" t="inlineStr"/>
      <c r="G402" t="inlineStr">
        <is>
          <t>https://www.sydney.edu.au/courses/courses/pc/graduate-diploma-in-peace-and-conflict-studies.html</t>
        </is>
      </c>
      <c r="H402" t="inlineStr">
        <is>
          <t>Needs a rendered read</t>
        </is>
      </c>
      <c r="I402" t="inlineStr"/>
      <c r="J402" t="inlineStr"/>
      <c r="K402" t="inlineStr">
        <is>
          <t>Finished, no page: every candidate address was refused by the reader or did not</t>
        </is>
      </c>
      <c r="L402" t="inlineStr">
        <is>
          <t>Page found, being read</t>
        </is>
      </c>
      <c r="M402" t="inlineStr">
        <is>
          <t>Page found, being read</t>
        </is>
      </c>
      <c r="N402" t="inlineStr"/>
      <c r="O402" t="n">
        <v>0</v>
      </c>
      <c r="P402" t="inlineStr"/>
      <c r="Q402" t="inlineStr">
        <is>
          <t>Filled</t>
        </is>
      </c>
      <c r="R402" t="n">
        <v>6.5</v>
      </c>
      <c r="S402" t="inlineStr">
        <is>
          <t>Central English policy</t>
        </is>
      </c>
      <c r="T402" t="inlineStr">
        <is>
          <t>Central rule applies (value agrees)</t>
        </is>
      </c>
      <c r="U402" t="inlineStr"/>
      <c r="V402" t="inlineStr">
        <is>
          <t>Page found, being read</t>
        </is>
      </c>
      <c r="W402" t="inlineStr"/>
      <c r="X402" t="inlineStr"/>
      <c r="Y402" t="n">
        <v>0</v>
      </c>
      <c r="Z402" t="inlineStr">
        <is>
          <t>No</t>
        </is>
      </c>
      <c r="AA402" t="inlineStr">
        <is>
          <t>Not stated on course page</t>
        </is>
      </c>
      <c r="AB402" t="inlineStr"/>
      <c r="AC402" t="inlineStr">
        <is>
          <t>Skipped: no allowed source had a value</t>
        </is>
      </c>
      <c r="AD402" t="n">
        <v>1</v>
      </c>
      <c r="AE402" t="inlineStr">
        <is>
          <t>Yes</t>
        </is>
      </c>
      <c r="AF402" t="inlineStr"/>
      <c r="AG402" t="inlineStr"/>
      <c r="AH402" t="inlineStr"/>
      <c r="AI402" t="inlineStr"/>
      <c r="AJ402" t="inlineStr"/>
      <c r="AK402" t="inlineStr"/>
      <c r="AL402" t="inlineStr"/>
      <c r="AM402" t="inlineStr"/>
    </row>
    <row r="403">
      <c r="A403" t="inlineStr">
        <is>
          <t>064137J</t>
        </is>
      </c>
      <c r="B403" t="inlineStr">
        <is>
          <t>Graduate Diploma in Political Economy</t>
        </is>
      </c>
      <c r="C403" t="inlineStr">
        <is>
          <t>Graduate Diploma</t>
        </is>
      </c>
      <c r="D403" t="inlineStr">
        <is>
          <t>Postgraduate coursework</t>
        </is>
      </c>
      <c r="E403" t="inlineStr">
        <is>
          <t>Advertised: official page in place</t>
        </is>
      </c>
      <c r="F403" t="inlineStr">
        <is>
          <t>https://www.sydney.edu.au/courses/courses/pc/graduate-diploma-in-political-economy.html</t>
        </is>
      </c>
      <c r="G403" t="inlineStr">
        <is>
          <t>https://www.sydney.edu.au/courses/courses/pc/graduate-diploma-in-political-economy.html</t>
        </is>
      </c>
      <c r="H403" t="inlineStr">
        <is>
          <t>Read</t>
        </is>
      </c>
      <c r="I403" t="inlineStr">
        <is>
          <t>Exact title match</t>
        </is>
      </c>
      <c r="J403" t="inlineStr"/>
      <c r="K403" t="inlineStr">
        <is>
          <t>Not sent to re-link</t>
        </is>
      </c>
      <c r="L403" t="inlineStr">
        <is>
          <t>Filled</t>
        </is>
      </c>
      <c r="M403" t="inlineStr">
        <is>
          <t>Not stated on course page</t>
        </is>
      </c>
      <c r="N403" t="inlineStr"/>
      <c r="O403" t="n">
        <v>0</v>
      </c>
      <c r="P403" t="inlineStr"/>
      <c r="Q403" t="inlineStr">
        <is>
          <t>Filled</t>
        </is>
      </c>
      <c r="R403" t="n">
        <v>6.5</v>
      </c>
      <c r="S403" t="inlineStr">
        <is>
          <t>Central English policy</t>
        </is>
      </c>
      <c r="T403" t="inlineStr">
        <is>
          <t>Central rule applies (value agrees)</t>
        </is>
      </c>
      <c r="U403" t="inlineStr"/>
      <c r="V403" t="inlineStr">
        <is>
          <t>Not stated on course page</t>
        </is>
      </c>
      <c r="W403" t="inlineStr"/>
      <c r="X403" t="inlineStr"/>
      <c r="Y403" t="n">
        <v>0</v>
      </c>
      <c r="Z403" t="inlineStr">
        <is>
          <t>No</t>
        </is>
      </c>
      <c r="AA403" t="inlineStr">
        <is>
          <t>Filled</t>
        </is>
      </c>
      <c r="AB403" t="inlineStr">
        <is>
          <t>on campus</t>
        </is>
      </c>
      <c r="AC403" t="inlineStr"/>
      <c r="AD403" t="n">
        <v>0</v>
      </c>
      <c r="AE403" t="inlineStr"/>
      <c r="AF403" t="inlineStr"/>
      <c r="AG403" t="inlineStr"/>
      <c r="AH403" t="inlineStr"/>
      <c r="AI403" t="inlineStr">
        <is>
          <t>Yes</t>
        </is>
      </c>
      <c r="AJ403" t="inlineStr"/>
      <c r="AK403" t="inlineStr"/>
      <c r="AL403" t="inlineStr"/>
      <c r="AM403" t="inlineStr"/>
    </row>
    <row r="404">
      <c r="A404" t="inlineStr">
        <is>
          <t>079240J</t>
        </is>
      </c>
      <c r="B404" t="inlineStr">
        <is>
          <t>Graduate Diploma in Primary Health Care</t>
        </is>
      </c>
      <c r="C404" t="inlineStr">
        <is>
          <t>Graduate Diploma</t>
        </is>
      </c>
      <c r="D404" t="inlineStr">
        <is>
          <t>Postgraduate coursework</t>
        </is>
      </c>
      <c r="E404" t="inlineStr">
        <is>
          <t>Page address no longer works</t>
        </is>
      </c>
      <c r="F404" t="inlineStr"/>
      <c r="G404" t="inlineStr">
        <is>
          <t>https://www.sydney.edu.au/courses/courses/pc/graduate-diploma-in-primary-health-care.html</t>
        </is>
      </c>
      <c r="H404" t="inlineStr">
        <is>
          <t>Address no longer works</t>
        </is>
      </c>
      <c r="I404" t="inlineStr"/>
      <c r="J404" t="inlineStr"/>
      <c r="K404" t="inlineStr">
        <is>
          <t>Finished, no page: every candidate address was refused by the reader or did not</t>
        </is>
      </c>
      <c r="L404" t="inlineStr">
        <is>
          <t>Page found, being read</t>
        </is>
      </c>
      <c r="M404" t="inlineStr">
        <is>
          <t>Page found, being read</t>
        </is>
      </c>
      <c r="N404" t="inlineStr"/>
      <c r="O404" t="n">
        <v>0</v>
      </c>
      <c r="P404" t="inlineStr"/>
      <c r="Q404" t="inlineStr">
        <is>
          <t>Filled</t>
        </is>
      </c>
      <c r="R404" t="n">
        <v>6.5</v>
      </c>
      <c r="S404" t="inlineStr">
        <is>
          <t>Central English policy</t>
        </is>
      </c>
      <c r="T404" t="inlineStr">
        <is>
          <t>Central rule applies (value agrees)</t>
        </is>
      </c>
      <c r="U404" t="inlineStr"/>
      <c r="V404" t="inlineStr">
        <is>
          <t>Page found, being read</t>
        </is>
      </c>
      <c r="W404" t="inlineStr"/>
      <c r="X404" t="inlineStr"/>
      <c r="Y404" t="n">
        <v>0</v>
      </c>
      <c r="Z404" t="inlineStr">
        <is>
          <t>No</t>
        </is>
      </c>
      <c r="AA404" t="inlineStr">
        <is>
          <t>Not stated on course page</t>
        </is>
      </c>
      <c r="AB404" t="inlineStr"/>
      <c r="AC404" t="inlineStr">
        <is>
          <t>Skipped: no allowed source had a value</t>
        </is>
      </c>
      <c r="AD404" t="n">
        <v>1</v>
      </c>
      <c r="AE404" t="inlineStr"/>
      <c r="AF404" t="inlineStr"/>
      <c r="AG404" t="inlineStr"/>
      <c r="AH404" t="inlineStr"/>
      <c r="AI404" t="inlineStr"/>
      <c r="AJ404" t="inlineStr"/>
      <c r="AK404" t="inlineStr"/>
      <c r="AL404" t="inlineStr"/>
      <c r="AM404" t="inlineStr"/>
    </row>
    <row r="405">
      <c r="A405" t="inlineStr">
        <is>
          <t>077102B</t>
        </is>
      </c>
      <c r="B405" t="inlineStr">
        <is>
          <t>Graduate Diploma in Professional Accounting</t>
        </is>
      </c>
      <c r="C405" t="inlineStr">
        <is>
          <t>Graduate Diploma</t>
        </is>
      </c>
      <c r="D405" t="inlineStr">
        <is>
          <t>Postgraduate coursework</t>
        </is>
      </c>
      <c r="E405" t="inlineStr">
        <is>
          <t>Advertised: official page in place</t>
        </is>
      </c>
      <c r="F405" t="inlineStr">
        <is>
          <t>https://www.sydney.edu.au/courses/courses/pc/graduate-diploma-in-professional-accounting-and-business-performance.html</t>
        </is>
      </c>
      <c r="G405" t="inlineStr">
        <is>
          <t>https://www.sydney.edu.au/courses/courses/pc/graduate-diploma-in-professional-accounting-and-business-performance.html</t>
        </is>
      </c>
      <c r="H405" t="inlineStr">
        <is>
          <t>Read</t>
        </is>
      </c>
      <c r="I405" t="inlineStr">
        <is>
          <t>Exact title match</t>
        </is>
      </c>
      <c r="J405" t="inlineStr"/>
      <c r="K405" t="inlineStr">
        <is>
          <t>Not sent to re-link</t>
        </is>
      </c>
      <c r="L405" t="inlineStr">
        <is>
          <t>Filled</t>
        </is>
      </c>
      <c r="M405" t="inlineStr">
        <is>
          <t>Not stated on course page</t>
        </is>
      </c>
      <c r="N405" t="inlineStr"/>
      <c r="O405" t="n">
        <v>0</v>
      </c>
      <c r="P405" t="inlineStr"/>
      <c r="Q405" t="inlineStr">
        <is>
          <t>Filled</t>
        </is>
      </c>
      <c r="R405" t="n">
        <v>6.5</v>
      </c>
      <c r="S405" t="inlineStr">
        <is>
          <t>Central English policy</t>
        </is>
      </c>
      <c r="T405" t="inlineStr">
        <is>
          <t>Central rule applies (value agrees)</t>
        </is>
      </c>
      <c r="U405" t="inlineStr"/>
      <c r="V405" t="inlineStr">
        <is>
          <t>Not stated on course page</t>
        </is>
      </c>
      <c r="W405" t="inlineStr"/>
      <c r="X405" t="inlineStr"/>
      <c r="Y405" t="n">
        <v>0</v>
      </c>
      <c r="Z405" t="inlineStr">
        <is>
          <t>No</t>
        </is>
      </c>
      <c r="AA405" t="inlineStr">
        <is>
          <t>Filled</t>
        </is>
      </c>
      <c r="AB405" t="inlineStr">
        <is>
          <t>on campus</t>
        </is>
      </c>
      <c r="AC405" t="inlineStr"/>
      <c r="AD405" t="n">
        <v>0</v>
      </c>
      <c r="AE405" t="inlineStr"/>
      <c r="AF405" t="inlineStr"/>
      <c r="AG405" t="inlineStr"/>
      <c r="AH405" t="inlineStr"/>
      <c r="AI405" t="inlineStr">
        <is>
          <t>Yes</t>
        </is>
      </c>
      <c r="AJ405" t="inlineStr"/>
      <c r="AK405" t="inlineStr"/>
      <c r="AL405" t="inlineStr"/>
      <c r="AM405" t="inlineStr"/>
    </row>
    <row r="406">
      <c r="A406" t="inlineStr">
        <is>
          <t>107967M</t>
        </is>
      </c>
      <c r="B406" t="inlineStr">
        <is>
          <t>Graduate Diploma in Professional Accounting and Business Performance</t>
        </is>
      </c>
      <c r="C406" t="inlineStr">
        <is>
          <t>Graduate Diploma</t>
        </is>
      </c>
      <c r="D406" t="inlineStr">
        <is>
          <t>Postgraduate coursework</t>
        </is>
      </c>
      <c r="E406" t="inlineStr">
        <is>
          <t>Advertised: official page in place</t>
        </is>
      </c>
      <c r="F406" t="inlineStr">
        <is>
          <t>https://www.sydney.edu.au/courses/courses/pc/graduate-diploma-in-professional-accounting-and-business-performance.html</t>
        </is>
      </c>
      <c r="G406" t="inlineStr">
        <is>
          <t>https://www.sydney.edu.au/courses/courses/pc/graduate-diploma-in-professional-accounting-and-business-performance.html</t>
        </is>
      </c>
      <c r="H406" t="inlineStr">
        <is>
          <t>Read</t>
        </is>
      </c>
      <c r="I406" t="inlineStr">
        <is>
          <t>Exact title match</t>
        </is>
      </c>
      <c r="J406" t="inlineStr"/>
      <c r="K406" t="inlineStr">
        <is>
          <t>Not sent to re-link</t>
        </is>
      </c>
      <c r="L406" t="inlineStr">
        <is>
          <t>Filled</t>
        </is>
      </c>
      <c r="M406" t="inlineStr">
        <is>
          <t>Not stated on course page</t>
        </is>
      </c>
      <c r="N406" t="inlineStr"/>
      <c r="O406" t="n">
        <v>0</v>
      </c>
      <c r="P406" t="inlineStr"/>
      <c r="Q406" t="inlineStr">
        <is>
          <t>Filled</t>
        </is>
      </c>
      <c r="R406" t="n">
        <v>6.5</v>
      </c>
      <c r="S406" t="inlineStr">
        <is>
          <t>Central English policy</t>
        </is>
      </c>
      <c r="T406" t="inlineStr">
        <is>
          <t>Central rule applies (value agrees)</t>
        </is>
      </c>
      <c r="U406" t="inlineStr"/>
      <c r="V406" t="inlineStr">
        <is>
          <t>Not stated on course page</t>
        </is>
      </c>
      <c r="W406" t="inlineStr"/>
      <c r="X406" t="inlineStr"/>
      <c r="Y406" t="n">
        <v>0</v>
      </c>
      <c r="Z406" t="inlineStr">
        <is>
          <t>No</t>
        </is>
      </c>
      <c r="AA406" t="inlineStr">
        <is>
          <t>Filled</t>
        </is>
      </c>
      <c r="AB406" t="inlineStr">
        <is>
          <t>on campus</t>
        </is>
      </c>
      <c r="AC406" t="inlineStr"/>
      <c r="AD406" t="n">
        <v>0</v>
      </c>
      <c r="AE406" t="inlineStr"/>
      <c r="AF406" t="inlineStr"/>
      <c r="AG406" t="inlineStr"/>
      <c r="AH406" t="inlineStr"/>
      <c r="AI406" t="inlineStr">
        <is>
          <t>Yes</t>
        </is>
      </c>
      <c r="AJ406" t="inlineStr"/>
      <c r="AK406" t="inlineStr"/>
      <c r="AL406" t="inlineStr"/>
      <c r="AM406" t="inlineStr"/>
    </row>
    <row r="407">
      <c r="A407" t="inlineStr">
        <is>
          <t>114287K</t>
        </is>
      </c>
      <c r="B407" t="inlineStr">
        <is>
          <t>Graduate Diploma in Professional Studies (Education)</t>
        </is>
      </c>
      <c r="C407" t="inlineStr">
        <is>
          <t>Graduate Diploma</t>
        </is>
      </c>
      <c r="D407" t="inlineStr">
        <is>
          <t>Postgraduate coursework</t>
        </is>
      </c>
      <c r="E407" t="inlineStr">
        <is>
          <t>Page address no longer works</t>
        </is>
      </c>
      <c r="F407" t="inlineStr"/>
      <c r="G407" t="inlineStr">
        <is>
          <t>https://www.sydney.edu.au/courses/courses/pc/graduate-diploma-in-professional-studies-education.html</t>
        </is>
      </c>
      <c r="H407" t="inlineStr">
        <is>
          <t>Address no longer works</t>
        </is>
      </c>
      <c r="I407" t="inlineStr"/>
      <c r="J407" t="inlineStr"/>
      <c r="K407" t="inlineStr">
        <is>
          <t>Finished, no page: every candidate address was refused by the reader or did not</t>
        </is>
      </c>
      <c r="L407" t="inlineStr">
        <is>
          <t>Page found, being read</t>
        </is>
      </c>
      <c r="M407" t="inlineStr">
        <is>
          <t>Page found, being read</t>
        </is>
      </c>
      <c r="N407" t="inlineStr"/>
      <c r="O407" t="n">
        <v>0</v>
      </c>
      <c r="P407" t="inlineStr"/>
      <c r="Q407" t="inlineStr">
        <is>
          <t>Filled</t>
        </is>
      </c>
      <c r="R407" t="n">
        <v>6.5</v>
      </c>
      <c r="S407" t="inlineStr">
        <is>
          <t>Central English policy</t>
        </is>
      </c>
      <c r="T407" t="inlineStr">
        <is>
          <t>Central rule applies (value agrees)</t>
        </is>
      </c>
      <c r="U407" t="inlineStr"/>
      <c r="V407" t="inlineStr">
        <is>
          <t>Page found, being read</t>
        </is>
      </c>
      <c r="W407" t="inlineStr"/>
      <c r="X407" t="inlineStr"/>
      <c r="Y407" t="n">
        <v>0</v>
      </c>
      <c r="Z407" t="inlineStr">
        <is>
          <t>No</t>
        </is>
      </c>
      <c r="AA407" t="inlineStr">
        <is>
          <t>Not stated on course page</t>
        </is>
      </c>
      <c r="AB407" t="inlineStr"/>
      <c r="AC407" t="inlineStr">
        <is>
          <t>Skipped: no allowed source had a value</t>
        </is>
      </c>
      <c r="AD407" t="n">
        <v>1</v>
      </c>
      <c r="AE407" t="inlineStr"/>
      <c r="AF407" t="inlineStr"/>
      <c r="AG407" t="inlineStr"/>
      <c r="AH407" t="inlineStr"/>
      <c r="AI407" t="inlineStr"/>
      <c r="AJ407" t="inlineStr"/>
      <c r="AK407" t="inlineStr"/>
      <c r="AL407" t="inlineStr"/>
      <c r="AM407" t="inlineStr"/>
    </row>
    <row r="408">
      <c r="A408" t="inlineStr">
        <is>
          <t>031913B</t>
        </is>
      </c>
      <c r="B408" t="inlineStr">
        <is>
          <t>Graduate Diploma in Project Management</t>
        </is>
      </c>
      <c r="C408" t="inlineStr">
        <is>
          <t>Graduate Diploma</t>
        </is>
      </c>
      <c r="D408" t="inlineStr">
        <is>
          <t>Postgraduate coursework</t>
        </is>
      </c>
      <c r="E408" t="inlineStr">
        <is>
          <t>Advertised: official page in place</t>
        </is>
      </c>
      <c r="F408" t="inlineStr">
        <is>
          <t>https://www.sydney.edu.au/courses/courses/pc/graduate-diploma-in-project-management.html</t>
        </is>
      </c>
      <c r="G408" t="inlineStr">
        <is>
          <t>https://www.sydney.edu.au/courses/courses/pc/graduate-diploma-in-project-management.html</t>
        </is>
      </c>
      <c r="H408" t="inlineStr">
        <is>
          <t>Read</t>
        </is>
      </c>
      <c r="I408" t="inlineStr">
        <is>
          <t>Exact title match</t>
        </is>
      </c>
      <c r="J408" t="inlineStr"/>
      <c r="K408" t="inlineStr">
        <is>
          <t>Not sent to re-link</t>
        </is>
      </c>
      <c r="L408" t="inlineStr">
        <is>
          <t>Filled</t>
        </is>
      </c>
      <c r="M408" t="inlineStr">
        <is>
          <t>Not stated on course page</t>
        </is>
      </c>
      <c r="N408" t="inlineStr"/>
      <c r="O408" t="n">
        <v>0</v>
      </c>
      <c r="P408" t="inlineStr"/>
      <c r="Q408" t="inlineStr">
        <is>
          <t>Filled</t>
        </is>
      </c>
      <c r="R408" t="n">
        <v>6.5</v>
      </c>
      <c r="S408" t="inlineStr">
        <is>
          <t>Central English policy</t>
        </is>
      </c>
      <c r="T408" t="inlineStr">
        <is>
          <t>Central rule applies (value agrees)</t>
        </is>
      </c>
      <c r="U408" t="inlineStr"/>
      <c r="V408" t="inlineStr">
        <is>
          <t>Not stated on course page</t>
        </is>
      </c>
      <c r="W408" t="inlineStr"/>
      <c r="X408" t="inlineStr"/>
      <c r="Y408" t="n">
        <v>0</v>
      </c>
      <c r="Z408" t="inlineStr">
        <is>
          <t>No</t>
        </is>
      </c>
      <c r="AA408" t="inlineStr">
        <is>
          <t>Filled</t>
        </is>
      </c>
      <c r="AB408" t="inlineStr">
        <is>
          <t>on campus</t>
        </is>
      </c>
      <c r="AC408" t="inlineStr"/>
      <c r="AD408" t="n">
        <v>0</v>
      </c>
      <c r="AE408" t="inlineStr"/>
      <c r="AF408" t="inlineStr"/>
      <c r="AG408" t="inlineStr"/>
      <c r="AH408" t="inlineStr"/>
      <c r="AI408" t="inlineStr">
        <is>
          <t>Yes</t>
        </is>
      </c>
      <c r="AJ408" t="inlineStr"/>
      <c r="AK408" t="inlineStr"/>
      <c r="AL408" t="inlineStr"/>
      <c r="AM408" t="inlineStr"/>
    </row>
    <row r="409">
      <c r="A409" t="inlineStr">
        <is>
          <t>006457G</t>
        </is>
      </c>
      <c r="B409" t="inlineStr">
        <is>
          <t>Graduate Diploma in Public Health</t>
        </is>
      </c>
      <c r="C409" t="inlineStr">
        <is>
          <t>Graduate Diploma</t>
        </is>
      </c>
      <c r="D409" t="inlineStr">
        <is>
          <t>Postgraduate coursework</t>
        </is>
      </c>
      <c r="E409" t="inlineStr">
        <is>
          <t>Advertised: official page in place</t>
        </is>
      </c>
      <c r="F409" t="inlineStr">
        <is>
          <t>https://www.sydney.edu.au/courses/courses/pc/graduate-diploma-in-public-health0.html</t>
        </is>
      </c>
      <c r="G409" t="inlineStr">
        <is>
          <t>https://www.sydney.edu.au/courses/courses/pc/graduate-diploma-in-public-health0.html</t>
        </is>
      </c>
      <c r="H409" t="inlineStr">
        <is>
          <t>Read</t>
        </is>
      </c>
      <c r="I409" t="inlineStr">
        <is>
          <t>Exact title match</t>
        </is>
      </c>
      <c r="J409" t="inlineStr"/>
      <c r="K409" t="inlineStr">
        <is>
          <t>Not sent to re-link</t>
        </is>
      </c>
      <c r="L409" t="inlineStr">
        <is>
          <t>Filled</t>
        </is>
      </c>
      <c r="M409" t="inlineStr">
        <is>
          <t>Not stated on course page</t>
        </is>
      </c>
      <c r="N409" t="inlineStr"/>
      <c r="O409" t="n">
        <v>0</v>
      </c>
      <c r="P409" t="inlineStr"/>
      <c r="Q409" t="inlineStr">
        <is>
          <t>Filled</t>
        </is>
      </c>
      <c r="R409" t="n">
        <v>6.5</v>
      </c>
      <c r="S409" t="inlineStr">
        <is>
          <t>Central English policy</t>
        </is>
      </c>
      <c r="T409" t="inlineStr">
        <is>
          <t>Central rule applies (value agrees)</t>
        </is>
      </c>
      <c r="U409" t="inlineStr"/>
      <c r="V409" t="inlineStr">
        <is>
          <t>Not stated on course page</t>
        </is>
      </c>
      <c r="W409" t="inlineStr"/>
      <c r="X409" t="inlineStr"/>
      <c r="Y409" t="n">
        <v>0</v>
      </c>
      <c r="Z409" t="inlineStr">
        <is>
          <t>No</t>
        </is>
      </c>
      <c r="AA409" t="inlineStr">
        <is>
          <t>Filled</t>
        </is>
      </c>
      <c r="AB409" t="inlineStr">
        <is>
          <t>on campus</t>
        </is>
      </c>
      <c r="AC409" t="inlineStr"/>
      <c r="AD409" t="n">
        <v>0</v>
      </c>
      <c r="AE409" t="inlineStr"/>
      <c r="AF409" t="inlineStr"/>
      <c r="AG409" t="inlineStr"/>
      <c r="AH409" t="inlineStr"/>
      <c r="AI409" t="inlineStr">
        <is>
          <t>Yes</t>
        </is>
      </c>
      <c r="AJ409" t="inlineStr"/>
      <c r="AK409" t="inlineStr"/>
      <c r="AL409" t="inlineStr"/>
      <c r="AM409" t="inlineStr"/>
    </row>
    <row r="410">
      <c r="A410" t="inlineStr">
        <is>
          <t>016226F</t>
        </is>
      </c>
      <c r="B410" t="inlineStr">
        <is>
          <t>Graduate Diploma in Public Policy</t>
        </is>
      </c>
      <c r="C410" t="inlineStr">
        <is>
          <t>Graduate Diploma</t>
        </is>
      </c>
      <c r="D410" t="inlineStr">
        <is>
          <t>Postgraduate coursework</t>
        </is>
      </c>
      <c r="E410" t="inlineStr">
        <is>
          <t>Advertised: official page in place</t>
        </is>
      </c>
      <c r="F410" t="inlineStr">
        <is>
          <t>https://www.sydney.edu.au/courses/courses/pc/graduate-diploma-in-public-policy.html</t>
        </is>
      </c>
      <c r="G410" t="inlineStr">
        <is>
          <t>https://www.sydney.edu.au/courses/courses/pc/graduate-diploma-in-public-policy.html</t>
        </is>
      </c>
      <c r="H410" t="inlineStr">
        <is>
          <t>Read</t>
        </is>
      </c>
      <c r="I410" t="inlineStr">
        <is>
          <t>Exact title match</t>
        </is>
      </c>
      <c r="J410" t="inlineStr"/>
      <c r="K410" t="inlineStr">
        <is>
          <t>Not sent to re-link</t>
        </is>
      </c>
      <c r="L410" t="inlineStr">
        <is>
          <t>Filled</t>
        </is>
      </c>
      <c r="M410" t="inlineStr">
        <is>
          <t>Not stated on course page</t>
        </is>
      </c>
      <c r="N410" t="inlineStr"/>
      <c r="O410" t="n">
        <v>0</v>
      </c>
      <c r="P410" t="inlineStr"/>
      <c r="Q410" t="inlineStr">
        <is>
          <t>Filled</t>
        </is>
      </c>
      <c r="R410" t="n">
        <v>6.5</v>
      </c>
      <c r="S410" t="inlineStr">
        <is>
          <t>Central English policy</t>
        </is>
      </c>
      <c r="T410" t="inlineStr">
        <is>
          <t>Central rule applies (value agrees)</t>
        </is>
      </c>
      <c r="U410" t="inlineStr"/>
      <c r="V410" t="inlineStr">
        <is>
          <t>Not stated on course page</t>
        </is>
      </c>
      <c r="W410" t="inlineStr"/>
      <c r="X410" t="inlineStr"/>
      <c r="Y410" t="n">
        <v>0</v>
      </c>
      <c r="Z410" t="inlineStr">
        <is>
          <t>No</t>
        </is>
      </c>
      <c r="AA410" t="inlineStr">
        <is>
          <t>Filled</t>
        </is>
      </c>
      <c r="AB410" t="inlineStr">
        <is>
          <t>on campus</t>
        </is>
      </c>
      <c r="AC410" t="inlineStr"/>
      <c r="AD410" t="n">
        <v>0</v>
      </c>
      <c r="AE410" t="inlineStr"/>
      <c r="AF410" t="inlineStr"/>
      <c r="AG410" t="inlineStr"/>
      <c r="AH410" t="inlineStr"/>
      <c r="AI410" t="inlineStr">
        <is>
          <t>Yes</t>
        </is>
      </c>
      <c r="AJ410" t="inlineStr"/>
      <c r="AK410" t="inlineStr"/>
      <c r="AL410" t="inlineStr"/>
      <c r="AM410" t="inlineStr"/>
    </row>
    <row r="411">
      <c r="A411" t="inlineStr">
        <is>
          <t>058179E</t>
        </is>
      </c>
      <c r="B411" t="inlineStr">
        <is>
          <t>Graduate Diploma in Publishing</t>
        </is>
      </c>
      <c r="C411" t="inlineStr">
        <is>
          <t>Graduate Diploma</t>
        </is>
      </c>
      <c r="D411" t="inlineStr">
        <is>
          <t>Postgraduate coursework</t>
        </is>
      </c>
      <c r="E411" t="inlineStr">
        <is>
          <t>Advertised: official page in place</t>
        </is>
      </c>
      <c r="F411" t="inlineStr">
        <is>
          <t>https://www.sydney.edu.au/courses/courses/pc/graduate-diploma-in-publishing.html</t>
        </is>
      </c>
      <c r="G411" t="inlineStr">
        <is>
          <t>https://www.sydney.edu.au/courses/courses/pc/graduate-diploma-in-publishing.html</t>
        </is>
      </c>
      <c r="H411" t="inlineStr">
        <is>
          <t>Read</t>
        </is>
      </c>
      <c r="I411" t="inlineStr">
        <is>
          <t>Exact title match</t>
        </is>
      </c>
      <c r="J411" t="inlineStr"/>
      <c r="K411" t="inlineStr">
        <is>
          <t>Not sent to re-link</t>
        </is>
      </c>
      <c r="L411" t="inlineStr">
        <is>
          <t>Filled</t>
        </is>
      </c>
      <c r="M411" t="inlineStr">
        <is>
          <t>Not stated on course page</t>
        </is>
      </c>
      <c r="N411" t="inlineStr"/>
      <c r="O411" t="n">
        <v>0</v>
      </c>
      <c r="P411" t="inlineStr"/>
      <c r="Q411" t="inlineStr">
        <is>
          <t>Filled</t>
        </is>
      </c>
      <c r="R411" t="n">
        <v>6.5</v>
      </c>
      <c r="S411" t="inlineStr">
        <is>
          <t>Central English policy</t>
        </is>
      </c>
      <c r="T411" t="inlineStr">
        <is>
          <t>Central rule applies (value agrees)</t>
        </is>
      </c>
      <c r="U411" t="inlineStr"/>
      <c r="V411" t="inlineStr">
        <is>
          <t>Not stated on course page</t>
        </is>
      </c>
      <c r="W411" t="inlineStr"/>
      <c r="X411" t="inlineStr"/>
      <c r="Y411" t="n">
        <v>0</v>
      </c>
      <c r="Z411" t="inlineStr">
        <is>
          <t>No</t>
        </is>
      </c>
      <c r="AA411" t="inlineStr">
        <is>
          <t>Filled</t>
        </is>
      </c>
      <c r="AB411" t="inlineStr">
        <is>
          <t>on campus</t>
        </is>
      </c>
      <c r="AC411" t="inlineStr"/>
      <c r="AD411" t="n">
        <v>0</v>
      </c>
      <c r="AE411" t="inlineStr"/>
      <c r="AF411" t="inlineStr"/>
      <c r="AG411" t="inlineStr"/>
      <c r="AH411" t="inlineStr"/>
      <c r="AI411" t="inlineStr">
        <is>
          <t>Yes</t>
        </is>
      </c>
      <c r="AJ411" t="inlineStr"/>
      <c r="AK411" t="inlineStr"/>
      <c r="AL411" t="inlineStr"/>
      <c r="AM411" t="inlineStr"/>
    </row>
    <row r="412">
      <c r="A412" t="inlineStr">
        <is>
          <t>002748F</t>
        </is>
      </c>
      <c r="B412" t="inlineStr">
        <is>
          <t>Graduate Diploma in Rehabilitation Counselling</t>
        </is>
      </c>
      <c r="C412" t="inlineStr">
        <is>
          <t>Graduate Diploma</t>
        </is>
      </c>
      <c r="D412" t="inlineStr">
        <is>
          <t>Postgraduate coursework</t>
        </is>
      </c>
      <c r="E412" t="inlineStr">
        <is>
          <t>Held: page found is for another course</t>
        </is>
      </c>
      <c r="F412" t="inlineStr"/>
      <c r="G412" t="inlineStr">
        <is>
          <t>https://rp-handbooks.sydney.edu.au/handbooks/archive/2012/health_sci/postgraduate/coursework/rehabilitation_counselling/dip_m_rehabilitation_counselling.shtml</t>
        </is>
      </c>
      <c r="H412" t="inlineStr">
        <is>
          <t>Not a course page</t>
        </is>
      </c>
      <c r="I412" t="inlineStr"/>
      <c r="J412" t="inlineStr"/>
      <c r="K412" t="inlineStr">
        <is>
          <t>Not sent to re-link</t>
        </is>
      </c>
      <c r="L412" t="inlineStr">
        <is>
          <t>Not stated on course page</t>
        </is>
      </c>
      <c r="M412" t="inlineStr">
        <is>
          <t>Not stated on course page</t>
        </is>
      </c>
      <c r="N412" t="inlineStr"/>
      <c r="O412" t="n">
        <v>0</v>
      </c>
      <c r="P412" t="inlineStr"/>
      <c r="Q412" t="inlineStr">
        <is>
          <t>Filled</t>
        </is>
      </c>
      <c r="R412" t="n">
        <v>6.5</v>
      </c>
      <c r="S412" t="inlineStr">
        <is>
          <t>Central English policy</t>
        </is>
      </c>
      <c r="T412" t="inlineStr">
        <is>
          <t>Central rule applies (value agrees)</t>
        </is>
      </c>
      <c r="U412" t="inlineStr"/>
      <c r="V412" t="inlineStr">
        <is>
          <t>Waiting for AI reading (Layer 3, now retired)</t>
        </is>
      </c>
      <c r="W412" t="inlineStr"/>
      <c r="X412" t="inlineStr"/>
      <c r="Y412" t="n">
        <v>0</v>
      </c>
      <c r="Z412" t="inlineStr">
        <is>
          <t>No</t>
        </is>
      </c>
      <c r="AA412" t="inlineStr">
        <is>
          <t>Not stated on course page</t>
        </is>
      </c>
      <c r="AB412" t="inlineStr"/>
      <c r="AC412" t="inlineStr">
        <is>
          <t>Skipped: taken back: the page read was another course's page</t>
        </is>
      </c>
      <c r="AD412" t="n">
        <v>1</v>
      </c>
      <c r="AE412" t="inlineStr"/>
      <c r="AF412" t="inlineStr"/>
      <c r="AG412" t="inlineStr">
        <is>
          <t>Yes</t>
        </is>
      </c>
      <c r="AH412" t="inlineStr"/>
      <c r="AI412" t="inlineStr"/>
      <c r="AJ412" t="inlineStr"/>
      <c r="AK412" t="inlineStr"/>
      <c r="AL412" t="inlineStr"/>
      <c r="AM412" t="inlineStr"/>
    </row>
    <row r="413">
      <c r="A413" t="inlineStr">
        <is>
          <t>012846K</t>
        </is>
      </c>
      <c r="B413" t="inlineStr">
        <is>
          <t>Graduate Diploma in Science (Research)</t>
        </is>
      </c>
      <c r="C413" t="inlineStr">
        <is>
          <t>Graduate Diploma</t>
        </is>
      </c>
      <c r="D413" t="inlineStr">
        <is>
          <t>Postgraduate coursework</t>
        </is>
      </c>
      <c r="E413" t="inlineStr">
        <is>
          <t>Advertised: official page in place</t>
        </is>
      </c>
      <c r="F413" t="inlineStr">
        <is>
          <t>https://www.sydney.edu.au/handbooks/archive/2023/science_pg/coursework/dip_science.html</t>
        </is>
      </c>
      <c r="G413" t="inlineStr">
        <is>
          <t>https://www.sydney.edu.au/handbooks/archive/2023/science_pg/coursework/dip_science.html</t>
        </is>
      </c>
      <c r="H413" t="inlineStr">
        <is>
          <t>Read</t>
        </is>
      </c>
      <c r="I413" t="inlineStr">
        <is>
          <t>Exact title match</t>
        </is>
      </c>
      <c r="J413" t="inlineStr"/>
      <c r="K413" t="inlineStr">
        <is>
          <t>Not sent to re-link</t>
        </is>
      </c>
      <c r="L413" t="inlineStr">
        <is>
          <t>Filled</t>
        </is>
      </c>
      <c r="M413" t="inlineStr">
        <is>
          <t>Not stated on course page</t>
        </is>
      </c>
      <c r="N413" t="inlineStr"/>
      <c r="O413" t="n">
        <v>0</v>
      </c>
      <c r="P413" t="inlineStr"/>
      <c r="Q413" t="inlineStr">
        <is>
          <t>Filled</t>
        </is>
      </c>
      <c r="R413" t="n">
        <v>6.5</v>
      </c>
      <c r="S413" t="inlineStr">
        <is>
          <t>Central English policy</t>
        </is>
      </c>
      <c r="T413" t="inlineStr">
        <is>
          <t>Central rule applies (value agrees)</t>
        </is>
      </c>
      <c r="U413" t="inlineStr"/>
      <c r="V413" t="inlineStr">
        <is>
          <t>Not stated on course page</t>
        </is>
      </c>
      <c r="W413" t="inlineStr"/>
      <c r="X413" t="inlineStr"/>
      <c r="Y413" t="n">
        <v>0</v>
      </c>
      <c r="Z413" t="inlineStr">
        <is>
          <t>No</t>
        </is>
      </c>
      <c r="AA413" t="inlineStr">
        <is>
          <t>Filled</t>
        </is>
      </c>
      <c r="AB413" t="inlineStr">
        <is>
          <t>on campus</t>
        </is>
      </c>
      <c r="AC413" t="inlineStr">
        <is>
          <t>Filled</t>
        </is>
      </c>
      <c r="AD413" t="n">
        <v>0</v>
      </c>
      <c r="AE413" t="inlineStr"/>
      <c r="AF413" t="inlineStr"/>
      <c r="AG413" t="inlineStr"/>
      <c r="AH413" t="inlineStr"/>
      <c r="AI413" t="inlineStr">
        <is>
          <t>Yes</t>
        </is>
      </c>
      <c r="AJ413" t="inlineStr"/>
      <c r="AK413" t="inlineStr"/>
      <c r="AL413" t="inlineStr"/>
      <c r="AM413" t="inlineStr"/>
    </row>
    <row r="414">
      <c r="A414" t="inlineStr">
        <is>
          <t>083648F</t>
        </is>
      </c>
      <c r="B414" t="inlineStr">
        <is>
          <t>Graduate Diploma in Science in Medicine</t>
        </is>
      </c>
      <c r="C414" t="inlineStr">
        <is>
          <t>Graduate Diploma</t>
        </is>
      </c>
      <c r="D414" t="inlineStr">
        <is>
          <t>Postgraduate coursework</t>
        </is>
      </c>
      <c r="E414" t="inlineStr">
        <is>
          <t>Advertised: official page in place</t>
        </is>
      </c>
      <c r="F414" t="inlineStr">
        <is>
          <t>https://www.sydney.edu.au/courses/courses/pc/graduate-diploma-in-science-in-medicine-pharmaceutical-and-medical-device-development.html</t>
        </is>
      </c>
      <c r="G414" t="inlineStr">
        <is>
          <t>https://www.sydney.edu.au/courses/courses/pc/graduate-diploma-in-science-in-medicine-pharmaceutical-and-medical-device-development.html</t>
        </is>
      </c>
      <c r="H414" t="inlineStr">
        <is>
          <t>Read</t>
        </is>
      </c>
      <c r="I414" t="inlineStr">
        <is>
          <t>Exact title match</t>
        </is>
      </c>
      <c r="J414" t="inlineStr"/>
      <c r="K414" t="inlineStr">
        <is>
          <t>Not sent to re-link</t>
        </is>
      </c>
      <c r="L414" t="inlineStr">
        <is>
          <t>Filled</t>
        </is>
      </c>
      <c r="M414" t="inlineStr">
        <is>
          <t>Not stated on course page</t>
        </is>
      </c>
      <c r="N414" t="inlineStr"/>
      <c r="O414" t="n">
        <v>0</v>
      </c>
      <c r="P414" t="inlineStr"/>
      <c r="Q414" t="inlineStr">
        <is>
          <t>Filled</t>
        </is>
      </c>
      <c r="R414" t="n">
        <v>6.5</v>
      </c>
      <c r="S414" t="inlineStr">
        <is>
          <t>Central English policy</t>
        </is>
      </c>
      <c r="T414" t="inlineStr">
        <is>
          <t>Central rule applies (value agrees)</t>
        </is>
      </c>
      <c r="U414" t="inlineStr"/>
      <c r="V414" t="inlineStr">
        <is>
          <t>Not stated on course page</t>
        </is>
      </c>
      <c r="W414" t="inlineStr"/>
      <c r="X414" t="inlineStr"/>
      <c r="Y414" t="n">
        <v>0</v>
      </c>
      <c r="Z414" t="inlineStr">
        <is>
          <t>No</t>
        </is>
      </c>
      <c r="AA414" t="inlineStr">
        <is>
          <t>Filled</t>
        </is>
      </c>
      <c r="AB414" t="inlineStr">
        <is>
          <t>online</t>
        </is>
      </c>
      <c r="AC414" t="inlineStr">
        <is>
          <t>Filled</t>
        </is>
      </c>
      <c r="AD414" t="n">
        <v>0</v>
      </c>
      <c r="AE414" t="inlineStr"/>
      <c r="AF414" t="inlineStr"/>
      <c r="AG414" t="inlineStr"/>
      <c r="AH414" t="inlineStr"/>
      <c r="AI414" t="inlineStr">
        <is>
          <t>Yes</t>
        </is>
      </c>
      <c r="AJ414" t="inlineStr"/>
      <c r="AK414" t="inlineStr"/>
      <c r="AL414" t="inlineStr"/>
      <c r="AM414" t="inlineStr"/>
    </row>
    <row r="415">
      <c r="A415" t="inlineStr">
        <is>
          <t>107854J</t>
        </is>
      </c>
      <c r="B415" t="inlineStr">
        <is>
          <t>Graduate Diploma in Science in Medicine (Sexual and Reproductive Health)</t>
        </is>
      </c>
      <c r="C415" t="inlineStr">
        <is>
          <t>Graduate Diploma</t>
        </is>
      </c>
      <c r="D415" t="inlineStr">
        <is>
          <t>Postgraduate coursework</t>
        </is>
      </c>
      <c r="E415" t="inlineStr">
        <is>
          <t>Advertised: official page in place</t>
        </is>
      </c>
      <c r="F415" t="inlineStr">
        <is>
          <t>https://www.sydney.edu.au/courses/courses/pc/graduate-diploma-in-science-in-medicine-sexual-and-reproductive-health0.html</t>
        </is>
      </c>
      <c r="G415" t="inlineStr">
        <is>
          <t>https://www.sydney.edu.au/courses/courses/pc/graduate-diploma-in-science-in-medicine-sexual-and-reproductive-health0.html</t>
        </is>
      </c>
      <c r="H415" t="inlineStr">
        <is>
          <t>Read</t>
        </is>
      </c>
      <c r="I415" t="inlineStr">
        <is>
          <t>Exact title match</t>
        </is>
      </c>
      <c r="J415" t="inlineStr"/>
      <c r="K415" t="inlineStr">
        <is>
          <t>Not sent to re-link</t>
        </is>
      </c>
      <c r="L415" t="inlineStr">
        <is>
          <t>Filled</t>
        </is>
      </c>
      <c r="M415" t="inlineStr">
        <is>
          <t>Not stated on course page</t>
        </is>
      </c>
      <c r="N415" t="inlineStr"/>
      <c r="O415" t="n">
        <v>0</v>
      </c>
      <c r="P415" t="inlineStr"/>
      <c r="Q415" t="inlineStr">
        <is>
          <t>Filled</t>
        </is>
      </c>
      <c r="R415" t="n">
        <v>6.5</v>
      </c>
      <c r="S415" t="inlineStr">
        <is>
          <t>Central English policy</t>
        </is>
      </c>
      <c r="T415" t="inlineStr">
        <is>
          <t>Central rule applies (value agrees)</t>
        </is>
      </c>
      <c r="U415" t="inlineStr"/>
      <c r="V415" t="inlineStr">
        <is>
          <t>Not stated on course page</t>
        </is>
      </c>
      <c r="W415" t="inlineStr"/>
      <c r="X415" t="inlineStr"/>
      <c r="Y415" t="n">
        <v>0</v>
      </c>
      <c r="Z415" t="inlineStr">
        <is>
          <t>No</t>
        </is>
      </c>
      <c r="AA415" t="inlineStr">
        <is>
          <t>Filled</t>
        </is>
      </c>
      <c r="AB415" t="inlineStr">
        <is>
          <t>on campus</t>
        </is>
      </c>
      <c r="AC415" t="inlineStr"/>
      <c r="AD415" t="n">
        <v>0</v>
      </c>
      <c r="AE415" t="inlineStr"/>
      <c r="AF415" t="inlineStr"/>
      <c r="AG415" t="inlineStr"/>
      <c r="AH415" t="inlineStr"/>
      <c r="AI415" t="inlineStr">
        <is>
          <t>Yes</t>
        </is>
      </c>
      <c r="AJ415" t="inlineStr"/>
      <c r="AK415" t="inlineStr"/>
      <c r="AL415" t="inlineStr"/>
      <c r="AM415" t="inlineStr"/>
    </row>
    <row r="416">
      <c r="A416" t="inlineStr">
        <is>
          <t>045477B</t>
        </is>
      </c>
      <c r="B416" t="inlineStr">
        <is>
          <t>Graduate Diploma in Social Work</t>
        </is>
      </c>
      <c r="C416" t="inlineStr">
        <is>
          <t>Graduate Diploma</t>
        </is>
      </c>
      <c r="D416" t="inlineStr">
        <is>
          <t>Postgraduate coursework</t>
        </is>
      </c>
      <c r="E416" t="inlineStr">
        <is>
          <t>Page found, needs a rendered read</t>
        </is>
      </c>
      <c r="F416" t="inlineStr"/>
      <c r="G416" t="inlineStr">
        <is>
          <t>https://www.sydney.edu.au/courses/courses/pc/graduate-diploma-in-social-work.html</t>
        </is>
      </c>
      <c r="H416" t="inlineStr">
        <is>
          <t>Needs a rendered read</t>
        </is>
      </c>
      <c r="I416" t="inlineStr"/>
      <c r="J416" t="inlineStr"/>
      <c r="K416" t="inlineStr">
        <is>
          <t>Finished, no page: every candidate address was refused by the reader or did not</t>
        </is>
      </c>
      <c r="L416" t="inlineStr">
        <is>
          <t>Page found, being read</t>
        </is>
      </c>
      <c r="M416" t="inlineStr">
        <is>
          <t>Page found, being read</t>
        </is>
      </c>
      <c r="N416" t="inlineStr"/>
      <c r="O416" t="n">
        <v>0</v>
      </c>
      <c r="P416" t="inlineStr"/>
      <c r="Q416" t="inlineStr">
        <is>
          <t>Filled</t>
        </is>
      </c>
      <c r="R416" t="n">
        <v>6.5</v>
      </c>
      <c r="S416" t="inlineStr">
        <is>
          <t>Central English policy</t>
        </is>
      </c>
      <c r="T416" t="inlineStr">
        <is>
          <t>Central rule applies (value agrees)</t>
        </is>
      </c>
      <c r="U416" t="inlineStr"/>
      <c r="V416" t="inlineStr">
        <is>
          <t>Page found, being read</t>
        </is>
      </c>
      <c r="W416" t="inlineStr"/>
      <c r="X416" t="inlineStr"/>
      <c r="Y416" t="n">
        <v>0</v>
      </c>
      <c r="Z416" t="inlineStr">
        <is>
          <t>No</t>
        </is>
      </c>
      <c r="AA416" t="inlineStr">
        <is>
          <t>Not stated on course page</t>
        </is>
      </c>
      <c r="AB416" t="inlineStr"/>
      <c r="AC416" t="inlineStr">
        <is>
          <t>Skipped: no allowed source had a value</t>
        </is>
      </c>
      <c r="AD416" t="n">
        <v>1</v>
      </c>
      <c r="AE416" t="inlineStr">
        <is>
          <t>Yes</t>
        </is>
      </c>
      <c r="AF416" t="inlineStr"/>
      <c r="AG416" t="inlineStr"/>
      <c r="AH416" t="inlineStr"/>
      <c r="AI416" t="inlineStr"/>
      <c r="AJ416" t="inlineStr"/>
      <c r="AK416" t="inlineStr"/>
      <c r="AL416" t="inlineStr"/>
      <c r="AM416" t="inlineStr"/>
    </row>
    <row r="417">
      <c r="A417" t="inlineStr">
        <is>
          <t>053429K</t>
        </is>
      </c>
      <c r="B417" t="inlineStr">
        <is>
          <t>Graduate Diploma in Strategic Public Relations</t>
        </is>
      </c>
      <c r="C417" t="inlineStr">
        <is>
          <t>Graduate Diploma</t>
        </is>
      </c>
      <c r="D417" t="inlineStr">
        <is>
          <t>Postgraduate coursework</t>
        </is>
      </c>
      <c r="E417" t="inlineStr">
        <is>
          <t>Advertised: official page in place</t>
        </is>
      </c>
      <c r="F417" t="inlineStr">
        <is>
          <t>https://www.sydney.edu.au/courses/courses/pc/graduate-diploma-in-strategic-public-relations.html</t>
        </is>
      </c>
      <c r="G417" t="inlineStr">
        <is>
          <t>https://www.sydney.edu.au/courses/courses/pc/graduate-diploma-in-strategic-public-relations.html</t>
        </is>
      </c>
      <c r="H417" t="inlineStr">
        <is>
          <t>Read</t>
        </is>
      </c>
      <c r="I417" t="inlineStr">
        <is>
          <t>Exact title match</t>
        </is>
      </c>
      <c r="J417" t="inlineStr"/>
      <c r="K417" t="inlineStr">
        <is>
          <t>Not sent to re-link</t>
        </is>
      </c>
      <c r="L417" t="inlineStr">
        <is>
          <t>Filled</t>
        </is>
      </c>
      <c r="M417" t="inlineStr">
        <is>
          <t>Not stated on course page</t>
        </is>
      </c>
      <c r="N417" t="inlineStr"/>
      <c r="O417" t="n">
        <v>0</v>
      </c>
      <c r="P417" t="inlineStr"/>
      <c r="Q417" t="inlineStr">
        <is>
          <t>Filled</t>
        </is>
      </c>
      <c r="R417" t="n">
        <v>6.5</v>
      </c>
      <c r="S417" t="inlineStr">
        <is>
          <t>Central English policy</t>
        </is>
      </c>
      <c r="T417" t="inlineStr">
        <is>
          <t>Central rule applies (value agrees)</t>
        </is>
      </c>
      <c r="U417" t="inlineStr"/>
      <c r="V417" t="inlineStr">
        <is>
          <t>Not stated on course page</t>
        </is>
      </c>
      <c r="W417" t="inlineStr"/>
      <c r="X417" t="inlineStr"/>
      <c r="Y417" t="n">
        <v>0</v>
      </c>
      <c r="Z417" t="inlineStr">
        <is>
          <t>No</t>
        </is>
      </c>
      <c r="AA417" t="inlineStr">
        <is>
          <t>Filled</t>
        </is>
      </c>
      <c r="AB417" t="inlineStr">
        <is>
          <t>on campus</t>
        </is>
      </c>
      <c r="AC417" t="inlineStr"/>
      <c r="AD417" t="n">
        <v>0</v>
      </c>
      <c r="AE417" t="inlineStr"/>
      <c r="AF417" t="inlineStr"/>
      <c r="AG417" t="inlineStr"/>
      <c r="AH417" t="inlineStr"/>
      <c r="AI417" t="inlineStr">
        <is>
          <t>Yes</t>
        </is>
      </c>
      <c r="AJ417" t="inlineStr"/>
      <c r="AK417" t="inlineStr"/>
      <c r="AL417" t="inlineStr"/>
      <c r="AM417" t="inlineStr"/>
    </row>
    <row r="418">
      <c r="A418" t="inlineStr">
        <is>
          <t>068693D</t>
        </is>
      </c>
      <c r="B418" t="inlineStr">
        <is>
          <t>Graduate Diploma in Sustainability</t>
        </is>
      </c>
      <c r="C418" t="inlineStr">
        <is>
          <t>Graduate Diploma</t>
        </is>
      </c>
      <c r="D418" t="inlineStr">
        <is>
          <t>Postgraduate coursework</t>
        </is>
      </c>
      <c r="E418" t="inlineStr">
        <is>
          <t>Advertised: official page in place</t>
        </is>
      </c>
      <c r="F418" t="inlineStr">
        <is>
          <t>https://www.sydney.edu.au/courses/courses/pc/graduate-diploma-in-sustainability0.html</t>
        </is>
      </c>
      <c r="G418" t="inlineStr">
        <is>
          <t>https://www.sydney.edu.au/courses/courses/pc/graduate-diploma-in-sustainability0.html</t>
        </is>
      </c>
      <c r="H418" t="inlineStr">
        <is>
          <t>Read</t>
        </is>
      </c>
      <c r="I418" t="inlineStr">
        <is>
          <t>Exact title match</t>
        </is>
      </c>
      <c r="J418" t="inlineStr"/>
      <c r="K418" t="inlineStr">
        <is>
          <t>Not sent to re-link</t>
        </is>
      </c>
      <c r="L418" t="inlineStr">
        <is>
          <t>Filled</t>
        </is>
      </c>
      <c r="M418" t="inlineStr">
        <is>
          <t>Not stated on course page</t>
        </is>
      </c>
      <c r="N418" t="inlineStr"/>
      <c r="O418" t="n">
        <v>0</v>
      </c>
      <c r="P418" t="inlineStr"/>
      <c r="Q418" t="inlineStr">
        <is>
          <t>Filled</t>
        </is>
      </c>
      <c r="R418" t="n">
        <v>6.5</v>
      </c>
      <c r="S418" t="inlineStr">
        <is>
          <t>Central English policy</t>
        </is>
      </c>
      <c r="T418" t="inlineStr">
        <is>
          <t>Central rule applies (value agrees)</t>
        </is>
      </c>
      <c r="U418" t="inlineStr"/>
      <c r="V418" t="inlineStr">
        <is>
          <t>Not stated on course page</t>
        </is>
      </c>
      <c r="W418" t="inlineStr"/>
      <c r="X418" t="inlineStr"/>
      <c r="Y418" t="n">
        <v>0</v>
      </c>
      <c r="Z418" t="inlineStr">
        <is>
          <t>No</t>
        </is>
      </c>
      <c r="AA418" t="inlineStr">
        <is>
          <t>Filled</t>
        </is>
      </c>
      <c r="AB418" t="inlineStr">
        <is>
          <t>on campus</t>
        </is>
      </c>
      <c r="AC418" t="inlineStr"/>
      <c r="AD418" t="n">
        <v>0</v>
      </c>
      <c r="AE418" t="inlineStr"/>
      <c r="AF418" t="inlineStr"/>
      <c r="AG418" t="inlineStr"/>
      <c r="AH418" t="inlineStr"/>
      <c r="AI418" t="inlineStr">
        <is>
          <t>Yes</t>
        </is>
      </c>
      <c r="AJ418" t="inlineStr"/>
      <c r="AK418" t="inlineStr"/>
      <c r="AL418" t="inlineStr"/>
      <c r="AM418" t="inlineStr"/>
    </row>
    <row r="419">
      <c r="A419" t="inlineStr">
        <is>
          <t>028450K</t>
        </is>
      </c>
      <c r="B419" t="inlineStr">
        <is>
          <t>Graduate Diploma in Taxation</t>
        </is>
      </c>
      <c r="C419" t="inlineStr">
        <is>
          <t>Graduate Diploma</t>
        </is>
      </c>
      <c r="D419" t="inlineStr">
        <is>
          <t>Postgraduate coursework</t>
        </is>
      </c>
      <c r="E419" t="inlineStr">
        <is>
          <t>Advertised: official page in place</t>
        </is>
      </c>
      <c r="F419" t="inlineStr">
        <is>
          <t>https://www.sydney.edu.au/courses/courses/pc/graduate-diploma-in-taxation.html</t>
        </is>
      </c>
      <c r="G419" t="inlineStr">
        <is>
          <t>https://www.sydney.edu.au/courses/courses/pc/graduate-diploma-in-taxation.html</t>
        </is>
      </c>
      <c r="H419" t="inlineStr">
        <is>
          <t>Read</t>
        </is>
      </c>
      <c r="I419" t="inlineStr">
        <is>
          <t>Exact title match</t>
        </is>
      </c>
      <c r="J419" t="inlineStr"/>
      <c r="K419" t="inlineStr">
        <is>
          <t>Not sent to re-link</t>
        </is>
      </c>
      <c r="L419" t="inlineStr">
        <is>
          <t>Filled</t>
        </is>
      </c>
      <c r="M419" t="inlineStr">
        <is>
          <t>Not stated on course page</t>
        </is>
      </c>
      <c r="N419" t="inlineStr"/>
      <c r="O419" t="n">
        <v>0</v>
      </c>
      <c r="P419" t="inlineStr"/>
      <c r="Q419" t="inlineStr">
        <is>
          <t>Filled</t>
        </is>
      </c>
      <c r="R419" t="n">
        <v>6.5</v>
      </c>
      <c r="S419" t="inlineStr">
        <is>
          <t>Central English policy</t>
        </is>
      </c>
      <c r="T419" t="inlineStr">
        <is>
          <t>Central rule applies (value agrees)</t>
        </is>
      </c>
      <c r="U419" t="inlineStr"/>
      <c r="V419" t="inlineStr">
        <is>
          <t>Not stated on course page</t>
        </is>
      </c>
      <c r="W419" t="inlineStr"/>
      <c r="X419" t="inlineStr"/>
      <c r="Y419" t="n">
        <v>0</v>
      </c>
      <c r="Z419" t="inlineStr">
        <is>
          <t>No</t>
        </is>
      </c>
      <c r="AA419" t="inlineStr">
        <is>
          <t>Filled</t>
        </is>
      </c>
      <c r="AB419" t="inlineStr">
        <is>
          <t>on campus</t>
        </is>
      </c>
      <c r="AC419" t="inlineStr"/>
      <c r="AD419" t="n">
        <v>0</v>
      </c>
      <c r="AE419" t="inlineStr"/>
      <c r="AF419" t="inlineStr"/>
      <c r="AG419" t="inlineStr"/>
      <c r="AH419" t="inlineStr"/>
      <c r="AI419" t="inlineStr">
        <is>
          <t>Yes</t>
        </is>
      </c>
      <c r="AJ419" t="inlineStr"/>
      <c r="AK419" t="inlineStr"/>
      <c r="AL419" t="inlineStr"/>
      <c r="AM419" t="inlineStr"/>
    </row>
    <row r="420">
      <c r="A420" t="inlineStr">
        <is>
          <t>118315A</t>
        </is>
      </c>
      <c r="B420" t="inlineStr">
        <is>
          <t>Graduate Diploma in Teaching English to Speakers of Other Languages</t>
        </is>
      </c>
      <c r="C420" t="inlineStr">
        <is>
          <t>Graduate Diploma</t>
        </is>
      </c>
      <c r="D420" t="inlineStr">
        <is>
          <t>Postgraduate coursework</t>
        </is>
      </c>
      <c r="E420" t="inlineStr">
        <is>
          <t>Advertised: official page in place</t>
        </is>
      </c>
      <c r="F420" t="inlineStr">
        <is>
          <t>https://www.sydney.edu.au/courses/courses/pc/graduate-diploma-in-teaching-english-to-speakers-of-other-languages.html</t>
        </is>
      </c>
      <c r="G420" t="inlineStr">
        <is>
          <t>https://www.sydney.edu.au/courses/courses/pc/graduate-diploma-in-teaching-english-to-speakers-of-other-languages.html</t>
        </is>
      </c>
      <c r="H420" t="inlineStr">
        <is>
          <t>Read</t>
        </is>
      </c>
      <c r="I420" t="inlineStr">
        <is>
          <t>Exact title match</t>
        </is>
      </c>
      <c r="J420" t="inlineStr"/>
      <c r="K420" t="inlineStr">
        <is>
          <t>Not sent to re-link</t>
        </is>
      </c>
      <c r="L420" t="inlineStr">
        <is>
          <t>Filled</t>
        </is>
      </c>
      <c r="M420" t="inlineStr">
        <is>
          <t>Not stated on course page</t>
        </is>
      </c>
      <c r="N420" t="inlineStr"/>
      <c r="O420" t="n">
        <v>0</v>
      </c>
      <c r="P420" t="inlineStr"/>
      <c r="Q420" t="inlineStr">
        <is>
          <t>Filled</t>
        </is>
      </c>
      <c r="R420" t="n">
        <v>6.5</v>
      </c>
      <c r="S420" t="inlineStr">
        <is>
          <t>Central English policy</t>
        </is>
      </c>
      <c r="T420" t="inlineStr">
        <is>
          <t>Central rule applies (value agrees)</t>
        </is>
      </c>
      <c r="U420" t="inlineStr"/>
      <c r="V420" t="inlineStr">
        <is>
          <t>Not stated on course page</t>
        </is>
      </c>
      <c r="W420" t="inlineStr"/>
      <c r="X420" t="inlineStr"/>
      <c r="Y420" t="n">
        <v>0</v>
      </c>
      <c r="Z420" t="inlineStr">
        <is>
          <t>No</t>
        </is>
      </c>
      <c r="AA420" t="inlineStr">
        <is>
          <t>Filled</t>
        </is>
      </c>
      <c r="AB420" t="inlineStr">
        <is>
          <t>on campus</t>
        </is>
      </c>
      <c r="AC420" t="inlineStr"/>
      <c r="AD420" t="n">
        <v>0</v>
      </c>
      <c r="AE420" t="inlineStr"/>
      <c r="AF420" t="inlineStr"/>
      <c r="AG420" t="inlineStr"/>
      <c r="AH420" t="inlineStr"/>
      <c r="AI420" t="inlineStr">
        <is>
          <t>Yes</t>
        </is>
      </c>
      <c r="AJ420" t="inlineStr"/>
      <c r="AK420" t="inlineStr"/>
      <c r="AL420" t="inlineStr"/>
      <c r="AM420" t="inlineStr"/>
    </row>
    <row r="421">
      <c r="A421" t="inlineStr">
        <is>
          <t>099889B</t>
        </is>
      </c>
      <c r="B421" t="inlineStr">
        <is>
          <t>Graduate Diploma in Transport</t>
        </is>
      </c>
      <c r="C421" t="inlineStr">
        <is>
          <t>Graduate Diploma</t>
        </is>
      </c>
      <c r="D421" t="inlineStr">
        <is>
          <t>Postgraduate coursework</t>
        </is>
      </c>
      <c r="E421" t="inlineStr">
        <is>
          <t>Advertised: official page in place</t>
        </is>
      </c>
      <c r="F421" t="inlineStr">
        <is>
          <t>https://www.sydney.edu.au/courses/courses/pc/graduate-diploma-in-transport.html</t>
        </is>
      </c>
      <c r="G421" t="inlineStr">
        <is>
          <t>https://www.sydney.edu.au/courses/courses/pc/graduate-diploma-in-transport.html</t>
        </is>
      </c>
      <c r="H421" t="inlineStr">
        <is>
          <t>Read</t>
        </is>
      </c>
      <c r="I421" t="inlineStr">
        <is>
          <t>Exact title match</t>
        </is>
      </c>
      <c r="J421" t="inlineStr"/>
      <c r="K421" t="inlineStr">
        <is>
          <t>Not sent to re-link</t>
        </is>
      </c>
      <c r="L421" t="inlineStr">
        <is>
          <t>Filled</t>
        </is>
      </c>
      <c r="M421" t="inlineStr">
        <is>
          <t>Not stated on course page</t>
        </is>
      </c>
      <c r="N421" t="inlineStr"/>
      <c r="O421" t="n">
        <v>0</v>
      </c>
      <c r="P421" t="inlineStr"/>
      <c r="Q421" t="inlineStr">
        <is>
          <t>Filled</t>
        </is>
      </c>
      <c r="R421" t="n">
        <v>6.5</v>
      </c>
      <c r="S421" t="inlineStr">
        <is>
          <t>Central English policy</t>
        </is>
      </c>
      <c r="T421" t="inlineStr">
        <is>
          <t>Central rule applies (value agrees)</t>
        </is>
      </c>
      <c r="U421" t="inlineStr"/>
      <c r="V421" t="inlineStr">
        <is>
          <t>Not stated on course page</t>
        </is>
      </c>
      <c r="W421" t="inlineStr"/>
      <c r="X421" t="inlineStr"/>
      <c r="Y421" t="n">
        <v>0</v>
      </c>
      <c r="Z421" t="inlineStr">
        <is>
          <t>No</t>
        </is>
      </c>
      <c r="AA421" t="inlineStr">
        <is>
          <t>Filled</t>
        </is>
      </c>
      <c r="AB421" t="inlineStr">
        <is>
          <t>on campus</t>
        </is>
      </c>
      <c r="AC421" t="inlineStr"/>
      <c r="AD421" t="n">
        <v>0</v>
      </c>
      <c r="AE421" t="inlineStr"/>
      <c r="AF421" t="inlineStr"/>
      <c r="AG421" t="inlineStr"/>
      <c r="AH421" t="inlineStr"/>
      <c r="AI421" t="inlineStr">
        <is>
          <t>Yes</t>
        </is>
      </c>
      <c r="AJ421" t="inlineStr"/>
      <c r="AK421" t="inlineStr"/>
      <c r="AL421" t="inlineStr"/>
      <c r="AM421" t="inlineStr"/>
    </row>
    <row r="422">
      <c r="A422" t="inlineStr">
        <is>
          <t>006430G</t>
        </is>
      </c>
      <c r="B422" t="inlineStr">
        <is>
          <t>Graduate Diploma in Urban &amp; Regional Planning (Heritage Conservation/Housing Studies)</t>
        </is>
      </c>
      <c r="C422" t="inlineStr">
        <is>
          <t>Graduate Diploma</t>
        </is>
      </c>
      <c r="D422" t="inlineStr">
        <is>
          <t>Postgraduate coursework</t>
        </is>
      </c>
      <c r="E422" t="inlineStr">
        <is>
          <t>Page address no longer works</t>
        </is>
      </c>
      <c r="F422" t="inlineStr"/>
      <c r="G422" t="inlineStr">
        <is>
          <t>https://www.sydney.edu.au/courses/courses/pc/graduate-diploma-in-urban-regional-planning-heritage-conservation-housing-studies.html</t>
        </is>
      </c>
      <c r="H422" t="inlineStr">
        <is>
          <t>Address no longer works</t>
        </is>
      </c>
      <c r="I422" t="inlineStr"/>
      <c r="J422" t="inlineStr"/>
      <c r="K422" t="inlineStr">
        <is>
          <t>Finished, no page: every candidate address was refused by the reader or did not</t>
        </is>
      </c>
      <c r="L422" t="inlineStr">
        <is>
          <t>Page found, being read</t>
        </is>
      </c>
      <c r="M422" t="inlineStr">
        <is>
          <t>Page found, being read</t>
        </is>
      </c>
      <c r="N422" t="inlineStr"/>
      <c r="O422" t="n">
        <v>0</v>
      </c>
      <c r="P422" t="inlineStr"/>
      <c r="Q422" t="inlineStr">
        <is>
          <t>Page found, being read</t>
        </is>
      </c>
      <c r="S422" t="inlineStr"/>
      <c r="T422" t="inlineStr">
        <is>
          <t>Held: double degree (its parts are at different levels)</t>
        </is>
      </c>
      <c r="U422" t="inlineStr"/>
      <c r="V422" t="inlineStr">
        <is>
          <t>Page found, being read</t>
        </is>
      </c>
      <c r="W422" t="inlineStr"/>
      <c r="X422" t="inlineStr"/>
      <c r="Y422" t="n">
        <v>0</v>
      </c>
      <c r="Z422" t="inlineStr">
        <is>
          <t>No</t>
        </is>
      </c>
      <c r="AA422" t="inlineStr">
        <is>
          <t>Not stated on course page</t>
        </is>
      </c>
      <c r="AB422" t="inlineStr"/>
      <c r="AC422" t="inlineStr">
        <is>
          <t>Skipped: no allowed source had a value</t>
        </is>
      </c>
      <c r="AD422" t="n">
        <v>1</v>
      </c>
      <c r="AE422" t="inlineStr"/>
      <c r="AF422" t="inlineStr"/>
      <c r="AG422" t="inlineStr"/>
      <c r="AH422" t="inlineStr"/>
      <c r="AI422" t="inlineStr"/>
      <c r="AJ422" t="inlineStr">
        <is>
          <t>Yes</t>
        </is>
      </c>
      <c r="AK422" t="inlineStr"/>
      <c r="AL422" t="inlineStr"/>
      <c r="AM422" t="inlineStr"/>
    </row>
    <row r="423">
      <c r="A423" t="inlineStr">
        <is>
          <t>000694J</t>
        </is>
      </c>
      <c r="B423" t="inlineStr">
        <is>
          <t>Graduate Diploma in Urban Design</t>
        </is>
      </c>
      <c r="C423" t="inlineStr">
        <is>
          <t>Graduate Diploma</t>
        </is>
      </c>
      <c r="D423" t="inlineStr">
        <is>
          <t>Postgraduate coursework</t>
        </is>
      </c>
      <c r="E423" t="inlineStr">
        <is>
          <t>Advertised: official page in place</t>
        </is>
      </c>
      <c r="F423" t="inlineStr">
        <is>
          <t>https://www.sydney.edu.au/courses/courses/pc/graduate-diploma-in-urban-design.html</t>
        </is>
      </c>
      <c r="G423" t="inlineStr">
        <is>
          <t>https://www.sydney.edu.au/courses/courses/pc/graduate-diploma-in-urban-design.html</t>
        </is>
      </c>
      <c r="H423" t="inlineStr">
        <is>
          <t>Read</t>
        </is>
      </c>
      <c r="I423" t="inlineStr">
        <is>
          <t>Exact title match</t>
        </is>
      </c>
      <c r="J423" t="inlineStr"/>
      <c r="K423" t="inlineStr">
        <is>
          <t>Not sent to re-link</t>
        </is>
      </c>
      <c r="L423" t="inlineStr">
        <is>
          <t>Filled</t>
        </is>
      </c>
      <c r="M423" t="inlineStr">
        <is>
          <t>Not stated on course page</t>
        </is>
      </c>
      <c r="N423" t="inlineStr"/>
      <c r="O423" t="n">
        <v>0</v>
      </c>
      <c r="P423" t="inlineStr"/>
      <c r="Q423" t="inlineStr">
        <is>
          <t>Filled</t>
        </is>
      </c>
      <c r="R423" t="n">
        <v>6.5</v>
      </c>
      <c r="S423" t="inlineStr">
        <is>
          <t>Central English policy</t>
        </is>
      </c>
      <c r="T423" t="inlineStr">
        <is>
          <t>Central rule applies (value agrees)</t>
        </is>
      </c>
      <c r="U423" t="inlineStr"/>
      <c r="V423" t="inlineStr">
        <is>
          <t>Not stated on course page</t>
        </is>
      </c>
      <c r="W423" t="inlineStr"/>
      <c r="X423" t="inlineStr"/>
      <c r="Y423" t="n">
        <v>0</v>
      </c>
      <c r="Z423" t="inlineStr">
        <is>
          <t>No</t>
        </is>
      </c>
      <c r="AA423" t="inlineStr">
        <is>
          <t>Filled</t>
        </is>
      </c>
      <c r="AB423" t="inlineStr">
        <is>
          <t>on campus</t>
        </is>
      </c>
      <c r="AC423" t="inlineStr"/>
      <c r="AD423" t="n">
        <v>0</v>
      </c>
      <c r="AE423" t="inlineStr"/>
      <c r="AF423" t="inlineStr"/>
      <c r="AG423" t="inlineStr"/>
      <c r="AH423" t="inlineStr"/>
      <c r="AI423" t="inlineStr">
        <is>
          <t>Yes</t>
        </is>
      </c>
      <c r="AJ423" t="inlineStr"/>
      <c r="AK423" t="inlineStr"/>
      <c r="AL423" t="inlineStr"/>
      <c r="AM423" t="inlineStr"/>
    </row>
    <row r="424">
      <c r="A424" t="inlineStr">
        <is>
          <t>058361G</t>
        </is>
      </c>
      <c r="B424" t="inlineStr">
        <is>
          <t>Graduate Diploma in Veterinary Studies</t>
        </is>
      </c>
      <c r="C424" t="inlineStr">
        <is>
          <t>Graduate Diploma</t>
        </is>
      </c>
      <c r="D424" t="inlineStr">
        <is>
          <t>Postgraduate coursework</t>
        </is>
      </c>
      <c r="E424" t="inlineStr">
        <is>
          <t>Page address no longer works</t>
        </is>
      </c>
      <c r="F424" t="inlineStr"/>
      <c r="G424" t="inlineStr">
        <is>
          <t>https://www.sydney.edu.au/courses/courses/pc/graduate-diploma-in-veterinary-studies.html</t>
        </is>
      </c>
      <c r="H424" t="inlineStr">
        <is>
          <t>Address no longer works</t>
        </is>
      </c>
      <c r="I424" t="inlineStr"/>
      <c r="J424" t="inlineStr"/>
      <c r="K424" t="inlineStr">
        <is>
          <t>Finished, no page: every candidate address was refused by the reader or did not</t>
        </is>
      </c>
      <c r="L424" t="inlineStr">
        <is>
          <t>Page found, being read</t>
        </is>
      </c>
      <c r="M424" t="inlineStr">
        <is>
          <t>Page found, being read</t>
        </is>
      </c>
      <c r="N424" t="inlineStr"/>
      <c r="O424" t="n">
        <v>0</v>
      </c>
      <c r="P424" t="inlineStr"/>
      <c r="Q424" t="inlineStr">
        <is>
          <t>Filled</t>
        </is>
      </c>
      <c r="R424" t="n">
        <v>6.5</v>
      </c>
      <c r="S424" t="inlineStr">
        <is>
          <t>Central English policy</t>
        </is>
      </c>
      <c r="T424" t="inlineStr">
        <is>
          <t>Central rule applies (value agrees)</t>
        </is>
      </c>
      <c r="U424" t="inlineStr"/>
      <c r="V424" t="inlineStr">
        <is>
          <t>Page found, being read</t>
        </is>
      </c>
      <c r="W424" t="inlineStr"/>
      <c r="X424" t="inlineStr"/>
      <c r="Y424" t="n">
        <v>0</v>
      </c>
      <c r="Z424" t="inlineStr">
        <is>
          <t>No</t>
        </is>
      </c>
      <c r="AA424" t="inlineStr">
        <is>
          <t>Not stated on course page</t>
        </is>
      </c>
      <c r="AB424" t="inlineStr"/>
      <c r="AC424" t="inlineStr">
        <is>
          <t>Skipped: no allowed source had a value</t>
        </is>
      </c>
      <c r="AD424" t="n">
        <v>1</v>
      </c>
      <c r="AE424" t="inlineStr"/>
      <c r="AF424" t="inlineStr"/>
      <c r="AG424" t="inlineStr"/>
      <c r="AH424" t="inlineStr"/>
      <c r="AI424" t="inlineStr"/>
      <c r="AJ424" t="inlineStr"/>
      <c r="AK424" t="inlineStr"/>
      <c r="AL424" t="inlineStr"/>
      <c r="AM424" t="inlineStr"/>
    </row>
    <row r="425">
      <c r="A425" t="inlineStr">
        <is>
          <t>096315J</t>
        </is>
      </c>
      <c r="B425" t="inlineStr">
        <is>
          <t>Graduate Diploma of Crosscultural and Applied Linguistics</t>
        </is>
      </c>
      <c r="C425" t="inlineStr">
        <is>
          <t>Graduate Diploma</t>
        </is>
      </c>
      <c r="D425" t="inlineStr">
        <is>
          <t>Postgraduate coursework</t>
        </is>
      </c>
      <c r="E425" t="inlineStr">
        <is>
          <t>Advertised: official page in place</t>
        </is>
      </c>
      <c r="F425" t="inlineStr">
        <is>
          <t>https://www.sydney.edu.au/courses/courses/pc/graduate-diploma-in-crosscultural-and-applied-linguistics.html</t>
        </is>
      </c>
      <c r="G425" t="inlineStr">
        <is>
          <t>https://www.sydney.edu.au/courses/courses/pc/graduate-diploma-in-crosscultural-and-applied-linguistics.html</t>
        </is>
      </c>
      <c r="H425" t="inlineStr">
        <is>
          <t>Read</t>
        </is>
      </c>
      <c r="I425" t="inlineStr">
        <is>
          <t>Exact title match</t>
        </is>
      </c>
      <c r="J425" t="inlineStr"/>
      <c r="K425" t="inlineStr">
        <is>
          <t>Not sent to re-link</t>
        </is>
      </c>
      <c r="L425" t="inlineStr">
        <is>
          <t>Filled</t>
        </is>
      </c>
      <c r="M425" t="inlineStr">
        <is>
          <t>Not stated on course page</t>
        </is>
      </c>
      <c r="N425" t="inlineStr"/>
      <c r="O425" t="n">
        <v>0</v>
      </c>
      <c r="P425" t="inlineStr"/>
      <c r="Q425" t="inlineStr">
        <is>
          <t>Filled</t>
        </is>
      </c>
      <c r="R425" t="n">
        <v>6.5</v>
      </c>
      <c r="S425" t="inlineStr">
        <is>
          <t>Central English policy</t>
        </is>
      </c>
      <c r="T425" t="inlineStr">
        <is>
          <t>Central rule applies (value agrees)</t>
        </is>
      </c>
      <c r="U425" t="inlineStr"/>
      <c r="V425" t="inlineStr">
        <is>
          <t>Not stated on course page</t>
        </is>
      </c>
      <c r="W425" t="inlineStr"/>
      <c r="X425" t="inlineStr"/>
      <c r="Y425" t="n">
        <v>0</v>
      </c>
      <c r="Z425" t="inlineStr">
        <is>
          <t>No</t>
        </is>
      </c>
      <c r="AA425" t="inlineStr">
        <is>
          <t>Filled</t>
        </is>
      </c>
      <c r="AB425" t="inlineStr">
        <is>
          <t>on campus</t>
        </is>
      </c>
      <c r="AC425" t="inlineStr"/>
      <c r="AD425" t="n">
        <v>0</v>
      </c>
      <c r="AE425" t="inlineStr"/>
      <c r="AF425" t="inlineStr"/>
      <c r="AG425" t="inlineStr"/>
      <c r="AH425" t="inlineStr"/>
      <c r="AI425" t="inlineStr">
        <is>
          <t>Yes</t>
        </is>
      </c>
      <c r="AJ425" t="inlineStr"/>
      <c r="AK425" t="inlineStr"/>
      <c r="AL425" t="inlineStr"/>
      <c r="AM425" t="inlineStr"/>
    </row>
    <row r="426">
      <c r="A426" t="inlineStr">
        <is>
          <t>106361E</t>
        </is>
      </c>
      <c r="B426" t="inlineStr">
        <is>
          <t>Graduate Diploma of Social Justice</t>
        </is>
      </c>
      <c r="C426" t="inlineStr">
        <is>
          <t>Graduate Diploma</t>
        </is>
      </c>
      <c r="D426" t="inlineStr">
        <is>
          <t>Postgraduate coursework</t>
        </is>
      </c>
      <c r="E426" t="inlineStr">
        <is>
          <t>Page address no longer works</t>
        </is>
      </c>
      <c r="F426" t="inlineStr"/>
      <c r="G426" t="inlineStr">
        <is>
          <t>https://www.sydney.edu.au/courses/courses/pc/graduate-diploma-of-social-justice.html</t>
        </is>
      </c>
      <c r="H426" t="inlineStr">
        <is>
          <t>Address no longer works</t>
        </is>
      </c>
      <c r="I426" t="inlineStr"/>
      <c r="J426" t="inlineStr"/>
      <c r="K426" t="inlineStr">
        <is>
          <t>Finished, no page: every candidate address was refused by the reader or did not</t>
        </is>
      </c>
      <c r="L426" t="inlineStr">
        <is>
          <t>Page found, being read</t>
        </is>
      </c>
      <c r="M426" t="inlineStr">
        <is>
          <t>Page found, being read</t>
        </is>
      </c>
      <c r="N426" t="inlineStr"/>
      <c r="O426" t="n">
        <v>0</v>
      </c>
      <c r="P426" t="inlineStr"/>
      <c r="Q426" t="inlineStr">
        <is>
          <t>Filled</t>
        </is>
      </c>
      <c r="R426" t="n">
        <v>6.5</v>
      </c>
      <c r="S426" t="inlineStr">
        <is>
          <t>Central English policy</t>
        </is>
      </c>
      <c r="T426" t="inlineStr">
        <is>
          <t>Central rule applies (value agrees)</t>
        </is>
      </c>
      <c r="U426" t="inlineStr"/>
      <c r="V426" t="inlineStr">
        <is>
          <t>Page found, being read</t>
        </is>
      </c>
      <c r="W426" t="inlineStr"/>
      <c r="X426" t="inlineStr"/>
      <c r="Y426" t="n">
        <v>0</v>
      </c>
      <c r="Z426" t="inlineStr">
        <is>
          <t>No</t>
        </is>
      </c>
      <c r="AA426" t="inlineStr">
        <is>
          <t>Not stated on course page</t>
        </is>
      </c>
      <c r="AB426" t="inlineStr"/>
      <c r="AC426" t="inlineStr">
        <is>
          <t>Skipped: no allowed source had a value</t>
        </is>
      </c>
      <c r="AD426" t="n">
        <v>1</v>
      </c>
      <c r="AE426" t="inlineStr"/>
      <c r="AF426" t="inlineStr"/>
      <c r="AG426" t="inlineStr"/>
      <c r="AH426" t="inlineStr"/>
      <c r="AI426" t="inlineStr"/>
      <c r="AJ426" t="inlineStr"/>
      <c r="AK426" t="inlineStr"/>
      <c r="AL426" t="inlineStr"/>
      <c r="AM426" t="inlineStr"/>
    </row>
    <row r="427">
      <c r="A427" t="inlineStr">
        <is>
          <t>060910J</t>
        </is>
      </c>
      <c r="B427" t="inlineStr">
        <is>
          <t>Grauate Diploma in Design Science (Audio and Acoustics)</t>
        </is>
      </c>
      <c r="C427" t="inlineStr">
        <is>
          <t>Graduate Diploma</t>
        </is>
      </c>
      <c r="D427" t="inlineStr">
        <is>
          <t>Postgraduate coursework</t>
        </is>
      </c>
      <c r="E427" t="inlineStr">
        <is>
          <t>No-page record (no page), awaiting review</t>
        </is>
      </c>
      <c r="F427" t="inlineStr"/>
      <c r="G427" t="inlineStr"/>
      <c r="H427" t="inlineStr"/>
      <c r="I427" t="inlineStr"/>
      <c r="J427" t="inlineStr">
        <is>
          <t>No page (proposed)</t>
        </is>
      </c>
      <c r="K427" t="inlineStr">
        <is>
          <t>Not sent to re-link</t>
        </is>
      </c>
      <c r="L427" t="inlineStr">
        <is>
          <t>Searching for course page</t>
        </is>
      </c>
      <c r="M427" t="inlineStr">
        <is>
          <t>Searching for course page</t>
        </is>
      </c>
      <c r="N427" t="inlineStr"/>
      <c r="O427" t="n">
        <v>0</v>
      </c>
      <c r="P427" t="inlineStr"/>
      <c r="Q427" t="inlineStr">
        <is>
          <t>Filled</t>
        </is>
      </c>
      <c r="R427" t="n">
        <v>6.5</v>
      </c>
      <c r="S427" t="inlineStr">
        <is>
          <t>Central English policy</t>
        </is>
      </c>
      <c r="T427" t="inlineStr">
        <is>
          <t>Central rule applies (value agrees)</t>
        </is>
      </c>
      <c r="U427" t="inlineStr"/>
      <c r="V427" t="inlineStr">
        <is>
          <t>Searching for course page</t>
        </is>
      </c>
      <c r="W427" t="inlineStr"/>
      <c r="X427" t="inlineStr"/>
      <c r="Y427" t="n">
        <v>0</v>
      </c>
      <c r="Z427" t="inlineStr">
        <is>
          <t>No</t>
        </is>
      </c>
      <c r="AA427" t="inlineStr">
        <is>
          <t>Not stated on course page</t>
        </is>
      </c>
      <c r="AB427" t="inlineStr"/>
      <c r="AC427" t="inlineStr">
        <is>
          <t>Skipped: no allowed source had a value</t>
        </is>
      </c>
      <c r="AD427" t="n">
        <v>0</v>
      </c>
      <c r="AE427" t="inlineStr"/>
      <c r="AF427" t="inlineStr"/>
      <c r="AG427" t="inlineStr"/>
      <c r="AH427" t="inlineStr"/>
      <c r="AI427" t="inlineStr"/>
      <c r="AJ427" t="inlineStr"/>
      <c r="AK427" t="inlineStr"/>
      <c r="AL427" t="inlineStr"/>
      <c r="AM427" t="inlineStr">
        <is>
          <t>Yes</t>
        </is>
      </c>
    </row>
    <row r="428">
      <c r="A428" t="inlineStr">
        <is>
          <t>107401E</t>
        </is>
      </c>
      <c r="B428" t="inlineStr">
        <is>
          <t>Joint Doctor of Philosophy (Architecture, Design and Planning)</t>
        </is>
      </c>
      <c r="C428" t="inlineStr">
        <is>
          <t>Doctorate / PhD</t>
        </is>
      </c>
      <c r="D428" t="inlineStr">
        <is>
          <t>Research degree</t>
        </is>
      </c>
      <c r="E428" t="inlineStr">
        <is>
          <t>Page address no longer works</t>
        </is>
      </c>
      <c r="F428" t="inlineStr"/>
      <c r="G428" t="inlineStr">
        <is>
          <t>https://www.sydney.edu.au/courses/courses/pr/joint-doctor-of-philosophy-architecture-design-and-planning0.html</t>
        </is>
      </c>
      <c r="H428" t="inlineStr">
        <is>
          <t>Address no longer works</t>
        </is>
      </c>
      <c r="I428" t="inlineStr"/>
      <c r="J428" t="inlineStr"/>
      <c r="K428" t="inlineStr">
        <is>
          <t>Finished, no page: every candidate address was refused by the reader or did not</t>
        </is>
      </c>
      <c r="L428" t="inlineStr">
        <is>
          <t>Page found, being read</t>
        </is>
      </c>
      <c r="M428" t="inlineStr">
        <is>
          <t>Page found, being read</t>
        </is>
      </c>
      <c r="N428" t="inlineStr"/>
      <c r="O428" t="n">
        <v>0</v>
      </c>
      <c r="P428" t="inlineStr"/>
      <c r="Q428" t="inlineStr">
        <is>
          <t>Filled</t>
        </is>
      </c>
      <c r="R428" t="n">
        <v>6.5</v>
      </c>
      <c r="S428" t="inlineStr">
        <is>
          <t>Central English policy</t>
        </is>
      </c>
      <c r="T428" t="inlineStr">
        <is>
          <t>Central rule applies (value agrees)</t>
        </is>
      </c>
      <c r="U428" t="inlineStr"/>
      <c r="V428" t="inlineStr">
        <is>
          <t>Page found, being read</t>
        </is>
      </c>
      <c r="W428" t="inlineStr"/>
      <c r="X428" t="inlineStr"/>
      <c r="Y428" t="n">
        <v>0</v>
      </c>
      <c r="Z428" t="inlineStr">
        <is>
          <t>No</t>
        </is>
      </c>
      <c r="AA428" t="inlineStr">
        <is>
          <t>Not stated on course page</t>
        </is>
      </c>
      <c r="AB428" t="inlineStr"/>
      <c r="AC428" t="inlineStr">
        <is>
          <t>Skipped: no allowed source had a value</t>
        </is>
      </c>
      <c r="AD428" t="n">
        <v>1</v>
      </c>
      <c r="AE428" t="inlineStr"/>
      <c r="AF428" t="inlineStr"/>
      <c r="AG428" t="inlineStr"/>
      <c r="AH428" t="inlineStr"/>
      <c r="AI428" t="inlineStr"/>
      <c r="AJ428" t="inlineStr"/>
      <c r="AK428" t="inlineStr"/>
      <c r="AL428" t="inlineStr"/>
      <c r="AM428" t="inlineStr"/>
    </row>
    <row r="429">
      <c r="A429" t="inlineStr">
        <is>
          <t>107396H</t>
        </is>
      </c>
      <c r="B429" t="inlineStr">
        <is>
          <t>Joint Doctor of Philosophy (Arts and Social Sciences)</t>
        </is>
      </c>
      <c r="C429" t="inlineStr">
        <is>
          <t>Doctorate / PhD</t>
        </is>
      </c>
      <c r="D429" t="inlineStr">
        <is>
          <t>Research degree</t>
        </is>
      </c>
      <c r="E429" t="inlineStr">
        <is>
          <t>Page address no longer works</t>
        </is>
      </c>
      <c r="F429" t="inlineStr"/>
      <c r="G429" t="inlineStr">
        <is>
          <t>https://www.sydney.edu.au/courses/courses/pr/joint-doctor-of-philosophy-arts-and-social-sciences0.html</t>
        </is>
      </c>
      <c r="H429" t="inlineStr">
        <is>
          <t>Address no longer works</t>
        </is>
      </c>
      <c r="I429" t="inlineStr"/>
      <c r="J429" t="inlineStr"/>
      <c r="K429" t="inlineStr">
        <is>
          <t>Finished, no page: every candidate address was refused by the reader or did not</t>
        </is>
      </c>
      <c r="L429" t="inlineStr">
        <is>
          <t>Page found, being read</t>
        </is>
      </c>
      <c r="M429" t="inlineStr">
        <is>
          <t>Page found, being read</t>
        </is>
      </c>
      <c r="N429" t="inlineStr"/>
      <c r="O429" t="n">
        <v>0</v>
      </c>
      <c r="P429" t="inlineStr"/>
      <c r="Q429" t="inlineStr">
        <is>
          <t>Filled</t>
        </is>
      </c>
      <c r="R429" t="n">
        <v>6.5</v>
      </c>
      <c r="S429" t="inlineStr">
        <is>
          <t>Central English policy</t>
        </is>
      </c>
      <c r="T429" t="inlineStr">
        <is>
          <t>Central rule applies (value agrees)</t>
        </is>
      </c>
      <c r="U429" t="inlineStr"/>
      <c r="V429" t="inlineStr">
        <is>
          <t>Page found, being read</t>
        </is>
      </c>
      <c r="W429" t="inlineStr"/>
      <c r="X429" t="inlineStr"/>
      <c r="Y429" t="n">
        <v>0</v>
      </c>
      <c r="Z429" t="inlineStr">
        <is>
          <t>No</t>
        </is>
      </c>
      <c r="AA429" t="inlineStr">
        <is>
          <t>Not stated on course page</t>
        </is>
      </c>
      <c r="AB429" t="inlineStr"/>
      <c r="AC429" t="inlineStr">
        <is>
          <t>Skipped: no allowed source had a value</t>
        </is>
      </c>
      <c r="AD429" t="n">
        <v>1</v>
      </c>
      <c r="AE429" t="inlineStr"/>
      <c r="AF429" t="inlineStr"/>
      <c r="AG429" t="inlineStr"/>
      <c r="AH429" t="inlineStr"/>
      <c r="AI429" t="inlineStr"/>
      <c r="AJ429" t="inlineStr"/>
      <c r="AK429" t="inlineStr"/>
      <c r="AL429" t="inlineStr"/>
      <c r="AM429" t="inlineStr"/>
    </row>
    <row r="430">
      <c r="A430" t="inlineStr">
        <is>
          <t>107397G</t>
        </is>
      </c>
      <c r="B430" t="inlineStr">
        <is>
          <t>Joint Doctor of Philosophy (Business)</t>
        </is>
      </c>
      <c r="C430" t="inlineStr">
        <is>
          <t>Doctorate / PhD</t>
        </is>
      </c>
      <c r="D430" t="inlineStr">
        <is>
          <t>Research degree</t>
        </is>
      </c>
      <c r="E430" t="inlineStr">
        <is>
          <t>Page address no longer works</t>
        </is>
      </c>
      <c r="F430" t="inlineStr"/>
      <c r="G430" t="inlineStr">
        <is>
          <t>https://www.sydney.edu.au/courses/courses/pr/joint-doctor-of-philosophy-business0.html</t>
        </is>
      </c>
      <c r="H430" t="inlineStr">
        <is>
          <t>Address no longer works</t>
        </is>
      </c>
      <c r="I430" t="inlineStr"/>
      <c r="J430" t="inlineStr"/>
      <c r="K430" t="inlineStr">
        <is>
          <t>Re-link still trying</t>
        </is>
      </c>
      <c r="L430" t="inlineStr">
        <is>
          <t>Page found, being read</t>
        </is>
      </c>
      <c r="M430" t="inlineStr">
        <is>
          <t>Page found, being read</t>
        </is>
      </c>
      <c r="N430" t="inlineStr"/>
      <c r="O430" t="n">
        <v>0</v>
      </c>
      <c r="P430" t="inlineStr"/>
      <c r="Q430" t="inlineStr">
        <is>
          <t>Filled</t>
        </is>
      </c>
      <c r="R430" t="n">
        <v>6.5</v>
      </c>
      <c r="S430" t="inlineStr">
        <is>
          <t>Central English policy</t>
        </is>
      </c>
      <c r="T430" t="inlineStr">
        <is>
          <t>Central rule applies (value agrees)</t>
        </is>
      </c>
      <c r="U430" t="inlineStr"/>
      <c r="V430" t="inlineStr">
        <is>
          <t>Page found, being read</t>
        </is>
      </c>
      <c r="W430" t="inlineStr"/>
      <c r="X430" t="inlineStr"/>
      <c r="Y430" t="n">
        <v>0</v>
      </c>
      <c r="Z430" t="inlineStr">
        <is>
          <t>No</t>
        </is>
      </c>
      <c r="AA430" t="inlineStr">
        <is>
          <t>Not stated on course page</t>
        </is>
      </c>
      <c r="AB430" t="inlineStr"/>
      <c r="AC430" t="inlineStr">
        <is>
          <t>Skipped: no allowed source had a value</t>
        </is>
      </c>
      <c r="AD430" t="n">
        <v>1</v>
      </c>
      <c r="AE430" t="inlineStr"/>
      <c r="AF430" t="inlineStr"/>
      <c r="AG430" t="inlineStr"/>
      <c r="AH430" t="inlineStr"/>
      <c r="AI430" t="inlineStr"/>
      <c r="AJ430" t="inlineStr"/>
      <c r="AK430" t="inlineStr"/>
      <c r="AL430" t="inlineStr"/>
      <c r="AM430" t="inlineStr"/>
    </row>
    <row r="431">
      <c r="A431" t="inlineStr">
        <is>
          <t>107399E</t>
        </is>
      </c>
      <c r="B431" t="inlineStr">
        <is>
          <t>Joint Doctor of Philosophy (Engineering)</t>
        </is>
      </c>
      <c r="C431" t="inlineStr">
        <is>
          <t>Doctorate / PhD</t>
        </is>
      </c>
      <c r="D431" t="inlineStr">
        <is>
          <t>Research degree</t>
        </is>
      </c>
      <c r="E431" t="inlineStr">
        <is>
          <t>Page address no longer works</t>
        </is>
      </c>
      <c r="F431" t="inlineStr"/>
      <c r="G431" t="inlineStr">
        <is>
          <t>https://www.sydney.edu.au/courses/courses/pr/joint-doctor-of-philosophy-engineering0.html</t>
        </is>
      </c>
      <c r="H431" t="inlineStr">
        <is>
          <t>Address no longer works</t>
        </is>
      </c>
      <c r="I431" t="inlineStr"/>
      <c r="J431" t="inlineStr"/>
      <c r="K431" t="inlineStr">
        <is>
          <t>Finished, no page: every candidate address was refused by the reader or did not</t>
        </is>
      </c>
      <c r="L431" t="inlineStr">
        <is>
          <t>Page found, being read</t>
        </is>
      </c>
      <c r="M431" t="inlineStr">
        <is>
          <t>Page found, being read</t>
        </is>
      </c>
      <c r="N431" t="inlineStr"/>
      <c r="O431" t="n">
        <v>0</v>
      </c>
      <c r="P431" t="inlineStr"/>
      <c r="Q431" t="inlineStr">
        <is>
          <t>Filled</t>
        </is>
      </c>
      <c r="R431" t="n">
        <v>6.5</v>
      </c>
      <c r="S431" t="inlineStr">
        <is>
          <t>Central English policy</t>
        </is>
      </c>
      <c r="T431" t="inlineStr">
        <is>
          <t>Central rule applies (value agrees)</t>
        </is>
      </c>
      <c r="U431" t="inlineStr"/>
      <c r="V431" t="inlineStr">
        <is>
          <t>Page found, being read</t>
        </is>
      </c>
      <c r="W431" t="inlineStr"/>
      <c r="X431" t="inlineStr"/>
      <c r="Y431" t="n">
        <v>0</v>
      </c>
      <c r="Z431" t="inlineStr">
        <is>
          <t>No</t>
        </is>
      </c>
      <c r="AA431" t="inlineStr">
        <is>
          <t>Not stated on course page</t>
        </is>
      </c>
      <c r="AB431" t="inlineStr"/>
      <c r="AC431" t="inlineStr">
        <is>
          <t>Skipped: no allowed source had a value</t>
        </is>
      </c>
      <c r="AD431" t="n">
        <v>1</v>
      </c>
      <c r="AE431" t="inlineStr"/>
      <c r="AF431" t="inlineStr"/>
      <c r="AG431" t="inlineStr"/>
      <c r="AH431" t="inlineStr"/>
      <c r="AI431" t="inlineStr"/>
      <c r="AJ431" t="inlineStr"/>
      <c r="AK431" t="inlineStr"/>
      <c r="AL431" t="inlineStr"/>
      <c r="AM431" t="inlineStr"/>
    </row>
    <row r="432">
      <c r="A432" t="inlineStr">
        <is>
          <t>107400F</t>
        </is>
      </c>
      <c r="B432" t="inlineStr">
        <is>
          <t>Joint Doctor of Philosophy (Law)</t>
        </is>
      </c>
      <c r="C432" t="inlineStr">
        <is>
          <t>Doctorate / PhD</t>
        </is>
      </c>
      <c r="D432" t="inlineStr">
        <is>
          <t>Research degree</t>
        </is>
      </c>
      <c r="E432" t="inlineStr">
        <is>
          <t>Page address no longer works</t>
        </is>
      </c>
      <c r="F432" t="inlineStr"/>
      <c r="G432" t="inlineStr">
        <is>
          <t>https://www.sydney.edu.au/courses/courses/pr/joint-doctor-of-philosophy-law0.html</t>
        </is>
      </c>
      <c r="H432" t="inlineStr">
        <is>
          <t>Address no longer works</t>
        </is>
      </c>
      <c r="I432" t="inlineStr"/>
      <c r="J432" t="inlineStr"/>
      <c r="K432" t="inlineStr">
        <is>
          <t>Re-link still trying</t>
        </is>
      </c>
      <c r="L432" t="inlineStr">
        <is>
          <t>Page found, being read</t>
        </is>
      </c>
      <c r="M432" t="inlineStr">
        <is>
          <t>Page found, being read</t>
        </is>
      </c>
      <c r="N432" t="inlineStr"/>
      <c r="O432" t="n">
        <v>0</v>
      </c>
      <c r="P432" t="inlineStr"/>
      <c r="Q432" t="inlineStr">
        <is>
          <t>Filled</t>
        </is>
      </c>
      <c r="R432" t="n">
        <v>6.5</v>
      </c>
      <c r="S432" t="inlineStr">
        <is>
          <t>Central English policy</t>
        </is>
      </c>
      <c r="T432" t="inlineStr">
        <is>
          <t>Central rule applies (value agrees)</t>
        </is>
      </c>
      <c r="U432" t="inlineStr"/>
      <c r="V432" t="inlineStr">
        <is>
          <t>Page found, being read</t>
        </is>
      </c>
      <c r="W432" t="inlineStr"/>
      <c r="X432" t="inlineStr"/>
      <c r="Y432" t="n">
        <v>0</v>
      </c>
      <c r="Z432" t="inlineStr">
        <is>
          <t>No</t>
        </is>
      </c>
      <c r="AA432" t="inlineStr">
        <is>
          <t>Not stated on course page</t>
        </is>
      </c>
      <c r="AB432" t="inlineStr"/>
      <c r="AC432" t="inlineStr">
        <is>
          <t>Skipped: no allowed source had a value</t>
        </is>
      </c>
      <c r="AD432" t="n">
        <v>1</v>
      </c>
      <c r="AE432" t="inlineStr"/>
      <c r="AF432" t="inlineStr"/>
      <c r="AG432" t="inlineStr"/>
      <c r="AH432" t="inlineStr"/>
      <c r="AI432" t="inlineStr"/>
      <c r="AJ432" t="inlineStr"/>
      <c r="AK432" t="inlineStr"/>
      <c r="AL432" t="inlineStr"/>
      <c r="AM432" t="inlineStr"/>
    </row>
    <row r="433">
      <c r="A433" t="inlineStr">
        <is>
          <t>107402D</t>
        </is>
      </c>
      <c r="B433" t="inlineStr">
        <is>
          <t>Joint Doctor of Philosophy (Medicine and Health)</t>
        </is>
      </c>
      <c r="C433" t="inlineStr">
        <is>
          <t>Doctorate / PhD</t>
        </is>
      </c>
      <c r="D433" t="inlineStr">
        <is>
          <t>Research degree</t>
        </is>
      </c>
      <c r="E433" t="inlineStr">
        <is>
          <t>Page address no longer works</t>
        </is>
      </c>
      <c r="F433" t="inlineStr"/>
      <c r="G433" t="inlineStr">
        <is>
          <t>https://www.sydney.edu.au/courses/courses/pr/joint-doctor-of-philosophy-medicine-and-health0.html</t>
        </is>
      </c>
      <c r="H433" t="inlineStr">
        <is>
          <t>Address no longer works</t>
        </is>
      </c>
      <c r="I433" t="inlineStr"/>
      <c r="J433" t="inlineStr"/>
      <c r="K433" t="inlineStr">
        <is>
          <t>Finished, no page: every candidate address was refused by the reader or did not</t>
        </is>
      </c>
      <c r="L433" t="inlineStr">
        <is>
          <t>Page found, being read</t>
        </is>
      </c>
      <c r="M433" t="inlineStr">
        <is>
          <t>Page found, being read</t>
        </is>
      </c>
      <c r="N433" t="inlineStr"/>
      <c r="O433" t="n">
        <v>0</v>
      </c>
      <c r="P433" t="inlineStr"/>
      <c r="Q433" t="inlineStr">
        <is>
          <t>Filled</t>
        </is>
      </c>
      <c r="R433" t="n">
        <v>6.5</v>
      </c>
      <c r="S433" t="inlineStr">
        <is>
          <t>Central English policy</t>
        </is>
      </c>
      <c r="T433" t="inlineStr">
        <is>
          <t>Central rule applies (value agrees)</t>
        </is>
      </c>
      <c r="U433" t="inlineStr"/>
      <c r="V433" t="inlineStr">
        <is>
          <t>Page found, being read</t>
        </is>
      </c>
      <c r="W433" t="inlineStr"/>
      <c r="X433" t="inlineStr"/>
      <c r="Y433" t="n">
        <v>0</v>
      </c>
      <c r="Z433" t="inlineStr">
        <is>
          <t>No</t>
        </is>
      </c>
      <c r="AA433" t="inlineStr">
        <is>
          <t>Not stated on course page</t>
        </is>
      </c>
      <c r="AB433" t="inlineStr"/>
      <c r="AC433" t="inlineStr">
        <is>
          <t>Skipped: no allowed source had a value</t>
        </is>
      </c>
      <c r="AD433" t="n">
        <v>1</v>
      </c>
      <c r="AE433" t="inlineStr"/>
      <c r="AF433" t="inlineStr"/>
      <c r="AG433" t="inlineStr"/>
      <c r="AH433" t="inlineStr"/>
      <c r="AI433" t="inlineStr"/>
      <c r="AJ433" t="inlineStr"/>
      <c r="AK433" t="inlineStr"/>
      <c r="AL433" t="inlineStr"/>
      <c r="AM433" t="inlineStr"/>
    </row>
    <row r="434">
      <c r="A434" t="inlineStr">
        <is>
          <t>107403C</t>
        </is>
      </c>
      <c r="B434" t="inlineStr">
        <is>
          <t>Joint Doctor of Philosophy (Music)</t>
        </is>
      </c>
      <c r="C434" t="inlineStr">
        <is>
          <t>Doctorate / PhD</t>
        </is>
      </c>
      <c r="D434" t="inlineStr">
        <is>
          <t>Research degree</t>
        </is>
      </c>
      <c r="E434" t="inlineStr">
        <is>
          <t>Page address no longer works</t>
        </is>
      </c>
      <c r="F434" t="inlineStr"/>
      <c r="G434" t="inlineStr">
        <is>
          <t>https://www.sydney.edu.au/courses/courses/pr/joint-doctor-of-philosophy-music0.html</t>
        </is>
      </c>
      <c r="H434" t="inlineStr">
        <is>
          <t>Address no longer works</t>
        </is>
      </c>
      <c r="I434" t="inlineStr"/>
      <c r="J434" t="inlineStr"/>
      <c r="K434" t="inlineStr">
        <is>
          <t>Re-link still trying</t>
        </is>
      </c>
      <c r="L434" t="inlineStr">
        <is>
          <t>Page found, being read</t>
        </is>
      </c>
      <c r="M434" t="inlineStr">
        <is>
          <t>Page found, being read</t>
        </is>
      </c>
      <c r="N434" t="inlineStr"/>
      <c r="O434" t="n">
        <v>0</v>
      </c>
      <c r="P434" t="inlineStr"/>
      <c r="Q434" t="inlineStr">
        <is>
          <t>Filled</t>
        </is>
      </c>
      <c r="R434" t="n">
        <v>6.5</v>
      </c>
      <c r="S434" t="inlineStr">
        <is>
          <t>Central English policy</t>
        </is>
      </c>
      <c r="T434" t="inlineStr">
        <is>
          <t>Central rule applies (value agrees)</t>
        </is>
      </c>
      <c r="U434" t="inlineStr"/>
      <c r="V434" t="inlineStr">
        <is>
          <t>Page found, being read</t>
        </is>
      </c>
      <c r="W434" t="inlineStr"/>
      <c r="X434" t="inlineStr"/>
      <c r="Y434" t="n">
        <v>0</v>
      </c>
      <c r="Z434" t="inlineStr">
        <is>
          <t>No</t>
        </is>
      </c>
      <c r="AA434" t="inlineStr">
        <is>
          <t>Not stated on course page</t>
        </is>
      </c>
      <c r="AB434" t="inlineStr"/>
      <c r="AC434" t="inlineStr">
        <is>
          <t>Skipped: no allowed source had a value</t>
        </is>
      </c>
      <c r="AD434" t="n">
        <v>1</v>
      </c>
      <c r="AE434" t="inlineStr"/>
      <c r="AF434" t="inlineStr"/>
      <c r="AG434" t="inlineStr"/>
      <c r="AH434" t="inlineStr"/>
      <c r="AI434" t="inlineStr"/>
      <c r="AJ434" t="inlineStr"/>
      <c r="AK434" t="inlineStr"/>
      <c r="AL434" t="inlineStr"/>
      <c r="AM434" t="inlineStr"/>
    </row>
    <row r="435">
      <c r="A435" t="inlineStr">
        <is>
          <t>107398F</t>
        </is>
      </c>
      <c r="B435" t="inlineStr">
        <is>
          <t>Joint Doctor of Philosophy (Science)</t>
        </is>
      </c>
      <c r="C435" t="inlineStr">
        <is>
          <t>Doctorate / PhD</t>
        </is>
      </c>
      <c r="D435" t="inlineStr">
        <is>
          <t>Research degree</t>
        </is>
      </c>
      <c r="E435" t="inlineStr">
        <is>
          <t>Page address no longer works</t>
        </is>
      </c>
      <c r="F435" t="inlineStr"/>
      <c r="G435" t="inlineStr">
        <is>
          <t>https://www.sydney.edu.au/courses/courses/pr/joint-doctor-of-philosophy-science0.html</t>
        </is>
      </c>
      <c r="H435" t="inlineStr">
        <is>
          <t>Address no longer works</t>
        </is>
      </c>
      <c r="I435" t="inlineStr"/>
      <c r="J435" t="inlineStr"/>
      <c r="K435" t="inlineStr">
        <is>
          <t>Finished, no page: every candidate address was refused by the reader or did not</t>
        </is>
      </c>
      <c r="L435" t="inlineStr">
        <is>
          <t>Page found, being read</t>
        </is>
      </c>
      <c r="M435" t="inlineStr">
        <is>
          <t>Page found, being read</t>
        </is>
      </c>
      <c r="N435" t="inlineStr"/>
      <c r="O435" t="n">
        <v>0</v>
      </c>
      <c r="P435" t="inlineStr"/>
      <c r="Q435" t="inlineStr">
        <is>
          <t>Filled</t>
        </is>
      </c>
      <c r="R435" t="n">
        <v>6.5</v>
      </c>
      <c r="S435" t="inlineStr">
        <is>
          <t>Central English policy</t>
        </is>
      </c>
      <c r="T435" t="inlineStr">
        <is>
          <t>Central rule applies (value agrees)</t>
        </is>
      </c>
      <c r="U435" t="inlineStr"/>
      <c r="V435" t="inlineStr">
        <is>
          <t>Page found, being read</t>
        </is>
      </c>
      <c r="W435" t="inlineStr"/>
      <c r="X435" t="inlineStr"/>
      <c r="Y435" t="n">
        <v>0</v>
      </c>
      <c r="Z435" t="inlineStr">
        <is>
          <t>No</t>
        </is>
      </c>
      <c r="AA435" t="inlineStr">
        <is>
          <t>Not stated on course page</t>
        </is>
      </c>
      <c r="AB435" t="inlineStr"/>
      <c r="AC435" t="inlineStr">
        <is>
          <t>Skipped: no allowed source had a value</t>
        </is>
      </c>
      <c r="AD435" t="n">
        <v>1</v>
      </c>
      <c r="AE435" t="inlineStr"/>
      <c r="AF435" t="inlineStr"/>
      <c r="AG435" t="inlineStr"/>
      <c r="AH435" t="inlineStr"/>
      <c r="AI435" t="inlineStr"/>
      <c r="AJ435" t="inlineStr"/>
      <c r="AK435" t="inlineStr"/>
      <c r="AL435" t="inlineStr"/>
      <c r="AM435" t="inlineStr"/>
    </row>
    <row r="436">
      <c r="A436" t="inlineStr">
        <is>
          <t>071754C</t>
        </is>
      </c>
      <c r="B436" t="inlineStr">
        <is>
          <t>Juris Doctor</t>
        </is>
      </c>
      <c r="C436" t="inlineStr">
        <is>
          <t>Masters Degree (Coursework)</t>
        </is>
      </c>
      <c r="D436" t="inlineStr">
        <is>
          <t>Postgraduate coursework</t>
        </is>
      </c>
      <c r="E436" t="inlineStr">
        <is>
          <t>Advertised: official page in place</t>
        </is>
      </c>
      <c r="F436" t="inlineStr">
        <is>
          <t>https://www.sydney.edu.au/courses/courses/pc/juris-doctor.html</t>
        </is>
      </c>
      <c r="G436" t="inlineStr">
        <is>
          <t>https://www.sydney.edu.au/courses/courses/pc/juris-doctor.html</t>
        </is>
      </c>
      <c r="H436" t="inlineStr">
        <is>
          <t>Read</t>
        </is>
      </c>
      <c r="I436" t="inlineStr">
        <is>
          <t>Exact title match</t>
        </is>
      </c>
      <c r="J436" t="inlineStr"/>
      <c r="K436" t="inlineStr">
        <is>
          <t>Not sent to re-link</t>
        </is>
      </c>
      <c r="L436" t="inlineStr">
        <is>
          <t>Filled</t>
        </is>
      </c>
      <c r="M436" t="inlineStr">
        <is>
          <t>Not stated on course page</t>
        </is>
      </c>
      <c r="N436" t="inlineStr"/>
      <c r="O436" t="n">
        <v>0</v>
      </c>
      <c r="P436" t="inlineStr"/>
      <c r="Q436" t="inlineStr">
        <is>
          <t>Filled</t>
        </is>
      </c>
      <c r="R436" t="n">
        <v>6.5</v>
      </c>
      <c r="S436" t="inlineStr">
        <is>
          <t>Central English policy</t>
        </is>
      </c>
      <c r="T436" t="inlineStr">
        <is>
          <t>Central rule applies (value agrees)</t>
        </is>
      </c>
      <c r="U436" t="inlineStr"/>
      <c r="V436" t="inlineStr">
        <is>
          <t>Not stated on course page</t>
        </is>
      </c>
      <c r="W436" t="inlineStr"/>
      <c r="X436" t="inlineStr"/>
      <c r="Y436" t="n">
        <v>0</v>
      </c>
      <c r="Z436" t="inlineStr">
        <is>
          <t>No</t>
        </is>
      </c>
      <c r="AA436" t="inlineStr">
        <is>
          <t>Filled</t>
        </is>
      </c>
      <c r="AB436" t="inlineStr">
        <is>
          <t>on campus</t>
        </is>
      </c>
      <c r="AC436" t="inlineStr"/>
      <c r="AD436" t="n">
        <v>0</v>
      </c>
      <c r="AE436" t="inlineStr"/>
      <c r="AF436" t="inlineStr"/>
      <c r="AG436" t="inlineStr"/>
      <c r="AH436" t="inlineStr"/>
      <c r="AI436" t="inlineStr">
        <is>
          <t>Yes</t>
        </is>
      </c>
      <c r="AJ436" t="inlineStr"/>
      <c r="AK436" t="inlineStr"/>
      <c r="AL436" t="inlineStr"/>
      <c r="AM436" t="inlineStr"/>
    </row>
    <row r="437">
      <c r="A437" t="inlineStr">
        <is>
          <t>049402M</t>
        </is>
      </c>
      <c r="B437" t="inlineStr">
        <is>
          <t>Master in Policy Studies</t>
        </is>
      </c>
      <c r="C437" t="inlineStr">
        <is>
          <t>Masters Degree (Coursework)</t>
        </is>
      </c>
      <c r="D437" t="inlineStr">
        <is>
          <t>Postgraduate coursework</t>
        </is>
      </c>
      <c r="E437" t="inlineStr">
        <is>
          <t>Page address no longer works</t>
        </is>
      </c>
      <c r="F437" t="inlineStr"/>
      <c r="G437" t="inlineStr">
        <is>
          <t>https://www.sydney.edu.au/courses/courses/pc/master-in-policy-studies.html</t>
        </is>
      </c>
      <c r="H437" t="inlineStr">
        <is>
          <t>Address no longer works</t>
        </is>
      </c>
      <c r="I437" t="inlineStr"/>
      <c r="J437" t="inlineStr"/>
      <c r="K437" t="inlineStr">
        <is>
          <t>Finished, no page: every candidate address was refused by the reader or did not</t>
        </is>
      </c>
      <c r="L437" t="inlineStr">
        <is>
          <t>Page found, being read</t>
        </is>
      </c>
      <c r="M437" t="inlineStr">
        <is>
          <t>Page found, being read</t>
        </is>
      </c>
      <c r="N437" t="inlineStr"/>
      <c r="O437" t="n">
        <v>0</v>
      </c>
      <c r="P437" t="inlineStr"/>
      <c r="Q437" t="inlineStr">
        <is>
          <t>Filled</t>
        </is>
      </c>
      <c r="R437" t="n">
        <v>6.5</v>
      </c>
      <c r="S437" t="inlineStr">
        <is>
          <t>Central English policy</t>
        </is>
      </c>
      <c r="T437" t="inlineStr">
        <is>
          <t>Central rule applies (value agrees)</t>
        </is>
      </c>
      <c r="U437" t="inlineStr"/>
      <c r="V437" t="inlineStr">
        <is>
          <t>Page found, being read</t>
        </is>
      </c>
      <c r="W437" t="inlineStr"/>
      <c r="X437" t="inlineStr"/>
      <c r="Y437" t="n">
        <v>0</v>
      </c>
      <c r="Z437" t="inlineStr">
        <is>
          <t>No</t>
        </is>
      </c>
      <c r="AA437" t="inlineStr">
        <is>
          <t>Not stated on course page</t>
        </is>
      </c>
      <c r="AB437" t="inlineStr"/>
      <c r="AC437" t="inlineStr">
        <is>
          <t>Skipped: the page does not state it</t>
        </is>
      </c>
      <c r="AD437" t="n">
        <v>0</v>
      </c>
      <c r="AE437" t="inlineStr"/>
      <c r="AF437" t="inlineStr"/>
      <c r="AG437" t="inlineStr"/>
      <c r="AH437" t="inlineStr"/>
      <c r="AI437" t="inlineStr"/>
      <c r="AJ437" t="inlineStr"/>
      <c r="AK437" t="inlineStr"/>
      <c r="AL437" t="inlineStr"/>
      <c r="AM437" t="inlineStr"/>
    </row>
    <row r="438">
      <c r="A438" t="inlineStr">
        <is>
          <t>020152G</t>
        </is>
      </c>
      <c r="B438" t="inlineStr">
        <is>
          <t>Master of Administrative Law and Policy</t>
        </is>
      </c>
      <c r="C438" t="inlineStr">
        <is>
          <t>Masters Degree (Coursework)</t>
        </is>
      </c>
      <c r="D438" t="inlineStr">
        <is>
          <t>Postgraduate coursework</t>
        </is>
      </c>
      <c r="E438" t="inlineStr">
        <is>
          <t>Advertised: official page in place</t>
        </is>
      </c>
      <c r="F438" t="inlineStr">
        <is>
          <t>https://www.sydney.edu.au/courses/courses/pc/master-of-administrative-law-and-policy.html</t>
        </is>
      </c>
      <c r="G438" t="inlineStr">
        <is>
          <t>https://www.sydney.edu.au/courses/courses/pc/master-of-administrative-law-and-policy.html</t>
        </is>
      </c>
      <c r="H438" t="inlineStr">
        <is>
          <t>Read</t>
        </is>
      </c>
      <c r="I438" t="inlineStr">
        <is>
          <t>Exact title match</t>
        </is>
      </c>
      <c r="J438" t="inlineStr"/>
      <c r="K438" t="inlineStr">
        <is>
          <t>Not sent to re-link</t>
        </is>
      </c>
      <c r="L438" t="inlineStr">
        <is>
          <t>Filled</t>
        </is>
      </c>
      <c r="M438" t="inlineStr">
        <is>
          <t>Not stated on course page</t>
        </is>
      </c>
      <c r="N438" t="inlineStr"/>
      <c r="O438" t="n">
        <v>0</v>
      </c>
      <c r="P438" t="inlineStr"/>
      <c r="Q438" t="inlineStr">
        <is>
          <t>Filled</t>
        </is>
      </c>
      <c r="R438" t="n">
        <v>6.5</v>
      </c>
      <c r="S438" t="inlineStr">
        <is>
          <t>Central English policy</t>
        </is>
      </c>
      <c r="T438" t="inlineStr">
        <is>
          <t>Central rule applies (value agrees)</t>
        </is>
      </c>
      <c r="U438" t="inlineStr"/>
      <c r="V438" t="inlineStr">
        <is>
          <t>Not stated on course page</t>
        </is>
      </c>
      <c r="W438" t="inlineStr"/>
      <c r="X438" t="inlineStr"/>
      <c r="Y438" t="n">
        <v>0</v>
      </c>
      <c r="Z438" t="inlineStr">
        <is>
          <t>No</t>
        </is>
      </c>
      <c r="AA438" t="inlineStr">
        <is>
          <t>Filled</t>
        </is>
      </c>
      <c r="AB438" t="inlineStr">
        <is>
          <t>on campus</t>
        </is>
      </c>
      <c r="AC438" t="inlineStr"/>
      <c r="AD438" t="n">
        <v>0</v>
      </c>
      <c r="AE438" t="inlineStr"/>
      <c r="AF438" t="inlineStr"/>
      <c r="AG438" t="inlineStr"/>
      <c r="AH438" t="inlineStr"/>
      <c r="AI438" t="inlineStr">
        <is>
          <t>Yes</t>
        </is>
      </c>
      <c r="AJ438" t="inlineStr"/>
      <c r="AK438" t="inlineStr"/>
      <c r="AL438" t="inlineStr"/>
      <c r="AM438" t="inlineStr"/>
    </row>
    <row r="439">
      <c r="A439" t="inlineStr">
        <is>
          <t>084691F</t>
        </is>
      </c>
      <c r="B439" t="inlineStr">
        <is>
          <t>Master of Advanced Nursing Practice</t>
        </is>
      </c>
      <c r="C439" t="inlineStr">
        <is>
          <t>Masters Degree (Coursework)</t>
        </is>
      </c>
      <c r="D439" t="inlineStr">
        <is>
          <t>Postgraduate coursework</t>
        </is>
      </c>
      <c r="E439" t="inlineStr">
        <is>
          <t>Advertised: official page in place</t>
        </is>
      </c>
      <c r="F439" t="inlineStr">
        <is>
          <t>https://www.sydney.edu.au/courses/courses/pc/master-of-advanced-nursing-practice0.html</t>
        </is>
      </c>
      <c r="G439" t="inlineStr">
        <is>
          <t>https://www.sydney.edu.au/courses/courses/pc/master-of-advanced-nursing-practice0.html</t>
        </is>
      </c>
      <c r="H439" t="inlineStr">
        <is>
          <t>Read</t>
        </is>
      </c>
      <c r="I439" t="inlineStr">
        <is>
          <t>Exact title match</t>
        </is>
      </c>
      <c r="J439" t="inlineStr"/>
      <c r="K439" t="inlineStr">
        <is>
          <t>Not sent to re-link</t>
        </is>
      </c>
      <c r="L439" t="inlineStr">
        <is>
          <t>Filled</t>
        </is>
      </c>
      <c r="M439" t="inlineStr">
        <is>
          <t>Not stated on course page</t>
        </is>
      </c>
      <c r="N439" t="inlineStr"/>
      <c r="O439" t="n">
        <v>0</v>
      </c>
      <c r="P439" t="inlineStr"/>
      <c r="Q439" t="inlineStr">
        <is>
          <t>Filled</t>
        </is>
      </c>
      <c r="R439" t="n">
        <v>6.5</v>
      </c>
      <c r="S439" t="inlineStr">
        <is>
          <t>Central English policy</t>
        </is>
      </c>
      <c r="T439" t="inlineStr">
        <is>
          <t>Central rule applies (value agrees)</t>
        </is>
      </c>
      <c r="U439" t="inlineStr"/>
      <c r="V439" t="inlineStr">
        <is>
          <t>Not stated on course page</t>
        </is>
      </c>
      <c r="W439" t="inlineStr"/>
      <c r="X439" t="inlineStr"/>
      <c r="Y439" t="n">
        <v>0</v>
      </c>
      <c r="Z439" t="inlineStr">
        <is>
          <t>No</t>
        </is>
      </c>
      <c r="AA439" t="inlineStr">
        <is>
          <t>Filled</t>
        </is>
      </c>
      <c r="AB439" t="inlineStr">
        <is>
          <t>online</t>
        </is>
      </c>
      <c r="AC439" t="inlineStr"/>
      <c r="AD439" t="n">
        <v>0</v>
      </c>
      <c r="AE439" t="inlineStr"/>
      <c r="AF439" t="inlineStr"/>
      <c r="AG439" t="inlineStr"/>
      <c r="AH439" t="inlineStr"/>
      <c r="AI439" t="inlineStr">
        <is>
          <t>Yes</t>
        </is>
      </c>
      <c r="AJ439" t="inlineStr"/>
      <c r="AK439" t="inlineStr"/>
      <c r="AL439" t="inlineStr"/>
      <c r="AM439" t="inlineStr"/>
    </row>
    <row r="440">
      <c r="A440" t="inlineStr">
        <is>
          <t>084693D</t>
        </is>
      </c>
      <c r="B440" t="inlineStr">
        <is>
          <t>Master of Agriculture and Environment</t>
        </is>
      </c>
      <c r="C440" t="inlineStr">
        <is>
          <t>Masters Degree (Coursework)</t>
        </is>
      </c>
      <c r="D440" t="inlineStr">
        <is>
          <t>Postgraduate coursework</t>
        </is>
      </c>
      <c r="E440" t="inlineStr">
        <is>
          <t>Advertised: official page in place</t>
        </is>
      </c>
      <c r="F440" t="inlineStr">
        <is>
          <t>https://www.sydney.edu.au/courses/courses/pc/master-of-agriculture-and-environment.html</t>
        </is>
      </c>
      <c r="G440" t="inlineStr">
        <is>
          <t>https://www.sydney.edu.au/courses/courses/pc/master-of-agriculture-and-environment.html</t>
        </is>
      </c>
      <c r="H440" t="inlineStr">
        <is>
          <t>Read</t>
        </is>
      </c>
      <c r="I440" t="inlineStr">
        <is>
          <t>Exact title match</t>
        </is>
      </c>
      <c r="J440" t="inlineStr"/>
      <c r="K440" t="inlineStr">
        <is>
          <t>Not sent to re-link</t>
        </is>
      </c>
      <c r="L440" t="inlineStr">
        <is>
          <t>Filled</t>
        </is>
      </c>
      <c r="M440" t="inlineStr">
        <is>
          <t>Not stated on course page</t>
        </is>
      </c>
      <c r="N440" t="inlineStr"/>
      <c r="O440" t="n">
        <v>0</v>
      </c>
      <c r="P440" t="inlineStr"/>
      <c r="Q440" t="inlineStr">
        <is>
          <t>Filled</t>
        </is>
      </c>
      <c r="R440" t="n">
        <v>6.5</v>
      </c>
      <c r="S440" t="inlineStr">
        <is>
          <t>Central English policy</t>
        </is>
      </c>
      <c r="T440" t="inlineStr">
        <is>
          <t>Central rule applies (value agrees)</t>
        </is>
      </c>
      <c r="U440" t="inlineStr"/>
      <c r="V440" t="inlineStr">
        <is>
          <t>Not stated on course page</t>
        </is>
      </c>
      <c r="W440" t="inlineStr"/>
      <c r="X440" t="inlineStr"/>
      <c r="Y440" t="n">
        <v>0</v>
      </c>
      <c r="Z440" t="inlineStr">
        <is>
          <t>No</t>
        </is>
      </c>
      <c r="AA440" t="inlineStr">
        <is>
          <t>Filled</t>
        </is>
      </c>
      <c r="AB440" t="inlineStr">
        <is>
          <t>on campus</t>
        </is>
      </c>
      <c r="AC440" t="inlineStr"/>
      <c r="AD440" t="n">
        <v>0</v>
      </c>
      <c r="AE440" t="inlineStr"/>
      <c r="AF440" t="inlineStr"/>
      <c r="AG440" t="inlineStr"/>
      <c r="AH440" t="inlineStr"/>
      <c r="AI440" t="inlineStr">
        <is>
          <t>Yes</t>
        </is>
      </c>
      <c r="AJ440" t="inlineStr"/>
      <c r="AK440" t="inlineStr"/>
      <c r="AL440" t="inlineStr"/>
      <c r="AM440" t="inlineStr"/>
    </row>
    <row r="441">
      <c r="A441" t="inlineStr">
        <is>
          <t>055314E</t>
        </is>
      </c>
      <c r="B441" t="inlineStr">
        <is>
          <t>Master of Applied Linguistics</t>
        </is>
      </c>
      <c r="C441" t="inlineStr">
        <is>
          <t>Masters Degree (Coursework)</t>
        </is>
      </c>
      <c r="D441" t="inlineStr">
        <is>
          <t>Postgraduate coursework</t>
        </is>
      </c>
      <c r="E441" t="inlineStr">
        <is>
          <t>Page found, needs a rendered read</t>
        </is>
      </c>
      <c r="F441" t="inlineStr"/>
      <c r="G441" t="inlineStr">
        <is>
          <t>https://www.sydney.edu.au/courses/courses/pc/master-of-applied-linguistics.html</t>
        </is>
      </c>
      <c r="H441" t="inlineStr">
        <is>
          <t>Needs a rendered read</t>
        </is>
      </c>
      <c r="I441" t="inlineStr"/>
      <c r="J441" t="inlineStr"/>
      <c r="K441" t="inlineStr">
        <is>
          <t>Finished, no page: every candidate address was refused by the reader or did not</t>
        </is>
      </c>
      <c r="L441" t="inlineStr">
        <is>
          <t>Page found, being read</t>
        </is>
      </c>
      <c r="M441" t="inlineStr">
        <is>
          <t>Page found, being read</t>
        </is>
      </c>
      <c r="N441" t="inlineStr"/>
      <c r="O441" t="n">
        <v>0</v>
      </c>
      <c r="P441" t="inlineStr"/>
      <c r="Q441" t="inlineStr">
        <is>
          <t>Filled</t>
        </is>
      </c>
      <c r="R441" t="n">
        <v>6.5</v>
      </c>
      <c r="S441" t="inlineStr">
        <is>
          <t>Central English policy</t>
        </is>
      </c>
      <c r="T441" t="inlineStr">
        <is>
          <t>Central rule applies (value agrees)</t>
        </is>
      </c>
      <c r="U441" t="inlineStr"/>
      <c r="V441" t="inlineStr">
        <is>
          <t>Page found, being read</t>
        </is>
      </c>
      <c r="W441" t="inlineStr"/>
      <c r="X441" t="inlineStr"/>
      <c r="Y441" t="n">
        <v>0</v>
      </c>
      <c r="Z441" t="inlineStr">
        <is>
          <t>No</t>
        </is>
      </c>
      <c r="AA441" t="inlineStr">
        <is>
          <t>Not stated on course page</t>
        </is>
      </c>
      <c r="AB441" t="inlineStr"/>
      <c r="AC441" t="inlineStr">
        <is>
          <t>Skipped: the page does not state it</t>
        </is>
      </c>
      <c r="AD441" t="n">
        <v>0</v>
      </c>
      <c r="AE441" t="inlineStr">
        <is>
          <t>Yes</t>
        </is>
      </c>
      <c r="AF441" t="inlineStr"/>
      <c r="AG441" t="inlineStr"/>
      <c r="AH441" t="inlineStr"/>
      <c r="AI441" t="inlineStr"/>
      <c r="AJ441" t="inlineStr"/>
      <c r="AK441" t="inlineStr"/>
      <c r="AL441" t="inlineStr"/>
      <c r="AM441" t="inlineStr"/>
    </row>
    <row r="442">
      <c r="A442" t="inlineStr">
        <is>
          <t>082899F</t>
        </is>
      </c>
      <c r="B442" t="inlineStr">
        <is>
          <t>Master of Applied Linguistics</t>
        </is>
      </c>
      <c r="C442" t="inlineStr">
        <is>
          <t>Masters Degree (Coursework)</t>
        </is>
      </c>
      <c r="D442" t="inlineStr">
        <is>
          <t>Postgraduate coursework</t>
        </is>
      </c>
      <c r="E442" t="inlineStr">
        <is>
          <t>Page found, needs a rendered read</t>
        </is>
      </c>
      <c r="F442" t="inlineStr"/>
      <c r="G442" t="inlineStr">
        <is>
          <t>https://www.sydney.edu.au/courses/courses/pc/master-of-applied-linguistics.html</t>
        </is>
      </c>
      <c r="H442" t="inlineStr">
        <is>
          <t>Needs a rendered read</t>
        </is>
      </c>
      <c r="I442" t="inlineStr"/>
      <c r="J442" t="inlineStr"/>
      <c r="K442" t="inlineStr">
        <is>
          <t>Finished, no page: every candidate address was refused by the reader or did not</t>
        </is>
      </c>
      <c r="L442" t="inlineStr">
        <is>
          <t>Page found, being read</t>
        </is>
      </c>
      <c r="M442" t="inlineStr">
        <is>
          <t>Page found, being read</t>
        </is>
      </c>
      <c r="N442" t="inlineStr"/>
      <c r="O442" t="n">
        <v>0</v>
      </c>
      <c r="P442" t="inlineStr"/>
      <c r="Q442" t="inlineStr">
        <is>
          <t>Filled</t>
        </is>
      </c>
      <c r="R442" t="n">
        <v>6.5</v>
      </c>
      <c r="S442" t="inlineStr">
        <is>
          <t>Central English policy</t>
        </is>
      </c>
      <c r="T442" t="inlineStr">
        <is>
          <t>Central rule applies (value agrees)</t>
        </is>
      </c>
      <c r="U442" t="inlineStr"/>
      <c r="V442" t="inlineStr">
        <is>
          <t>Page found, being read</t>
        </is>
      </c>
      <c r="W442" t="inlineStr"/>
      <c r="X442" t="inlineStr"/>
      <c r="Y442" t="n">
        <v>0</v>
      </c>
      <c r="Z442" t="inlineStr">
        <is>
          <t>No</t>
        </is>
      </c>
      <c r="AA442" t="inlineStr">
        <is>
          <t>Not stated on course page</t>
        </is>
      </c>
      <c r="AB442" t="inlineStr"/>
      <c r="AC442" t="inlineStr">
        <is>
          <t>Skipped: the page does not state it</t>
        </is>
      </c>
      <c r="AD442" t="n">
        <v>0</v>
      </c>
      <c r="AE442" t="inlineStr">
        <is>
          <t>Yes</t>
        </is>
      </c>
      <c r="AF442" t="inlineStr"/>
      <c r="AG442" t="inlineStr"/>
      <c r="AH442" t="inlineStr"/>
      <c r="AI442" t="inlineStr"/>
      <c r="AJ442" t="inlineStr"/>
      <c r="AK442" t="inlineStr"/>
      <c r="AL442" t="inlineStr"/>
      <c r="AM442" t="inlineStr"/>
    </row>
    <row r="443">
      <c r="A443" t="inlineStr">
        <is>
          <t>052757B</t>
        </is>
      </c>
      <c r="B443" t="inlineStr">
        <is>
          <t>Master of Applied Science (Health Sciences)</t>
        </is>
      </c>
      <c r="C443" t="inlineStr">
        <is>
          <t>Masters Degree (Research)</t>
        </is>
      </c>
      <c r="D443" t="inlineStr">
        <is>
          <t>Research degree</t>
        </is>
      </c>
      <c r="E443" t="inlineStr">
        <is>
          <t>Held: page found is for another course</t>
        </is>
      </c>
      <c r="F443" t="inlineStr"/>
      <c r="G443" t="inlineStr">
        <is>
          <t>https://rp-handbooks.sydney.edu.au/handbooks/archive/2019/health_sci/postgraduate/research/m_applied_science.shtml.html</t>
        </is>
      </c>
      <c r="H443" t="inlineStr">
        <is>
          <t>Not a course page</t>
        </is>
      </c>
      <c r="I443" t="inlineStr"/>
      <c r="J443" t="inlineStr"/>
      <c r="K443" t="inlineStr">
        <is>
          <t>Not sent to re-link</t>
        </is>
      </c>
      <c r="L443" t="inlineStr">
        <is>
          <t>Not stated on course page</t>
        </is>
      </c>
      <c r="M443" t="inlineStr">
        <is>
          <t>Not stated on course page</t>
        </is>
      </c>
      <c r="N443" t="inlineStr"/>
      <c r="O443" t="n">
        <v>0</v>
      </c>
      <c r="P443" t="inlineStr"/>
      <c r="Q443" t="inlineStr">
        <is>
          <t>Filled</t>
        </is>
      </c>
      <c r="R443" t="n">
        <v>6.5</v>
      </c>
      <c r="S443" t="inlineStr">
        <is>
          <t>Central English policy</t>
        </is>
      </c>
      <c r="T443" t="inlineStr">
        <is>
          <t>Central rule applies (value agrees)</t>
        </is>
      </c>
      <c r="U443" t="inlineStr"/>
      <c r="V443" t="inlineStr">
        <is>
          <t>Not stated on course page</t>
        </is>
      </c>
      <c r="W443" t="inlineStr"/>
      <c r="X443" t="inlineStr"/>
      <c r="Y443" t="n">
        <v>0</v>
      </c>
      <c r="Z443" t="inlineStr">
        <is>
          <t>No</t>
        </is>
      </c>
      <c r="AA443" t="inlineStr">
        <is>
          <t>Not stated on course page</t>
        </is>
      </c>
      <c r="AB443" t="inlineStr"/>
      <c r="AC443" t="inlineStr">
        <is>
          <t>Skipped: the page does not state it</t>
        </is>
      </c>
      <c r="AD443" t="n">
        <v>0</v>
      </c>
      <c r="AE443" t="inlineStr"/>
      <c r="AF443" t="inlineStr"/>
      <c r="AG443" t="inlineStr"/>
      <c r="AH443" t="inlineStr"/>
      <c r="AI443" t="inlineStr"/>
      <c r="AJ443" t="inlineStr"/>
      <c r="AK443" t="inlineStr"/>
      <c r="AL443" t="inlineStr"/>
      <c r="AM443" t="inlineStr"/>
    </row>
    <row r="444">
      <c r="A444" t="inlineStr">
        <is>
          <t>082896J</t>
        </is>
      </c>
      <c r="B444" t="inlineStr">
        <is>
          <t>Master of Architectural Science (One Stream)</t>
        </is>
      </c>
      <c r="C444" t="inlineStr">
        <is>
          <t>Masters Degree (Coursework)</t>
        </is>
      </c>
      <c r="D444" t="inlineStr">
        <is>
          <t>Postgraduate coursework</t>
        </is>
      </c>
      <c r="E444" t="inlineStr">
        <is>
          <t>Page address no longer works</t>
        </is>
      </c>
      <c r="F444" t="inlineStr"/>
      <c r="G444" t="inlineStr">
        <is>
          <t>https://www.sydney.edu.au/courses/courses/pc/master-of-architectural-science-one-stream.html</t>
        </is>
      </c>
      <c r="H444" t="inlineStr">
        <is>
          <t>Address no longer works</t>
        </is>
      </c>
      <c r="I444" t="inlineStr"/>
      <c r="J444" t="inlineStr"/>
      <c r="K444" t="inlineStr">
        <is>
          <t>Finished, no page: every candidate address was refused by the reader or did not</t>
        </is>
      </c>
      <c r="L444" t="inlineStr">
        <is>
          <t>Page found, being read</t>
        </is>
      </c>
      <c r="M444" t="inlineStr">
        <is>
          <t>Page found, being read</t>
        </is>
      </c>
      <c r="N444" t="inlineStr"/>
      <c r="O444" t="n">
        <v>0</v>
      </c>
      <c r="P444" t="inlineStr"/>
      <c r="Q444" t="inlineStr">
        <is>
          <t>Filled</t>
        </is>
      </c>
      <c r="R444" t="n">
        <v>6.5</v>
      </c>
      <c r="S444" t="inlineStr">
        <is>
          <t>Central English policy</t>
        </is>
      </c>
      <c r="T444" t="inlineStr">
        <is>
          <t>Central rule applies (value agrees)</t>
        </is>
      </c>
      <c r="U444" t="inlineStr"/>
      <c r="V444" t="inlineStr">
        <is>
          <t>Page found, being read</t>
        </is>
      </c>
      <c r="W444" t="inlineStr"/>
      <c r="X444" t="inlineStr"/>
      <c r="Y444" t="n">
        <v>0</v>
      </c>
      <c r="Z444" t="inlineStr">
        <is>
          <t>No</t>
        </is>
      </c>
      <c r="AA444" t="inlineStr">
        <is>
          <t>Not stated on course page</t>
        </is>
      </c>
      <c r="AB444" t="inlineStr"/>
      <c r="AC444" t="inlineStr">
        <is>
          <t>Skipped: no allowed source had a value</t>
        </is>
      </c>
      <c r="AD444" t="n">
        <v>1</v>
      </c>
      <c r="AE444" t="inlineStr"/>
      <c r="AF444" t="inlineStr"/>
      <c r="AG444" t="inlineStr"/>
      <c r="AH444" t="inlineStr"/>
      <c r="AI444" t="inlineStr"/>
      <c r="AJ444" t="inlineStr"/>
      <c r="AK444" t="inlineStr"/>
      <c r="AL444" t="inlineStr"/>
      <c r="AM444" t="inlineStr"/>
    </row>
    <row r="445">
      <c r="A445" t="inlineStr">
        <is>
          <t>082897G</t>
        </is>
      </c>
      <c r="B445" t="inlineStr">
        <is>
          <t>Master of Architectural Science (Two streams)</t>
        </is>
      </c>
      <c r="C445" t="inlineStr">
        <is>
          <t>Masters Degree (Coursework)</t>
        </is>
      </c>
      <c r="D445" t="inlineStr">
        <is>
          <t>Postgraduate coursework</t>
        </is>
      </c>
      <c r="E445" t="inlineStr">
        <is>
          <t>Page address no longer works</t>
        </is>
      </c>
      <c r="F445" t="inlineStr"/>
      <c r="G445" t="inlineStr">
        <is>
          <t>https://www.sydney.edu.au/courses/courses/pc/master-of-architectural-science-two-streams.html</t>
        </is>
      </c>
      <c r="H445" t="inlineStr">
        <is>
          <t>Address no longer works</t>
        </is>
      </c>
      <c r="I445" t="inlineStr"/>
      <c r="J445" t="inlineStr"/>
      <c r="K445" t="inlineStr">
        <is>
          <t>Finished, no page: every candidate address was refused by the reader or did not</t>
        </is>
      </c>
      <c r="L445" t="inlineStr">
        <is>
          <t>Page found, being read</t>
        </is>
      </c>
      <c r="M445" t="inlineStr">
        <is>
          <t>Page found, being read</t>
        </is>
      </c>
      <c r="N445" t="inlineStr"/>
      <c r="O445" t="n">
        <v>0</v>
      </c>
      <c r="P445" t="inlineStr"/>
      <c r="Q445" t="inlineStr">
        <is>
          <t>Filled</t>
        </is>
      </c>
      <c r="R445" t="n">
        <v>6.5</v>
      </c>
      <c r="S445" t="inlineStr">
        <is>
          <t>Central English policy</t>
        </is>
      </c>
      <c r="T445" t="inlineStr">
        <is>
          <t>Central rule applies (value agrees)</t>
        </is>
      </c>
      <c r="U445" t="inlineStr"/>
      <c r="V445" t="inlineStr">
        <is>
          <t>Page found, being read</t>
        </is>
      </c>
      <c r="W445" t="inlineStr"/>
      <c r="X445" t="inlineStr"/>
      <c r="Y445" t="n">
        <v>0</v>
      </c>
      <c r="Z445" t="inlineStr">
        <is>
          <t>No</t>
        </is>
      </c>
      <c r="AA445" t="inlineStr">
        <is>
          <t>Not stated on course page</t>
        </is>
      </c>
      <c r="AB445" t="inlineStr"/>
      <c r="AC445" t="inlineStr">
        <is>
          <t>Skipped: the page does not state it</t>
        </is>
      </c>
      <c r="AD445" t="n">
        <v>0</v>
      </c>
      <c r="AE445" t="inlineStr"/>
      <c r="AF445" t="inlineStr"/>
      <c r="AG445" t="inlineStr"/>
      <c r="AH445" t="inlineStr"/>
      <c r="AI445" t="inlineStr"/>
      <c r="AJ445" t="inlineStr"/>
      <c r="AK445" t="inlineStr"/>
      <c r="AL445" t="inlineStr"/>
      <c r="AM445" t="inlineStr"/>
    </row>
    <row r="446">
      <c r="A446" t="inlineStr">
        <is>
          <t>060904G</t>
        </is>
      </c>
      <c r="B446" t="inlineStr">
        <is>
          <t>Master of Architecture</t>
        </is>
      </c>
      <c r="C446" t="inlineStr">
        <is>
          <t>Masters Degree (Coursework)</t>
        </is>
      </c>
      <c r="D446" t="inlineStr">
        <is>
          <t>Postgraduate coursework</t>
        </is>
      </c>
      <c r="E446" t="inlineStr">
        <is>
          <t>Advertised: official page in place</t>
        </is>
      </c>
      <c r="F446" t="inlineStr">
        <is>
          <t>https://www.sydney.edu.au/courses/courses/pc/master-of-architecture.html</t>
        </is>
      </c>
      <c r="G446" t="inlineStr">
        <is>
          <t>https://www.sydney.edu.au/courses/courses/pc/master-of-architecture.html</t>
        </is>
      </c>
      <c r="H446" t="inlineStr">
        <is>
          <t>Read</t>
        </is>
      </c>
      <c r="I446" t="inlineStr">
        <is>
          <t>Exact title match</t>
        </is>
      </c>
      <c r="J446" t="inlineStr"/>
      <c r="K446" t="inlineStr">
        <is>
          <t>Not sent to re-link</t>
        </is>
      </c>
      <c r="L446" t="inlineStr">
        <is>
          <t>Filled</t>
        </is>
      </c>
      <c r="M446" t="inlineStr">
        <is>
          <t>Not stated on course page</t>
        </is>
      </c>
      <c r="N446" t="inlineStr"/>
      <c r="O446" t="n">
        <v>0</v>
      </c>
      <c r="P446" t="inlineStr"/>
      <c r="Q446" t="inlineStr">
        <is>
          <t>Filled</t>
        </is>
      </c>
      <c r="R446" t="n">
        <v>6.5</v>
      </c>
      <c r="S446" t="inlineStr">
        <is>
          <t>Central English policy</t>
        </is>
      </c>
      <c r="T446" t="inlineStr">
        <is>
          <t>Central rule applies (value agrees)</t>
        </is>
      </c>
      <c r="U446" t="inlineStr"/>
      <c r="V446" t="inlineStr">
        <is>
          <t>Not stated on course page</t>
        </is>
      </c>
      <c r="W446" t="inlineStr"/>
      <c r="X446" t="inlineStr"/>
      <c r="Y446" t="n">
        <v>0</v>
      </c>
      <c r="Z446" t="inlineStr">
        <is>
          <t>No</t>
        </is>
      </c>
      <c r="AA446" t="inlineStr">
        <is>
          <t>Filled</t>
        </is>
      </c>
      <c r="AB446" t="inlineStr">
        <is>
          <t>on campus</t>
        </is>
      </c>
      <c r="AC446" t="inlineStr"/>
      <c r="AD446" t="n">
        <v>0</v>
      </c>
      <c r="AE446" t="inlineStr"/>
      <c r="AF446" t="inlineStr"/>
      <c r="AG446" t="inlineStr"/>
      <c r="AH446" t="inlineStr"/>
      <c r="AI446" t="inlineStr">
        <is>
          <t>Yes</t>
        </is>
      </c>
      <c r="AJ446" t="inlineStr"/>
      <c r="AK446" t="inlineStr"/>
      <c r="AL446" t="inlineStr"/>
      <c r="AM446" t="inlineStr"/>
    </row>
    <row r="447">
      <c r="A447" t="inlineStr">
        <is>
          <t>079211C</t>
        </is>
      </c>
      <c r="B447" t="inlineStr">
        <is>
          <t>Master of Art Curating</t>
        </is>
      </c>
      <c r="C447" t="inlineStr">
        <is>
          <t>Masters Degree (Coursework)</t>
        </is>
      </c>
      <c r="D447" t="inlineStr">
        <is>
          <t>Postgraduate coursework</t>
        </is>
      </c>
      <c r="E447" t="inlineStr">
        <is>
          <t>Advertised: official page in place</t>
        </is>
      </c>
      <c r="F447" t="inlineStr">
        <is>
          <t>https://www.sydney.edu.au/courses/courses/pc/master-of-art-curating.html</t>
        </is>
      </c>
      <c r="G447" t="inlineStr">
        <is>
          <t>https://www.sydney.edu.au/courses/courses/pc/master-of-art-curating.html</t>
        </is>
      </c>
      <c r="H447" t="inlineStr">
        <is>
          <t>Read</t>
        </is>
      </c>
      <c r="I447" t="inlineStr">
        <is>
          <t>Exact title match</t>
        </is>
      </c>
      <c r="J447" t="inlineStr"/>
      <c r="K447" t="inlineStr">
        <is>
          <t>Not sent to re-link</t>
        </is>
      </c>
      <c r="L447" t="inlineStr">
        <is>
          <t>Filled</t>
        </is>
      </c>
      <c r="M447" t="inlineStr">
        <is>
          <t>Not stated on course page</t>
        </is>
      </c>
      <c r="N447" t="inlineStr"/>
      <c r="O447" t="n">
        <v>0</v>
      </c>
      <c r="P447" t="inlineStr"/>
      <c r="Q447" t="inlineStr">
        <is>
          <t>Filled</t>
        </is>
      </c>
      <c r="R447" t="n">
        <v>6.5</v>
      </c>
      <c r="S447" t="inlineStr">
        <is>
          <t>Central English policy</t>
        </is>
      </c>
      <c r="T447" t="inlineStr">
        <is>
          <t>Central rule applies (value agrees)</t>
        </is>
      </c>
      <c r="U447" t="inlineStr"/>
      <c r="V447" t="inlineStr">
        <is>
          <t>Not stated on course page</t>
        </is>
      </c>
      <c r="W447" t="inlineStr"/>
      <c r="X447" t="inlineStr"/>
      <c r="Y447" t="n">
        <v>0</v>
      </c>
      <c r="Z447" t="inlineStr">
        <is>
          <t>No</t>
        </is>
      </c>
      <c r="AA447" t="inlineStr">
        <is>
          <t>Filled</t>
        </is>
      </c>
      <c r="AB447" t="inlineStr">
        <is>
          <t>on campus</t>
        </is>
      </c>
      <c r="AC447" t="inlineStr"/>
      <c r="AD447" t="n">
        <v>0</v>
      </c>
      <c r="AE447" t="inlineStr"/>
      <c r="AF447" t="inlineStr"/>
      <c r="AG447" t="inlineStr"/>
      <c r="AH447" t="inlineStr"/>
      <c r="AI447" t="inlineStr">
        <is>
          <t>Yes</t>
        </is>
      </c>
      <c r="AJ447" t="inlineStr"/>
      <c r="AK447" t="inlineStr"/>
      <c r="AL447" t="inlineStr"/>
      <c r="AM447" t="inlineStr"/>
    </row>
    <row r="448">
      <c r="A448" t="inlineStr">
        <is>
          <t>055548J</t>
        </is>
      </c>
      <c r="B448" t="inlineStr">
        <is>
          <t>Master of Arts</t>
        </is>
      </c>
      <c r="C448" t="inlineStr">
        <is>
          <t>Masters Degree (Coursework)</t>
        </is>
      </c>
      <c r="D448" t="inlineStr">
        <is>
          <t>Postgraduate coursework</t>
        </is>
      </c>
      <c r="E448" t="inlineStr">
        <is>
          <t>Advertised: official page in place</t>
        </is>
      </c>
      <c r="F448" t="inlineStr">
        <is>
          <t>https://www.sydney.edu.au/courses/courses/pr/master-of-arts-research0.html</t>
        </is>
      </c>
      <c r="G448" t="inlineStr">
        <is>
          <t>https://www.sydney.edu.au/courses/courses/pr/master-of-arts-research0.html</t>
        </is>
      </c>
      <c r="H448" t="inlineStr">
        <is>
          <t>Read</t>
        </is>
      </c>
      <c r="I448" t="inlineStr">
        <is>
          <t>Exact title match</t>
        </is>
      </c>
      <c r="J448" t="inlineStr"/>
      <c r="K448" t="inlineStr">
        <is>
          <t>Not sent to re-link</t>
        </is>
      </c>
      <c r="L448" t="inlineStr">
        <is>
          <t>Filled</t>
        </is>
      </c>
      <c r="M448" t="inlineStr">
        <is>
          <t>Not stated on course page</t>
        </is>
      </c>
      <c r="N448" t="inlineStr"/>
      <c r="O448" t="n">
        <v>0</v>
      </c>
      <c r="P448" t="inlineStr"/>
      <c r="Q448" t="inlineStr">
        <is>
          <t>Filled</t>
        </is>
      </c>
      <c r="R448" t="n">
        <v>6.5</v>
      </c>
      <c r="S448" t="inlineStr">
        <is>
          <t>Central English policy</t>
        </is>
      </c>
      <c r="T448" t="inlineStr">
        <is>
          <t>Central rule applies (value agrees)</t>
        </is>
      </c>
      <c r="U448" t="inlineStr"/>
      <c r="V448" t="inlineStr">
        <is>
          <t>Filled</t>
        </is>
      </c>
      <c r="W448" t="inlineStr">
        <is>
          <t>March, July</t>
        </is>
      </c>
      <c r="X448" t="inlineStr">
        <is>
          <t>Page reader</t>
        </is>
      </c>
      <c r="Y448" t="n">
        <v>0</v>
      </c>
      <c r="Z448" t="inlineStr">
        <is>
          <t>No</t>
        </is>
      </c>
      <c r="AA448" t="inlineStr">
        <is>
          <t>Filled</t>
        </is>
      </c>
      <c r="AB448" t="inlineStr">
        <is>
          <t>on campus</t>
        </is>
      </c>
      <c r="AC448" t="inlineStr"/>
      <c r="AD448" t="n">
        <v>0</v>
      </c>
      <c r="AE448" t="inlineStr"/>
      <c r="AF448" t="inlineStr"/>
      <c r="AG448" t="inlineStr"/>
      <c r="AH448" t="inlineStr"/>
      <c r="AI448" t="inlineStr"/>
      <c r="AJ448" t="inlineStr"/>
      <c r="AK448" t="inlineStr"/>
      <c r="AL448" t="inlineStr"/>
      <c r="AM448" t="inlineStr"/>
    </row>
    <row r="449">
      <c r="A449" t="inlineStr">
        <is>
          <t>050922K</t>
        </is>
      </c>
      <c r="B449" t="inlineStr">
        <is>
          <t>Master of Arts (Research)</t>
        </is>
      </c>
      <c r="C449" t="inlineStr">
        <is>
          <t>Masters Degree (Research)</t>
        </is>
      </c>
      <c r="D449" t="inlineStr">
        <is>
          <t>Research degree</t>
        </is>
      </c>
      <c r="E449" t="inlineStr">
        <is>
          <t>Advertised: official page in place</t>
        </is>
      </c>
      <c r="F449" t="inlineStr">
        <is>
          <t>https://www.sydney.edu.au/courses/courses/pr/master-of-arts-research0.html</t>
        </is>
      </c>
      <c r="G449" t="inlineStr">
        <is>
          <t>https://www.sydney.edu.au/courses/courses/pr/master-of-arts-research0.html</t>
        </is>
      </c>
      <c r="H449" t="inlineStr">
        <is>
          <t>Read</t>
        </is>
      </c>
      <c r="I449" t="inlineStr">
        <is>
          <t>Exact title match</t>
        </is>
      </c>
      <c r="J449" t="inlineStr"/>
      <c r="K449" t="inlineStr">
        <is>
          <t>Not sent to re-link</t>
        </is>
      </c>
      <c r="L449" t="inlineStr">
        <is>
          <t>Filled</t>
        </is>
      </c>
      <c r="M449" t="inlineStr">
        <is>
          <t>Not stated on course page</t>
        </is>
      </c>
      <c r="N449" t="inlineStr"/>
      <c r="O449" t="n">
        <v>0</v>
      </c>
      <c r="P449" t="inlineStr"/>
      <c r="Q449" t="inlineStr">
        <is>
          <t>Filled</t>
        </is>
      </c>
      <c r="R449" t="n">
        <v>6.5</v>
      </c>
      <c r="S449" t="inlineStr">
        <is>
          <t>Central English policy</t>
        </is>
      </c>
      <c r="T449" t="inlineStr">
        <is>
          <t>Central rule applies (value agrees)</t>
        </is>
      </c>
      <c r="U449" t="inlineStr"/>
      <c r="V449" t="inlineStr">
        <is>
          <t>Filled</t>
        </is>
      </c>
      <c r="W449" t="inlineStr">
        <is>
          <t>March, July</t>
        </is>
      </c>
      <c r="X449" t="inlineStr">
        <is>
          <t>Page reader</t>
        </is>
      </c>
      <c r="Y449" t="n">
        <v>0</v>
      </c>
      <c r="Z449" t="inlineStr">
        <is>
          <t>No</t>
        </is>
      </c>
      <c r="AA449" t="inlineStr">
        <is>
          <t>Filled</t>
        </is>
      </c>
      <c r="AB449" t="inlineStr">
        <is>
          <t>on campus</t>
        </is>
      </c>
      <c r="AC449" t="inlineStr"/>
      <c r="AD449" t="n">
        <v>0</v>
      </c>
      <c r="AE449" t="inlineStr"/>
      <c r="AF449" t="inlineStr"/>
      <c r="AG449" t="inlineStr"/>
      <c r="AH449" t="inlineStr"/>
      <c r="AI449" t="inlineStr"/>
      <c r="AJ449" t="inlineStr"/>
      <c r="AK449" t="inlineStr"/>
      <c r="AL449" t="inlineStr"/>
      <c r="AM449" t="inlineStr"/>
    </row>
    <row r="450">
      <c r="A450" t="inlineStr">
        <is>
          <t>054972A</t>
        </is>
      </c>
      <c r="B450" t="inlineStr">
        <is>
          <t>Master of Bioethics</t>
        </is>
      </c>
      <c r="C450" t="inlineStr">
        <is>
          <t>Masters Degree (Coursework)</t>
        </is>
      </c>
      <c r="D450" t="inlineStr">
        <is>
          <t>Postgraduate coursework</t>
        </is>
      </c>
      <c r="E450" t="inlineStr">
        <is>
          <t>Advertised: official page in place</t>
        </is>
      </c>
      <c r="F450" t="inlineStr">
        <is>
          <t>https://www.sydney.edu.au/courses/courses/pc/master-of-bioethics.html</t>
        </is>
      </c>
      <c r="G450" t="inlineStr">
        <is>
          <t>https://www.sydney.edu.au/courses/courses/pc/master-of-bioethics.html</t>
        </is>
      </c>
      <c r="H450" t="inlineStr">
        <is>
          <t>Read</t>
        </is>
      </c>
      <c r="I450" t="inlineStr">
        <is>
          <t>Exact title match</t>
        </is>
      </c>
      <c r="J450" t="inlineStr"/>
      <c r="K450" t="inlineStr">
        <is>
          <t>Not sent to re-link</t>
        </is>
      </c>
      <c r="L450" t="inlineStr">
        <is>
          <t>Filled</t>
        </is>
      </c>
      <c r="M450" t="inlineStr">
        <is>
          <t>Not stated on course page</t>
        </is>
      </c>
      <c r="N450" t="inlineStr"/>
      <c r="O450" t="n">
        <v>0</v>
      </c>
      <c r="P450" t="inlineStr"/>
      <c r="Q450" t="inlineStr">
        <is>
          <t>Filled</t>
        </is>
      </c>
      <c r="R450" t="n">
        <v>6.5</v>
      </c>
      <c r="S450" t="inlineStr">
        <is>
          <t>Central English policy</t>
        </is>
      </c>
      <c r="T450" t="inlineStr">
        <is>
          <t>Central rule applies (value agrees)</t>
        </is>
      </c>
      <c r="U450" t="inlineStr"/>
      <c r="V450" t="inlineStr">
        <is>
          <t>Not stated on course page</t>
        </is>
      </c>
      <c r="W450" t="inlineStr"/>
      <c r="X450" t="inlineStr"/>
      <c r="Y450" t="n">
        <v>0</v>
      </c>
      <c r="Z450" t="inlineStr">
        <is>
          <t>No</t>
        </is>
      </c>
      <c r="AA450" t="inlineStr">
        <is>
          <t>Filled</t>
        </is>
      </c>
      <c r="AB450" t="inlineStr">
        <is>
          <t>on campus</t>
        </is>
      </c>
      <c r="AC450" t="inlineStr"/>
      <c r="AD450" t="n">
        <v>0</v>
      </c>
      <c r="AE450" t="inlineStr"/>
      <c r="AF450" t="inlineStr"/>
      <c r="AG450" t="inlineStr"/>
      <c r="AH450" t="inlineStr"/>
      <c r="AI450" t="inlineStr">
        <is>
          <t>Yes</t>
        </is>
      </c>
      <c r="AJ450" t="inlineStr"/>
      <c r="AK450" t="inlineStr"/>
      <c r="AL450" t="inlineStr"/>
      <c r="AM450" t="inlineStr"/>
    </row>
    <row r="451">
      <c r="A451" t="inlineStr">
        <is>
          <t>102404J</t>
        </is>
      </c>
      <c r="B451" t="inlineStr">
        <is>
          <t>Master of Biomedical Science (Infection and Immunity)</t>
        </is>
      </c>
      <c r="C451" t="inlineStr">
        <is>
          <t>Masters Degree (Coursework)</t>
        </is>
      </c>
      <c r="D451" t="inlineStr">
        <is>
          <t>Postgraduate coursework</t>
        </is>
      </c>
      <c r="E451" t="inlineStr">
        <is>
          <t>Advertised: official page in place</t>
        </is>
      </c>
      <c r="F451" t="inlineStr">
        <is>
          <t>https://www.sydney.edu.au/courses/courses/pc/master-of-biomedical-science-infection-and-immunity.html</t>
        </is>
      </c>
      <c r="G451" t="inlineStr">
        <is>
          <t>https://www.sydney.edu.au/courses/courses/pc/master-of-biomedical-science-infection-and-immunity.html</t>
        </is>
      </c>
      <c r="H451" t="inlineStr">
        <is>
          <t>Read</t>
        </is>
      </c>
      <c r="I451" t="inlineStr">
        <is>
          <t>Exact title match</t>
        </is>
      </c>
      <c r="J451" t="inlineStr"/>
      <c r="K451" t="inlineStr">
        <is>
          <t>Not sent to re-link</t>
        </is>
      </c>
      <c r="L451" t="inlineStr">
        <is>
          <t>Filled</t>
        </is>
      </c>
      <c r="M451" t="inlineStr">
        <is>
          <t>Not stated on course page</t>
        </is>
      </c>
      <c r="N451" t="inlineStr"/>
      <c r="O451" t="n">
        <v>0</v>
      </c>
      <c r="P451" t="inlineStr"/>
      <c r="Q451" t="inlineStr">
        <is>
          <t>Filled</t>
        </is>
      </c>
      <c r="R451" t="n">
        <v>6.5</v>
      </c>
      <c r="S451" t="inlineStr">
        <is>
          <t>Central English policy</t>
        </is>
      </c>
      <c r="T451" t="inlineStr">
        <is>
          <t>Central rule applies (value agrees)</t>
        </is>
      </c>
      <c r="U451" t="inlineStr"/>
      <c r="V451" t="inlineStr">
        <is>
          <t>Not stated on course page</t>
        </is>
      </c>
      <c r="W451" t="inlineStr"/>
      <c r="X451" t="inlineStr"/>
      <c r="Y451" t="n">
        <v>0</v>
      </c>
      <c r="Z451" t="inlineStr">
        <is>
          <t>No</t>
        </is>
      </c>
      <c r="AA451" t="inlineStr">
        <is>
          <t>Filled</t>
        </is>
      </c>
      <c r="AB451" t="inlineStr">
        <is>
          <t>on campus</t>
        </is>
      </c>
      <c r="AC451" t="inlineStr"/>
      <c r="AD451" t="n">
        <v>0</v>
      </c>
      <c r="AE451" t="inlineStr"/>
      <c r="AF451" t="inlineStr"/>
      <c r="AG451" t="inlineStr"/>
      <c r="AH451" t="inlineStr"/>
      <c r="AI451" t="inlineStr">
        <is>
          <t>Yes</t>
        </is>
      </c>
      <c r="AJ451" t="inlineStr"/>
      <c r="AK451" t="inlineStr"/>
      <c r="AL451" t="inlineStr"/>
      <c r="AM451" t="inlineStr"/>
    </row>
    <row r="452">
      <c r="A452" t="inlineStr">
        <is>
          <t>068825G</t>
        </is>
      </c>
      <c r="B452" t="inlineStr">
        <is>
          <t>Master of Brain and Mind Sciences</t>
        </is>
      </c>
      <c r="C452" t="inlineStr">
        <is>
          <t>Masters Degree (Coursework)</t>
        </is>
      </c>
      <c r="D452" t="inlineStr">
        <is>
          <t>Postgraduate coursework</t>
        </is>
      </c>
      <c r="E452" t="inlineStr">
        <is>
          <t>Advertised: official page in place</t>
        </is>
      </c>
      <c r="F452" t="inlineStr">
        <is>
          <t>https://www.sydney.edu.au/courses/courses/pc/master-of-brain-and-mind-sciences.html</t>
        </is>
      </c>
      <c r="G452" t="inlineStr">
        <is>
          <t>https://www.sydney.edu.au/courses/courses/pc/master-of-brain-and-mind-sciences.html</t>
        </is>
      </c>
      <c r="H452" t="inlineStr">
        <is>
          <t>Read</t>
        </is>
      </c>
      <c r="I452" t="inlineStr">
        <is>
          <t>Exact title match</t>
        </is>
      </c>
      <c r="J452" t="inlineStr"/>
      <c r="K452" t="inlineStr">
        <is>
          <t>Not sent to re-link</t>
        </is>
      </c>
      <c r="L452" t="inlineStr">
        <is>
          <t>Filled</t>
        </is>
      </c>
      <c r="M452" t="inlineStr">
        <is>
          <t>Not stated on course page</t>
        </is>
      </c>
      <c r="N452" t="inlineStr"/>
      <c r="O452" t="n">
        <v>0</v>
      </c>
      <c r="P452" t="inlineStr"/>
      <c r="Q452" t="inlineStr">
        <is>
          <t>Filled</t>
        </is>
      </c>
      <c r="R452" t="n">
        <v>6.5</v>
      </c>
      <c r="S452" t="inlineStr">
        <is>
          <t>Central English policy</t>
        </is>
      </c>
      <c r="T452" t="inlineStr">
        <is>
          <t>Central rule applies (value agrees)</t>
        </is>
      </c>
      <c r="U452" t="inlineStr"/>
      <c r="V452" t="inlineStr">
        <is>
          <t>Not stated on course page</t>
        </is>
      </c>
      <c r="W452" t="inlineStr"/>
      <c r="X452" t="inlineStr"/>
      <c r="Y452" t="n">
        <v>0</v>
      </c>
      <c r="Z452" t="inlineStr">
        <is>
          <t>No</t>
        </is>
      </c>
      <c r="AA452" t="inlineStr">
        <is>
          <t>Filled</t>
        </is>
      </c>
      <c r="AB452" t="inlineStr">
        <is>
          <t>on campus</t>
        </is>
      </c>
      <c r="AC452" t="inlineStr"/>
      <c r="AD452" t="n">
        <v>0</v>
      </c>
      <c r="AE452" t="inlineStr"/>
      <c r="AF452" t="inlineStr"/>
      <c r="AG452" t="inlineStr"/>
      <c r="AH452" t="inlineStr"/>
      <c r="AI452" t="inlineStr">
        <is>
          <t>Yes</t>
        </is>
      </c>
      <c r="AJ452" t="inlineStr"/>
      <c r="AK452" t="inlineStr"/>
      <c r="AL452" t="inlineStr"/>
      <c r="AM452" t="inlineStr"/>
    </row>
    <row r="453">
      <c r="A453" t="inlineStr">
        <is>
          <t>116199E</t>
        </is>
      </c>
      <c r="B453" t="inlineStr">
        <is>
          <t>Master of Building Performance and Sustainable Design</t>
        </is>
      </c>
      <c r="C453" t="inlineStr">
        <is>
          <t>Masters Degree (Coursework)</t>
        </is>
      </c>
      <c r="D453" t="inlineStr">
        <is>
          <t>Postgraduate coursework</t>
        </is>
      </c>
      <c r="E453" t="inlineStr">
        <is>
          <t>Advertised: official page in place</t>
        </is>
      </c>
      <c r="F453" t="inlineStr">
        <is>
          <t>https://www.sydney.edu.au/courses/courses/pc/master-of-building-performance-and-sustainable-design.html</t>
        </is>
      </c>
      <c r="G453" t="inlineStr">
        <is>
          <t>https://www.sydney.edu.au/courses/courses/pc/master-of-building-performance-and-sustainable-design.html</t>
        </is>
      </c>
      <c r="H453" t="inlineStr">
        <is>
          <t>Read</t>
        </is>
      </c>
      <c r="I453" t="inlineStr">
        <is>
          <t>Exact title match</t>
        </is>
      </c>
      <c r="J453" t="inlineStr"/>
      <c r="K453" t="inlineStr">
        <is>
          <t>Not sent to re-link</t>
        </is>
      </c>
      <c r="L453" t="inlineStr">
        <is>
          <t>Filled</t>
        </is>
      </c>
      <c r="M453" t="inlineStr">
        <is>
          <t>Not stated on course page</t>
        </is>
      </c>
      <c r="N453" t="inlineStr"/>
      <c r="O453" t="n">
        <v>0</v>
      </c>
      <c r="P453" t="inlineStr"/>
      <c r="Q453" t="inlineStr">
        <is>
          <t>Filled</t>
        </is>
      </c>
      <c r="R453" t="n">
        <v>6.5</v>
      </c>
      <c r="S453" t="inlineStr">
        <is>
          <t>Central English policy</t>
        </is>
      </c>
      <c r="T453" t="inlineStr">
        <is>
          <t>Central rule applies (value agrees)</t>
        </is>
      </c>
      <c r="U453" t="inlineStr"/>
      <c r="V453" t="inlineStr">
        <is>
          <t>Not stated on course page</t>
        </is>
      </c>
      <c r="W453" t="inlineStr"/>
      <c r="X453" t="inlineStr"/>
      <c r="Y453" t="n">
        <v>0</v>
      </c>
      <c r="Z453" t="inlineStr">
        <is>
          <t>No</t>
        </is>
      </c>
      <c r="AA453" t="inlineStr">
        <is>
          <t>Filled</t>
        </is>
      </c>
      <c r="AB453" t="inlineStr">
        <is>
          <t>on campus</t>
        </is>
      </c>
      <c r="AC453" t="inlineStr"/>
      <c r="AD453" t="n">
        <v>0</v>
      </c>
      <c r="AE453" t="inlineStr"/>
      <c r="AF453" t="inlineStr"/>
      <c r="AG453" t="inlineStr"/>
      <c r="AH453" t="inlineStr"/>
      <c r="AI453" t="inlineStr">
        <is>
          <t>Yes</t>
        </is>
      </c>
      <c r="AJ453" t="inlineStr"/>
      <c r="AK453" t="inlineStr"/>
      <c r="AL453" t="inlineStr"/>
      <c r="AM453" t="inlineStr"/>
    </row>
    <row r="454">
      <c r="A454" t="inlineStr">
        <is>
          <t>095861B</t>
        </is>
      </c>
      <c r="B454" t="inlineStr">
        <is>
          <t>Master of Business Administration (Leadership and Enterprise)</t>
        </is>
      </c>
      <c r="C454" t="inlineStr">
        <is>
          <t>Masters Degree (Coursework)</t>
        </is>
      </c>
      <c r="D454" t="inlineStr">
        <is>
          <t>Postgraduate coursework</t>
        </is>
      </c>
      <c r="E454" t="inlineStr">
        <is>
          <t>Advertised: official page in place</t>
        </is>
      </c>
      <c r="F454" t="inlineStr">
        <is>
          <t>https://www.sydney.edu.au/courses/courses/pc/master-of-business-administration-leadership-and-enterprise.html</t>
        </is>
      </c>
      <c r="G454" t="inlineStr">
        <is>
          <t>https://www.sydney.edu.au/courses/courses/pc/master-of-business-administration-leadership-and-enterprise.html</t>
        </is>
      </c>
      <c r="H454" t="inlineStr">
        <is>
          <t>Read</t>
        </is>
      </c>
      <c r="I454" t="inlineStr">
        <is>
          <t>Exact title match</t>
        </is>
      </c>
      <c r="J454" t="inlineStr"/>
      <c r="K454" t="inlineStr">
        <is>
          <t>Not sent to re-link</t>
        </is>
      </c>
      <c r="L454" t="inlineStr">
        <is>
          <t>Filled</t>
        </is>
      </c>
      <c r="M454" t="inlineStr">
        <is>
          <t>Not stated on course page</t>
        </is>
      </c>
      <c r="N454" t="inlineStr"/>
      <c r="O454" t="n">
        <v>0</v>
      </c>
      <c r="P454" t="inlineStr"/>
      <c r="Q454" t="inlineStr">
        <is>
          <t>Filled</t>
        </is>
      </c>
      <c r="R454" t="n">
        <v>6.5</v>
      </c>
      <c r="S454" t="inlineStr">
        <is>
          <t>Central English policy</t>
        </is>
      </c>
      <c r="T454" t="inlineStr">
        <is>
          <t>Central rule applies (value agrees)</t>
        </is>
      </c>
      <c r="U454" t="inlineStr"/>
      <c r="V454" t="inlineStr">
        <is>
          <t>Filled</t>
        </is>
      </c>
      <c r="W454" t="inlineStr">
        <is>
          <t>August</t>
        </is>
      </c>
      <c r="X454" t="inlineStr">
        <is>
          <t>Page reader</t>
        </is>
      </c>
      <c r="Y454" t="n">
        <v>0</v>
      </c>
      <c r="Z454" t="inlineStr">
        <is>
          <t>No</t>
        </is>
      </c>
      <c r="AA454" t="inlineStr">
        <is>
          <t>Filled</t>
        </is>
      </c>
      <c r="AB454" t="inlineStr">
        <is>
          <t>on campus</t>
        </is>
      </c>
      <c r="AC454" t="inlineStr"/>
      <c r="AD454" t="n">
        <v>0</v>
      </c>
      <c r="AE454" t="inlineStr"/>
      <c r="AF454" t="inlineStr"/>
      <c r="AG454" t="inlineStr"/>
      <c r="AH454" t="inlineStr"/>
      <c r="AI454" t="inlineStr"/>
      <c r="AJ454" t="inlineStr"/>
      <c r="AK454" t="inlineStr"/>
      <c r="AL454" t="inlineStr"/>
      <c r="AM454" t="inlineStr"/>
    </row>
    <row r="455">
      <c r="A455" t="inlineStr">
        <is>
          <t>050921M</t>
        </is>
      </c>
      <c r="B455" t="inlineStr">
        <is>
          <t>Master of Business Law</t>
        </is>
      </c>
      <c r="C455" t="inlineStr">
        <is>
          <t>Masters Degree (Coursework)</t>
        </is>
      </c>
      <c r="D455" t="inlineStr">
        <is>
          <t>Postgraduate coursework</t>
        </is>
      </c>
      <c r="E455" t="inlineStr">
        <is>
          <t>Advertised: official page in place</t>
        </is>
      </c>
      <c r="F455" t="inlineStr">
        <is>
          <t>https://www.sydney.edu.au/courses/courses/pc/master-of-business-law.html</t>
        </is>
      </c>
      <c r="G455" t="inlineStr">
        <is>
          <t>https://www.sydney.edu.au/courses/courses/pc/master-of-business-law.html</t>
        </is>
      </c>
      <c r="H455" t="inlineStr">
        <is>
          <t>Read</t>
        </is>
      </c>
      <c r="I455" t="inlineStr">
        <is>
          <t>Exact title match</t>
        </is>
      </c>
      <c r="J455" t="inlineStr"/>
      <c r="K455" t="inlineStr">
        <is>
          <t>Not sent to re-link</t>
        </is>
      </c>
      <c r="L455" t="inlineStr">
        <is>
          <t>Filled</t>
        </is>
      </c>
      <c r="M455" t="inlineStr">
        <is>
          <t>Not stated on course page</t>
        </is>
      </c>
      <c r="N455" t="inlineStr"/>
      <c r="O455" t="n">
        <v>0</v>
      </c>
      <c r="P455" t="inlineStr"/>
      <c r="Q455" t="inlineStr">
        <is>
          <t>Filled</t>
        </is>
      </c>
      <c r="R455" t="n">
        <v>6.5</v>
      </c>
      <c r="S455" t="inlineStr">
        <is>
          <t>Central English policy</t>
        </is>
      </c>
      <c r="T455" t="inlineStr">
        <is>
          <t>Central rule applies (value agrees)</t>
        </is>
      </c>
      <c r="U455" t="inlineStr"/>
      <c r="V455" t="inlineStr">
        <is>
          <t>Not stated on course page</t>
        </is>
      </c>
      <c r="W455" t="inlineStr"/>
      <c r="X455" t="inlineStr"/>
      <c r="Y455" t="n">
        <v>0</v>
      </c>
      <c r="Z455" t="inlineStr">
        <is>
          <t>No</t>
        </is>
      </c>
      <c r="AA455" t="inlineStr">
        <is>
          <t>Filled</t>
        </is>
      </c>
      <c r="AB455" t="inlineStr">
        <is>
          <t>on campus</t>
        </is>
      </c>
      <c r="AC455" t="inlineStr"/>
      <c r="AD455" t="n">
        <v>0</v>
      </c>
      <c r="AE455" t="inlineStr"/>
      <c r="AF455" t="inlineStr"/>
      <c r="AG455" t="inlineStr"/>
      <c r="AH455" t="inlineStr"/>
      <c r="AI455" t="inlineStr">
        <is>
          <t>Yes</t>
        </is>
      </c>
      <c r="AJ455" t="inlineStr"/>
      <c r="AK455" t="inlineStr"/>
      <c r="AL455" t="inlineStr"/>
      <c r="AM455" t="inlineStr"/>
    </row>
    <row r="456">
      <c r="A456" t="inlineStr">
        <is>
          <t>068705E</t>
        </is>
      </c>
      <c r="B456" t="inlineStr">
        <is>
          <t>Master of Cancer and Haematology Nursing</t>
        </is>
      </c>
      <c r="C456" t="inlineStr">
        <is>
          <t>Masters Degree (Coursework)</t>
        </is>
      </c>
      <c r="D456" t="inlineStr">
        <is>
          <t>Postgraduate coursework</t>
        </is>
      </c>
      <c r="E456" t="inlineStr">
        <is>
          <t>Page found, needs a rendered read</t>
        </is>
      </c>
      <c r="F456" t="inlineStr"/>
      <c r="G456" t="inlineStr">
        <is>
          <t>https://www.sydney.edu.au/courses/courses/pc/master-of-cancer-and-haematology-nursing.html</t>
        </is>
      </c>
      <c r="H456" t="inlineStr">
        <is>
          <t>Needs a rendered read</t>
        </is>
      </c>
      <c r="I456" t="inlineStr"/>
      <c r="J456" t="inlineStr"/>
      <c r="K456" t="inlineStr">
        <is>
          <t>Finished, no page: every candidate address was refused by the reader or did not</t>
        </is>
      </c>
      <c r="L456" t="inlineStr">
        <is>
          <t>Page found, being read</t>
        </is>
      </c>
      <c r="M456" t="inlineStr">
        <is>
          <t>Page found, being read</t>
        </is>
      </c>
      <c r="N456" t="inlineStr"/>
      <c r="O456" t="n">
        <v>0</v>
      </c>
      <c r="P456" t="inlineStr"/>
      <c r="Q456" t="inlineStr">
        <is>
          <t>Filled</t>
        </is>
      </c>
      <c r="R456" t="n">
        <v>6.5</v>
      </c>
      <c r="S456" t="inlineStr">
        <is>
          <t>Central English policy</t>
        </is>
      </c>
      <c r="T456" t="inlineStr">
        <is>
          <t>Central rule applies (value agrees)</t>
        </is>
      </c>
      <c r="U456" t="inlineStr"/>
      <c r="V456" t="inlineStr">
        <is>
          <t>Page found, being read</t>
        </is>
      </c>
      <c r="W456" t="inlineStr"/>
      <c r="X456" t="inlineStr"/>
      <c r="Y456" t="n">
        <v>0</v>
      </c>
      <c r="Z456" t="inlineStr">
        <is>
          <t>No</t>
        </is>
      </c>
      <c r="AA456" t="inlineStr">
        <is>
          <t>Not stated on course page</t>
        </is>
      </c>
      <c r="AB456" t="inlineStr"/>
      <c r="AC456" t="inlineStr">
        <is>
          <t>Skipped: no allowed source had a value</t>
        </is>
      </c>
      <c r="AD456" t="n">
        <v>1</v>
      </c>
      <c r="AE456" t="inlineStr">
        <is>
          <t>Yes</t>
        </is>
      </c>
      <c r="AF456" t="inlineStr"/>
      <c r="AG456" t="inlineStr"/>
      <c r="AH456" t="inlineStr"/>
      <c r="AI456" t="inlineStr"/>
      <c r="AJ456" t="inlineStr"/>
      <c r="AK456" t="inlineStr"/>
      <c r="AL456" t="inlineStr"/>
      <c r="AM456" t="inlineStr"/>
    </row>
    <row r="457">
      <c r="A457" t="inlineStr">
        <is>
          <t>082878M</t>
        </is>
      </c>
      <c r="B457" t="inlineStr">
        <is>
          <t>Master of Clinical Psychology</t>
        </is>
      </c>
      <c r="C457" t="inlineStr">
        <is>
          <t>Masters Degree (Coursework)</t>
        </is>
      </c>
      <c r="D457" t="inlineStr">
        <is>
          <t>Postgraduate coursework</t>
        </is>
      </c>
      <c r="E457" t="inlineStr">
        <is>
          <t>Advertised: official page in place</t>
        </is>
      </c>
      <c r="F457" t="inlineStr">
        <is>
          <t>https://www.sydney.edu.au/courses/courses/pc/master-of-clinical-psychology.html</t>
        </is>
      </c>
      <c r="G457" t="inlineStr">
        <is>
          <t>https://www.sydney.edu.au/courses/courses/pc/master-of-clinical-psychology.html</t>
        </is>
      </c>
      <c r="H457" t="inlineStr">
        <is>
          <t>Read</t>
        </is>
      </c>
      <c r="I457" t="inlineStr">
        <is>
          <t>Exact title match</t>
        </is>
      </c>
      <c r="J457" t="inlineStr"/>
      <c r="K457" t="inlineStr">
        <is>
          <t>Not sent to re-link</t>
        </is>
      </c>
      <c r="L457" t="inlineStr">
        <is>
          <t>Filled</t>
        </is>
      </c>
      <c r="M457" t="inlineStr">
        <is>
          <t>Not stated on course page</t>
        </is>
      </c>
      <c r="N457" t="inlineStr"/>
      <c r="O457" t="n">
        <v>0</v>
      </c>
      <c r="P457" t="inlineStr"/>
      <c r="Q457" t="inlineStr">
        <is>
          <t>Filled</t>
        </is>
      </c>
      <c r="R457" t="n">
        <v>6.5</v>
      </c>
      <c r="S457" t="inlineStr">
        <is>
          <t>Central English policy</t>
        </is>
      </c>
      <c r="T457" t="inlineStr">
        <is>
          <t>Central rule applies (value agrees)</t>
        </is>
      </c>
      <c r="U457" t="inlineStr"/>
      <c r="V457" t="inlineStr">
        <is>
          <t>Not stated on course page</t>
        </is>
      </c>
      <c r="W457" t="inlineStr"/>
      <c r="X457" t="inlineStr"/>
      <c r="Y457" t="n">
        <v>0</v>
      </c>
      <c r="Z457" t="inlineStr">
        <is>
          <t>No</t>
        </is>
      </c>
      <c r="AA457" t="inlineStr">
        <is>
          <t>Filled</t>
        </is>
      </c>
      <c r="AB457" t="inlineStr">
        <is>
          <t>on campus</t>
        </is>
      </c>
      <c r="AC457" t="inlineStr"/>
      <c r="AD457" t="n">
        <v>0</v>
      </c>
      <c r="AE457" t="inlineStr"/>
      <c r="AF457" t="inlineStr"/>
      <c r="AG457" t="inlineStr"/>
      <c r="AH457" t="inlineStr"/>
      <c r="AI457" t="inlineStr">
        <is>
          <t>Yes</t>
        </is>
      </c>
      <c r="AJ457" t="inlineStr"/>
      <c r="AK457" t="inlineStr"/>
      <c r="AL457" t="inlineStr"/>
      <c r="AM457" t="inlineStr"/>
    </row>
    <row r="458">
      <c r="A458" t="inlineStr">
        <is>
          <t>082918G</t>
        </is>
      </c>
      <c r="B458" t="inlineStr">
        <is>
          <t>Master of Clinical Psychology &amp; Doctor of Philosophy</t>
        </is>
      </c>
      <c r="C458" t="inlineStr">
        <is>
          <t>Doctorate / PhD</t>
        </is>
      </c>
      <c r="D458" t="inlineStr">
        <is>
          <t>Research degree</t>
        </is>
      </c>
      <c r="E458" t="inlineStr">
        <is>
          <t>Advertised: official page in place</t>
        </is>
      </c>
      <c r="F458" t="inlineStr">
        <is>
          <t>https://www.sydney.edu.au/handbooks/science-pg/research/clinical-psychology-phd.html</t>
        </is>
      </c>
      <c r="G458" t="inlineStr">
        <is>
          <t>https://www.sydney.edu.au/handbooks/science-pg/research/clinical-psychology-phd.html</t>
        </is>
      </c>
      <c r="H458" t="inlineStr">
        <is>
          <t>Read</t>
        </is>
      </c>
      <c r="I458" t="inlineStr">
        <is>
          <t>Exact title match</t>
        </is>
      </c>
      <c r="J458" t="inlineStr"/>
      <c r="K458" t="inlineStr">
        <is>
          <t>Not sent to re-link</t>
        </is>
      </c>
      <c r="L458" t="inlineStr">
        <is>
          <t>Filled</t>
        </is>
      </c>
      <c r="M458" t="inlineStr">
        <is>
          <t>Not stated on course page</t>
        </is>
      </c>
      <c r="N458" t="inlineStr"/>
      <c r="O458" t="n">
        <v>0</v>
      </c>
      <c r="P458" t="inlineStr"/>
      <c r="Q458" t="inlineStr">
        <is>
          <t>Not stated on course page</t>
        </is>
      </c>
      <c r="S458" t="inlineStr"/>
      <c r="T458" t="inlineStr">
        <is>
          <t>Held: double degree (its parts are at different levels); research degree (the policy states no research requirement)</t>
        </is>
      </c>
      <c r="U458" t="inlineStr"/>
      <c r="V458" t="inlineStr">
        <is>
          <t>Not stated on course page</t>
        </is>
      </c>
      <c r="W458" t="inlineStr"/>
      <c r="X458" t="inlineStr"/>
      <c r="Y458" t="n">
        <v>0</v>
      </c>
      <c r="Z458" t="inlineStr">
        <is>
          <t>No</t>
        </is>
      </c>
      <c r="AA458" t="inlineStr">
        <is>
          <t>Filled</t>
        </is>
      </c>
      <c r="AB458" t="inlineStr">
        <is>
          <t>blended</t>
        </is>
      </c>
      <c r="AC458" t="inlineStr">
        <is>
          <t>Filled</t>
        </is>
      </c>
      <c r="AD458" t="n">
        <v>0</v>
      </c>
      <c r="AE458" t="inlineStr"/>
      <c r="AF458" t="inlineStr"/>
      <c r="AG458" t="inlineStr"/>
      <c r="AH458" t="inlineStr"/>
      <c r="AI458" t="inlineStr">
        <is>
          <t>Yes</t>
        </is>
      </c>
      <c r="AJ458" t="inlineStr">
        <is>
          <t>Yes</t>
        </is>
      </c>
      <c r="AK458" t="inlineStr"/>
      <c r="AL458" t="inlineStr"/>
      <c r="AM458" t="inlineStr"/>
    </row>
    <row r="459">
      <c r="A459" t="inlineStr">
        <is>
          <t>019181A</t>
        </is>
      </c>
      <c r="B459" t="inlineStr">
        <is>
          <t>Master of Commerce</t>
        </is>
      </c>
      <c r="C459" t="inlineStr">
        <is>
          <t>Masters Degree (Coursework)</t>
        </is>
      </c>
      <c r="D459" t="inlineStr">
        <is>
          <t>Postgraduate coursework</t>
        </is>
      </c>
      <c r="E459" t="inlineStr">
        <is>
          <t>Advertised: official page in place</t>
        </is>
      </c>
      <c r="F459" t="inlineStr">
        <is>
          <t>https://www.sydney.edu.au/courses/courses/pc/master-of-commerce0.html</t>
        </is>
      </c>
      <c r="G459" t="inlineStr">
        <is>
          <t>https://www.sydney.edu.au/courses/courses/pc/master-of-commerce0.html</t>
        </is>
      </c>
      <c r="H459" t="inlineStr">
        <is>
          <t>Read</t>
        </is>
      </c>
      <c r="I459" t="inlineStr">
        <is>
          <t>Exact title match</t>
        </is>
      </c>
      <c r="J459" t="inlineStr"/>
      <c r="K459" t="inlineStr">
        <is>
          <t>Not sent to re-link</t>
        </is>
      </c>
      <c r="L459" t="inlineStr">
        <is>
          <t>Filled</t>
        </is>
      </c>
      <c r="M459" t="inlineStr">
        <is>
          <t>Not stated on course page</t>
        </is>
      </c>
      <c r="N459" t="inlineStr"/>
      <c r="O459" t="n">
        <v>0</v>
      </c>
      <c r="P459" t="inlineStr"/>
      <c r="Q459" t="inlineStr">
        <is>
          <t>Filled</t>
        </is>
      </c>
      <c r="R459" t="n">
        <v>6.5</v>
      </c>
      <c r="S459" t="inlineStr">
        <is>
          <t>Central English policy</t>
        </is>
      </c>
      <c r="T459" t="inlineStr">
        <is>
          <t>Central rule applies (value agrees)</t>
        </is>
      </c>
      <c r="U459" t="inlineStr"/>
      <c r="V459" t="inlineStr">
        <is>
          <t>Not stated on course page</t>
        </is>
      </c>
      <c r="W459" t="inlineStr"/>
      <c r="X459" t="inlineStr"/>
      <c r="Y459" t="n">
        <v>0</v>
      </c>
      <c r="Z459" t="inlineStr">
        <is>
          <t>No</t>
        </is>
      </c>
      <c r="AA459" t="inlineStr">
        <is>
          <t>Filled</t>
        </is>
      </c>
      <c r="AB459" t="inlineStr">
        <is>
          <t>on campus</t>
        </is>
      </c>
      <c r="AC459" t="inlineStr"/>
      <c r="AD459" t="n">
        <v>0</v>
      </c>
      <c r="AE459" t="inlineStr"/>
      <c r="AF459" t="inlineStr"/>
      <c r="AG459" t="inlineStr"/>
      <c r="AH459" t="inlineStr"/>
      <c r="AI459" t="inlineStr">
        <is>
          <t>Yes</t>
        </is>
      </c>
      <c r="AJ459" t="inlineStr"/>
      <c r="AK459" t="inlineStr"/>
      <c r="AL459" t="inlineStr"/>
      <c r="AM459" t="inlineStr"/>
    </row>
    <row r="460">
      <c r="A460" t="inlineStr">
        <is>
          <t>077328F</t>
        </is>
      </c>
      <c r="B460" t="inlineStr">
        <is>
          <t>Master of Commerce (Extension)</t>
        </is>
      </c>
      <c r="C460" t="inlineStr">
        <is>
          <t>Masters Degree (Coursework)</t>
        </is>
      </c>
      <c r="D460" t="inlineStr">
        <is>
          <t>Postgraduate coursework</t>
        </is>
      </c>
      <c r="E460" t="inlineStr">
        <is>
          <t>Advertised: official page in place</t>
        </is>
      </c>
      <c r="F460" t="inlineStr">
        <is>
          <t>https://www.sydney.edu.au/courses/courses/pc/master-of-commerce-extension.html</t>
        </is>
      </c>
      <c r="G460" t="inlineStr">
        <is>
          <t>https://www.sydney.edu.au/courses/courses/pc/master-of-commerce-extension.html</t>
        </is>
      </c>
      <c r="H460" t="inlineStr">
        <is>
          <t>Read</t>
        </is>
      </c>
      <c r="I460" t="inlineStr">
        <is>
          <t>Exact title match</t>
        </is>
      </c>
      <c r="J460" t="inlineStr"/>
      <c r="K460" t="inlineStr">
        <is>
          <t>Not sent to re-link</t>
        </is>
      </c>
      <c r="L460" t="inlineStr">
        <is>
          <t>Filled</t>
        </is>
      </c>
      <c r="M460" t="inlineStr">
        <is>
          <t>Not stated on course page</t>
        </is>
      </c>
      <c r="N460" t="inlineStr"/>
      <c r="O460" t="n">
        <v>0</v>
      </c>
      <c r="P460" t="inlineStr"/>
      <c r="Q460" t="inlineStr">
        <is>
          <t>Filled</t>
        </is>
      </c>
      <c r="R460" t="n">
        <v>6.5</v>
      </c>
      <c r="S460" t="inlineStr">
        <is>
          <t>Central English policy</t>
        </is>
      </c>
      <c r="T460" t="inlineStr">
        <is>
          <t>Central rule applies (value agrees)</t>
        </is>
      </c>
      <c r="U460" t="inlineStr"/>
      <c r="V460" t="inlineStr">
        <is>
          <t>Not stated on course page</t>
        </is>
      </c>
      <c r="W460" t="inlineStr"/>
      <c r="X460" t="inlineStr"/>
      <c r="Y460" t="n">
        <v>0</v>
      </c>
      <c r="Z460" t="inlineStr">
        <is>
          <t>No</t>
        </is>
      </c>
      <c r="AA460" t="inlineStr">
        <is>
          <t>Filled</t>
        </is>
      </c>
      <c r="AB460" t="inlineStr">
        <is>
          <t>on campus</t>
        </is>
      </c>
      <c r="AC460" t="inlineStr"/>
      <c r="AD460" t="n">
        <v>0</v>
      </c>
      <c r="AE460" t="inlineStr"/>
      <c r="AF460" t="inlineStr"/>
      <c r="AG460" t="inlineStr"/>
      <c r="AH460" t="inlineStr"/>
      <c r="AI460" t="inlineStr">
        <is>
          <t>Yes</t>
        </is>
      </c>
      <c r="AJ460" t="inlineStr"/>
      <c r="AK460" t="inlineStr"/>
      <c r="AL460" t="inlineStr"/>
      <c r="AM460" t="inlineStr"/>
    </row>
    <row r="461">
      <c r="A461" t="inlineStr">
        <is>
          <t>102408E</t>
        </is>
      </c>
      <c r="B461" t="inlineStr">
        <is>
          <t>Master of Complex Systems</t>
        </is>
      </c>
      <c r="C461" t="inlineStr">
        <is>
          <t>Masters Degree (Coursework)</t>
        </is>
      </c>
      <c r="D461" t="inlineStr">
        <is>
          <t>Postgraduate coursework</t>
        </is>
      </c>
      <c r="E461" t="inlineStr">
        <is>
          <t>Advertised: official page in place</t>
        </is>
      </c>
      <c r="F461" t="inlineStr">
        <is>
          <t>https://www.sydney.edu.au/handbooks/archive/2025/engineering-pg/computer-science/complex-systems.html</t>
        </is>
      </c>
      <c r="G461" t="inlineStr">
        <is>
          <t>https://www.sydney.edu.au/handbooks/archive/2025/engineering-pg/computer-science/complex-systems.html</t>
        </is>
      </c>
      <c r="H461" t="inlineStr">
        <is>
          <t>Read</t>
        </is>
      </c>
      <c r="I461" t="inlineStr">
        <is>
          <t>Exact title match</t>
        </is>
      </c>
      <c r="J461" t="inlineStr"/>
      <c r="K461" t="inlineStr">
        <is>
          <t>Not sent to re-link</t>
        </is>
      </c>
      <c r="L461" t="inlineStr">
        <is>
          <t>Filled</t>
        </is>
      </c>
      <c r="M461" t="inlineStr">
        <is>
          <t>Not stated on course page</t>
        </is>
      </c>
      <c r="N461" t="inlineStr"/>
      <c r="O461" t="n">
        <v>0</v>
      </c>
      <c r="P461" t="inlineStr"/>
      <c r="Q461" t="inlineStr">
        <is>
          <t>Filled</t>
        </is>
      </c>
      <c r="R461" t="n">
        <v>6.5</v>
      </c>
      <c r="S461" t="inlineStr">
        <is>
          <t>Central English policy</t>
        </is>
      </c>
      <c r="T461" t="inlineStr">
        <is>
          <t>Central rule applies (value agrees)</t>
        </is>
      </c>
      <c r="U461" t="inlineStr"/>
      <c r="V461" t="inlineStr">
        <is>
          <t>Not stated on course page</t>
        </is>
      </c>
      <c r="W461" t="inlineStr"/>
      <c r="X461" t="inlineStr"/>
      <c r="Y461" t="n">
        <v>0</v>
      </c>
      <c r="Z461" t="inlineStr">
        <is>
          <t>No</t>
        </is>
      </c>
      <c r="AA461" t="inlineStr">
        <is>
          <t>Not stated on course page</t>
        </is>
      </c>
      <c r="AB461" t="inlineStr"/>
      <c r="AC461" t="inlineStr">
        <is>
          <t>Skipped: the page does not state it</t>
        </is>
      </c>
      <c r="AD461" t="n">
        <v>0</v>
      </c>
      <c r="AE461" t="inlineStr"/>
      <c r="AF461" t="inlineStr"/>
      <c r="AG461" t="inlineStr"/>
      <c r="AH461" t="inlineStr"/>
      <c r="AI461" t="inlineStr">
        <is>
          <t>Yes</t>
        </is>
      </c>
      <c r="AJ461" t="inlineStr"/>
      <c r="AK461" t="inlineStr"/>
      <c r="AL461" t="inlineStr"/>
      <c r="AM461" t="inlineStr"/>
    </row>
    <row r="462">
      <c r="A462" t="inlineStr">
        <is>
          <t>089810G</t>
        </is>
      </c>
      <c r="B462" t="inlineStr">
        <is>
          <t>Master of Complex Systems</t>
        </is>
      </c>
      <c r="C462" t="inlineStr">
        <is>
          <t>Masters Degree (Coursework)</t>
        </is>
      </c>
      <c r="D462" t="inlineStr">
        <is>
          <t>Postgraduate coursework</t>
        </is>
      </c>
      <c r="E462" t="inlineStr">
        <is>
          <t>Advertised: official page in place</t>
        </is>
      </c>
      <c r="F462" t="inlineStr">
        <is>
          <t>https://www.sydney.edu.au/handbooks/archive/2025/engineering-pg/computer-science/complex-systems.html</t>
        </is>
      </c>
      <c r="G462" t="inlineStr">
        <is>
          <t>https://www.sydney.edu.au/handbooks/archive/2025/engineering-pg/computer-science/complex-systems.html</t>
        </is>
      </c>
      <c r="H462" t="inlineStr">
        <is>
          <t>Read</t>
        </is>
      </c>
      <c r="I462" t="inlineStr">
        <is>
          <t>Exact title match</t>
        </is>
      </c>
      <c r="J462" t="inlineStr"/>
      <c r="K462" t="inlineStr">
        <is>
          <t>Not sent to re-link</t>
        </is>
      </c>
      <c r="L462" t="inlineStr">
        <is>
          <t>Filled</t>
        </is>
      </c>
      <c r="M462" t="inlineStr">
        <is>
          <t>Not stated on course page</t>
        </is>
      </c>
      <c r="N462" t="inlineStr"/>
      <c r="O462" t="n">
        <v>0</v>
      </c>
      <c r="P462" t="inlineStr"/>
      <c r="Q462" t="inlineStr">
        <is>
          <t>Filled</t>
        </is>
      </c>
      <c r="R462" t="n">
        <v>6.5</v>
      </c>
      <c r="S462" t="inlineStr">
        <is>
          <t>Central English policy</t>
        </is>
      </c>
      <c r="T462" t="inlineStr">
        <is>
          <t>Central rule applies (value agrees)</t>
        </is>
      </c>
      <c r="U462" t="inlineStr"/>
      <c r="V462" t="inlineStr">
        <is>
          <t>Not stated on course page</t>
        </is>
      </c>
      <c r="W462" t="inlineStr"/>
      <c r="X462" t="inlineStr"/>
      <c r="Y462" t="n">
        <v>0</v>
      </c>
      <c r="Z462" t="inlineStr">
        <is>
          <t>No</t>
        </is>
      </c>
      <c r="AA462" t="inlineStr">
        <is>
          <t>Not stated on course page</t>
        </is>
      </c>
      <c r="AB462" t="inlineStr"/>
      <c r="AC462" t="inlineStr">
        <is>
          <t>Skipped: the page does not state it</t>
        </is>
      </c>
      <c r="AD462" t="n">
        <v>0</v>
      </c>
      <c r="AE462" t="inlineStr"/>
      <c r="AF462" t="inlineStr"/>
      <c r="AG462" t="inlineStr"/>
      <c r="AH462" t="inlineStr"/>
      <c r="AI462" t="inlineStr">
        <is>
          <t>Yes</t>
        </is>
      </c>
      <c r="AJ462" t="inlineStr"/>
      <c r="AK462" t="inlineStr"/>
      <c r="AL462" t="inlineStr"/>
      <c r="AM462" t="inlineStr"/>
    </row>
    <row r="463">
      <c r="A463" t="inlineStr">
        <is>
          <t>111671D</t>
        </is>
      </c>
      <c r="B463" t="inlineStr">
        <is>
          <t>Master of Computer Science</t>
        </is>
      </c>
      <c r="C463" t="inlineStr">
        <is>
          <t>Masters Degree (Coursework)</t>
        </is>
      </c>
      <c r="D463" t="inlineStr">
        <is>
          <t>Postgraduate coursework</t>
        </is>
      </c>
      <c r="E463" t="inlineStr">
        <is>
          <t>Advertised: official page in place</t>
        </is>
      </c>
      <c r="F463" t="inlineStr">
        <is>
          <t>https://www.sydney.edu.au/courses/courses/pc/master-of-computer-science.html</t>
        </is>
      </c>
      <c r="G463" t="inlineStr">
        <is>
          <t>https://www.sydney.edu.au/courses/courses/pc/master-of-computer-science.html</t>
        </is>
      </c>
      <c r="H463" t="inlineStr">
        <is>
          <t>Read</t>
        </is>
      </c>
      <c r="I463" t="inlineStr">
        <is>
          <t>Exact title match</t>
        </is>
      </c>
      <c r="J463" t="inlineStr"/>
      <c r="K463" t="inlineStr">
        <is>
          <t>Not sent to re-link</t>
        </is>
      </c>
      <c r="L463" t="inlineStr">
        <is>
          <t>Filled</t>
        </is>
      </c>
      <c r="M463" t="inlineStr">
        <is>
          <t>Not stated on course page</t>
        </is>
      </c>
      <c r="N463" t="inlineStr"/>
      <c r="O463" t="n">
        <v>0</v>
      </c>
      <c r="P463" t="inlineStr"/>
      <c r="Q463" t="inlineStr">
        <is>
          <t>Filled</t>
        </is>
      </c>
      <c r="R463" t="n">
        <v>6.5</v>
      </c>
      <c r="S463" t="inlineStr">
        <is>
          <t>Central English policy</t>
        </is>
      </c>
      <c r="T463" t="inlineStr">
        <is>
          <t>Central rule applies (value agrees)</t>
        </is>
      </c>
      <c r="U463" t="inlineStr"/>
      <c r="V463" t="inlineStr">
        <is>
          <t>Not stated on course page</t>
        </is>
      </c>
      <c r="W463" t="inlineStr"/>
      <c r="X463" t="inlineStr"/>
      <c r="Y463" t="n">
        <v>0</v>
      </c>
      <c r="Z463" t="inlineStr">
        <is>
          <t>No</t>
        </is>
      </c>
      <c r="AA463" t="inlineStr">
        <is>
          <t>Filled</t>
        </is>
      </c>
      <c r="AB463" t="inlineStr">
        <is>
          <t>on campus</t>
        </is>
      </c>
      <c r="AC463" t="inlineStr"/>
      <c r="AD463" t="n">
        <v>0</v>
      </c>
      <c r="AE463" t="inlineStr"/>
      <c r="AF463" t="inlineStr"/>
      <c r="AG463" t="inlineStr"/>
      <c r="AH463" t="inlineStr"/>
      <c r="AI463" t="inlineStr">
        <is>
          <t>Yes</t>
        </is>
      </c>
      <c r="AJ463" t="inlineStr"/>
      <c r="AK463" t="inlineStr"/>
      <c r="AL463" t="inlineStr"/>
      <c r="AM463" t="inlineStr"/>
    </row>
    <row r="464">
      <c r="A464" t="inlineStr">
        <is>
          <t>083286E</t>
        </is>
      </c>
      <c r="B464" t="inlineStr">
        <is>
          <t>Master of Contemporary Art</t>
        </is>
      </c>
      <c r="C464" t="inlineStr">
        <is>
          <t>Masters Degree (Coursework)</t>
        </is>
      </c>
      <c r="D464" t="inlineStr">
        <is>
          <t>Postgraduate coursework</t>
        </is>
      </c>
      <c r="E464" t="inlineStr">
        <is>
          <t>Held: page found is for another course</t>
        </is>
      </c>
      <c r="F464" t="inlineStr"/>
      <c r="G464" t="inlineStr">
        <is>
          <t>https://rp-handbooks.sydney.edu.au/handbooks/archive/2016/sca/postgraduate/coursework/m_contemporary_art.shtml.html</t>
        </is>
      </c>
      <c r="H464" t="inlineStr">
        <is>
          <t>Not a course page</t>
        </is>
      </c>
      <c r="I464" t="inlineStr"/>
      <c r="J464" t="inlineStr"/>
      <c r="K464" t="inlineStr">
        <is>
          <t>Not sent to re-link</t>
        </is>
      </c>
      <c r="L464" t="inlineStr">
        <is>
          <t>Not stated on course page</t>
        </is>
      </c>
      <c r="M464" t="inlineStr">
        <is>
          <t>Not stated on course page</t>
        </is>
      </c>
      <c r="N464" t="inlineStr"/>
      <c r="O464" t="n">
        <v>0</v>
      </c>
      <c r="P464" t="inlineStr"/>
      <c r="Q464" t="inlineStr">
        <is>
          <t>Filled</t>
        </is>
      </c>
      <c r="R464" t="n">
        <v>6.5</v>
      </c>
      <c r="S464" t="inlineStr">
        <is>
          <t>Central English policy</t>
        </is>
      </c>
      <c r="T464" t="inlineStr">
        <is>
          <t>Central rule applies (value agrees)</t>
        </is>
      </c>
      <c r="U464" t="inlineStr"/>
      <c r="V464" t="inlineStr">
        <is>
          <t>Filled</t>
        </is>
      </c>
      <c r="W464" t="inlineStr">
        <is>
          <t>July</t>
        </is>
      </c>
      <c r="X464" t="inlineStr">
        <is>
          <t>Page reader</t>
        </is>
      </c>
      <c r="Y464" t="n">
        <v>0</v>
      </c>
      <c r="Z464" t="inlineStr">
        <is>
          <t>No</t>
        </is>
      </c>
      <c r="AA464" t="inlineStr">
        <is>
          <t>Not stated on course page</t>
        </is>
      </c>
      <c r="AB464" t="inlineStr"/>
      <c r="AC464" t="inlineStr">
        <is>
          <t>Skipped: taken back: the page read was another course's page</t>
        </is>
      </c>
      <c r="AD464" t="n">
        <v>1</v>
      </c>
      <c r="AE464" t="inlineStr"/>
      <c r="AF464" t="inlineStr"/>
      <c r="AG464" t="inlineStr"/>
      <c r="AH464" t="inlineStr"/>
      <c r="AI464" t="inlineStr"/>
      <c r="AJ464" t="inlineStr"/>
      <c r="AK464" t="inlineStr"/>
      <c r="AL464" t="inlineStr"/>
      <c r="AM464" t="inlineStr"/>
    </row>
    <row r="465">
      <c r="A465" t="inlineStr">
        <is>
          <t>082900G</t>
        </is>
      </c>
      <c r="B465" t="inlineStr">
        <is>
          <t>Master of Creative Writing</t>
        </is>
      </c>
      <c r="C465" t="inlineStr">
        <is>
          <t>Masters Degree (Coursework)</t>
        </is>
      </c>
      <c r="D465" t="inlineStr">
        <is>
          <t>Postgraduate coursework</t>
        </is>
      </c>
      <c r="E465" t="inlineStr">
        <is>
          <t>Advertised: official page in place</t>
        </is>
      </c>
      <c r="F465" t="inlineStr">
        <is>
          <t>https://www.sydney.edu.au/courses/courses/pc/master-of-creative-writing.html</t>
        </is>
      </c>
      <c r="G465" t="inlineStr">
        <is>
          <t>https://www.sydney.edu.au/courses/courses/pc/master-of-creative-writing.html</t>
        </is>
      </c>
      <c r="H465" t="inlineStr">
        <is>
          <t>Read</t>
        </is>
      </c>
      <c r="I465" t="inlineStr">
        <is>
          <t>Exact title match</t>
        </is>
      </c>
      <c r="J465" t="inlineStr"/>
      <c r="K465" t="inlineStr">
        <is>
          <t>Not sent to re-link</t>
        </is>
      </c>
      <c r="L465" t="inlineStr">
        <is>
          <t>Filled</t>
        </is>
      </c>
      <c r="M465" t="inlineStr">
        <is>
          <t>Not stated on course page</t>
        </is>
      </c>
      <c r="N465" t="inlineStr"/>
      <c r="O465" t="n">
        <v>0</v>
      </c>
      <c r="P465" t="inlineStr"/>
      <c r="Q465" t="inlineStr">
        <is>
          <t>Filled</t>
        </is>
      </c>
      <c r="R465" t="n">
        <v>6.5</v>
      </c>
      <c r="S465" t="inlineStr">
        <is>
          <t>Central English policy</t>
        </is>
      </c>
      <c r="T465" t="inlineStr">
        <is>
          <t>Central rule applies (value agrees)</t>
        </is>
      </c>
      <c r="U465" t="inlineStr"/>
      <c r="V465" t="inlineStr">
        <is>
          <t>Not stated on course page</t>
        </is>
      </c>
      <c r="W465" t="inlineStr"/>
      <c r="X465" t="inlineStr"/>
      <c r="Y465" t="n">
        <v>0</v>
      </c>
      <c r="Z465" t="inlineStr">
        <is>
          <t>No</t>
        </is>
      </c>
      <c r="AA465" t="inlineStr">
        <is>
          <t>Filled</t>
        </is>
      </c>
      <c r="AB465" t="inlineStr">
        <is>
          <t>on campus</t>
        </is>
      </c>
      <c r="AC465" t="inlineStr"/>
      <c r="AD465" t="n">
        <v>0</v>
      </c>
      <c r="AE465" t="inlineStr"/>
      <c r="AF465" t="inlineStr"/>
      <c r="AG465" t="inlineStr"/>
      <c r="AH465" t="inlineStr"/>
      <c r="AI465" t="inlineStr">
        <is>
          <t>Yes</t>
        </is>
      </c>
      <c r="AJ465" t="inlineStr"/>
      <c r="AK465" t="inlineStr"/>
      <c r="AL465" t="inlineStr"/>
      <c r="AM465" t="inlineStr"/>
    </row>
    <row r="466">
      <c r="A466" t="inlineStr">
        <is>
          <t>008404D</t>
        </is>
      </c>
      <c r="B466" t="inlineStr">
        <is>
          <t>Master of Criminology</t>
        </is>
      </c>
      <c r="C466" t="inlineStr">
        <is>
          <t>Masters Degree (Coursework)</t>
        </is>
      </c>
      <c r="D466" t="inlineStr">
        <is>
          <t>Postgraduate coursework</t>
        </is>
      </c>
      <c r="E466" t="inlineStr">
        <is>
          <t>Advertised: official page in place</t>
        </is>
      </c>
      <c r="F466" t="inlineStr">
        <is>
          <t>https://www.sydney.edu.au/courses/courses/pc/master-of-criminology.html</t>
        </is>
      </c>
      <c r="G466" t="inlineStr">
        <is>
          <t>https://www.sydney.edu.au/courses/courses/pc/master-of-criminology.html</t>
        </is>
      </c>
      <c r="H466" t="inlineStr">
        <is>
          <t>Read</t>
        </is>
      </c>
      <c r="I466" t="inlineStr">
        <is>
          <t>Exact title match</t>
        </is>
      </c>
      <c r="J466" t="inlineStr"/>
      <c r="K466" t="inlineStr">
        <is>
          <t>Not sent to re-link</t>
        </is>
      </c>
      <c r="L466" t="inlineStr">
        <is>
          <t>Filled</t>
        </is>
      </c>
      <c r="M466" t="inlineStr">
        <is>
          <t>Not stated on course page</t>
        </is>
      </c>
      <c r="N466" t="inlineStr"/>
      <c r="O466" t="n">
        <v>0</v>
      </c>
      <c r="P466" t="inlineStr"/>
      <c r="Q466" t="inlineStr">
        <is>
          <t>Filled</t>
        </is>
      </c>
      <c r="R466" t="n">
        <v>6.5</v>
      </c>
      <c r="S466" t="inlineStr">
        <is>
          <t>Central English policy</t>
        </is>
      </c>
      <c r="T466" t="inlineStr">
        <is>
          <t>Central rule applies (value agrees)</t>
        </is>
      </c>
      <c r="U466" t="inlineStr"/>
      <c r="V466" t="inlineStr">
        <is>
          <t>Not stated on course page</t>
        </is>
      </c>
      <c r="W466" t="inlineStr"/>
      <c r="X466" t="inlineStr"/>
      <c r="Y466" t="n">
        <v>0</v>
      </c>
      <c r="Z466" t="inlineStr">
        <is>
          <t>No</t>
        </is>
      </c>
      <c r="AA466" t="inlineStr">
        <is>
          <t>Filled</t>
        </is>
      </c>
      <c r="AB466" t="inlineStr">
        <is>
          <t>on campus</t>
        </is>
      </c>
      <c r="AC466" t="inlineStr"/>
      <c r="AD466" t="n">
        <v>0</v>
      </c>
      <c r="AE466" t="inlineStr"/>
      <c r="AF466" t="inlineStr"/>
      <c r="AG466" t="inlineStr"/>
      <c r="AH466" t="inlineStr"/>
      <c r="AI466" t="inlineStr">
        <is>
          <t>Yes</t>
        </is>
      </c>
      <c r="AJ466" t="inlineStr"/>
      <c r="AK466" t="inlineStr"/>
      <c r="AL466" t="inlineStr"/>
      <c r="AM466" t="inlineStr"/>
    </row>
    <row r="467">
      <c r="A467" t="inlineStr">
        <is>
          <t>016238B</t>
        </is>
      </c>
      <c r="B467" t="inlineStr">
        <is>
          <t>Master of Criminology (Research)</t>
        </is>
      </c>
      <c r="C467" t="inlineStr">
        <is>
          <t>Masters Degree (Research)</t>
        </is>
      </c>
      <c r="D467" t="inlineStr">
        <is>
          <t>Research degree</t>
        </is>
      </c>
      <c r="E467" t="inlineStr">
        <is>
          <t>Advertised: official page in place</t>
        </is>
      </c>
      <c r="F467" t="inlineStr">
        <is>
          <t>https://www.sydney.edu.au/courses/courses/pr/master-of-criminology-research.html</t>
        </is>
      </c>
      <c r="G467" t="inlineStr">
        <is>
          <t>https://www.sydney.edu.au/courses/courses/pr/master-of-criminology-research.html</t>
        </is>
      </c>
      <c r="H467" t="inlineStr">
        <is>
          <t>Read</t>
        </is>
      </c>
      <c r="I467" t="inlineStr">
        <is>
          <t>Exact title match</t>
        </is>
      </c>
      <c r="J467" t="inlineStr"/>
      <c r="K467" t="inlineStr">
        <is>
          <t>Not sent to re-link</t>
        </is>
      </c>
      <c r="L467" t="inlineStr">
        <is>
          <t>Filled</t>
        </is>
      </c>
      <c r="M467" t="inlineStr">
        <is>
          <t>Not stated on course page</t>
        </is>
      </c>
      <c r="N467" t="inlineStr"/>
      <c r="O467" t="n">
        <v>0</v>
      </c>
      <c r="P467" t="inlineStr"/>
      <c r="Q467" t="inlineStr">
        <is>
          <t>Filled</t>
        </is>
      </c>
      <c r="R467" t="n">
        <v>6.5</v>
      </c>
      <c r="S467" t="inlineStr">
        <is>
          <t>Central English policy</t>
        </is>
      </c>
      <c r="T467" t="inlineStr">
        <is>
          <t>Central rule applies (value agrees)</t>
        </is>
      </c>
      <c r="U467" t="inlineStr"/>
      <c r="V467" t="inlineStr">
        <is>
          <t>Filled</t>
        </is>
      </c>
      <c r="W467" t="inlineStr">
        <is>
          <t>March, July</t>
        </is>
      </c>
      <c r="X467" t="inlineStr">
        <is>
          <t>Page reader</t>
        </is>
      </c>
      <c r="Y467" t="n">
        <v>0</v>
      </c>
      <c r="Z467" t="inlineStr">
        <is>
          <t>No</t>
        </is>
      </c>
      <c r="AA467" t="inlineStr">
        <is>
          <t>Filled</t>
        </is>
      </c>
      <c r="AB467" t="inlineStr">
        <is>
          <t>on campus</t>
        </is>
      </c>
      <c r="AC467" t="inlineStr"/>
      <c r="AD467" t="n">
        <v>0</v>
      </c>
      <c r="AE467" t="inlineStr"/>
      <c r="AF467" t="inlineStr"/>
      <c r="AG467" t="inlineStr"/>
      <c r="AH467" t="inlineStr"/>
      <c r="AI467" t="inlineStr"/>
      <c r="AJ467" t="inlineStr"/>
      <c r="AK467" t="inlineStr"/>
      <c r="AL467" t="inlineStr"/>
      <c r="AM467" t="inlineStr"/>
    </row>
    <row r="468">
      <c r="A468" t="inlineStr">
        <is>
          <t>096314K</t>
        </is>
      </c>
      <c r="B468" t="inlineStr">
        <is>
          <t>Master of Crosscultural and Applied Linguistics</t>
        </is>
      </c>
      <c r="C468" t="inlineStr">
        <is>
          <t>Masters Degree (Coursework)</t>
        </is>
      </c>
      <c r="D468" t="inlineStr">
        <is>
          <t>Postgraduate coursework</t>
        </is>
      </c>
      <c r="E468" t="inlineStr">
        <is>
          <t>Advertised: official page in place</t>
        </is>
      </c>
      <c r="F468" t="inlineStr">
        <is>
          <t>https://www.sydney.edu.au/courses/courses/pc/master-of-crosscultural-and-applied-linguistics.html</t>
        </is>
      </c>
      <c r="G468" t="inlineStr">
        <is>
          <t>https://www.sydney.edu.au/courses/courses/pc/master-of-crosscultural-and-applied-linguistics.html</t>
        </is>
      </c>
      <c r="H468" t="inlineStr">
        <is>
          <t>Read</t>
        </is>
      </c>
      <c r="I468" t="inlineStr">
        <is>
          <t>Exact title match</t>
        </is>
      </c>
      <c r="J468" t="inlineStr"/>
      <c r="K468" t="inlineStr">
        <is>
          <t>Not sent to re-link</t>
        </is>
      </c>
      <c r="L468" t="inlineStr">
        <is>
          <t>Filled</t>
        </is>
      </c>
      <c r="M468" t="inlineStr">
        <is>
          <t>Not stated on course page</t>
        </is>
      </c>
      <c r="N468" t="inlineStr"/>
      <c r="O468" t="n">
        <v>0</v>
      </c>
      <c r="P468" t="inlineStr"/>
      <c r="Q468" t="inlineStr">
        <is>
          <t>Filled</t>
        </is>
      </c>
      <c r="R468" t="n">
        <v>6.5</v>
      </c>
      <c r="S468" t="inlineStr">
        <is>
          <t>Central English policy</t>
        </is>
      </c>
      <c r="T468" t="inlineStr">
        <is>
          <t>Central rule applies (value agrees)</t>
        </is>
      </c>
      <c r="U468" t="inlineStr"/>
      <c r="V468" t="inlineStr">
        <is>
          <t>Not stated on course page</t>
        </is>
      </c>
      <c r="W468" t="inlineStr"/>
      <c r="X468" t="inlineStr"/>
      <c r="Y468" t="n">
        <v>0</v>
      </c>
      <c r="Z468" t="inlineStr">
        <is>
          <t>No</t>
        </is>
      </c>
      <c r="AA468" t="inlineStr">
        <is>
          <t>Filled</t>
        </is>
      </c>
      <c r="AB468" t="inlineStr">
        <is>
          <t>on campus</t>
        </is>
      </c>
      <c r="AC468" t="inlineStr"/>
      <c r="AD468" t="n">
        <v>0</v>
      </c>
      <c r="AE468" t="inlineStr"/>
      <c r="AF468" t="inlineStr"/>
      <c r="AG468" t="inlineStr"/>
      <c r="AH468" t="inlineStr"/>
      <c r="AI468" t="inlineStr">
        <is>
          <t>Yes</t>
        </is>
      </c>
      <c r="AJ468" t="inlineStr"/>
      <c r="AK468" t="inlineStr"/>
      <c r="AL468" t="inlineStr"/>
      <c r="AM468" t="inlineStr"/>
    </row>
    <row r="469">
      <c r="A469" t="inlineStr">
        <is>
          <t>082901F</t>
        </is>
      </c>
      <c r="B469" t="inlineStr">
        <is>
          <t>Master of Crosscultural Communication</t>
        </is>
      </c>
      <c r="C469" t="inlineStr">
        <is>
          <t>Masters Degree (Coursework)</t>
        </is>
      </c>
      <c r="D469" t="inlineStr">
        <is>
          <t>Postgraduate coursework</t>
        </is>
      </c>
      <c r="E469" t="inlineStr">
        <is>
          <t>Page found, needs a rendered read</t>
        </is>
      </c>
      <c r="F469" t="inlineStr"/>
      <c r="G469" t="inlineStr">
        <is>
          <t>https://www.sydney.edu.au/courses/courses/pc/master-of-crosscultural-communication.html</t>
        </is>
      </c>
      <c r="H469" t="inlineStr">
        <is>
          <t>Needs a rendered read</t>
        </is>
      </c>
      <c r="I469" t="inlineStr"/>
      <c r="J469" t="inlineStr"/>
      <c r="K469" t="inlineStr">
        <is>
          <t>Finished, no page: every candidate address was refused by the reader or did not</t>
        </is>
      </c>
      <c r="L469" t="inlineStr">
        <is>
          <t>Page found, being read</t>
        </is>
      </c>
      <c r="M469" t="inlineStr">
        <is>
          <t>Page found, being read</t>
        </is>
      </c>
      <c r="N469" t="inlineStr"/>
      <c r="O469" t="n">
        <v>0</v>
      </c>
      <c r="P469" t="inlineStr"/>
      <c r="Q469" t="inlineStr">
        <is>
          <t>Filled</t>
        </is>
      </c>
      <c r="R469" t="n">
        <v>6.5</v>
      </c>
      <c r="S469" t="inlineStr">
        <is>
          <t>Central English policy</t>
        </is>
      </c>
      <c r="T469" t="inlineStr">
        <is>
          <t>Central rule applies (value agrees)</t>
        </is>
      </c>
      <c r="U469" t="inlineStr"/>
      <c r="V469" t="inlineStr">
        <is>
          <t>Page found, being read</t>
        </is>
      </c>
      <c r="W469" t="inlineStr"/>
      <c r="X469" t="inlineStr"/>
      <c r="Y469" t="n">
        <v>0</v>
      </c>
      <c r="Z469" t="inlineStr">
        <is>
          <t>No</t>
        </is>
      </c>
      <c r="AA469" t="inlineStr">
        <is>
          <t>Not stated on course page</t>
        </is>
      </c>
      <c r="AB469" t="inlineStr"/>
      <c r="AC469" t="inlineStr">
        <is>
          <t>Skipped: the page does not state it</t>
        </is>
      </c>
      <c r="AD469" t="n">
        <v>0</v>
      </c>
      <c r="AE469" t="inlineStr">
        <is>
          <t>Yes</t>
        </is>
      </c>
      <c r="AF469" t="inlineStr"/>
      <c r="AG469" t="inlineStr"/>
      <c r="AH469" t="inlineStr"/>
      <c r="AI469" t="inlineStr"/>
      <c r="AJ469" t="inlineStr"/>
      <c r="AK469" t="inlineStr"/>
      <c r="AL469" t="inlineStr"/>
      <c r="AM469" t="inlineStr"/>
    </row>
    <row r="470">
      <c r="A470" t="inlineStr">
        <is>
          <t>055326A</t>
        </is>
      </c>
      <c r="B470" t="inlineStr">
        <is>
          <t>Master of Crosscultural Communication</t>
        </is>
      </c>
      <c r="C470" t="inlineStr">
        <is>
          <t>Masters Degree (Coursework)</t>
        </is>
      </c>
      <c r="D470" t="inlineStr">
        <is>
          <t>Postgraduate coursework</t>
        </is>
      </c>
      <c r="E470" t="inlineStr">
        <is>
          <t>Page found, needs a rendered read</t>
        </is>
      </c>
      <c r="F470" t="inlineStr"/>
      <c r="G470" t="inlineStr">
        <is>
          <t>https://www.sydney.edu.au/courses/courses/pc/master-of-crosscultural-communication.html</t>
        </is>
      </c>
      <c r="H470" t="inlineStr">
        <is>
          <t>Needs a rendered read</t>
        </is>
      </c>
      <c r="I470" t="inlineStr"/>
      <c r="J470" t="inlineStr"/>
      <c r="K470" t="inlineStr">
        <is>
          <t>Finished, no page: every candidate address was refused by the reader or did not</t>
        </is>
      </c>
      <c r="L470" t="inlineStr">
        <is>
          <t>Page found, being read</t>
        </is>
      </c>
      <c r="M470" t="inlineStr">
        <is>
          <t>Page found, being read</t>
        </is>
      </c>
      <c r="N470" t="inlineStr"/>
      <c r="O470" t="n">
        <v>0</v>
      </c>
      <c r="P470" t="inlineStr"/>
      <c r="Q470" t="inlineStr">
        <is>
          <t>Filled</t>
        </is>
      </c>
      <c r="R470" t="n">
        <v>6.5</v>
      </c>
      <c r="S470" t="inlineStr">
        <is>
          <t>Central English policy</t>
        </is>
      </c>
      <c r="T470" t="inlineStr">
        <is>
          <t>Central rule applies (value agrees)</t>
        </is>
      </c>
      <c r="U470" t="inlineStr"/>
      <c r="V470" t="inlineStr">
        <is>
          <t>Page found, being read</t>
        </is>
      </c>
      <c r="W470" t="inlineStr"/>
      <c r="X470" t="inlineStr"/>
      <c r="Y470" t="n">
        <v>0</v>
      </c>
      <c r="Z470" t="inlineStr">
        <is>
          <t>No</t>
        </is>
      </c>
      <c r="AA470" t="inlineStr">
        <is>
          <t>Not stated on course page</t>
        </is>
      </c>
      <c r="AB470" t="inlineStr"/>
      <c r="AC470" t="inlineStr">
        <is>
          <t>Skipped: no allowed source had a value</t>
        </is>
      </c>
      <c r="AD470" t="n">
        <v>1</v>
      </c>
      <c r="AE470" t="inlineStr">
        <is>
          <t>Yes</t>
        </is>
      </c>
      <c r="AF470" t="inlineStr"/>
      <c r="AG470" t="inlineStr"/>
      <c r="AH470" t="inlineStr"/>
      <c r="AI470" t="inlineStr"/>
      <c r="AJ470" t="inlineStr"/>
      <c r="AK470" t="inlineStr"/>
      <c r="AL470" t="inlineStr"/>
      <c r="AM470" t="inlineStr"/>
    </row>
    <row r="471">
      <c r="A471" t="inlineStr">
        <is>
          <t>079640D</t>
        </is>
      </c>
      <c r="B471" t="inlineStr">
        <is>
          <t>Master of Cultural Studies</t>
        </is>
      </c>
      <c r="C471" t="inlineStr">
        <is>
          <t>Masters Degree (Coursework)</t>
        </is>
      </c>
      <c r="D471" t="inlineStr">
        <is>
          <t>Postgraduate coursework</t>
        </is>
      </c>
      <c r="E471" t="inlineStr">
        <is>
          <t>Advertised: official page in place</t>
        </is>
      </c>
      <c r="F471" t="inlineStr">
        <is>
          <t>https://www.sydney.edu.au/courses/courses/pc/master-of-cultural-studies.html</t>
        </is>
      </c>
      <c r="G471" t="inlineStr">
        <is>
          <t>https://www.sydney.edu.au/courses/courses/pc/master-of-cultural-studies.html</t>
        </is>
      </c>
      <c r="H471" t="inlineStr">
        <is>
          <t>Read</t>
        </is>
      </c>
      <c r="I471" t="inlineStr">
        <is>
          <t>Exact title match</t>
        </is>
      </c>
      <c r="J471" t="inlineStr"/>
      <c r="K471" t="inlineStr">
        <is>
          <t>Not sent to re-link</t>
        </is>
      </c>
      <c r="L471" t="inlineStr">
        <is>
          <t>Filled</t>
        </is>
      </c>
      <c r="M471" t="inlineStr">
        <is>
          <t>Not stated on course page</t>
        </is>
      </c>
      <c r="N471" t="inlineStr"/>
      <c r="O471" t="n">
        <v>0</v>
      </c>
      <c r="P471" t="inlineStr"/>
      <c r="Q471" t="inlineStr">
        <is>
          <t>Filled</t>
        </is>
      </c>
      <c r="R471" t="n">
        <v>6.5</v>
      </c>
      <c r="S471" t="inlineStr">
        <is>
          <t>Central English policy</t>
        </is>
      </c>
      <c r="T471" t="inlineStr">
        <is>
          <t>Central rule applies (value agrees)</t>
        </is>
      </c>
      <c r="U471" t="inlineStr"/>
      <c r="V471" t="inlineStr">
        <is>
          <t>Not stated on course page</t>
        </is>
      </c>
      <c r="W471" t="inlineStr"/>
      <c r="X471" t="inlineStr"/>
      <c r="Y471" t="n">
        <v>0</v>
      </c>
      <c r="Z471" t="inlineStr">
        <is>
          <t>No</t>
        </is>
      </c>
      <c r="AA471" t="inlineStr">
        <is>
          <t>Filled</t>
        </is>
      </c>
      <c r="AB471" t="inlineStr">
        <is>
          <t>on campus</t>
        </is>
      </c>
      <c r="AC471" t="inlineStr"/>
      <c r="AD471" t="n">
        <v>0</v>
      </c>
      <c r="AE471" t="inlineStr"/>
      <c r="AF471" t="inlineStr"/>
      <c r="AG471" t="inlineStr"/>
      <c r="AH471" t="inlineStr"/>
      <c r="AI471" t="inlineStr">
        <is>
          <t>Yes</t>
        </is>
      </c>
      <c r="AJ471" t="inlineStr"/>
      <c r="AK471" t="inlineStr"/>
      <c r="AL471" t="inlineStr"/>
      <c r="AM471" t="inlineStr"/>
    </row>
    <row r="472">
      <c r="A472" t="inlineStr">
        <is>
          <t>108761F</t>
        </is>
      </c>
      <c r="B472" t="inlineStr">
        <is>
          <t>Master of Cybersecurity</t>
        </is>
      </c>
      <c r="C472" t="inlineStr">
        <is>
          <t>Masters Degree (Coursework)</t>
        </is>
      </c>
      <c r="D472" t="inlineStr">
        <is>
          <t>Postgraduate coursework</t>
        </is>
      </c>
      <c r="E472" t="inlineStr">
        <is>
          <t>Advertised: official page in place</t>
        </is>
      </c>
      <c r="F472" t="inlineStr">
        <is>
          <t>https://www.sydney.edu.au/courses/courses/pc/master-of-cybersecurity.html</t>
        </is>
      </c>
      <c r="G472" t="inlineStr">
        <is>
          <t>https://www.sydney.edu.au/courses/courses/pc/master-of-cybersecurity.html</t>
        </is>
      </c>
      <c r="H472" t="inlineStr">
        <is>
          <t>Read</t>
        </is>
      </c>
      <c r="I472" t="inlineStr">
        <is>
          <t>Exact title match</t>
        </is>
      </c>
      <c r="J472" t="inlineStr"/>
      <c r="K472" t="inlineStr">
        <is>
          <t>Not sent to re-link</t>
        </is>
      </c>
      <c r="L472" t="inlineStr">
        <is>
          <t>Filled</t>
        </is>
      </c>
      <c r="M472" t="inlineStr">
        <is>
          <t>Not stated on course page</t>
        </is>
      </c>
      <c r="N472" t="inlineStr"/>
      <c r="O472" t="n">
        <v>0</v>
      </c>
      <c r="P472" t="inlineStr"/>
      <c r="Q472" t="inlineStr">
        <is>
          <t>Filled</t>
        </is>
      </c>
      <c r="R472" t="n">
        <v>6.5</v>
      </c>
      <c r="S472" t="inlineStr">
        <is>
          <t>Central English policy</t>
        </is>
      </c>
      <c r="T472" t="inlineStr">
        <is>
          <t>Central rule applies (value agrees)</t>
        </is>
      </c>
      <c r="U472" t="inlineStr"/>
      <c r="V472" t="inlineStr">
        <is>
          <t>Not stated on course page</t>
        </is>
      </c>
      <c r="W472" t="inlineStr"/>
      <c r="X472" t="inlineStr"/>
      <c r="Y472" t="n">
        <v>0</v>
      </c>
      <c r="Z472" t="inlineStr">
        <is>
          <t>No</t>
        </is>
      </c>
      <c r="AA472" t="inlineStr">
        <is>
          <t>Filled</t>
        </is>
      </c>
      <c r="AB472" t="inlineStr">
        <is>
          <t>on campus</t>
        </is>
      </c>
      <c r="AC472" t="inlineStr"/>
      <c r="AD472" t="n">
        <v>0</v>
      </c>
      <c r="AE472" t="inlineStr"/>
      <c r="AF472" t="inlineStr"/>
      <c r="AG472" t="inlineStr"/>
      <c r="AH472" t="inlineStr"/>
      <c r="AI472" t="inlineStr">
        <is>
          <t>Yes</t>
        </is>
      </c>
      <c r="AJ472" t="inlineStr"/>
      <c r="AK472" t="inlineStr"/>
      <c r="AL472" t="inlineStr"/>
      <c r="AM472" t="inlineStr"/>
    </row>
    <row r="473">
      <c r="A473" t="inlineStr">
        <is>
          <t>108764C</t>
        </is>
      </c>
      <c r="B473" t="inlineStr">
        <is>
          <t>Master of Data Science</t>
        </is>
      </c>
      <c r="C473" t="inlineStr">
        <is>
          <t>Masters Degree (Coursework)</t>
        </is>
      </c>
      <c r="D473" t="inlineStr">
        <is>
          <t>Postgraduate coursework</t>
        </is>
      </c>
      <c r="E473" t="inlineStr">
        <is>
          <t>Advertised: official page in place</t>
        </is>
      </c>
      <c r="F473" t="inlineStr">
        <is>
          <t>https://www.sydney.edu.au/courses/courses/pc/master-of-data-science0.html</t>
        </is>
      </c>
      <c r="G473" t="inlineStr">
        <is>
          <t>https://www.sydney.edu.au/courses/courses/pc/master-of-data-science0.html</t>
        </is>
      </c>
      <c r="H473" t="inlineStr">
        <is>
          <t>Read</t>
        </is>
      </c>
      <c r="I473" t="inlineStr">
        <is>
          <t>Exact title match</t>
        </is>
      </c>
      <c r="J473" t="inlineStr"/>
      <c r="K473" t="inlineStr">
        <is>
          <t>Not sent to re-link</t>
        </is>
      </c>
      <c r="L473" t="inlineStr">
        <is>
          <t>Filled</t>
        </is>
      </c>
      <c r="M473" t="inlineStr">
        <is>
          <t>Not stated on course page</t>
        </is>
      </c>
      <c r="N473" t="inlineStr"/>
      <c r="O473" t="n">
        <v>0</v>
      </c>
      <c r="P473" t="inlineStr"/>
      <c r="Q473" t="inlineStr">
        <is>
          <t>Filled</t>
        </is>
      </c>
      <c r="R473" t="n">
        <v>6.5</v>
      </c>
      <c r="S473" t="inlineStr">
        <is>
          <t>Central English policy</t>
        </is>
      </c>
      <c r="T473" t="inlineStr">
        <is>
          <t>Central rule applies (value agrees)</t>
        </is>
      </c>
      <c r="U473" t="inlineStr"/>
      <c r="V473" t="inlineStr">
        <is>
          <t>Not stated on course page</t>
        </is>
      </c>
      <c r="W473" t="inlineStr"/>
      <c r="X473" t="inlineStr"/>
      <c r="Y473" t="n">
        <v>0</v>
      </c>
      <c r="Z473" t="inlineStr">
        <is>
          <t>No</t>
        </is>
      </c>
      <c r="AA473" t="inlineStr">
        <is>
          <t>Filled</t>
        </is>
      </c>
      <c r="AB473" t="inlineStr">
        <is>
          <t>on campus</t>
        </is>
      </c>
      <c r="AC473" t="inlineStr"/>
      <c r="AD473" t="n">
        <v>0</v>
      </c>
      <c r="AE473" t="inlineStr"/>
      <c r="AF473" t="inlineStr"/>
      <c r="AG473" t="inlineStr"/>
      <c r="AH473" t="inlineStr"/>
      <c r="AI473" t="inlineStr">
        <is>
          <t>Yes</t>
        </is>
      </c>
      <c r="AJ473" t="inlineStr"/>
      <c r="AK473" t="inlineStr"/>
      <c r="AL473" t="inlineStr"/>
      <c r="AM473" t="inlineStr"/>
    </row>
    <row r="474">
      <c r="A474" t="inlineStr">
        <is>
          <t>087981E</t>
        </is>
      </c>
      <c r="B474" t="inlineStr">
        <is>
          <t>Master of Data Science</t>
        </is>
      </c>
      <c r="C474" t="inlineStr">
        <is>
          <t>Masters Degree (Coursework)</t>
        </is>
      </c>
      <c r="D474" t="inlineStr">
        <is>
          <t>Postgraduate coursework</t>
        </is>
      </c>
      <c r="E474" t="inlineStr">
        <is>
          <t>Advertised: official page in place</t>
        </is>
      </c>
      <c r="F474" t="inlineStr">
        <is>
          <t>https://www.sydney.edu.au/courses/courses/pc/master-of-data-science0.html</t>
        </is>
      </c>
      <c r="G474" t="inlineStr">
        <is>
          <t>https://www.sydney.edu.au/courses/courses/pc/master-of-data-science0.html</t>
        </is>
      </c>
      <c r="H474" t="inlineStr">
        <is>
          <t>Read</t>
        </is>
      </c>
      <c r="I474" t="inlineStr">
        <is>
          <t>Exact title match</t>
        </is>
      </c>
      <c r="J474" t="inlineStr"/>
      <c r="K474" t="inlineStr">
        <is>
          <t>Not sent to re-link</t>
        </is>
      </c>
      <c r="L474" t="inlineStr">
        <is>
          <t>Filled</t>
        </is>
      </c>
      <c r="M474" t="inlineStr">
        <is>
          <t>Not stated on course page</t>
        </is>
      </c>
      <c r="N474" t="inlineStr"/>
      <c r="O474" t="n">
        <v>0</v>
      </c>
      <c r="P474" t="inlineStr"/>
      <c r="Q474" t="inlineStr">
        <is>
          <t>Filled</t>
        </is>
      </c>
      <c r="R474" t="n">
        <v>6.5</v>
      </c>
      <c r="S474" t="inlineStr">
        <is>
          <t>Central English policy</t>
        </is>
      </c>
      <c r="T474" t="inlineStr">
        <is>
          <t>Central rule applies (value agrees)</t>
        </is>
      </c>
      <c r="U474" t="inlineStr"/>
      <c r="V474" t="inlineStr">
        <is>
          <t>Not stated on course page</t>
        </is>
      </c>
      <c r="W474" t="inlineStr"/>
      <c r="X474" t="inlineStr"/>
      <c r="Y474" t="n">
        <v>0</v>
      </c>
      <c r="Z474" t="inlineStr">
        <is>
          <t>No</t>
        </is>
      </c>
      <c r="AA474" t="inlineStr">
        <is>
          <t>Filled</t>
        </is>
      </c>
      <c r="AB474" t="inlineStr">
        <is>
          <t>on campus</t>
        </is>
      </c>
      <c r="AC474" t="inlineStr"/>
      <c r="AD474" t="n">
        <v>0</v>
      </c>
      <c r="AE474" t="inlineStr"/>
      <c r="AF474" t="inlineStr"/>
      <c r="AG474" t="inlineStr"/>
      <c r="AH474" t="inlineStr"/>
      <c r="AI474" t="inlineStr">
        <is>
          <t>Yes</t>
        </is>
      </c>
      <c r="AJ474" t="inlineStr"/>
      <c r="AK474" t="inlineStr"/>
      <c r="AL474" t="inlineStr"/>
      <c r="AM474" t="inlineStr"/>
    </row>
    <row r="475">
      <c r="A475" t="inlineStr">
        <is>
          <t>102403K</t>
        </is>
      </c>
      <c r="B475" t="inlineStr">
        <is>
          <t>Master of Dental Public Health</t>
        </is>
      </c>
      <c r="C475" t="inlineStr">
        <is>
          <t>Masters Degree (Coursework)</t>
        </is>
      </c>
      <c r="D475" t="inlineStr">
        <is>
          <t>Postgraduate coursework</t>
        </is>
      </c>
      <c r="E475" t="inlineStr">
        <is>
          <t>Advertised: official page in place</t>
        </is>
      </c>
      <c r="F475" t="inlineStr">
        <is>
          <t>https://www.sydney.edu.au/courses/courses/pc/master-of-dental-public-health.html</t>
        </is>
      </c>
      <c r="G475" t="inlineStr">
        <is>
          <t>https://www.sydney.edu.au/courses/courses/pc/master-of-dental-public-health.html</t>
        </is>
      </c>
      <c r="H475" t="inlineStr">
        <is>
          <t>Read</t>
        </is>
      </c>
      <c r="I475" t="inlineStr">
        <is>
          <t>Exact title match</t>
        </is>
      </c>
      <c r="J475" t="inlineStr"/>
      <c r="K475" t="inlineStr">
        <is>
          <t>Not sent to re-link</t>
        </is>
      </c>
      <c r="L475" t="inlineStr">
        <is>
          <t>Filled</t>
        </is>
      </c>
      <c r="M475" t="inlineStr">
        <is>
          <t>Not stated on course page</t>
        </is>
      </c>
      <c r="N475" t="inlineStr"/>
      <c r="O475" t="n">
        <v>0</v>
      </c>
      <c r="P475" t="inlineStr"/>
      <c r="Q475" t="inlineStr">
        <is>
          <t>Filled</t>
        </is>
      </c>
      <c r="R475" t="n">
        <v>6.5</v>
      </c>
      <c r="S475" t="inlineStr">
        <is>
          <t>Central English policy</t>
        </is>
      </c>
      <c r="T475" t="inlineStr">
        <is>
          <t>Central rule applies (value agrees)</t>
        </is>
      </c>
      <c r="U475" t="inlineStr"/>
      <c r="V475" t="inlineStr">
        <is>
          <t>Not stated on course page</t>
        </is>
      </c>
      <c r="W475" t="inlineStr"/>
      <c r="X475" t="inlineStr"/>
      <c r="Y475" t="n">
        <v>0</v>
      </c>
      <c r="Z475" t="inlineStr">
        <is>
          <t>No</t>
        </is>
      </c>
      <c r="AA475" t="inlineStr">
        <is>
          <t>Filled</t>
        </is>
      </c>
      <c r="AB475" t="inlineStr">
        <is>
          <t>on campus</t>
        </is>
      </c>
      <c r="AC475" t="inlineStr"/>
      <c r="AD475" t="n">
        <v>0</v>
      </c>
      <c r="AE475" t="inlineStr"/>
      <c r="AF475" t="inlineStr"/>
      <c r="AG475" t="inlineStr"/>
      <c r="AH475" t="inlineStr"/>
      <c r="AI475" t="inlineStr">
        <is>
          <t>Yes</t>
        </is>
      </c>
      <c r="AJ475" t="inlineStr"/>
      <c r="AK475" t="inlineStr"/>
      <c r="AL475" t="inlineStr"/>
      <c r="AM475" t="inlineStr"/>
    </row>
    <row r="476">
      <c r="A476" t="inlineStr">
        <is>
          <t>098246A</t>
        </is>
      </c>
      <c r="B476" t="inlineStr">
        <is>
          <t>Master of Design</t>
        </is>
      </c>
      <c r="C476" t="inlineStr">
        <is>
          <t>Masters Degree (Coursework)</t>
        </is>
      </c>
      <c r="D476" t="inlineStr">
        <is>
          <t>Postgraduate coursework</t>
        </is>
      </c>
      <c r="E476" t="inlineStr">
        <is>
          <t>Advertised: official page in place</t>
        </is>
      </c>
      <c r="F476" t="inlineStr">
        <is>
          <t>https://www.sydney.edu.au/courses/courses/pc/master-of-design-design-innovation-strategic-design.html</t>
        </is>
      </c>
      <c r="G476" t="inlineStr">
        <is>
          <t>https://www.sydney.edu.au/courses/courses/pc/master-of-design-design-innovation-strategic-design.html</t>
        </is>
      </c>
      <c r="H476" t="inlineStr">
        <is>
          <t>Read</t>
        </is>
      </c>
      <c r="I476" t="inlineStr">
        <is>
          <t>Exact title match</t>
        </is>
      </c>
      <c r="J476" t="inlineStr"/>
      <c r="K476" t="inlineStr">
        <is>
          <t>Not sent to re-link</t>
        </is>
      </c>
      <c r="L476" t="inlineStr">
        <is>
          <t>Filled</t>
        </is>
      </c>
      <c r="M476" t="inlineStr">
        <is>
          <t>Not stated on course page</t>
        </is>
      </c>
      <c r="N476" t="inlineStr"/>
      <c r="O476" t="n">
        <v>0</v>
      </c>
      <c r="P476" t="inlineStr"/>
      <c r="Q476" t="inlineStr">
        <is>
          <t>Filled</t>
        </is>
      </c>
      <c r="R476" t="n">
        <v>6.5</v>
      </c>
      <c r="S476" t="inlineStr">
        <is>
          <t>Central English policy</t>
        </is>
      </c>
      <c r="T476" t="inlineStr">
        <is>
          <t>Central rule applies (value agrees)</t>
        </is>
      </c>
      <c r="U476" t="inlineStr"/>
      <c r="V476" t="inlineStr">
        <is>
          <t>Not stated on course page</t>
        </is>
      </c>
      <c r="W476" t="inlineStr"/>
      <c r="X476" t="inlineStr"/>
      <c r="Y476" t="n">
        <v>0</v>
      </c>
      <c r="Z476" t="inlineStr">
        <is>
          <t>No</t>
        </is>
      </c>
      <c r="AA476" t="inlineStr">
        <is>
          <t>Filled</t>
        </is>
      </c>
      <c r="AB476" t="inlineStr">
        <is>
          <t>on campus</t>
        </is>
      </c>
      <c r="AC476" t="inlineStr"/>
      <c r="AD476" t="n">
        <v>0</v>
      </c>
      <c r="AE476" t="inlineStr"/>
      <c r="AF476" t="inlineStr"/>
      <c r="AG476" t="inlineStr"/>
      <c r="AH476" t="inlineStr"/>
      <c r="AI476" t="inlineStr">
        <is>
          <t>Yes</t>
        </is>
      </c>
      <c r="AJ476" t="inlineStr"/>
      <c r="AK476" t="inlineStr"/>
      <c r="AL476" t="inlineStr"/>
      <c r="AM476" t="inlineStr"/>
    </row>
    <row r="477">
      <c r="A477" t="inlineStr">
        <is>
          <t>097889G</t>
        </is>
      </c>
      <c r="B477" t="inlineStr">
        <is>
          <t>Master of Design</t>
        </is>
      </c>
      <c r="C477" t="inlineStr">
        <is>
          <t>Masters Degree (Coursework)</t>
        </is>
      </c>
      <c r="D477" t="inlineStr">
        <is>
          <t>Postgraduate coursework</t>
        </is>
      </c>
      <c r="E477" t="inlineStr">
        <is>
          <t>Advertised: official page in place</t>
        </is>
      </c>
      <c r="F477" t="inlineStr">
        <is>
          <t>https://www.sydney.edu.au/courses/courses/pc/master-of-design-design-innovation-strategic-design.html</t>
        </is>
      </c>
      <c r="G477" t="inlineStr">
        <is>
          <t>https://www.sydney.edu.au/courses/courses/pc/master-of-design-design-innovation-strategic-design.html</t>
        </is>
      </c>
      <c r="H477" t="inlineStr">
        <is>
          <t>Read</t>
        </is>
      </c>
      <c r="I477" t="inlineStr">
        <is>
          <t>Exact title match</t>
        </is>
      </c>
      <c r="J477" t="inlineStr"/>
      <c r="K477" t="inlineStr">
        <is>
          <t>Not sent to re-link</t>
        </is>
      </c>
      <c r="L477" t="inlineStr">
        <is>
          <t>Filled</t>
        </is>
      </c>
      <c r="M477" t="inlineStr">
        <is>
          <t>Not stated on course page</t>
        </is>
      </c>
      <c r="N477" t="inlineStr"/>
      <c r="O477" t="n">
        <v>0</v>
      </c>
      <c r="P477" t="inlineStr"/>
      <c r="Q477" t="inlineStr">
        <is>
          <t>Filled</t>
        </is>
      </c>
      <c r="R477" t="n">
        <v>6.5</v>
      </c>
      <c r="S477" t="inlineStr">
        <is>
          <t>Central English policy</t>
        </is>
      </c>
      <c r="T477" t="inlineStr">
        <is>
          <t>Central rule applies (value agrees)</t>
        </is>
      </c>
      <c r="U477" t="inlineStr"/>
      <c r="V477" t="inlineStr">
        <is>
          <t>Not stated on course page</t>
        </is>
      </c>
      <c r="W477" t="inlineStr"/>
      <c r="X477" t="inlineStr"/>
      <c r="Y477" t="n">
        <v>0</v>
      </c>
      <c r="Z477" t="inlineStr">
        <is>
          <t>No</t>
        </is>
      </c>
      <c r="AA477" t="inlineStr">
        <is>
          <t>Filled</t>
        </is>
      </c>
      <c r="AB477" t="inlineStr">
        <is>
          <t>on campus</t>
        </is>
      </c>
      <c r="AC477" t="inlineStr"/>
      <c r="AD477" t="n">
        <v>0</v>
      </c>
      <c r="AE477" t="inlineStr"/>
      <c r="AF477" t="inlineStr"/>
      <c r="AG477" t="inlineStr"/>
      <c r="AH477" t="inlineStr"/>
      <c r="AI477" t="inlineStr">
        <is>
          <t>Yes</t>
        </is>
      </c>
      <c r="AJ477" t="inlineStr"/>
      <c r="AK477" t="inlineStr"/>
      <c r="AL477" t="inlineStr"/>
      <c r="AM477" t="inlineStr"/>
    </row>
    <row r="478">
      <c r="A478" t="inlineStr">
        <is>
          <t>060912G</t>
        </is>
      </c>
      <c r="B478" t="inlineStr">
        <is>
          <t>Master of Design Science (Audio and Acoustics)</t>
        </is>
      </c>
      <c r="C478" t="inlineStr">
        <is>
          <t>Masters Degree (Coursework)</t>
        </is>
      </c>
      <c r="D478" t="inlineStr">
        <is>
          <t>Postgraduate coursework</t>
        </is>
      </c>
      <c r="E478" t="inlineStr">
        <is>
          <t>Page address no longer works</t>
        </is>
      </c>
      <c r="F478" t="inlineStr"/>
      <c r="G478" t="inlineStr">
        <is>
          <t>https://www.sydney.edu.au/courses/courses/pc/master-of-design-science-audio-and-acoustics.html</t>
        </is>
      </c>
      <c r="H478" t="inlineStr">
        <is>
          <t>Address no longer works</t>
        </is>
      </c>
      <c r="I478" t="inlineStr"/>
      <c r="J478" t="inlineStr"/>
      <c r="K478" t="inlineStr">
        <is>
          <t>Re-link still trying</t>
        </is>
      </c>
      <c r="L478" t="inlineStr">
        <is>
          <t>Not stated on course page</t>
        </is>
      </c>
      <c r="M478" t="inlineStr">
        <is>
          <t>Not stated on course page</t>
        </is>
      </c>
      <c r="N478" t="inlineStr"/>
      <c r="O478" t="n">
        <v>0</v>
      </c>
      <c r="P478" t="inlineStr"/>
      <c r="Q478" t="inlineStr">
        <is>
          <t>Filled</t>
        </is>
      </c>
      <c r="R478" t="n">
        <v>6.5</v>
      </c>
      <c r="S478" t="inlineStr">
        <is>
          <t>Central English policy</t>
        </is>
      </c>
      <c r="T478" t="inlineStr">
        <is>
          <t>Central rule applies (value agrees)</t>
        </is>
      </c>
      <c r="U478" t="inlineStr"/>
      <c r="V478" t="inlineStr">
        <is>
          <t>Not stated on course page</t>
        </is>
      </c>
      <c r="W478" t="inlineStr"/>
      <c r="X478" t="inlineStr"/>
      <c r="Y478" t="n">
        <v>0</v>
      </c>
      <c r="Z478" t="inlineStr">
        <is>
          <t>No</t>
        </is>
      </c>
      <c r="AA478" t="inlineStr">
        <is>
          <t>Not stated on course page</t>
        </is>
      </c>
      <c r="AB478" t="inlineStr"/>
      <c r="AC478" t="inlineStr">
        <is>
          <t>Skipped: no allowed source had a value</t>
        </is>
      </c>
      <c r="AD478" t="n">
        <v>1</v>
      </c>
      <c r="AE478" t="inlineStr"/>
      <c r="AF478" t="inlineStr"/>
      <c r="AG478" t="inlineStr"/>
      <c r="AH478" t="inlineStr"/>
      <c r="AI478" t="inlineStr"/>
      <c r="AJ478" t="inlineStr"/>
      <c r="AK478" t="inlineStr"/>
      <c r="AL478" t="inlineStr"/>
      <c r="AM478" t="inlineStr"/>
    </row>
    <row r="479">
      <c r="A479" t="inlineStr">
        <is>
          <t>060911G</t>
        </is>
      </c>
      <c r="B479" t="inlineStr">
        <is>
          <t>Master of Design Science (Audio and Acoustics)</t>
        </is>
      </c>
      <c r="C479" t="inlineStr">
        <is>
          <t>Masters Degree (Coursework)</t>
        </is>
      </c>
      <c r="D479" t="inlineStr">
        <is>
          <t>Postgraduate coursework</t>
        </is>
      </c>
      <c r="E479" t="inlineStr">
        <is>
          <t>Page address no longer works</t>
        </is>
      </c>
      <c r="F479" t="inlineStr"/>
      <c r="G479" t="inlineStr">
        <is>
          <t>https://www.sydney.edu.au/courses/courses/pc/master-of-design-science-audio-and-acoustics.html</t>
        </is>
      </c>
      <c r="H479" t="inlineStr">
        <is>
          <t>Address no longer works</t>
        </is>
      </c>
      <c r="I479" t="inlineStr"/>
      <c r="J479" t="inlineStr"/>
      <c r="K479" t="inlineStr">
        <is>
          <t>Re-link still trying</t>
        </is>
      </c>
      <c r="L479" t="inlineStr">
        <is>
          <t>Not stated on course page</t>
        </is>
      </c>
      <c r="M479" t="inlineStr">
        <is>
          <t>Not stated on course page</t>
        </is>
      </c>
      <c r="N479" t="inlineStr"/>
      <c r="O479" t="n">
        <v>0</v>
      </c>
      <c r="P479" t="inlineStr"/>
      <c r="Q479" t="inlineStr">
        <is>
          <t>Filled</t>
        </is>
      </c>
      <c r="R479" t="n">
        <v>6.5</v>
      </c>
      <c r="S479" t="inlineStr">
        <is>
          <t>Central English policy</t>
        </is>
      </c>
      <c r="T479" t="inlineStr">
        <is>
          <t>Central rule applies (value agrees)</t>
        </is>
      </c>
      <c r="U479" t="inlineStr"/>
      <c r="V479" t="inlineStr">
        <is>
          <t>Not stated on course page</t>
        </is>
      </c>
      <c r="W479" t="inlineStr"/>
      <c r="X479" t="inlineStr"/>
      <c r="Y479" t="n">
        <v>0</v>
      </c>
      <c r="Z479" t="inlineStr">
        <is>
          <t>No</t>
        </is>
      </c>
      <c r="AA479" t="inlineStr">
        <is>
          <t>Not stated on course page</t>
        </is>
      </c>
      <c r="AB479" t="inlineStr"/>
      <c r="AC479" t="inlineStr">
        <is>
          <t>Skipped: no allowed source had a value</t>
        </is>
      </c>
      <c r="AD479" t="n">
        <v>1</v>
      </c>
      <c r="AE479" t="inlineStr"/>
      <c r="AF479" t="inlineStr"/>
      <c r="AG479" t="inlineStr"/>
      <c r="AH479" t="inlineStr"/>
      <c r="AI479" t="inlineStr"/>
      <c r="AJ479" t="inlineStr"/>
      <c r="AK479" t="inlineStr"/>
      <c r="AL479" t="inlineStr"/>
      <c r="AM479" t="inlineStr"/>
    </row>
    <row r="480">
      <c r="A480" t="inlineStr">
        <is>
          <t>060913F</t>
        </is>
      </c>
      <c r="B480" t="inlineStr">
        <is>
          <t>Master of Design Science (Audio and Acoustics) (Honours)</t>
        </is>
      </c>
      <c r="C480" t="inlineStr">
        <is>
          <t>Masters Degree (Coursework)</t>
        </is>
      </c>
      <c r="D480" t="inlineStr">
        <is>
          <t>Postgraduate coursework</t>
        </is>
      </c>
      <c r="E480" t="inlineStr">
        <is>
          <t>Page address no longer works</t>
        </is>
      </c>
      <c r="F480" t="inlineStr"/>
      <c r="G480" t="inlineStr">
        <is>
          <t>https://www.sydney.edu.au/courses/courses/pc/master-of-design-science-audio-and-acoustics-honours.html</t>
        </is>
      </c>
      <c r="H480" t="inlineStr">
        <is>
          <t>Address no longer works</t>
        </is>
      </c>
      <c r="I480" t="inlineStr"/>
      <c r="J480" t="inlineStr"/>
      <c r="K480" t="inlineStr">
        <is>
          <t>Finished, no page: every candidate address was refused by the reader or did not</t>
        </is>
      </c>
      <c r="L480" t="inlineStr">
        <is>
          <t>Page found, being read</t>
        </is>
      </c>
      <c r="M480" t="inlineStr">
        <is>
          <t>Page found, being read</t>
        </is>
      </c>
      <c r="N480" t="inlineStr"/>
      <c r="O480" t="n">
        <v>0</v>
      </c>
      <c r="P480" t="inlineStr"/>
      <c r="Q480" t="inlineStr">
        <is>
          <t>Filled</t>
        </is>
      </c>
      <c r="R480" t="n">
        <v>6.5</v>
      </c>
      <c r="S480" t="inlineStr">
        <is>
          <t>Central English policy</t>
        </is>
      </c>
      <c r="T480" t="inlineStr">
        <is>
          <t>Central rule applies (value agrees)</t>
        </is>
      </c>
      <c r="U480" t="inlineStr"/>
      <c r="V480" t="inlineStr">
        <is>
          <t>Page found, being read</t>
        </is>
      </c>
      <c r="W480" t="inlineStr"/>
      <c r="X480" t="inlineStr"/>
      <c r="Y480" t="n">
        <v>0</v>
      </c>
      <c r="Z480" t="inlineStr">
        <is>
          <t>No</t>
        </is>
      </c>
      <c r="AA480" t="inlineStr">
        <is>
          <t>Not stated on course page</t>
        </is>
      </c>
      <c r="AB480" t="inlineStr"/>
      <c r="AC480" t="inlineStr">
        <is>
          <t>Skipped: no allowed source had a value</t>
        </is>
      </c>
      <c r="AD480" t="n">
        <v>1</v>
      </c>
      <c r="AE480" t="inlineStr"/>
      <c r="AF480" t="inlineStr"/>
      <c r="AG480" t="inlineStr"/>
      <c r="AH480" t="inlineStr"/>
      <c r="AI480" t="inlineStr"/>
      <c r="AJ480" t="inlineStr"/>
      <c r="AK480" t="inlineStr"/>
      <c r="AL480" t="inlineStr"/>
      <c r="AM480" t="inlineStr"/>
    </row>
    <row r="481">
      <c r="A481" t="inlineStr">
        <is>
          <t>048509G</t>
        </is>
      </c>
      <c r="B481" t="inlineStr">
        <is>
          <t>Master of Design Science (Building Services)</t>
        </is>
      </c>
      <c r="C481" t="inlineStr">
        <is>
          <t>Masters Degree (Coursework)</t>
        </is>
      </c>
      <c r="D481" t="inlineStr">
        <is>
          <t>Postgraduate coursework</t>
        </is>
      </c>
      <c r="E481" t="inlineStr">
        <is>
          <t>Held: page found is for another course</t>
        </is>
      </c>
      <c r="F481" t="inlineStr"/>
      <c r="G481" t="inlineStr">
        <is>
          <t>https://rp-handbooks.sydney.edu.au/handbooks/archive/2013/architecture/postgraduate/coursework/design_science_building_services.shtml.html</t>
        </is>
      </c>
      <c r="H481" t="inlineStr">
        <is>
          <t>Not a course page</t>
        </is>
      </c>
      <c r="I481" t="inlineStr"/>
      <c r="J481" t="inlineStr"/>
      <c r="K481" t="inlineStr">
        <is>
          <t>Not sent to re-link</t>
        </is>
      </c>
      <c r="L481" t="inlineStr">
        <is>
          <t>Not stated on course page</t>
        </is>
      </c>
      <c r="M481" t="inlineStr">
        <is>
          <t>Not stated on course page</t>
        </is>
      </c>
      <c r="N481" t="inlineStr"/>
      <c r="O481" t="n">
        <v>0</v>
      </c>
      <c r="P481" t="inlineStr"/>
      <c r="Q481" t="inlineStr">
        <is>
          <t>Filled</t>
        </is>
      </c>
      <c r="R481" t="n">
        <v>6.5</v>
      </c>
      <c r="S481" t="inlineStr">
        <is>
          <t>Central English policy</t>
        </is>
      </c>
      <c r="T481" t="inlineStr">
        <is>
          <t>Central rule applies (value agrees)</t>
        </is>
      </c>
      <c r="U481" t="inlineStr"/>
      <c r="V481" t="inlineStr">
        <is>
          <t>Filled</t>
        </is>
      </c>
      <c r="W481" t="inlineStr">
        <is>
          <t>April, May, August</t>
        </is>
      </c>
      <c r="X481" t="inlineStr">
        <is>
          <t>Page reader</t>
        </is>
      </c>
      <c r="Y481" t="n">
        <v>0</v>
      </c>
      <c r="Z481" t="inlineStr">
        <is>
          <t>No</t>
        </is>
      </c>
      <c r="AA481" t="inlineStr">
        <is>
          <t>Not stated on course page</t>
        </is>
      </c>
      <c r="AB481" t="inlineStr"/>
      <c r="AC481" t="inlineStr">
        <is>
          <t>Skipped: taken back: the page read was another course's page</t>
        </is>
      </c>
      <c r="AD481" t="n">
        <v>1</v>
      </c>
      <c r="AE481" t="inlineStr"/>
      <c r="AF481" t="inlineStr"/>
      <c r="AG481" t="inlineStr"/>
      <c r="AH481" t="inlineStr"/>
      <c r="AI481" t="inlineStr"/>
      <c r="AJ481" t="inlineStr"/>
      <c r="AK481" t="inlineStr"/>
      <c r="AL481" t="inlineStr"/>
      <c r="AM481" t="inlineStr"/>
    </row>
    <row r="482">
      <c r="A482" t="inlineStr">
        <is>
          <t>053657J</t>
        </is>
      </c>
      <c r="B482" t="inlineStr">
        <is>
          <t>Master of Design Science (Building Services) (Audio/Building/Design Computing/Digital Media/Facilities)</t>
        </is>
      </c>
      <c r="C482" t="inlineStr">
        <is>
          <t>Masters Degree (Coursework)</t>
        </is>
      </c>
      <c r="D482" t="inlineStr">
        <is>
          <t>Postgraduate coursework</t>
        </is>
      </c>
      <c r="E482" t="inlineStr">
        <is>
          <t>Page address no longer works</t>
        </is>
      </c>
      <c r="F482" t="inlineStr"/>
      <c r="G482" t="inlineStr">
        <is>
          <t>https://www.sydney.edu.au/courses/courses/pc/master-of-design-science-building-services-audio-building-design-computing-digital-media-facilities.html</t>
        </is>
      </c>
      <c r="H482" t="inlineStr">
        <is>
          <t>Address no longer works</t>
        </is>
      </c>
      <c r="I482" t="inlineStr"/>
      <c r="J482" t="inlineStr"/>
      <c r="K482" t="inlineStr">
        <is>
          <t>Finished, no page: every candidate address was refused by the reader or did not</t>
        </is>
      </c>
      <c r="L482" t="inlineStr">
        <is>
          <t>Page found, being read</t>
        </is>
      </c>
      <c r="M482" t="inlineStr">
        <is>
          <t>Page found, being read</t>
        </is>
      </c>
      <c r="N482" t="inlineStr"/>
      <c r="O482" t="n">
        <v>0</v>
      </c>
      <c r="P482" t="inlineStr"/>
      <c r="Q482" t="inlineStr">
        <is>
          <t>Page found, being read</t>
        </is>
      </c>
      <c r="S482" t="inlineStr"/>
      <c r="T482" t="inlineStr">
        <is>
          <t>Held: double degree (its parts are at different levels)</t>
        </is>
      </c>
      <c r="U482" t="inlineStr"/>
      <c r="V482" t="inlineStr">
        <is>
          <t>Page found, being read</t>
        </is>
      </c>
      <c r="W482" t="inlineStr"/>
      <c r="X482" t="inlineStr"/>
      <c r="Y482" t="n">
        <v>0</v>
      </c>
      <c r="Z482" t="inlineStr">
        <is>
          <t>No</t>
        </is>
      </c>
      <c r="AA482" t="inlineStr">
        <is>
          <t>Not stated on course page</t>
        </is>
      </c>
      <c r="AB482" t="inlineStr"/>
      <c r="AC482" t="inlineStr">
        <is>
          <t>Skipped: no allowed source had a value</t>
        </is>
      </c>
      <c r="AD482" t="n">
        <v>1</v>
      </c>
      <c r="AE482" t="inlineStr"/>
      <c r="AF482" t="inlineStr"/>
      <c r="AG482" t="inlineStr"/>
      <c r="AH482" t="inlineStr"/>
      <c r="AI482" t="inlineStr"/>
      <c r="AJ482" t="inlineStr">
        <is>
          <t>Yes</t>
        </is>
      </c>
      <c r="AK482" t="inlineStr"/>
      <c r="AL482" t="inlineStr"/>
      <c r="AM482" t="inlineStr"/>
    </row>
    <row r="483">
      <c r="A483" t="inlineStr">
        <is>
          <t>048508J</t>
        </is>
      </c>
      <c r="B483" t="inlineStr">
        <is>
          <t>Master of Design Science (Building)</t>
        </is>
      </c>
      <c r="C483" t="inlineStr">
        <is>
          <t>Masters Degree (Coursework)</t>
        </is>
      </c>
      <c r="D483" t="inlineStr">
        <is>
          <t>Postgraduate coursework</t>
        </is>
      </c>
      <c r="E483" t="inlineStr">
        <is>
          <t>No-page record (no page), awaiting review</t>
        </is>
      </c>
      <c r="F483" t="inlineStr"/>
      <c r="G483" t="inlineStr">
        <is>
          <t>https://rp-handbooks.sydney.edu.au/handbooks/archive/2013/architecture/postgraduate/coursework/design_science_building_services.shtml.html</t>
        </is>
      </c>
      <c r="H483" t="inlineStr">
        <is>
          <t>Not a course page</t>
        </is>
      </c>
      <c r="I483" t="inlineStr"/>
      <c r="J483" t="inlineStr">
        <is>
          <t>No page (proposed)</t>
        </is>
      </c>
      <c r="K483" t="inlineStr">
        <is>
          <t>Not sent to re-link</t>
        </is>
      </c>
      <c r="L483" t="inlineStr">
        <is>
          <t>Not stated on course page</t>
        </is>
      </c>
      <c r="M483" t="inlineStr">
        <is>
          <t>Not stated on course page</t>
        </is>
      </c>
      <c r="N483" t="inlineStr"/>
      <c r="O483" t="n">
        <v>0</v>
      </c>
      <c r="P483" t="inlineStr"/>
      <c r="Q483" t="inlineStr">
        <is>
          <t>Filled</t>
        </is>
      </c>
      <c r="R483" t="n">
        <v>6.5</v>
      </c>
      <c r="S483" t="inlineStr">
        <is>
          <t>Central English policy</t>
        </is>
      </c>
      <c r="T483" t="inlineStr">
        <is>
          <t>Central rule applies (value agrees)</t>
        </is>
      </c>
      <c r="U483" t="inlineStr"/>
      <c r="V483" t="inlineStr">
        <is>
          <t>Filled</t>
        </is>
      </c>
      <c r="W483" t="inlineStr">
        <is>
          <t>April, May, August</t>
        </is>
      </c>
      <c r="X483" t="inlineStr">
        <is>
          <t>Page reader</t>
        </is>
      </c>
      <c r="Y483" t="n">
        <v>0</v>
      </c>
      <c r="Z483" t="inlineStr">
        <is>
          <t>No</t>
        </is>
      </c>
      <c r="AA483" t="inlineStr">
        <is>
          <t>Not stated on course page</t>
        </is>
      </c>
      <c r="AB483" t="inlineStr"/>
      <c r="AC483" t="inlineStr">
        <is>
          <t>Skipped: taken back: the page read was another course's page</t>
        </is>
      </c>
      <c r="AD483" t="n">
        <v>1</v>
      </c>
      <c r="AE483" t="inlineStr"/>
      <c r="AF483" t="inlineStr"/>
      <c r="AG483" t="inlineStr"/>
      <c r="AH483" t="inlineStr"/>
      <c r="AI483" t="inlineStr"/>
      <c r="AJ483" t="inlineStr"/>
      <c r="AK483" t="inlineStr"/>
      <c r="AL483" t="inlineStr"/>
      <c r="AM483" t="inlineStr">
        <is>
          <t>Yes</t>
        </is>
      </c>
    </row>
    <row r="484">
      <c r="A484" t="inlineStr">
        <is>
          <t>053656K</t>
        </is>
      </c>
      <c r="B484" t="inlineStr">
        <is>
          <t>Master of Design Science (Building)(Audio/Building Services/Design Computing/Digital Media/Facilities)</t>
        </is>
      </c>
      <c r="C484" t="inlineStr">
        <is>
          <t>Masters Degree (Coursework)</t>
        </is>
      </c>
      <c r="D484" t="inlineStr">
        <is>
          <t>Postgraduate coursework</t>
        </is>
      </c>
      <c r="E484" t="inlineStr">
        <is>
          <t>Page address no longer works</t>
        </is>
      </c>
      <c r="F484" t="inlineStr"/>
      <c r="G484" t="inlineStr">
        <is>
          <t>https://www.sydney.edu.au/courses/courses/pc/master-of-design-science-building-audio-building-services-design-computing-digital-media-facilities.html</t>
        </is>
      </c>
      <c r="H484" t="inlineStr">
        <is>
          <t>Address no longer works</t>
        </is>
      </c>
      <c r="I484" t="inlineStr"/>
      <c r="J484" t="inlineStr"/>
      <c r="K484" t="inlineStr">
        <is>
          <t>Finished, no page: every candidate address was refused by the reader or did not</t>
        </is>
      </c>
      <c r="L484" t="inlineStr">
        <is>
          <t>Page found, being read</t>
        </is>
      </c>
      <c r="M484" t="inlineStr">
        <is>
          <t>Page found, being read</t>
        </is>
      </c>
      <c r="N484" t="inlineStr"/>
      <c r="O484" t="n">
        <v>0</v>
      </c>
      <c r="P484" t="inlineStr"/>
      <c r="Q484" t="inlineStr">
        <is>
          <t>Page found, being read</t>
        </is>
      </c>
      <c r="S484" t="inlineStr"/>
      <c r="T484" t="inlineStr">
        <is>
          <t>Held: double degree (its parts are at different levels)</t>
        </is>
      </c>
      <c r="U484" t="inlineStr"/>
      <c r="V484" t="inlineStr">
        <is>
          <t>Page found, being read</t>
        </is>
      </c>
      <c r="W484" t="inlineStr"/>
      <c r="X484" t="inlineStr"/>
      <c r="Y484" t="n">
        <v>0</v>
      </c>
      <c r="Z484" t="inlineStr">
        <is>
          <t>No</t>
        </is>
      </c>
      <c r="AA484" t="inlineStr">
        <is>
          <t>Not stated on course page</t>
        </is>
      </c>
      <c r="AB484" t="inlineStr"/>
      <c r="AC484" t="inlineStr">
        <is>
          <t>Skipped: no allowed source had a value</t>
        </is>
      </c>
      <c r="AD484" t="n">
        <v>1</v>
      </c>
      <c r="AE484" t="inlineStr"/>
      <c r="AF484" t="inlineStr"/>
      <c r="AG484" t="inlineStr"/>
      <c r="AH484" t="inlineStr"/>
      <c r="AI484" t="inlineStr"/>
      <c r="AJ484" t="inlineStr">
        <is>
          <t>Yes</t>
        </is>
      </c>
      <c r="AK484" t="inlineStr"/>
      <c r="AL484" t="inlineStr"/>
      <c r="AM484" t="inlineStr"/>
    </row>
    <row r="485">
      <c r="A485" t="inlineStr">
        <is>
          <t>054072D</t>
        </is>
      </c>
      <c r="B485" t="inlineStr">
        <is>
          <t>Master of Design Science (Design Computing) ( Honours)</t>
        </is>
      </c>
      <c r="C485" t="inlineStr">
        <is>
          <t>Masters Degree (Coursework)</t>
        </is>
      </c>
      <c r="D485" t="inlineStr">
        <is>
          <t>Postgraduate coursework</t>
        </is>
      </c>
      <c r="E485" t="inlineStr">
        <is>
          <t>Page address no longer works</t>
        </is>
      </c>
      <c r="F485" t="inlineStr"/>
      <c r="G485" t="inlineStr">
        <is>
          <t>https://www.sydney.edu.au/courses/courses/pc/master-of-design-science-design-computing-honours.html</t>
        </is>
      </c>
      <c r="H485" t="inlineStr">
        <is>
          <t>Address no longer works</t>
        </is>
      </c>
      <c r="I485" t="inlineStr"/>
      <c r="J485" t="inlineStr"/>
      <c r="K485" t="inlineStr">
        <is>
          <t>Finished, no page: every candidate address was refused by the reader or did not</t>
        </is>
      </c>
      <c r="L485" t="inlineStr">
        <is>
          <t>Page found, being read</t>
        </is>
      </c>
      <c r="M485" t="inlineStr">
        <is>
          <t>Page found, being read</t>
        </is>
      </c>
      <c r="N485" t="inlineStr"/>
      <c r="O485" t="n">
        <v>0</v>
      </c>
      <c r="P485" t="inlineStr"/>
      <c r="Q485" t="inlineStr">
        <is>
          <t>Filled</t>
        </is>
      </c>
      <c r="R485" t="n">
        <v>6.5</v>
      </c>
      <c r="S485" t="inlineStr">
        <is>
          <t>Central English policy</t>
        </is>
      </c>
      <c r="T485" t="inlineStr">
        <is>
          <t>Central rule applies (value agrees)</t>
        </is>
      </c>
      <c r="U485" t="inlineStr"/>
      <c r="V485" t="inlineStr">
        <is>
          <t>Page found, being read</t>
        </is>
      </c>
      <c r="W485" t="inlineStr"/>
      <c r="X485" t="inlineStr"/>
      <c r="Y485" t="n">
        <v>0</v>
      </c>
      <c r="Z485" t="inlineStr">
        <is>
          <t>No</t>
        </is>
      </c>
      <c r="AA485" t="inlineStr">
        <is>
          <t>Not stated on course page</t>
        </is>
      </c>
      <c r="AB485" t="inlineStr"/>
      <c r="AC485" t="inlineStr">
        <is>
          <t>Skipped: the page does not state it</t>
        </is>
      </c>
      <c r="AD485" t="n">
        <v>0</v>
      </c>
      <c r="AE485" t="inlineStr"/>
      <c r="AF485" t="inlineStr"/>
      <c r="AG485" t="inlineStr"/>
      <c r="AH485" t="inlineStr"/>
      <c r="AI485" t="inlineStr"/>
      <c r="AJ485" t="inlineStr"/>
      <c r="AK485" t="inlineStr"/>
      <c r="AL485" t="inlineStr"/>
      <c r="AM485" t="inlineStr"/>
    </row>
    <row r="486">
      <c r="A486" t="inlineStr">
        <is>
          <t>054073C</t>
        </is>
      </c>
      <c r="B486" t="inlineStr">
        <is>
          <t>Master of Design Science (Digital Media) (Honours)</t>
        </is>
      </c>
      <c r="C486" t="inlineStr">
        <is>
          <t>Masters Degree (Coursework)</t>
        </is>
      </c>
      <c r="D486" t="inlineStr">
        <is>
          <t>Postgraduate coursework</t>
        </is>
      </c>
      <c r="E486" t="inlineStr">
        <is>
          <t>Page address no longer works</t>
        </is>
      </c>
      <c r="F486" t="inlineStr"/>
      <c r="G486" t="inlineStr">
        <is>
          <t>https://www.sydney.edu.au/courses/courses/pc/master-of-design-science-digital-media-honours.html</t>
        </is>
      </c>
      <c r="H486" t="inlineStr">
        <is>
          <t>Address no longer works</t>
        </is>
      </c>
      <c r="I486" t="inlineStr"/>
      <c r="J486" t="inlineStr"/>
      <c r="K486" t="inlineStr">
        <is>
          <t>Finished, no page: every candidate address was refused by the reader or did not</t>
        </is>
      </c>
      <c r="L486" t="inlineStr">
        <is>
          <t>Page found, being read</t>
        </is>
      </c>
      <c r="M486" t="inlineStr">
        <is>
          <t>Page found, being read</t>
        </is>
      </c>
      <c r="N486" t="inlineStr"/>
      <c r="O486" t="n">
        <v>0</v>
      </c>
      <c r="P486" t="inlineStr"/>
      <c r="Q486" t="inlineStr">
        <is>
          <t>Filled</t>
        </is>
      </c>
      <c r="R486" t="n">
        <v>6.5</v>
      </c>
      <c r="S486" t="inlineStr">
        <is>
          <t>Central English policy</t>
        </is>
      </c>
      <c r="T486" t="inlineStr">
        <is>
          <t>Central rule applies (value agrees)</t>
        </is>
      </c>
      <c r="U486" t="inlineStr"/>
      <c r="V486" t="inlineStr">
        <is>
          <t>Page found, being read</t>
        </is>
      </c>
      <c r="W486" t="inlineStr"/>
      <c r="X486" t="inlineStr"/>
      <c r="Y486" t="n">
        <v>0</v>
      </c>
      <c r="Z486" t="inlineStr">
        <is>
          <t>No</t>
        </is>
      </c>
      <c r="AA486" t="inlineStr">
        <is>
          <t>Not stated on course page</t>
        </is>
      </c>
      <c r="AB486" t="inlineStr"/>
      <c r="AC486" t="inlineStr">
        <is>
          <t>Skipped: the quote is not on the page</t>
        </is>
      </c>
      <c r="AD486" t="n">
        <v>0</v>
      </c>
      <c r="AE486" t="inlineStr"/>
      <c r="AF486" t="inlineStr"/>
      <c r="AG486" t="inlineStr"/>
      <c r="AH486" t="inlineStr"/>
      <c r="AI486" t="inlineStr"/>
      <c r="AJ486" t="inlineStr"/>
      <c r="AK486" t="inlineStr">
        <is>
          <t>Yes</t>
        </is>
      </c>
      <c r="AL486" t="inlineStr"/>
      <c r="AM486" t="inlineStr"/>
    </row>
    <row r="487">
      <c r="A487" t="inlineStr">
        <is>
          <t>048514M</t>
        </is>
      </c>
      <c r="B487" t="inlineStr">
        <is>
          <t>Master of Design Science (Illumination Design)</t>
        </is>
      </c>
      <c r="C487" t="inlineStr">
        <is>
          <t>Masters Degree (Coursework)</t>
        </is>
      </c>
      <c r="D487" t="inlineStr">
        <is>
          <t>Postgraduate coursework</t>
        </is>
      </c>
      <c r="E487" t="inlineStr">
        <is>
          <t>Page address no longer works</t>
        </is>
      </c>
      <c r="F487" t="inlineStr"/>
      <c r="G487" t="inlineStr">
        <is>
          <t>https://www.sydney.edu.au/courses/courses/pc/master-of-design-science-illumination-design.html</t>
        </is>
      </c>
      <c r="H487" t="inlineStr">
        <is>
          <t>Address no longer works</t>
        </is>
      </c>
      <c r="I487" t="inlineStr"/>
      <c r="J487" t="inlineStr"/>
      <c r="K487" t="inlineStr">
        <is>
          <t>Re-link still trying</t>
        </is>
      </c>
      <c r="L487" t="inlineStr">
        <is>
          <t>Not stated on course page</t>
        </is>
      </c>
      <c r="M487" t="inlineStr">
        <is>
          <t>Not stated on course page</t>
        </is>
      </c>
      <c r="N487" t="inlineStr"/>
      <c r="O487" t="n">
        <v>0</v>
      </c>
      <c r="P487" t="inlineStr"/>
      <c r="Q487" t="inlineStr">
        <is>
          <t>Filled</t>
        </is>
      </c>
      <c r="R487" t="n">
        <v>6.5</v>
      </c>
      <c r="S487" t="inlineStr">
        <is>
          <t>Central English policy</t>
        </is>
      </c>
      <c r="T487" t="inlineStr">
        <is>
          <t>Central rule applies (value agrees)</t>
        </is>
      </c>
      <c r="U487" t="inlineStr"/>
      <c r="V487" t="inlineStr">
        <is>
          <t>Not stated on course page</t>
        </is>
      </c>
      <c r="W487" t="inlineStr"/>
      <c r="X487" t="inlineStr"/>
      <c r="Y487" t="n">
        <v>0</v>
      </c>
      <c r="Z487" t="inlineStr">
        <is>
          <t>No</t>
        </is>
      </c>
      <c r="AA487" t="inlineStr">
        <is>
          <t>Not stated on course page</t>
        </is>
      </c>
      <c r="AB487" t="inlineStr"/>
      <c r="AC487" t="inlineStr">
        <is>
          <t>Skipped: no allowed source had a value</t>
        </is>
      </c>
      <c r="AD487" t="n">
        <v>1</v>
      </c>
      <c r="AE487" t="inlineStr"/>
      <c r="AF487" t="inlineStr"/>
      <c r="AG487" t="inlineStr"/>
      <c r="AH487" t="inlineStr"/>
      <c r="AI487" t="inlineStr"/>
      <c r="AJ487" t="inlineStr"/>
      <c r="AK487" t="inlineStr"/>
      <c r="AL487" t="inlineStr"/>
      <c r="AM487" t="inlineStr"/>
    </row>
    <row r="488">
      <c r="A488" t="inlineStr">
        <is>
          <t>053661B</t>
        </is>
      </c>
      <c r="B488" t="inlineStr">
        <is>
          <t>Master of Design Science (Illumination Design)(Audio/Building Services/Design Computing/Digital Media/Facilities)</t>
        </is>
      </c>
      <c r="C488" t="inlineStr">
        <is>
          <t>Masters Degree (Coursework)</t>
        </is>
      </c>
      <c r="D488" t="inlineStr">
        <is>
          <t>Postgraduate coursework</t>
        </is>
      </c>
      <c r="E488" t="inlineStr">
        <is>
          <t>Page address no longer works</t>
        </is>
      </c>
      <c r="F488" t="inlineStr"/>
      <c r="G488" t="inlineStr">
        <is>
          <t>https://www.sydney.edu.au/courses/courses/pc/master-of-design-science-illumination-design-audio-building-services-design-computing-digital-media-facilities.html</t>
        </is>
      </c>
      <c r="H488" t="inlineStr">
        <is>
          <t>Address no longer works</t>
        </is>
      </c>
      <c r="I488" t="inlineStr"/>
      <c r="J488" t="inlineStr"/>
      <c r="K488" t="inlineStr">
        <is>
          <t>Finished, no page: every candidate address was refused by the reader or did not</t>
        </is>
      </c>
      <c r="L488" t="inlineStr">
        <is>
          <t>Page found, being read</t>
        </is>
      </c>
      <c r="M488" t="inlineStr">
        <is>
          <t>Page found, being read</t>
        </is>
      </c>
      <c r="N488" t="inlineStr"/>
      <c r="O488" t="n">
        <v>0</v>
      </c>
      <c r="P488" t="inlineStr"/>
      <c r="Q488" t="inlineStr">
        <is>
          <t>Page found, being read</t>
        </is>
      </c>
      <c r="S488" t="inlineStr"/>
      <c r="T488" t="inlineStr">
        <is>
          <t>Held: double degree (its parts are at different levels)</t>
        </is>
      </c>
      <c r="U488" t="inlineStr"/>
      <c r="V488" t="inlineStr">
        <is>
          <t>Page found, being read</t>
        </is>
      </c>
      <c r="W488" t="inlineStr"/>
      <c r="X488" t="inlineStr"/>
      <c r="Y488" t="n">
        <v>0</v>
      </c>
      <c r="Z488" t="inlineStr">
        <is>
          <t>No</t>
        </is>
      </c>
      <c r="AA488" t="inlineStr">
        <is>
          <t>Not stated on course page</t>
        </is>
      </c>
      <c r="AB488" t="inlineStr"/>
      <c r="AC488" t="inlineStr">
        <is>
          <t>Skipped: the quote is not on the page</t>
        </is>
      </c>
      <c r="AD488" t="n">
        <v>0</v>
      </c>
      <c r="AE488" t="inlineStr"/>
      <c r="AF488" t="inlineStr"/>
      <c r="AG488" t="inlineStr"/>
      <c r="AH488" t="inlineStr"/>
      <c r="AI488" t="inlineStr"/>
      <c r="AJ488" t="inlineStr">
        <is>
          <t>Yes</t>
        </is>
      </c>
      <c r="AK488" t="inlineStr">
        <is>
          <t>Yes</t>
        </is>
      </c>
      <c r="AL488" t="inlineStr"/>
      <c r="AM488" t="inlineStr"/>
    </row>
    <row r="489">
      <c r="A489" t="inlineStr">
        <is>
          <t>048515K</t>
        </is>
      </c>
      <c r="B489" t="inlineStr">
        <is>
          <t>Master of Design Science (Sustainable Design)</t>
        </is>
      </c>
      <c r="C489" t="inlineStr">
        <is>
          <t>Masters Degree (Coursework)</t>
        </is>
      </c>
      <c r="D489" t="inlineStr">
        <is>
          <t>Postgraduate coursework</t>
        </is>
      </c>
      <c r="E489" t="inlineStr">
        <is>
          <t>Page address no longer works</t>
        </is>
      </c>
      <c r="F489" t="inlineStr"/>
      <c r="G489" t="inlineStr">
        <is>
          <t>https://www.sydney.edu.au/courses/courses/pc/master-of-design-science-sustainable-design.html</t>
        </is>
      </c>
      <c r="H489" t="inlineStr">
        <is>
          <t>Address no longer works</t>
        </is>
      </c>
      <c r="I489" t="inlineStr"/>
      <c r="J489" t="inlineStr"/>
      <c r="K489" t="inlineStr">
        <is>
          <t>Finished, no page: every candidate address was refused by the reader or did not</t>
        </is>
      </c>
      <c r="L489" t="inlineStr">
        <is>
          <t>Page found, being read</t>
        </is>
      </c>
      <c r="M489" t="inlineStr">
        <is>
          <t>Page found, being read</t>
        </is>
      </c>
      <c r="N489" t="inlineStr"/>
      <c r="O489" t="n">
        <v>0</v>
      </c>
      <c r="P489" t="inlineStr"/>
      <c r="Q489" t="inlineStr">
        <is>
          <t>Filled</t>
        </is>
      </c>
      <c r="R489" t="n">
        <v>6.5</v>
      </c>
      <c r="S489" t="inlineStr">
        <is>
          <t>Central English policy</t>
        </is>
      </c>
      <c r="T489" t="inlineStr">
        <is>
          <t>Central rule applies (value agrees)</t>
        </is>
      </c>
      <c r="U489" t="inlineStr"/>
      <c r="V489" t="inlineStr">
        <is>
          <t>Page found, being read</t>
        </is>
      </c>
      <c r="W489" t="inlineStr"/>
      <c r="X489" t="inlineStr"/>
      <c r="Y489" t="n">
        <v>0</v>
      </c>
      <c r="Z489" t="inlineStr">
        <is>
          <t>No</t>
        </is>
      </c>
      <c r="AA489" t="inlineStr">
        <is>
          <t>Not stated on course page</t>
        </is>
      </c>
      <c r="AB489" t="inlineStr"/>
      <c r="AC489" t="inlineStr">
        <is>
          <t>Skipped: the page does not state it</t>
        </is>
      </c>
      <c r="AD489" t="n">
        <v>0</v>
      </c>
      <c r="AE489" t="inlineStr"/>
      <c r="AF489" t="inlineStr"/>
      <c r="AG489" t="inlineStr"/>
      <c r="AH489" t="inlineStr"/>
      <c r="AI489" t="inlineStr"/>
      <c r="AJ489" t="inlineStr"/>
      <c r="AK489" t="inlineStr"/>
      <c r="AL489" t="inlineStr"/>
      <c r="AM489" t="inlineStr"/>
    </row>
    <row r="490">
      <c r="A490" t="inlineStr">
        <is>
          <t>054076M</t>
        </is>
      </c>
      <c r="B490" t="inlineStr">
        <is>
          <t>Master of Design Science (Sustainable Design) (Honours)</t>
        </is>
      </c>
      <c r="C490" t="inlineStr">
        <is>
          <t>Masters Degree (Coursework)</t>
        </is>
      </c>
      <c r="D490" t="inlineStr">
        <is>
          <t>Postgraduate coursework</t>
        </is>
      </c>
      <c r="E490" t="inlineStr">
        <is>
          <t>Page address no longer works</t>
        </is>
      </c>
      <c r="F490" t="inlineStr"/>
      <c r="G490" t="inlineStr">
        <is>
          <t>https://www.sydney.edu.au/courses/courses/pc/master-of-design-science-sustainable-design-honours.html</t>
        </is>
      </c>
      <c r="H490" t="inlineStr">
        <is>
          <t>Address no longer works</t>
        </is>
      </c>
      <c r="I490" t="inlineStr"/>
      <c r="J490" t="inlineStr"/>
      <c r="K490" t="inlineStr">
        <is>
          <t>Finished, no page: every candidate address was refused by the reader or did not</t>
        </is>
      </c>
      <c r="L490" t="inlineStr">
        <is>
          <t>Page found, being read</t>
        </is>
      </c>
      <c r="M490" t="inlineStr">
        <is>
          <t>Page found, being read</t>
        </is>
      </c>
      <c r="N490" t="inlineStr"/>
      <c r="O490" t="n">
        <v>0</v>
      </c>
      <c r="P490" t="inlineStr"/>
      <c r="Q490" t="inlineStr">
        <is>
          <t>Filled</t>
        </is>
      </c>
      <c r="R490" t="n">
        <v>6.5</v>
      </c>
      <c r="S490" t="inlineStr">
        <is>
          <t>Central English policy</t>
        </is>
      </c>
      <c r="T490" t="inlineStr">
        <is>
          <t>Central rule applies (value agrees)</t>
        </is>
      </c>
      <c r="U490" t="inlineStr"/>
      <c r="V490" t="inlineStr">
        <is>
          <t>Page found, being read</t>
        </is>
      </c>
      <c r="W490" t="inlineStr"/>
      <c r="X490" t="inlineStr"/>
      <c r="Y490" t="n">
        <v>0</v>
      </c>
      <c r="Z490" t="inlineStr">
        <is>
          <t>No</t>
        </is>
      </c>
      <c r="AA490" t="inlineStr">
        <is>
          <t>Not stated on course page</t>
        </is>
      </c>
      <c r="AB490" t="inlineStr"/>
      <c r="AC490" t="inlineStr">
        <is>
          <t>Skipped: no allowed source had a value</t>
        </is>
      </c>
      <c r="AD490" t="n">
        <v>1</v>
      </c>
      <c r="AE490" t="inlineStr"/>
      <c r="AF490" t="inlineStr"/>
      <c r="AG490" t="inlineStr"/>
      <c r="AH490" t="inlineStr"/>
      <c r="AI490" t="inlineStr"/>
      <c r="AJ490" t="inlineStr"/>
      <c r="AK490" t="inlineStr"/>
      <c r="AL490" t="inlineStr"/>
      <c r="AM490" t="inlineStr"/>
    </row>
    <row r="491">
      <c r="A491" t="inlineStr">
        <is>
          <t>053662A</t>
        </is>
      </c>
      <c r="B491" t="inlineStr">
        <is>
          <t>Master of Design Science (Sustainable Design)(Audio/Building Services/Building/Design Computing/Digital Media/Facilities)</t>
        </is>
      </c>
      <c r="C491" t="inlineStr">
        <is>
          <t>Masters Degree (Coursework)</t>
        </is>
      </c>
      <c r="D491" t="inlineStr">
        <is>
          <t>Postgraduate coursework</t>
        </is>
      </c>
      <c r="E491" t="inlineStr">
        <is>
          <t>Page address no longer works</t>
        </is>
      </c>
      <c r="F491" t="inlineStr"/>
      <c r="G491" t="inlineStr">
        <is>
          <t>https://www.sydney.edu.au/courses/courses/pc/master-of-design-science-sustainable-design-audio-building-services-building-design-computing-digital-media-facilities.html</t>
        </is>
      </c>
      <c r="H491" t="inlineStr">
        <is>
          <t>Address no longer works</t>
        </is>
      </c>
      <c r="I491" t="inlineStr"/>
      <c r="J491" t="inlineStr"/>
      <c r="K491" t="inlineStr">
        <is>
          <t>Finished, no page: every candidate address was refused by the reader or did not</t>
        </is>
      </c>
      <c r="L491" t="inlineStr">
        <is>
          <t>Page found, being read</t>
        </is>
      </c>
      <c r="M491" t="inlineStr">
        <is>
          <t>Page found, being read</t>
        </is>
      </c>
      <c r="N491" t="inlineStr"/>
      <c r="O491" t="n">
        <v>0</v>
      </c>
      <c r="P491" t="inlineStr"/>
      <c r="Q491" t="inlineStr">
        <is>
          <t>Page found, being read</t>
        </is>
      </c>
      <c r="S491" t="inlineStr"/>
      <c r="T491" t="inlineStr">
        <is>
          <t>Held: double degree (its parts are at different levels)</t>
        </is>
      </c>
      <c r="U491" t="inlineStr"/>
      <c r="V491" t="inlineStr">
        <is>
          <t>Page found, being read</t>
        </is>
      </c>
      <c r="W491" t="inlineStr"/>
      <c r="X491" t="inlineStr"/>
      <c r="Y491" t="n">
        <v>0</v>
      </c>
      <c r="Z491" t="inlineStr">
        <is>
          <t>No</t>
        </is>
      </c>
      <c r="AA491" t="inlineStr">
        <is>
          <t>Not stated on course page</t>
        </is>
      </c>
      <c r="AB491" t="inlineStr"/>
      <c r="AC491" t="inlineStr">
        <is>
          <t>Skipped: no allowed source had a value</t>
        </is>
      </c>
      <c r="AD491" t="n">
        <v>1</v>
      </c>
      <c r="AE491" t="inlineStr"/>
      <c r="AF491" t="inlineStr"/>
      <c r="AG491" t="inlineStr"/>
      <c r="AH491" t="inlineStr"/>
      <c r="AI491" t="inlineStr"/>
      <c r="AJ491" t="inlineStr">
        <is>
          <t>Yes</t>
        </is>
      </c>
      <c r="AK491" t="inlineStr"/>
      <c r="AL491" t="inlineStr"/>
      <c r="AM491" t="inlineStr"/>
    </row>
    <row r="492">
      <c r="A492" t="inlineStr">
        <is>
          <t>082903D</t>
        </is>
      </c>
      <c r="B492" t="inlineStr">
        <is>
          <t>Master of Development Studies</t>
        </is>
      </c>
      <c r="C492" t="inlineStr">
        <is>
          <t>Masters Degree (Coursework)</t>
        </is>
      </c>
      <c r="D492" t="inlineStr">
        <is>
          <t>Postgraduate coursework</t>
        </is>
      </c>
      <c r="E492" t="inlineStr">
        <is>
          <t>Page found, needs a rendered read</t>
        </is>
      </c>
      <c r="F492" t="inlineStr"/>
      <c r="G492" t="inlineStr">
        <is>
          <t>https://www.sydney.edu.au/courses/courses/pc/master-of-development-studies.html</t>
        </is>
      </c>
      <c r="H492" t="inlineStr">
        <is>
          <t>Needs a rendered read</t>
        </is>
      </c>
      <c r="I492" t="inlineStr"/>
      <c r="J492" t="inlineStr"/>
      <c r="K492" t="inlineStr">
        <is>
          <t>Finished, no page: every candidate address was refused by the reader or did not</t>
        </is>
      </c>
      <c r="L492" t="inlineStr">
        <is>
          <t>Page found, being read</t>
        </is>
      </c>
      <c r="M492" t="inlineStr">
        <is>
          <t>Page found, being read</t>
        </is>
      </c>
      <c r="N492" t="inlineStr"/>
      <c r="O492" t="n">
        <v>0</v>
      </c>
      <c r="P492" t="inlineStr"/>
      <c r="Q492" t="inlineStr">
        <is>
          <t>Filled</t>
        </is>
      </c>
      <c r="R492" t="n">
        <v>6.5</v>
      </c>
      <c r="S492" t="inlineStr">
        <is>
          <t>Central English policy</t>
        </is>
      </c>
      <c r="T492" t="inlineStr">
        <is>
          <t>Central rule applies (value agrees)</t>
        </is>
      </c>
      <c r="U492" t="inlineStr"/>
      <c r="V492" t="inlineStr">
        <is>
          <t>Page found, being read</t>
        </is>
      </c>
      <c r="W492" t="inlineStr"/>
      <c r="X492" t="inlineStr"/>
      <c r="Y492" t="n">
        <v>0</v>
      </c>
      <c r="Z492" t="inlineStr">
        <is>
          <t>No</t>
        </is>
      </c>
      <c r="AA492" t="inlineStr">
        <is>
          <t>Not stated on course page</t>
        </is>
      </c>
      <c r="AB492" t="inlineStr"/>
      <c r="AC492" t="inlineStr">
        <is>
          <t>Skipped: the page does not state it</t>
        </is>
      </c>
      <c r="AD492" t="n">
        <v>0</v>
      </c>
      <c r="AE492" t="inlineStr">
        <is>
          <t>Yes</t>
        </is>
      </c>
      <c r="AF492" t="inlineStr"/>
      <c r="AG492" t="inlineStr"/>
      <c r="AH492" t="inlineStr"/>
      <c r="AI492" t="inlineStr"/>
      <c r="AJ492" t="inlineStr"/>
      <c r="AK492" t="inlineStr"/>
      <c r="AL492" t="inlineStr"/>
      <c r="AM492" t="inlineStr"/>
    </row>
    <row r="493">
      <c r="A493" t="inlineStr">
        <is>
          <t>053431E</t>
        </is>
      </c>
      <c r="B493" t="inlineStr">
        <is>
          <t>Master of Development Studies</t>
        </is>
      </c>
      <c r="C493" t="inlineStr">
        <is>
          <t>Masters Degree (Coursework)</t>
        </is>
      </c>
      <c r="D493" t="inlineStr">
        <is>
          <t>Postgraduate coursework</t>
        </is>
      </c>
      <c r="E493" t="inlineStr">
        <is>
          <t>Page found, needs a rendered read</t>
        </is>
      </c>
      <c r="F493" t="inlineStr"/>
      <c r="G493" t="inlineStr">
        <is>
          <t>https://www.sydney.edu.au/courses/courses/pc/master-of-development-studies.html</t>
        </is>
      </c>
      <c r="H493" t="inlineStr">
        <is>
          <t>Needs a rendered read</t>
        </is>
      </c>
      <c r="I493" t="inlineStr"/>
      <c r="J493" t="inlineStr"/>
      <c r="K493" t="inlineStr">
        <is>
          <t>Finished, no page: every candidate address was refused by the reader or did not</t>
        </is>
      </c>
      <c r="L493" t="inlineStr">
        <is>
          <t>Page found, being read</t>
        </is>
      </c>
      <c r="M493" t="inlineStr">
        <is>
          <t>Page found, being read</t>
        </is>
      </c>
      <c r="N493" t="inlineStr"/>
      <c r="O493" t="n">
        <v>0</v>
      </c>
      <c r="P493" t="inlineStr"/>
      <c r="Q493" t="inlineStr">
        <is>
          <t>Filled</t>
        </is>
      </c>
      <c r="R493" t="n">
        <v>6.5</v>
      </c>
      <c r="S493" t="inlineStr">
        <is>
          <t>Central English policy</t>
        </is>
      </c>
      <c r="T493" t="inlineStr">
        <is>
          <t>Central rule applies (value agrees)</t>
        </is>
      </c>
      <c r="U493" t="inlineStr"/>
      <c r="V493" t="inlineStr">
        <is>
          <t>Page found, being read</t>
        </is>
      </c>
      <c r="W493" t="inlineStr"/>
      <c r="X493" t="inlineStr"/>
      <c r="Y493" t="n">
        <v>0</v>
      </c>
      <c r="Z493" t="inlineStr">
        <is>
          <t>No</t>
        </is>
      </c>
      <c r="AA493" t="inlineStr">
        <is>
          <t>Not stated on course page</t>
        </is>
      </c>
      <c r="AB493" t="inlineStr"/>
      <c r="AC493" t="inlineStr">
        <is>
          <t>Skipped: the page does not state it</t>
        </is>
      </c>
      <c r="AD493" t="n">
        <v>0</v>
      </c>
      <c r="AE493" t="inlineStr">
        <is>
          <t>Yes</t>
        </is>
      </c>
      <c r="AF493" t="inlineStr"/>
      <c r="AG493" t="inlineStr"/>
      <c r="AH493" t="inlineStr"/>
      <c r="AI493" t="inlineStr"/>
      <c r="AJ493" t="inlineStr"/>
      <c r="AK493" t="inlineStr"/>
      <c r="AL493" t="inlineStr"/>
      <c r="AM493" t="inlineStr"/>
    </row>
    <row r="494">
      <c r="A494" t="inlineStr">
        <is>
          <t>058352G</t>
        </is>
      </c>
      <c r="B494" t="inlineStr">
        <is>
          <t>Master of Diagnostic Radiography</t>
        </is>
      </c>
      <c r="C494" t="inlineStr">
        <is>
          <t>Masters Degree (Coursework)</t>
        </is>
      </c>
      <c r="D494" t="inlineStr">
        <is>
          <t>Postgraduate coursework</t>
        </is>
      </c>
      <c r="E494" t="inlineStr">
        <is>
          <t>Advertised: official page in place</t>
        </is>
      </c>
      <c r="F494" t="inlineStr">
        <is>
          <t>https://www.sydney.edu.au/courses/courses/pc/master-of-diagnostic-radiography.html</t>
        </is>
      </c>
      <c r="G494" t="inlineStr">
        <is>
          <t>https://www.sydney.edu.au/courses/courses/pc/master-of-diagnostic-radiography.html</t>
        </is>
      </c>
      <c r="H494" t="inlineStr">
        <is>
          <t>Read</t>
        </is>
      </c>
      <c r="I494" t="inlineStr">
        <is>
          <t>Exact title match</t>
        </is>
      </c>
      <c r="J494" t="inlineStr"/>
      <c r="K494" t="inlineStr">
        <is>
          <t>Not sent to re-link</t>
        </is>
      </c>
      <c r="L494" t="inlineStr">
        <is>
          <t>Filled</t>
        </is>
      </c>
      <c r="M494" t="inlineStr">
        <is>
          <t>Not stated on course page</t>
        </is>
      </c>
      <c r="N494" t="inlineStr"/>
      <c r="O494" t="n">
        <v>0</v>
      </c>
      <c r="P494" t="inlineStr"/>
      <c r="Q494" t="inlineStr">
        <is>
          <t>Filled</t>
        </is>
      </c>
      <c r="R494" t="n">
        <v>6.5</v>
      </c>
      <c r="S494" t="inlineStr">
        <is>
          <t>Central English policy</t>
        </is>
      </c>
      <c r="T494" t="inlineStr">
        <is>
          <t>Central rule applies (value agrees)</t>
        </is>
      </c>
      <c r="U494" t="inlineStr"/>
      <c r="V494" t="inlineStr">
        <is>
          <t>Not stated on course page</t>
        </is>
      </c>
      <c r="W494" t="inlineStr"/>
      <c r="X494" t="inlineStr"/>
      <c r="Y494" t="n">
        <v>0</v>
      </c>
      <c r="Z494" t="inlineStr">
        <is>
          <t>No</t>
        </is>
      </c>
      <c r="AA494" t="inlineStr">
        <is>
          <t>Filled</t>
        </is>
      </c>
      <c r="AB494" t="inlineStr">
        <is>
          <t>on campus</t>
        </is>
      </c>
      <c r="AC494" t="inlineStr"/>
      <c r="AD494" t="n">
        <v>0</v>
      </c>
      <c r="AE494" t="inlineStr"/>
      <c r="AF494" t="inlineStr"/>
      <c r="AG494" t="inlineStr"/>
      <c r="AH494" t="inlineStr"/>
      <c r="AI494" t="inlineStr">
        <is>
          <t>Yes</t>
        </is>
      </c>
      <c r="AJ494" t="inlineStr"/>
      <c r="AK494" t="inlineStr"/>
      <c r="AL494" t="inlineStr"/>
      <c r="AM494" t="inlineStr"/>
    </row>
    <row r="495">
      <c r="A495" t="inlineStr">
        <is>
          <t>079025E</t>
        </is>
      </c>
      <c r="B495" t="inlineStr">
        <is>
          <t>Master of Digital Communication and Culture</t>
        </is>
      </c>
      <c r="C495" t="inlineStr">
        <is>
          <t>Masters Degree (Coursework)</t>
        </is>
      </c>
      <c r="D495" t="inlineStr">
        <is>
          <t>Postgraduate coursework</t>
        </is>
      </c>
      <c r="E495" t="inlineStr">
        <is>
          <t>Advertised: official page in place</t>
        </is>
      </c>
      <c r="F495" t="inlineStr">
        <is>
          <t>https://www.sydney.edu.au/courses/courses/pc/master-of-digital-communication-and-culture.html</t>
        </is>
      </c>
      <c r="G495" t="inlineStr">
        <is>
          <t>https://www.sydney.edu.au/courses/courses/pc/master-of-digital-communication-and-culture.html</t>
        </is>
      </c>
      <c r="H495" t="inlineStr">
        <is>
          <t>Read</t>
        </is>
      </c>
      <c r="I495" t="inlineStr">
        <is>
          <t>Exact title match</t>
        </is>
      </c>
      <c r="J495" t="inlineStr"/>
      <c r="K495" t="inlineStr">
        <is>
          <t>Not sent to re-link</t>
        </is>
      </c>
      <c r="L495" t="inlineStr">
        <is>
          <t>Filled</t>
        </is>
      </c>
      <c r="M495" t="inlineStr">
        <is>
          <t>Not stated on course page</t>
        </is>
      </c>
      <c r="N495" t="inlineStr"/>
      <c r="O495" t="n">
        <v>0</v>
      </c>
      <c r="P495" t="inlineStr"/>
      <c r="Q495" t="inlineStr">
        <is>
          <t>Filled</t>
        </is>
      </c>
      <c r="R495" t="n">
        <v>6.5</v>
      </c>
      <c r="S495" t="inlineStr">
        <is>
          <t>Central English policy</t>
        </is>
      </c>
      <c r="T495" t="inlineStr">
        <is>
          <t>Central rule applies (value agrees)</t>
        </is>
      </c>
      <c r="U495" t="inlineStr"/>
      <c r="V495" t="inlineStr">
        <is>
          <t>Filled</t>
        </is>
      </c>
      <c r="W495" t="inlineStr">
        <is>
          <t>February, August</t>
        </is>
      </c>
      <c r="X495" t="inlineStr">
        <is>
          <t>Page reader</t>
        </is>
      </c>
      <c r="Y495" t="n">
        <v>0</v>
      </c>
      <c r="Z495" t="inlineStr">
        <is>
          <t>No</t>
        </is>
      </c>
      <c r="AA495" t="inlineStr">
        <is>
          <t>Filled</t>
        </is>
      </c>
      <c r="AB495" t="inlineStr">
        <is>
          <t>on campus</t>
        </is>
      </c>
      <c r="AC495" t="inlineStr"/>
      <c r="AD495" t="n">
        <v>0</v>
      </c>
      <c r="AE495" t="inlineStr"/>
      <c r="AF495" t="inlineStr"/>
      <c r="AG495" t="inlineStr"/>
      <c r="AH495" t="inlineStr"/>
      <c r="AI495" t="inlineStr"/>
      <c r="AJ495" t="inlineStr"/>
      <c r="AK495" t="inlineStr"/>
      <c r="AL495" t="inlineStr"/>
      <c r="AM495" t="inlineStr"/>
    </row>
    <row r="496">
      <c r="A496" t="inlineStr">
        <is>
          <t>057888F</t>
        </is>
      </c>
      <c r="B496" t="inlineStr">
        <is>
          <t>Master of Digital Communication and Culture</t>
        </is>
      </c>
      <c r="C496" t="inlineStr">
        <is>
          <t>Masters Degree (Coursework)</t>
        </is>
      </c>
      <c r="D496" t="inlineStr">
        <is>
          <t>Postgraduate coursework</t>
        </is>
      </c>
      <c r="E496" t="inlineStr">
        <is>
          <t>Advertised: official page in place</t>
        </is>
      </c>
      <c r="F496" t="inlineStr">
        <is>
          <t>https://www.sydney.edu.au/courses/courses/pc/master-of-digital-communication-and-culture.html</t>
        </is>
      </c>
      <c r="G496" t="inlineStr">
        <is>
          <t>https://www.sydney.edu.au/courses/courses/pc/master-of-digital-communication-and-culture.html</t>
        </is>
      </c>
      <c r="H496" t="inlineStr">
        <is>
          <t>Read</t>
        </is>
      </c>
      <c r="I496" t="inlineStr">
        <is>
          <t>Exact title match</t>
        </is>
      </c>
      <c r="J496" t="inlineStr"/>
      <c r="K496" t="inlineStr">
        <is>
          <t>Not sent to re-link</t>
        </is>
      </c>
      <c r="L496" t="inlineStr">
        <is>
          <t>Filled</t>
        </is>
      </c>
      <c r="M496" t="inlineStr">
        <is>
          <t>Not stated on course page</t>
        </is>
      </c>
      <c r="N496" t="inlineStr"/>
      <c r="O496" t="n">
        <v>0</v>
      </c>
      <c r="P496" t="inlineStr"/>
      <c r="Q496" t="inlineStr">
        <is>
          <t>Filled</t>
        </is>
      </c>
      <c r="R496" t="n">
        <v>6.5</v>
      </c>
      <c r="S496" t="inlineStr">
        <is>
          <t>Central English policy</t>
        </is>
      </c>
      <c r="T496" t="inlineStr">
        <is>
          <t>Central rule applies (value agrees)</t>
        </is>
      </c>
      <c r="U496" t="inlineStr"/>
      <c r="V496" t="inlineStr">
        <is>
          <t>Filled</t>
        </is>
      </c>
      <c r="W496" t="inlineStr">
        <is>
          <t>February, August</t>
        </is>
      </c>
      <c r="X496" t="inlineStr">
        <is>
          <t>Page reader</t>
        </is>
      </c>
      <c r="Y496" t="n">
        <v>0</v>
      </c>
      <c r="Z496" t="inlineStr">
        <is>
          <t>No</t>
        </is>
      </c>
      <c r="AA496" t="inlineStr">
        <is>
          <t>Filled</t>
        </is>
      </c>
      <c r="AB496" t="inlineStr">
        <is>
          <t>on campus</t>
        </is>
      </c>
      <c r="AC496" t="inlineStr"/>
      <c r="AD496" t="n">
        <v>0</v>
      </c>
      <c r="AE496" t="inlineStr"/>
      <c r="AF496" t="inlineStr"/>
      <c r="AG496" t="inlineStr"/>
      <c r="AH496" t="inlineStr"/>
      <c r="AI496" t="inlineStr"/>
      <c r="AJ496" t="inlineStr"/>
      <c r="AK496" t="inlineStr"/>
      <c r="AL496" t="inlineStr"/>
      <c r="AM496" t="inlineStr"/>
    </row>
    <row r="497">
      <c r="A497" t="inlineStr">
        <is>
          <t>106003E</t>
        </is>
      </c>
      <c r="B497" t="inlineStr">
        <is>
          <t>Master of Digital Health and Data Science</t>
        </is>
      </c>
      <c r="C497" t="inlineStr">
        <is>
          <t>Masters Degree (Coursework)</t>
        </is>
      </c>
      <c r="D497" t="inlineStr">
        <is>
          <t>Postgraduate coursework</t>
        </is>
      </c>
      <c r="E497" t="inlineStr">
        <is>
          <t>Advertised: official page in place</t>
        </is>
      </c>
      <c r="F497" t="inlineStr">
        <is>
          <t>https://www.sydney.edu.au/courses/courses/pc/master-of-digital-health-and-data-science0.html</t>
        </is>
      </c>
      <c r="G497" t="inlineStr">
        <is>
          <t>https://www.sydney.edu.au/courses/courses/pc/master-of-digital-health-and-data-science0.html</t>
        </is>
      </c>
      <c r="H497" t="inlineStr">
        <is>
          <t>Read</t>
        </is>
      </c>
      <c r="I497" t="inlineStr">
        <is>
          <t>Exact title match</t>
        </is>
      </c>
      <c r="J497" t="inlineStr"/>
      <c r="K497" t="inlineStr">
        <is>
          <t>Not sent to re-link</t>
        </is>
      </c>
      <c r="L497" t="inlineStr">
        <is>
          <t>Filled</t>
        </is>
      </c>
      <c r="M497" t="inlineStr">
        <is>
          <t>Not stated on course page</t>
        </is>
      </c>
      <c r="N497" t="inlineStr"/>
      <c r="O497" t="n">
        <v>0</v>
      </c>
      <c r="P497" t="inlineStr"/>
      <c r="Q497" t="inlineStr">
        <is>
          <t>Filled</t>
        </is>
      </c>
      <c r="R497" t="n">
        <v>6.5</v>
      </c>
      <c r="S497" t="inlineStr">
        <is>
          <t>Central English policy</t>
        </is>
      </c>
      <c r="T497" t="inlineStr">
        <is>
          <t>Central rule applies (value agrees)</t>
        </is>
      </c>
      <c r="U497" t="inlineStr"/>
      <c r="V497" t="inlineStr">
        <is>
          <t>Not stated on course page</t>
        </is>
      </c>
      <c r="W497" t="inlineStr"/>
      <c r="X497" t="inlineStr"/>
      <c r="Y497" t="n">
        <v>0</v>
      </c>
      <c r="Z497" t="inlineStr">
        <is>
          <t>No</t>
        </is>
      </c>
      <c r="AA497" t="inlineStr">
        <is>
          <t>Filled</t>
        </is>
      </c>
      <c r="AB497" t="inlineStr">
        <is>
          <t>on campus</t>
        </is>
      </c>
      <c r="AC497" t="inlineStr"/>
      <c r="AD497" t="n">
        <v>0</v>
      </c>
      <c r="AE497" t="inlineStr"/>
      <c r="AF497" t="inlineStr"/>
      <c r="AG497" t="inlineStr"/>
      <c r="AH497" t="inlineStr"/>
      <c r="AI497" t="inlineStr">
        <is>
          <t>Yes</t>
        </is>
      </c>
      <c r="AJ497" t="inlineStr"/>
      <c r="AK497" t="inlineStr"/>
      <c r="AL497" t="inlineStr"/>
      <c r="AM497" t="inlineStr"/>
    </row>
    <row r="498">
      <c r="A498" t="inlineStr">
        <is>
          <t>079202D</t>
        </is>
      </c>
      <c r="B498" t="inlineStr">
        <is>
          <t>Master of Economic Analysis</t>
        </is>
      </c>
      <c r="C498" t="inlineStr">
        <is>
          <t>Masters Degree (Coursework)</t>
        </is>
      </c>
      <c r="D498" t="inlineStr">
        <is>
          <t>Postgraduate coursework</t>
        </is>
      </c>
      <c r="E498" t="inlineStr">
        <is>
          <t>Advertised: official page in place</t>
        </is>
      </c>
      <c r="F498" t="inlineStr">
        <is>
          <t>https://www.sydney.edu.au/courses/courses/pc/master-of-economic-analysis.html</t>
        </is>
      </c>
      <c r="G498" t="inlineStr">
        <is>
          <t>https://www.sydney.edu.au/courses/courses/pc/master-of-economic-analysis.html</t>
        </is>
      </c>
      <c r="H498" t="inlineStr">
        <is>
          <t>Read</t>
        </is>
      </c>
      <c r="I498" t="inlineStr">
        <is>
          <t>Exact title match</t>
        </is>
      </c>
      <c r="J498" t="inlineStr"/>
      <c r="K498" t="inlineStr">
        <is>
          <t>Not sent to re-link</t>
        </is>
      </c>
      <c r="L498" t="inlineStr">
        <is>
          <t>Filled</t>
        </is>
      </c>
      <c r="M498" t="inlineStr">
        <is>
          <t>Not stated on course page</t>
        </is>
      </c>
      <c r="N498" t="inlineStr"/>
      <c r="O498" t="n">
        <v>0</v>
      </c>
      <c r="P498" t="inlineStr"/>
      <c r="Q498" t="inlineStr">
        <is>
          <t>Filled</t>
        </is>
      </c>
      <c r="R498" t="n">
        <v>6.5</v>
      </c>
      <c r="S498" t="inlineStr">
        <is>
          <t>Central English policy</t>
        </is>
      </c>
      <c r="T498" t="inlineStr">
        <is>
          <t>Central rule applies (value agrees)</t>
        </is>
      </c>
      <c r="U498" t="inlineStr"/>
      <c r="V498" t="inlineStr">
        <is>
          <t>Not stated on course page</t>
        </is>
      </c>
      <c r="W498" t="inlineStr"/>
      <c r="X498" t="inlineStr"/>
      <c r="Y498" t="n">
        <v>0</v>
      </c>
      <c r="Z498" t="inlineStr">
        <is>
          <t>No</t>
        </is>
      </c>
      <c r="AA498" t="inlineStr">
        <is>
          <t>Filled</t>
        </is>
      </c>
      <c r="AB498" t="inlineStr">
        <is>
          <t>on campus</t>
        </is>
      </c>
      <c r="AC498" t="inlineStr"/>
      <c r="AD498" t="n">
        <v>0</v>
      </c>
      <c r="AE498" t="inlineStr"/>
      <c r="AF498" t="inlineStr"/>
      <c r="AG498" t="inlineStr"/>
      <c r="AH498" t="inlineStr"/>
      <c r="AI498" t="inlineStr">
        <is>
          <t>Yes</t>
        </is>
      </c>
      <c r="AJ498" t="inlineStr"/>
      <c r="AK498" t="inlineStr"/>
      <c r="AL498" t="inlineStr"/>
      <c r="AM498" t="inlineStr"/>
    </row>
    <row r="499">
      <c r="A499" t="inlineStr">
        <is>
          <t>053963K</t>
        </is>
      </c>
      <c r="B499" t="inlineStr">
        <is>
          <t>Master of Economics</t>
        </is>
      </c>
      <c r="C499" t="inlineStr">
        <is>
          <t>Masters Degree (Coursework)</t>
        </is>
      </c>
      <c r="D499" t="inlineStr">
        <is>
          <t>Postgraduate coursework</t>
        </is>
      </c>
      <c r="E499" t="inlineStr">
        <is>
          <t>Advertised: official page in place</t>
        </is>
      </c>
      <c r="F499" t="inlineStr">
        <is>
          <t>https://www.sydney.edu.au/courses/courses/pc/master-of-economics.html</t>
        </is>
      </c>
      <c r="G499" t="inlineStr">
        <is>
          <t>https://www.sydney.edu.au/courses/courses/pc/master-of-economics.html</t>
        </is>
      </c>
      <c r="H499" t="inlineStr">
        <is>
          <t>Read</t>
        </is>
      </c>
      <c r="I499" t="inlineStr">
        <is>
          <t>Exact title match</t>
        </is>
      </c>
      <c r="J499" t="inlineStr"/>
      <c r="K499" t="inlineStr">
        <is>
          <t>Not sent to re-link</t>
        </is>
      </c>
      <c r="L499" t="inlineStr">
        <is>
          <t>Filled</t>
        </is>
      </c>
      <c r="M499" t="inlineStr">
        <is>
          <t>Not stated on course page</t>
        </is>
      </c>
      <c r="N499" t="inlineStr"/>
      <c r="O499" t="n">
        <v>0</v>
      </c>
      <c r="P499" t="inlineStr"/>
      <c r="Q499" t="inlineStr">
        <is>
          <t>Filled</t>
        </is>
      </c>
      <c r="R499" t="n">
        <v>6.5</v>
      </c>
      <c r="S499" t="inlineStr">
        <is>
          <t>Central English policy</t>
        </is>
      </c>
      <c r="T499" t="inlineStr">
        <is>
          <t>Central rule applies (value agrees)</t>
        </is>
      </c>
      <c r="U499" t="inlineStr"/>
      <c r="V499" t="inlineStr">
        <is>
          <t>Not stated on course page</t>
        </is>
      </c>
      <c r="W499" t="inlineStr"/>
      <c r="X499" t="inlineStr"/>
      <c r="Y499" t="n">
        <v>0</v>
      </c>
      <c r="Z499" t="inlineStr">
        <is>
          <t>No</t>
        </is>
      </c>
      <c r="AA499" t="inlineStr">
        <is>
          <t>Filled</t>
        </is>
      </c>
      <c r="AB499" t="inlineStr">
        <is>
          <t>on campus</t>
        </is>
      </c>
      <c r="AC499" t="inlineStr"/>
      <c r="AD499" t="n">
        <v>0</v>
      </c>
      <c r="AE499" t="inlineStr"/>
      <c r="AF499" t="inlineStr"/>
      <c r="AG499" t="inlineStr"/>
      <c r="AH499" t="inlineStr"/>
      <c r="AI499" t="inlineStr">
        <is>
          <t>Yes</t>
        </is>
      </c>
      <c r="AJ499" t="inlineStr"/>
      <c r="AK499" t="inlineStr"/>
      <c r="AL499" t="inlineStr"/>
      <c r="AM499" t="inlineStr"/>
    </row>
    <row r="500">
      <c r="A500" t="inlineStr">
        <is>
          <t>083950M</t>
        </is>
      </c>
      <c r="B500" t="inlineStr">
        <is>
          <t>Master of Economics</t>
        </is>
      </c>
      <c r="C500" t="inlineStr">
        <is>
          <t>Masters Degree (Coursework)</t>
        </is>
      </c>
      <c r="D500" t="inlineStr">
        <is>
          <t>Postgraduate coursework</t>
        </is>
      </c>
      <c r="E500" t="inlineStr">
        <is>
          <t>Advertised: official page in place</t>
        </is>
      </c>
      <c r="F500" t="inlineStr">
        <is>
          <t>https://www.sydney.edu.au/courses/courses/pc/master-of-economics.html</t>
        </is>
      </c>
      <c r="G500" t="inlineStr">
        <is>
          <t>https://www.sydney.edu.au/courses/courses/pc/master-of-economics.html</t>
        </is>
      </c>
      <c r="H500" t="inlineStr">
        <is>
          <t>Read</t>
        </is>
      </c>
      <c r="I500" t="inlineStr">
        <is>
          <t>Exact title match</t>
        </is>
      </c>
      <c r="J500" t="inlineStr"/>
      <c r="K500" t="inlineStr">
        <is>
          <t>Not sent to re-link</t>
        </is>
      </c>
      <c r="L500" t="inlineStr">
        <is>
          <t>Filled</t>
        </is>
      </c>
      <c r="M500" t="inlineStr">
        <is>
          <t>Not stated on course page</t>
        </is>
      </c>
      <c r="N500" t="inlineStr"/>
      <c r="O500" t="n">
        <v>0</v>
      </c>
      <c r="P500" t="inlineStr"/>
      <c r="Q500" t="inlineStr">
        <is>
          <t>Filled</t>
        </is>
      </c>
      <c r="R500" t="n">
        <v>6.5</v>
      </c>
      <c r="S500" t="inlineStr">
        <is>
          <t>Central English policy</t>
        </is>
      </c>
      <c r="T500" t="inlineStr">
        <is>
          <t>Central rule applies (value agrees)</t>
        </is>
      </c>
      <c r="U500" t="inlineStr"/>
      <c r="V500" t="inlineStr">
        <is>
          <t>Not stated on course page</t>
        </is>
      </c>
      <c r="W500" t="inlineStr"/>
      <c r="X500" t="inlineStr"/>
      <c r="Y500" t="n">
        <v>0</v>
      </c>
      <c r="Z500" t="inlineStr">
        <is>
          <t>No</t>
        </is>
      </c>
      <c r="AA500" t="inlineStr">
        <is>
          <t>Filled</t>
        </is>
      </c>
      <c r="AB500" t="inlineStr">
        <is>
          <t>on campus</t>
        </is>
      </c>
      <c r="AC500" t="inlineStr"/>
      <c r="AD500" t="n">
        <v>0</v>
      </c>
      <c r="AE500" t="inlineStr"/>
      <c r="AF500" t="inlineStr"/>
      <c r="AG500" t="inlineStr"/>
      <c r="AH500" t="inlineStr"/>
      <c r="AI500" t="inlineStr">
        <is>
          <t>Yes</t>
        </is>
      </c>
      <c r="AJ500" t="inlineStr"/>
      <c r="AK500" t="inlineStr"/>
      <c r="AL500" t="inlineStr"/>
      <c r="AM500" t="inlineStr"/>
    </row>
    <row r="501">
      <c r="A501" t="inlineStr">
        <is>
          <t>000674B</t>
        </is>
      </c>
      <c r="B501" t="inlineStr">
        <is>
          <t>Master of Education</t>
        </is>
      </c>
      <c r="C501" t="inlineStr">
        <is>
          <t>Masters Degree (Coursework)</t>
        </is>
      </c>
      <c r="D501" t="inlineStr">
        <is>
          <t>Postgraduate coursework</t>
        </is>
      </c>
      <c r="E501" t="inlineStr">
        <is>
          <t>Advertised: official page in place</t>
        </is>
      </c>
      <c r="F501" t="inlineStr">
        <is>
          <t>https://www.sydney.edu.au/courses/courses/pc/master-of-education0.html</t>
        </is>
      </c>
      <c r="G501" t="inlineStr">
        <is>
          <t>https://www.sydney.edu.au/courses/courses/pc/master-of-education0.html</t>
        </is>
      </c>
      <c r="H501" t="inlineStr">
        <is>
          <t>Read</t>
        </is>
      </c>
      <c r="I501" t="inlineStr">
        <is>
          <t>Exact title match</t>
        </is>
      </c>
      <c r="J501" t="inlineStr"/>
      <c r="K501" t="inlineStr">
        <is>
          <t>Not sent to re-link</t>
        </is>
      </c>
      <c r="L501" t="inlineStr">
        <is>
          <t>Filled</t>
        </is>
      </c>
      <c r="M501" t="inlineStr">
        <is>
          <t>Not stated on course page</t>
        </is>
      </c>
      <c r="N501" t="inlineStr"/>
      <c r="O501" t="n">
        <v>0</v>
      </c>
      <c r="P501" t="inlineStr"/>
      <c r="Q501" t="inlineStr">
        <is>
          <t>Filled</t>
        </is>
      </c>
      <c r="R501" t="n">
        <v>6.5</v>
      </c>
      <c r="S501" t="inlineStr">
        <is>
          <t>Central English policy</t>
        </is>
      </c>
      <c r="T501" t="inlineStr">
        <is>
          <t>Central rule applies (value agrees)</t>
        </is>
      </c>
      <c r="U501" t="inlineStr"/>
      <c r="V501" t="inlineStr">
        <is>
          <t>Not stated on course page</t>
        </is>
      </c>
      <c r="W501" t="inlineStr"/>
      <c r="X501" t="inlineStr"/>
      <c r="Y501" t="n">
        <v>0</v>
      </c>
      <c r="Z501" t="inlineStr">
        <is>
          <t>No</t>
        </is>
      </c>
      <c r="AA501" t="inlineStr">
        <is>
          <t>Filled</t>
        </is>
      </c>
      <c r="AB501" t="inlineStr">
        <is>
          <t>on campus</t>
        </is>
      </c>
      <c r="AC501" t="inlineStr"/>
      <c r="AD501" t="n">
        <v>0</v>
      </c>
      <c r="AE501" t="inlineStr"/>
      <c r="AF501" t="inlineStr"/>
      <c r="AG501" t="inlineStr"/>
      <c r="AH501" t="inlineStr"/>
      <c r="AI501" t="inlineStr">
        <is>
          <t>Yes</t>
        </is>
      </c>
      <c r="AJ501" t="inlineStr"/>
      <c r="AK501" t="inlineStr"/>
      <c r="AL501" t="inlineStr"/>
      <c r="AM501" t="inlineStr"/>
    </row>
    <row r="502">
      <c r="A502" t="inlineStr">
        <is>
          <t>118468F</t>
        </is>
      </c>
      <c r="B502" t="inlineStr">
        <is>
          <t>Master of Education</t>
        </is>
      </c>
      <c r="C502" t="inlineStr">
        <is>
          <t>Masters Degree (Coursework)</t>
        </is>
      </c>
      <c r="D502" t="inlineStr">
        <is>
          <t>Postgraduate coursework</t>
        </is>
      </c>
      <c r="E502" t="inlineStr">
        <is>
          <t>Advertised: official page in place</t>
        </is>
      </c>
      <c r="F502" t="inlineStr">
        <is>
          <t>https://www.sydney.edu.au/courses/courses/pc/master-of-education0.html</t>
        </is>
      </c>
      <c r="G502" t="inlineStr">
        <is>
          <t>https://www.sydney.edu.au/courses/courses/pc/master-of-education0.html</t>
        </is>
      </c>
      <c r="H502" t="inlineStr">
        <is>
          <t>Read</t>
        </is>
      </c>
      <c r="I502" t="inlineStr">
        <is>
          <t>Exact title match</t>
        </is>
      </c>
      <c r="J502" t="inlineStr"/>
      <c r="K502" t="inlineStr">
        <is>
          <t>Not sent to re-link</t>
        </is>
      </c>
      <c r="L502" t="inlineStr">
        <is>
          <t>Filled</t>
        </is>
      </c>
      <c r="M502" t="inlineStr">
        <is>
          <t>Not stated on course page</t>
        </is>
      </c>
      <c r="N502" t="inlineStr"/>
      <c r="O502" t="n">
        <v>0</v>
      </c>
      <c r="P502" t="inlineStr"/>
      <c r="Q502" t="inlineStr">
        <is>
          <t>Filled</t>
        </is>
      </c>
      <c r="R502" t="n">
        <v>6.5</v>
      </c>
      <c r="S502" t="inlineStr">
        <is>
          <t>Central English policy</t>
        </is>
      </c>
      <c r="T502" t="inlineStr">
        <is>
          <t>Central rule applies (value agrees)</t>
        </is>
      </c>
      <c r="U502" t="inlineStr"/>
      <c r="V502" t="inlineStr">
        <is>
          <t>Not stated on course page</t>
        </is>
      </c>
      <c r="W502" t="inlineStr"/>
      <c r="X502" t="inlineStr"/>
      <c r="Y502" t="n">
        <v>0</v>
      </c>
      <c r="Z502" t="inlineStr">
        <is>
          <t>No</t>
        </is>
      </c>
      <c r="AA502" t="inlineStr">
        <is>
          <t>Filled</t>
        </is>
      </c>
      <c r="AB502" t="inlineStr">
        <is>
          <t>on campus</t>
        </is>
      </c>
      <c r="AC502" t="inlineStr"/>
      <c r="AD502" t="n">
        <v>0</v>
      </c>
      <c r="AE502" t="inlineStr"/>
      <c r="AF502" t="inlineStr"/>
      <c r="AG502" t="inlineStr"/>
      <c r="AH502" t="inlineStr"/>
      <c r="AI502" t="inlineStr">
        <is>
          <t>Yes</t>
        </is>
      </c>
      <c r="AJ502" t="inlineStr"/>
      <c r="AK502" t="inlineStr"/>
      <c r="AL502" t="inlineStr"/>
      <c r="AM502" t="inlineStr"/>
    </row>
    <row r="503">
      <c r="A503" t="inlineStr">
        <is>
          <t>054928E</t>
        </is>
      </c>
      <c r="B503" t="inlineStr">
        <is>
          <t>Master of Education (Research)</t>
        </is>
      </c>
      <c r="C503" t="inlineStr">
        <is>
          <t>Masters Degree (Research)</t>
        </is>
      </c>
      <c r="D503" t="inlineStr">
        <is>
          <t>Research degree</t>
        </is>
      </c>
      <c r="E503" t="inlineStr">
        <is>
          <t>Advertised: official page in place</t>
        </is>
      </c>
      <c r="F503" t="inlineStr">
        <is>
          <t>https://www.sydney.edu.au/courses/courses/pr/master-of-education-research0.html</t>
        </is>
      </c>
      <c r="G503" t="inlineStr">
        <is>
          <t>https://www.sydney.edu.au/courses/courses/pr/master-of-education-research0.html</t>
        </is>
      </c>
      <c r="H503" t="inlineStr">
        <is>
          <t>Read</t>
        </is>
      </c>
      <c r="I503" t="inlineStr">
        <is>
          <t>Exact title match</t>
        </is>
      </c>
      <c r="J503" t="inlineStr"/>
      <c r="K503" t="inlineStr">
        <is>
          <t>Not sent to re-link</t>
        </is>
      </c>
      <c r="L503" t="inlineStr">
        <is>
          <t>Filled</t>
        </is>
      </c>
      <c r="M503" t="inlineStr">
        <is>
          <t>Not stated on course page</t>
        </is>
      </c>
      <c r="N503" t="inlineStr"/>
      <c r="O503" t="n">
        <v>0</v>
      </c>
      <c r="P503" t="inlineStr"/>
      <c r="Q503" t="inlineStr">
        <is>
          <t>Filled</t>
        </is>
      </c>
      <c r="R503" t="n">
        <v>6.5</v>
      </c>
      <c r="S503" t="inlineStr">
        <is>
          <t>Central English policy</t>
        </is>
      </c>
      <c r="T503" t="inlineStr">
        <is>
          <t>Central rule applies (value agrees)</t>
        </is>
      </c>
      <c r="U503" t="inlineStr"/>
      <c r="V503" t="inlineStr">
        <is>
          <t>Filled</t>
        </is>
      </c>
      <c r="W503" t="inlineStr">
        <is>
          <t>March, July</t>
        </is>
      </c>
      <c r="X503" t="inlineStr">
        <is>
          <t>Page reader</t>
        </is>
      </c>
      <c r="Y503" t="n">
        <v>0</v>
      </c>
      <c r="Z503" t="inlineStr">
        <is>
          <t>No</t>
        </is>
      </c>
      <c r="AA503" t="inlineStr">
        <is>
          <t>Filled</t>
        </is>
      </c>
      <c r="AB503" t="inlineStr">
        <is>
          <t>on campus</t>
        </is>
      </c>
      <c r="AC503" t="inlineStr"/>
      <c r="AD503" t="n">
        <v>0</v>
      </c>
      <c r="AE503" t="inlineStr"/>
      <c r="AF503" t="inlineStr"/>
      <c r="AG503" t="inlineStr"/>
      <c r="AH503" t="inlineStr"/>
      <c r="AI503" t="inlineStr"/>
      <c r="AJ503" t="inlineStr"/>
      <c r="AK503" t="inlineStr"/>
      <c r="AL503" t="inlineStr"/>
      <c r="AM503" t="inlineStr"/>
    </row>
    <row r="504">
      <c r="A504" t="inlineStr">
        <is>
          <t>105726M</t>
        </is>
      </c>
      <c r="B504" t="inlineStr">
        <is>
          <t>Master of Education (Research)</t>
        </is>
      </c>
      <c r="C504" t="inlineStr">
        <is>
          <t>Masters Degree (Research)</t>
        </is>
      </c>
      <c r="D504" t="inlineStr">
        <is>
          <t>Research degree</t>
        </is>
      </c>
      <c r="E504" t="inlineStr">
        <is>
          <t>Advertised: official page in place</t>
        </is>
      </c>
      <c r="F504" t="inlineStr">
        <is>
          <t>https://www.sydney.edu.au/courses/courses/pr/master-of-education-research0.html</t>
        </is>
      </c>
      <c r="G504" t="inlineStr">
        <is>
          <t>https://www.sydney.edu.au/courses/courses/pr/master-of-education-research0.html</t>
        </is>
      </c>
      <c r="H504" t="inlineStr">
        <is>
          <t>Read</t>
        </is>
      </c>
      <c r="I504" t="inlineStr">
        <is>
          <t>Exact title match</t>
        </is>
      </c>
      <c r="J504" t="inlineStr"/>
      <c r="K504" t="inlineStr">
        <is>
          <t>Not sent to re-link</t>
        </is>
      </c>
      <c r="L504" t="inlineStr">
        <is>
          <t>Filled</t>
        </is>
      </c>
      <c r="M504" t="inlineStr">
        <is>
          <t>Not stated on course page</t>
        </is>
      </c>
      <c r="N504" t="inlineStr"/>
      <c r="O504" t="n">
        <v>0</v>
      </c>
      <c r="P504" t="inlineStr"/>
      <c r="Q504" t="inlineStr">
        <is>
          <t>Filled</t>
        </is>
      </c>
      <c r="R504" t="n">
        <v>6.5</v>
      </c>
      <c r="S504" t="inlineStr">
        <is>
          <t>Central English policy</t>
        </is>
      </c>
      <c r="T504" t="inlineStr">
        <is>
          <t>Central rule applies (value agrees)</t>
        </is>
      </c>
      <c r="U504" t="inlineStr"/>
      <c r="V504" t="inlineStr">
        <is>
          <t>Filled</t>
        </is>
      </c>
      <c r="W504" t="inlineStr">
        <is>
          <t>March, July</t>
        </is>
      </c>
      <c r="X504" t="inlineStr">
        <is>
          <t>Page reader</t>
        </is>
      </c>
      <c r="Y504" t="n">
        <v>0</v>
      </c>
      <c r="Z504" t="inlineStr">
        <is>
          <t>No</t>
        </is>
      </c>
      <c r="AA504" t="inlineStr">
        <is>
          <t>Filled</t>
        </is>
      </c>
      <c r="AB504" t="inlineStr">
        <is>
          <t>on campus</t>
        </is>
      </c>
      <c r="AC504" t="inlineStr"/>
      <c r="AD504" t="n">
        <v>0</v>
      </c>
      <c r="AE504" t="inlineStr"/>
      <c r="AF504" t="inlineStr"/>
      <c r="AG504" t="inlineStr"/>
      <c r="AH504" t="inlineStr"/>
      <c r="AI504" t="inlineStr"/>
      <c r="AJ504" t="inlineStr"/>
      <c r="AK504" t="inlineStr"/>
      <c r="AL504" t="inlineStr"/>
      <c r="AM504" t="inlineStr"/>
    </row>
    <row r="505">
      <c r="A505" t="inlineStr">
        <is>
          <t>118413K</t>
        </is>
      </c>
      <c r="B505" t="inlineStr">
        <is>
          <t>Master of Education (Special and Inclusive Education)</t>
        </is>
      </c>
      <c r="C505" t="inlineStr">
        <is>
          <t>Masters Degree (Coursework)</t>
        </is>
      </c>
      <c r="D505" t="inlineStr">
        <is>
          <t>Postgraduate coursework</t>
        </is>
      </c>
      <c r="E505" t="inlineStr">
        <is>
          <t>Advertised: official page in place</t>
        </is>
      </c>
      <c r="F505" t="inlineStr">
        <is>
          <t>https://www.sydney.edu.au/courses/courses/pc/master-of-education-special-and-inclusive-education1.html</t>
        </is>
      </c>
      <c r="G505" t="inlineStr">
        <is>
          <t>https://www.sydney.edu.au/courses/courses/pc/master-of-education-special-and-inclusive-education1.html</t>
        </is>
      </c>
      <c r="H505" t="inlineStr">
        <is>
          <t>Read</t>
        </is>
      </c>
      <c r="I505" t="inlineStr">
        <is>
          <t>Exact title match</t>
        </is>
      </c>
      <c r="J505" t="inlineStr"/>
      <c r="K505" t="inlineStr">
        <is>
          <t>Not sent to re-link</t>
        </is>
      </c>
      <c r="L505" t="inlineStr">
        <is>
          <t>Filled</t>
        </is>
      </c>
      <c r="M505" t="inlineStr">
        <is>
          <t>Not stated on course page</t>
        </is>
      </c>
      <c r="N505" t="inlineStr"/>
      <c r="O505" t="n">
        <v>0</v>
      </c>
      <c r="P505" t="inlineStr"/>
      <c r="Q505" t="inlineStr">
        <is>
          <t>Filled</t>
        </is>
      </c>
      <c r="R505" t="n">
        <v>6.5</v>
      </c>
      <c r="S505" t="inlineStr">
        <is>
          <t>Central English policy</t>
        </is>
      </c>
      <c r="T505" t="inlineStr">
        <is>
          <t>Central rule applies (value agrees)</t>
        </is>
      </c>
      <c r="U505" t="inlineStr"/>
      <c r="V505" t="inlineStr">
        <is>
          <t>Not stated on course page</t>
        </is>
      </c>
      <c r="W505" t="inlineStr"/>
      <c r="X505" t="inlineStr"/>
      <c r="Y505" t="n">
        <v>0</v>
      </c>
      <c r="Z505" t="inlineStr">
        <is>
          <t>No</t>
        </is>
      </c>
      <c r="AA505" t="inlineStr">
        <is>
          <t>Filled</t>
        </is>
      </c>
      <c r="AB505" t="inlineStr">
        <is>
          <t>on campus</t>
        </is>
      </c>
      <c r="AC505" t="inlineStr"/>
      <c r="AD505" t="n">
        <v>0</v>
      </c>
      <c r="AE505" t="inlineStr"/>
      <c r="AF505" t="inlineStr"/>
      <c r="AG505" t="inlineStr"/>
      <c r="AH505" t="inlineStr"/>
      <c r="AI505" t="inlineStr">
        <is>
          <t>Yes</t>
        </is>
      </c>
      <c r="AJ505" t="inlineStr"/>
      <c r="AK505" t="inlineStr"/>
      <c r="AL505" t="inlineStr"/>
      <c r="AM505" t="inlineStr"/>
    </row>
    <row r="506">
      <c r="A506" t="inlineStr">
        <is>
          <t>068708B</t>
        </is>
      </c>
      <c r="B506" t="inlineStr">
        <is>
          <t>Master of Emergency Nursing</t>
        </is>
      </c>
      <c r="C506" t="inlineStr">
        <is>
          <t>Masters Degree (Coursework)</t>
        </is>
      </c>
      <c r="D506" t="inlineStr">
        <is>
          <t>Postgraduate coursework</t>
        </is>
      </c>
      <c r="E506" t="inlineStr">
        <is>
          <t>Page found, needs a rendered read</t>
        </is>
      </c>
      <c r="F506" t="inlineStr"/>
      <c r="G506" t="inlineStr">
        <is>
          <t>https://www.sydney.edu.au/courses/courses/pc/master-of-emergency-nursing.html</t>
        </is>
      </c>
      <c r="H506" t="inlineStr">
        <is>
          <t>Needs a rendered read</t>
        </is>
      </c>
      <c r="I506" t="inlineStr"/>
      <c r="J506" t="inlineStr"/>
      <c r="K506" t="inlineStr">
        <is>
          <t>Finished, no page: every candidate address was refused by the reader or did not</t>
        </is>
      </c>
      <c r="L506" t="inlineStr">
        <is>
          <t>Page found, being read</t>
        </is>
      </c>
      <c r="M506" t="inlineStr">
        <is>
          <t>Page found, being read</t>
        </is>
      </c>
      <c r="N506" t="inlineStr"/>
      <c r="O506" t="n">
        <v>0</v>
      </c>
      <c r="P506" t="inlineStr"/>
      <c r="Q506" t="inlineStr">
        <is>
          <t>Filled</t>
        </is>
      </c>
      <c r="R506" t="n">
        <v>6.5</v>
      </c>
      <c r="S506" t="inlineStr">
        <is>
          <t>Central English policy</t>
        </is>
      </c>
      <c r="T506" t="inlineStr">
        <is>
          <t>Central rule applies (value agrees)</t>
        </is>
      </c>
      <c r="U506" t="inlineStr"/>
      <c r="V506" t="inlineStr">
        <is>
          <t>Page found, being read</t>
        </is>
      </c>
      <c r="W506" t="inlineStr"/>
      <c r="X506" t="inlineStr"/>
      <c r="Y506" t="n">
        <v>0</v>
      </c>
      <c r="Z506" t="inlineStr">
        <is>
          <t>No</t>
        </is>
      </c>
      <c r="AA506" t="inlineStr">
        <is>
          <t>Not stated on course page</t>
        </is>
      </c>
      <c r="AB506" t="inlineStr"/>
      <c r="AC506" t="inlineStr">
        <is>
          <t>Skipped: no allowed source had a value</t>
        </is>
      </c>
      <c r="AD506" t="n">
        <v>1</v>
      </c>
      <c r="AE506" t="inlineStr">
        <is>
          <t>Yes</t>
        </is>
      </c>
      <c r="AF506" t="inlineStr"/>
      <c r="AG506" t="inlineStr"/>
      <c r="AH506" t="inlineStr"/>
      <c r="AI506" t="inlineStr"/>
      <c r="AJ506" t="inlineStr"/>
      <c r="AK506" t="inlineStr"/>
      <c r="AL506" t="inlineStr"/>
      <c r="AM506" t="inlineStr"/>
    </row>
    <row r="507">
      <c r="A507" t="inlineStr">
        <is>
          <t>077463K</t>
        </is>
      </c>
      <c r="B507" t="inlineStr">
        <is>
          <t>Master of Engineering</t>
        </is>
      </c>
      <c r="C507" t="inlineStr">
        <is>
          <t>Masters Degree (Coursework)</t>
        </is>
      </c>
      <c r="D507" t="inlineStr">
        <is>
          <t>Postgraduate coursework</t>
        </is>
      </c>
      <c r="E507" t="inlineStr">
        <is>
          <t>Advertised: official page in place</t>
        </is>
      </c>
      <c r="F507" t="inlineStr">
        <is>
          <t>https://www.sydney.edu.au/courses/courses/pc/master-of-engineering-civil-engineering0.html</t>
        </is>
      </c>
      <c r="G507" t="inlineStr">
        <is>
          <t>https://www.sydney.edu.au/courses/courses/pc/master-of-engineering-civil-engineering0.html</t>
        </is>
      </c>
      <c r="H507" t="inlineStr">
        <is>
          <t>Read</t>
        </is>
      </c>
      <c r="I507" t="inlineStr">
        <is>
          <t>Exact title match</t>
        </is>
      </c>
      <c r="J507" t="inlineStr"/>
      <c r="K507" t="inlineStr">
        <is>
          <t>Not sent to re-link</t>
        </is>
      </c>
      <c r="L507" t="inlineStr">
        <is>
          <t>Filled</t>
        </is>
      </c>
      <c r="M507" t="inlineStr">
        <is>
          <t>Not stated on course page</t>
        </is>
      </c>
      <c r="N507" t="inlineStr"/>
      <c r="O507" t="n">
        <v>0</v>
      </c>
      <c r="P507" t="inlineStr"/>
      <c r="Q507" t="inlineStr">
        <is>
          <t>Filled</t>
        </is>
      </c>
      <c r="R507" t="n">
        <v>6.5</v>
      </c>
      <c r="S507" t="inlineStr">
        <is>
          <t>Central English policy</t>
        </is>
      </c>
      <c r="T507" t="inlineStr">
        <is>
          <t>Central rule applies (value agrees)</t>
        </is>
      </c>
      <c r="U507" t="inlineStr"/>
      <c r="V507" t="inlineStr">
        <is>
          <t>Not stated on course page</t>
        </is>
      </c>
      <c r="W507" t="inlineStr"/>
      <c r="X507" t="inlineStr"/>
      <c r="Y507" t="n">
        <v>0</v>
      </c>
      <c r="Z507" t="inlineStr">
        <is>
          <t>No</t>
        </is>
      </c>
      <c r="AA507" t="inlineStr">
        <is>
          <t>Filled</t>
        </is>
      </c>
      <c r="AB507" t="inlineStr">
        <is>
          <t>on campus</t>
        </is>
      </c>
      <c r="AC507" t="inlineStr"/>
      <c r="AD507" t="n">
        <v>0</v>
      </c>
      <c r="AE507" t="inlineStr"/>
      <c r="AF507" t="inlineStr"/>
      <c r="AG507" t="inlineStr"/>
      <c r="AH507" t="inlineStr"/>
      <c r="AI507" t="inlineStr">
        <is>
          <t>Yes</t>
        </is>
      </c>
      <c r="AJ507" t="inlineStr"/>
      <c r="AK507" t="inlineStr"/>
      <c r="AL507" t="inlineStr"/>
      <c r="AM507" t="inlineStr"/>
    </row>
    <row r="508">
      <c r="A508" t="inlineStr">
        <is>
          <t>058184G</t>
        </is>
      </c>
      <c r="B508" t="inlineStr">
        <is>
          <t>Master of English Language in Australia</t>
        </is>
      </c>
      <c r="C508" t="inlineStr">
        <is>
          <t>Masters Degree (Coursework)</t>
        </is>
      </c>
      <c r="D508" t="inlineStr">
        <is>
          <t>Postgraduate coursework</t>
        </is>
      </c>
      <c r="E508" t="inlineStr">
        <is>
          <t>Page address no longer works</t>
        </is>
      </c>
      <c r="F508" t="inlineStr"/>
      <c r="G508" t="inlineStr">
        <is>
          <t>https://www.sydney.edu.au/courses/courses/pc/master-of-english-language-in-australia.html</t>
        </is>
      </c>
      <c r="H508" t="inlineStr">
        <is>
          <t>Address no longer works</t>
        </is>
      </c>
      <c r="I508" t="inlineStr"/>
      <c r="J508" t="inlineStr"/>
      <c r="K508" t="inlineStr">
        <is>
          <t>Finished, no page: every candidate address was refused by the reader or did not</t>
        </is>
      </c>
      <c r="L508" t="inlineStr">
        <is>
          <t>Page found, being read</t>
        </is>
      </c>
      <c r="M508" t="inlineStr">
        <is>
          <t>Page found, being read</t>
        </is>
      </c>
      <c r="N508" t="inlineStr"/>
      <c r="O508" t="n">
        <v>0</v>
      </c>
      <c r="P508" t="inlineStr"/>
      <c r="Q508" t="inlineStr">
        <is>
          <t>Filled</t>
        </is>
      </c>
      <c r="R508" t="n">
        <v>6.5</v>
      </c>
      <c r="S508" t="inlineStr">
        <is>
          <t>Central English policy</t>
        </is>
      </c>
      <c r="T508" t="inlineStr">
        <is>
          <t>Central rule applies (value agrees)</t>
        </is>
      </c>
      <c r="U508" t="inlineStr"/>
      <c r="V508" t="inlineStr">
        <is>
          <t>Page found, being read</t>
        </is>
      </c>
      <c r="W508" t="inlineStr"/>
      <c r="X508" t="inlineStr"/>
      <c r="Y508" t="n">
        <v>0</v>
      </c>
      <c r="Z508" t="inlineStr">
        <is>
          <t>No</t>
        </is>
      </c>
      <c r="AA508" t="inlineStr">
        <is>
          <t>Not stated on course page</t>
        </is>
      </c>
      <c r="AB508" t="inlineStr"/>
      <c r="AC508" t="inlineStr">
        <is>
          <t>Skipped: no allowed source had a value</t>
        </is>
      </c>
      <c r="AD508" t="n">
        <v>1</v>
      </c>
      <c r="AE508" t="inlineStr"/>
      <c r="AF508" t="inlineStr"/>
      <c r="AG508" t="inlineStr"/>
      <c r="AH508" t="inlineStr"/>
      <c r="AI508" t="inlineStr"/>
      <c r="AJ508" t="inlineStr"/>
      <c r="AK508" t="inlineStr"/>
      <c r="AL508" t="inlineStr"/>
      <c r="AM508" t="inlineStr"/>
    </row>
    <row r="509">
      <c r="A509" t="inlineStr">
        <is>
          <t>079214M</t>
        </is>
      </c>
      <c r="B509" t="inlineStr">
        <is>
          <t>Master of English Studies</t>
        </is>
      </c>
      <c r="C509" t="inlineStr">
        <is>
          <t>Masters Degree (Coursework)</t>
        </is>
      </c>
      <c r="D509" t="inlineStr">
        <is>
          <t>Postgraduate coursework</t>
        </is>
      </c>
      <c r="E509" t="inlineStr">
        <is>
          <t>Advertised: official page in place</t>
        </is>
      </c>
      <c r="F509" t="inlineStr">
        <is>
          <t>https://www.sydney.edu.au/courses/courses/pc/master-of-english-studies.html</t>
        </is>
      </c>
      <c r="G509" t="inlineStr">
        <is>
          <t>https://www.sydney.edu.au/courses/courses/pc/master-of-english-studies.html</t>
        </is>
      </c>
      <c r="H509" t="inlineStr">
        <is>
          <t>Read</t>
        </is>
      </c>
      <c r="I509" t="inlineStr">
        <is>
          <t>Exact title match</t>
        </is>
      </c>
      <c r="J509" t="inlineStr"/>
      <c r="K509" t="inlineStr">
        <is>
          <t>Not sent to re-link</t>
        </is>
      </c>
      <c r="L509" t="inlineStr">
        <is>
          <t>Filled</t>
        </is>
      </c>
      <c r="M509" t="inlineStr">
        <is>
          <t>Not stated on course page</t>
        </is>
      </c>
      <c r="N509" t="inlineStr"/>
      <c r="O509" t="n">
        <v>0</v>
      </c>
      <c r="P509" t="inlineStr"/>
      <c r="Q509" t="inlineStr">
        <is>
          <t>Filled</t>
        </is>
      </c>
      <c r="R509" t="n">
        <v>6.5</v>
      </c>
      <c r="S509" t="inlineStr">
        <is>
          <t>Central English policy</t>
        </is>
      </c>
      <c r="T509" t="inlineStr">
        <is>
          <t>Central rule applies (value agrees)</t>
        </is>
      </c>
      <c r="U509" t="inlineStr"/>
      <c r="V509" t="inlineStr">
        <is>
          <t>Not stated on course page</t>
        </is>
      </c>
      <c r="W509" t="inlineStr"/>
      <c r="X509" t="inlineStr"/>
      <c r="Y509" t="n">
        <v>0</v>
      </c>
      <c r="Z509" t="inlineStr">
        <is>
          <t>No</t>
        </is>
      </c>
      <c r="AA509" t="inlineStr">
        <is>
          <t>Filled</t>
        </is>
      </c>
      <c r="AB509" t="inlineStr">
        <is>
          <t>on campus</t>
        </is>
      </c>
      <c r="AC509" t="inlineStr"/>
      <c r="AD509" t="n">
        <v>0</v>
      </c>
      <c r="AE509" t="inlineStr"/>
      <c r="AF509" t="inlineStr"/>
      <c r="AG509" t="inlineStr"/>
      <c r="AH509" t="inlineStr"/>
      <c r="AI509" t="inlineStr">
        <is>
          <t>Yes</t>
        </is>
      </c>
      <c r="AJ509" t="inlineStr"/>
      <c r="AK509" t="inlineStr"/>
      <c r="AL509" t="inlineStr"/>
      <c r="AM509" t="inlineStr"/>
    </row>
    <row r="510">
      <c r="A510" t="inlineStr">
        <is>
          <t>016239A</t>
        </is>
      </c>
      <c r="B510" t="inlineStr">
        <is>
          <t>Master of Environmental Law</t>
        </is>
      </c>
      <c r="C510" t="inlineStr">
        <is>
          <t>Masters Degree (Coursework)</t>
        </is>
      </c>
      <c r="D510" t="inlineStr">
        <is>
          <t>Postgraduate coursework</t>
        </is>
      </c>
      <c r="E510" t="inlineStr">
        <is>
          <t>Advertised: official page in place</t>
        </is>
      </c>
      <c r="F510" t="inlineStr">
        <is>
          <t>https://www.sydney.edu.au/courses/courses/pc/master-of-environmental-law.html</t>
        </is>
      </c>
      <c r="G510" t="inlineStr">
        <is>
          <t>https://www.sydney.edu.au/courses/courses/pc/master-of-environmental-law.html</t>
        </is>
      </c>
      <c r="H510" t="inlineStr">
        <is>
          <t>Read</t>
        </is>
      </c>
      <c r="I510" t="inlineStr">
        <is>
          <t>Exact title match</t>
        </is>
      </c>
      <c r="J510" t="inlineStr"/>
      <c r="K510" t="inlineStr">
        <is>
          <t>Not sent to re-link</t>
        </is>
      </c>
      <c r="L510" t="inlineStr">
        <is>
          <t>Filled</t>
        </is>
      </c>
      <c r="M510" t="inlineStr">
        <is>
          <t>Not stated on course page</t>
        </is>
      </c>
      <c r="N510" t="inlineStr"/>
      <c r="O510" t="n">
        <v>0</v>
      </c>
      <c r="P510" t="inlineStr"/>
      <c r="Q510" t="inlineStr">
        <is>
          <t>Filled</t>
        </is>
      </c>
      <c r="R510" t="n">
        <v>6.5</v>
      </c>
      <c r="S510" t="inlineStr">
        <is>
          <t>Central English policy</t>
        </is>
      </c>
      <c r="T510" t="inlineStr">
        <is>
          <t>Central rule applies (value agrees)</t>
        </is>
      </c>
      <c r="U510" t="inlineStr"/>
      <c r="V510" t="inlineStr">
        <is>
          <t>Not stated on course page</t>
        </is>
      </c>
      <c r="W510" t="inlineStr"/>
      <c r="X510" t="inlineStr"/>
      <c r="Y510" t="n">
        <v>0</v>
      </c>
      <c r="Z510" t="inlineStr">
        <is>
          <t>No</t>
        </is>
      </c>
      <c r="AA510" t="inlineStr">
        <is>
          <t>Filled</t>
        </is>
      </c>
      <c r="AB510" t="inlineStr">
        <is>
          <t>on campus</t>
        </is>
      </c>
      <c r="AC510" t="inlineStr"/>
      <c r="AD510" t="n">
        <v>0</v>
      </c>
      <c r="AE510" t="inlineStr"/>
      <c r="AF510" t="inlineStr"/>
      <c r="AG510" t="inlineStr"/>
      <c r="AH510" t="inlineStr"/>
      <c r="AI510" t="inlineStr">
        <is>
          <t>Yes</t>
        </is>
      </c>
      <c r="AJ510" t="inlineStr"/>
      <c r="AK510" t="inlineStr"/>
      <c r="AL510" t="inlineStr"/>
      <c r="AM510" t="inlineStr"/>
    </row>
    <row r="511">
      <c r="A511" t="inlineStr">
        <is>
          <t>082877A</t>
        </is>
      </c>
      <c r="B511" t="inlineStr">
        <is>
          <t>Master of Environmental Science</t>
        </is>
      </c>
      <c r="C511" t="inlineStr">
        <is>
          <t>Masters Degree (Coursework)</t>
        </is>
      </c>
      <c r="D511" t="inlineStr">
        <is>
          <t>Postgraduate coursework</t>
        </is>
      </c>
      <c r="E511" t="inlineStr">
        <is>
          <t>Advertised: official page in place</t>
        </is>
      </c>
      <c r="F511" t="inlineStr">
        <is>
          <t>https://www.sydney.edu.au/courses/courses/pc/master-of-environmental-science0.html</t>
        </is>
      </c>
      <c r="G511" t="inlineStr">
        <is>
          <t>https://www.sydney.edu.au/courses/courses/pc/master-of-environmental-science0.html</t>
        </is>
      </c>
      <c r="H511" t="inlineStr">
        <is>
          <t>Read</t>
        </is>
      </c>
      <c r="I511" t="inlineStr">
        <is>
          <t>Exact title match</t>
        </is>
      </c>
      <c r="J511" t="inlineStr"/>
      <c r="K511" t="inlineStr">
        <is>
          <t>Not sent to re-link</t>
        </is>
      </c>
      <c r="L511" t="inlineStr">
        <is>
          <t>Filled</t>
        </is>
      </c>
      <c r="M511" t="inlineStr">
        <is>
          <t>Not stated on course page</t>
        </is>
      </c>
      <c r="N511" t="inlineStr"/>
      <c r="O511" t="n">
        <v>0</v>
      </c>
      <c r="P511" t="inlineStr"/>
      <c r="Q511" t="inlineStr">
        <is>
          <t>Filled</t>
        </is>
      </c>
      <c r="R511" t="n">
        <v>6.5</v>
      </c>
      <c r="S511" t="inlineStr">
        <is>
          <t>Central English policy</t>
        </is>
      </c>
      <c r="T511" t="inlineStr">
        <is>
          <t>Central rule applies (value agrees)</t>
        </is>
      </c>
      <c r="U511" t="inlineStr"/>
      <c r="V511" t="inlineStr">
        <is>
          <t>Not stated on course page</t>
        </is>
      </c>
      <c r="W511" t="inlineStr"/>
      <c r="X511" t="inlineStr"/>
      <c r="Y511" t="n">
        <v>0</v>
      </c>
      <c r="Z511" t="inlineStr">
        <is>
          <t>No</t>
        </is>
      </c>
      <c r="AA511" t="inlineStr">
        <is>
          <t>Filled</t>
        </is>
      </c>
      <c r="AB511" t="inlineStr">
        <is>
          <t>on campus</t>
        </is>
      </c>
      <c r="AC511" t="inlineStr"/>
      <c r="AD511" t="n">
        <v>0</v>
      </c>
      <c r="AE511" t="inlineStr"/>
      <c r="AF511" t="inlineStr"/>
      <c r="AG511" t="inlineStr"/>
      <c r="AH511" t="inlineStr"/>
      <c r="AI511" t="inlineStr">
        <is>
          <t>Yes</t>
        </is>
      </c>
      <c r="AJ511" t="inlineStr"/>
      <c r="AK511" t="inlineStr"/>
      <c r="AL511" t="inlineStr"/>
      <c r="AM511" t="inlineStr"/>
    </row>
    <row r="512">
      <c r="A512" t="inlineStr">
        <is>
          <t>083651M</t>
        </is>
      </c>
      <c r="B512" t="inlineStr">
        <is>
          <t>Master of Environmental Science and Law</t>
        </is>
      </c>
      <c r="C512" t="inlineStr">
        <is>
          <t>Masters Degree (Coursework)</t>
        </is>
      </c>
      <c r="D512" t="inlineStr">
        <is>
          <t>Postgraduate coursework</t>
        </is>
      </c>
      <c r="E512" t="inlineStr">
        <is>
          <t>Advertised: official page in place</t>
        </is>
      </c>
      <c r="F512" t="inlineStr">
        <is>
          <t>https://www.sydney.edu.au/courses/courses/pc/master-of-environmental-science-and-law0.html</t>
        </is>
      </c>
      <c r="G512" t="inlineStr">
        <is>
          <t>https://www.sydney.edu.au/courses/courses/pc/master-of-environmental-science-and-law0.html</t>
        </is>
      </c>
      <c r="H512" t="inlineStr">
        <is>
          <t>Read</t>
        </is>
      </c>
      <c r="I512" t="inlineStr">
        <is>
          <t>Exact title match</t>
        </is>
      </c>
      <c r="J512" t="inlineStr"/>
      <c r="K512" t="inlineStr">
        <is>
          <t>Not sent to re-link</t>
        </is>
      </c>
      <c r="L512" t="inlineStr">
        <is>
          <t>Filled</t>
        </is>
      </c>
      <c r="M512" t="inlineStr">
        <is>
          <t>Not stated on course page</t>
        </is>
      </c>
      <c r="N512" t="inlineStr"/>
      <c r="O512" t="n">
        <v>0</v>
      </c>
      <c r="P512" t="inlineStr"/>
      <c r="Q512" t="inlineStr">
        <is>
          <t>Filled</t>
        </is>
      </c>
      <c r="R512" t="n">
        <v>6.5</v>
      </c>
      <c r="S512" t="inlineStr">
        <is>
          <t>Central English policy</t>
        </is>
      </c>
      <c r="T512" t="inlineStr">
        <is>
          <t>Central rule applies (value agrees)</t>
        </is>
      </c>
      <c r="U512" t="inlineStr"/>
      <c r="V512" t="inlineStr">
        <is>
          <t>Not stated on course page</t>
        </is>
      </c>
      <c r="W512" t="inlineStr"/>
      <c r="X512" t="inlineStr"/>
      <c r="Y512" t="n">
        <v>0</v>
      </c>
      <c r="Z512" t="inlineStr">
        <is>
          <t>No</t>
        </is>
      </c>
      <c r="AA512" t="inlineStr">
        <is>
          <t>Filled</t>
        </is>
      </c>
      <c r="AB512" t="inlineStr">
        <is>
          <t>on campus</t>
        </is>
      </c>
      <c r="AC512" t="inlineStr"/>
      <c r="AD512" t="n">
        <v>0</v>
      </c>
      <c r="AE512" t="inlineStr"/>
      <c r="AF512" t="inlineStr"/>
      <c r="AG512" t="inlineStr"/>
      <c r="AH512" t="inlineStr"/>
      <c r="AI512" t="inlineStr">
        <is>
          <t>Yes</t>
        </is>
      </c>
      <c r="AJ512" t="inlineStr"/>
      <c r="AK512" t="inlineStr"/>
      <c r="AL512" t="inlineStr"/>
      <c r="AM512" t="inlineStr"/>
    </row>
    <row r="513">
      <c r="A513" t="inlineStr">
        <is>
          <t>0100634</t>
        </is>
      </c>
      <c r="B513" t="inlineStr">
        <is>
          <t>Master of Exercise Physiology</t>
        </is>
      </c>
      <c r="C513" t="inlineStr">
        <is>
          <t>Masters Degree (Coursework)</t>
        </is>
      </c>
      <c r="D513" t="inlineStr">
        <is>
          <t>Postgraduate coursework</t>
        </is>
      </c>
      <c r="E513" t="inlineStr">
        <is>
          <t>Advertised: official page in place</t>
        </is>
      </c>
      <c r="F513" t="inlineStr">
        <is>
          <t>https://www.sydney.edu.au/courses/courses/pc/master-of-exercise-physiology0.html</t>
        </is>
      </c>
      <c r="G513" t="inlineStr">
        <is>
          <t>https://www.sydney.edu.au/courses/courses/pc/master-of-exercise-physiology0.html</t>
        </is>
      </c>
      <c r="H513" t="inlineStr">
        <is>
          <t>Read</t>
        </is>
      </c>
      <c r="I513" t="inlineStr">
        <is>
          <t>Exact title match</t>
        </is>
      </c>
      <c r="J513" t="inlineStr"/>
      <c r="K513" t="inlineStr">
        <is>
          <t>Not sent to re-link</t>
        </is>
      </c>
      <c r="L513" t="inlineStr">
        <is>
          <t>Filled</t>
        </is>
      </c>
      <c r="M513" t="inlineStr">
        <is>
          <t>Not stated on course page</t>
        </is>
      </c>
      <c r="N513" t="inlineStr"/>
      <c r="O513" t="n">
        <v>0</v>
      </c>
      <c r="P513" t="inlineStr"/>
      <c r="Q513" t="inlineStr">
        <is>
          <t>Filled</t>
        </is>
      </c>
      <c r="R513" t="n">
        <v>6.5</v>
      </c>
      <c r="S513" t="inlineStr">
        <is>
          <t>Central English policy</t>
        </is>
      </c>
      <c r="T513" t="inlineStr">
        <is>
          <t>Central rule applies (value agrees)</t>
        </is>
      </c>
      <c r="U513" t="inlineStr"/>
      <c r="V513" t="inlineStr">
        <is>
          <t>Not stated on course page</t>
        </is>
      </c>
      <c r="W513" t="inlineStr"/>
      <c r="X513" t="inlineStr"/>
      <c r="Y513" t="n">
        <v>0</v>
      </c>
      <c r="Z513" t="inlineStr">
        <is>
          <t>No</t>
        </is>
      </c>
      <c r="AA513" t="inlineStr">
        <is>
          <t>Filled</t>
        </is>
      </c>
      <c r="AB513" t="inlineStr">
        <is>
          <t>on campus</t>
        </is>
      </c>
      <c r="AC513" t="inlineStr"/>
      <c r="AD513" t="n">
        <v>0</v>
      </c>
      <c r="AE513" t="inlineStr"/>
      <c r="AF513" t="inlineStr"/>
      <c r="AG513" t="inlineStr"/>
      <c r="AH513" t="inlineStr"/>
      <c r="AI513" t="inlineStr">
        <is>
          <t>Yes</t>
        </is>
      </c>
      <c r="AJ513" t="inlineStr"/>
      <c r="AK513" t="inlineStr"/>
      <c r="AL513" t="inlineStr"/>
      <c r="AM513" t="inlineStr"/>
    </row>
    <row r="514">
      <c r="A514" t="inlineStr">
        <is>
          <t>055520K</t>
        </is>
      </c>
      <c r="B514" t="inlineStr">
        <is>
          <t>Master of Facilities Management</t>
        </is>
      </c>
      <c r="C514" t="inlineStr">
        <is>
          <t>Masters Degree (Coursework)</t>
        </is>
      </c>
      <c r="D514" t="inlineStr">
        <is>
          <t>Postgraduate coursework</t>
        </is>
      </c>
      <c r="E514" t="inlineStr">
        <is>
          <t>Held: page found is for another course</t>
        </is>
      </c>
      <c r="F514" t="inlineStr"/>
      <c r="G514" t="inlineStr">
        <is>
          <t>https://rp-handbooks.sydney.edu.au/handbooks/archive/2014/architecture/postgraduate/coursework/facilities_management.shtml.html</t>
        </is>
      </c>
      <c r="H514" t="inlineStr">
        <is>
          <t>Not a course page</t>
        </is>
      </c>
      <c r="I514" t="inlineStr"/>
      <c r="J514" t="inlineStr"/>
      <c r="K514" t="inlineStr">
        <is>
          <t>Not sent to re-link</t>
        </is>
      </c>
      <c r="L514" t="inlineStr">
        <is>
          <t>Not stated on course page</t>
        </is>
      </c>
      <c r="M514" t="inlineStr">
        <is>
          <t>Not stated on course page</t>
        </is>
      </c>
      <c r="N514" t="inlineStr"/>
      <c r="O514" t="n">
        <v>0</v>
      </c>
      <c r="P514" t="inlineStr"/>
      <c r="Q514" t="inlineStr">
        <is>
          <t>Filled</t>
        </is>
      </c>
      <c r="R514" t="n">
        <v>6.5</v>
      </c>
      <c r="S514" t="inlineStr">
        <is>
          <t>Central English policy</t>
        </is>
      </c>
      <c r="T514" t="inlineStr">
        <is>
          <t>Central rule applies (value agrees)</t>
        </is>
      </c>
      <c r="U514" t="inlineStr"/>
      <c r="V514" t="inlineStr">
        <is>
          <t>Not stated on course page</t>
        </is>
      </c>
      <c r="W514" t="inlineStr"/>
      <c r="X514" t="inlineStr"/>
      <c r="Y514" t="n">
        <v>0</v>
      </c>
      <c r="Z514" t="inlineStr">
        <is>
          <t>No</t>
        </is>
      </c>
      <c r="AA514" t="inlineStr">
        <is>
          <t>Not stated on course page</t>
        </is>
      </c>
      <c r="AB514" t="inlineStr"/>
      <c r="AC514" t="inlineStr">
        <is>
          <t>Skipped: the page does not state it</t>
        </is>
      </c>
      <c r="AD514" t="n">
        <v>0</v>
      </c>
      <c r="AE514" t="inlineStr"/>
      <c r="AF514" t="inlineStr"/>
      <c r="AG514" t="inlineStr"/>
      <c r="AH514" t="inlineStr"/>
      <c r="AI514" t="inlineStr"/>
      <c r="AJ514" t="inlineStr"/>
      <c r="AK514" t="inlineStr"/>
      <c r="AL514" t="inlineStr"/>
      <c r="AM514" t="inlineStr"/>
    </row>
    <row r="515">
      <c r="A515" t="inlineStr">
        <is>
          <t>112627M</t>
        </is>
      </c>
      <c r="B515" t="inlineStr">
        <is>
          <t>Master of Film and Screen Arts</t>
        </is>
      </c>
      <c r="C515" t="inlineStr">
        <is>
          <t>Masters Degree (Coursework)</t>
        </is>
      </c>
      <c r="D515" t="inlineStr">
        <is>
          <t>Postgraduate coursework</t>
        </is>
      </c>
      <c r="E515" t="inlineStr">
        <is>
          <t>Advertised: official page in place</t>
        </is>
      </c>
      <c r="F515" t="inlineStr">
        <is>
          <t>https://www.sydney.edu.au/courses/courses/pc/master-of-film-and-screen-arts.html</t>
        </is>
      </c>
      <c r="G515" t="inlineStr">
        <is>
          <t>https://www.sydney.edu.au/courses/courses/pc/master-of-film-and-screen-arts.html</t>
        </is>
      </c>
      <c r="H515" t="inlineStr">
        <is>
          <t>Read</t>
        </is>
      </c>
      <c r="I515" t="inlineStr">
        <is>
          <t>Exact title match</t>
        </is>
      </c>
      <c r="J515" t="inlineStr"/>
      <c r="K515" t="inlineStr">
        <is>
          <t>Not sent to re-link</t>
        </is>
      </c>
      <c r="L515" t="inlineStr">
        <is>
          <t>Filled</t>
        </is>
      </c>
      <c r="M515" t="inlineStr">
        <is>
          <t>Not stated on course page</t>
        </is>
      </c>
      <c r="N515" t="inlineStr"/>
      <c r="O515" t="n">
        <v>0</v>
      </c>
      <c r="P515" t="inlineStr"/>
      <c r="Q515" t="inlineStr">
        <is>
          <t>Filled</t>
        </is>
      </c>
      <c r="R515" t="n">
        <v>6.5</v>
      </c>
      <c r="S515" t="inlineStr">
        <is>
          <t>Central English policy</t>
        </is>
      </c>
      <c r="T515" t="inlineStr">
        <is>
          <t>Central rule applies (value agrees)</t>
        </is>
      </c>
      <c r="U515" t="inlineStr"/>
      <c r="V515" t="inlineStr">
        <is>
          <t>Not stated on course page</t>
        </is>
      </c>
      <c r="W515" t="inlineStr"/>
      <c r="X515" t="inlineStr"/>
      <c r="Y515" t="n">
        <v>0</v>
      </c>
      <c r="Z515" t="inlineStr">
        <is>
          <t>No</t>
        </is>
      </c>
      <c r="AA515" t="inlineStr">
        <is>
          <t>Filled</t>
        </is>
      </c>
      <c r="AB515" t="inlineStr">
        <is>
          <t>on campus</t>
        </is>
      </c>
      <c r="AC515" t="inlineStr"/>
      <c r="AD515" t="n">
        <v>0</v>
      </c>
      <c r="AE515" t="inlineStr"/>
      <c r="AF515" t="inlineStr"/>
      <c r="AG515" t="inlineStr"/>
      <c r="AH515" t="inlineStr"/>
      <c r="AI515" t="inlineStr">
        <is>
          <t>Yes</t>
        </is>
      </c>
      <c r="AJ515" t="inlineStr"/>
      <c r="AK515" t="inlineStr"/>
      <c r="AL515" t="inlineStr"/>
      <c r="AM515" t="inlineStr"/>
    </row>
    <row r="516">
      <c r="A516" t="inlineStr">
        <is>
          <t>068924E</t>
        </is>
      </c>
      <c r="B516" t="inlineStr">
        <is>
          <t>Master of Fine Arts</t>
        </is>
      </c>
      <c r="C516" t="inlineStr">
        <is>
          <t>Masters Degree (Research)</t>
        </is>
      </c>
      <c r="D516" t="inlineStr">
        <is>
          <t>Research degree</t>
        </is>
      </c>
      <c r="E516" t="inlineStr">
        <is>
          <t>Advertised: official page in place</t>
        </is>
      </c>
      <c r="F516" t="inlineStr">
        <is>
          <t>https://www.sydney.edu.au/courses/courses/pr/master-of-fine-arts0.html</t>
        </is>
      </c>
      <c r="G516" t="inlineStr">
        <is>
          <t>https://www.sydney.edu.au/courses/courses/pr/master-of-fine-arts0.html</t>
        </is>
      </c>
      <c r="H516" t="inlineStr">
        <is>
          <t>Read</t>
        </is>
      </c>
      <c r="I516" t="inlineStr">
        <is>
          <t>Exact title match</t>
        </is>
      </c>
      <c r="J516" t="inlineStr"/>
      <c r="K516" t="inlineStr">
        <is>
          <t>Not sent to re-link</t>
        </is>
      </c>
      <c r="L516" t="inlineStr">
        <is>
          <t>Filled</t>
        </is>
      </c>
      <c r="M516" t="inlineStr">
        <is>
          <t>Not stated on course page</t>
        </is>
      </c>
      <c r="N516" t="inlineStr"/>
      <c r="O516" t="n">
        <v>0</v>
      </c>
      <c r="P516" t="inlineStr"/>
      <c r="Q516" t="inlineStr">
        <is>
          <t>Filled</t>
        </is>
      </c>
      <c r="R516" t="n">
        <v>6.5</v>
      </c>
      <c r="S516" t="inlineStr">
        <is>
          <t>Central English policy</t>
        </is>
      </c>
      <c r="T516" t="inlineStr">
        <is>
          <t>Central rule applies (value agrees)</t>
        </is>
      </c>
      <c r="U516" t="inlineStr"/>
      <c r="V516" t="inlineStr">
        <is>
          <t>Filled</t>
        </is>
      </c>
      <c r="W516" t="inlineStr">
        <is>
          <t>March, July</t>
        </is>
      </c>
      <c r="X516" t="inlineStr">
        <is>
          <t>Page reader</t>
        </is>
      </c>
      <c r="Y516" t="n">
        <v>0</v>
      </c>
      <c r="Z516" t="inlineStr">
        <is>
          <t>No</t>
        </is>
      </c>
      <c r="AA516" t="inlineStr">
        <is>
          <t>Filled</t>
        </is>
      </c>
      <c r="AB516" t="inlineStr">
        <is>
          <t>on campus</t>
        </is>
      </c>
      <c r="AC516" t="inlineStr"/>
      <c r="AD516" t="n">
        <v>0</v>
      </c>
      <c r="AE516" t="inlineStr"/>
      <c r="AF516" t="inlineStr"/>
      <c r="AG516" t="inlineStr"/>
      <c r="AH516" t="inlineStr"/>
      <c r="AI516" t="inlineStr"/>
      <c r="AJ516" t="inlineStr"/>
      <c r="AK516" t="inlineStr"/>
      <c r="AL516" t="inlineStr"/>
      <c r="AM516" t="inlineStr"/>
    </row>
    <row r="517">
      <c r="A517" t="inlineStr">
        <is>
          <t>097038F</t>
        </is>
      </c>
      <c r="B517" t="inlineStr">
        <is>
          <t>Master of Global Health</t>
        </is>
      </c>
      <c r="C517" t="inlineStr">
        <is>
          <t>Masters Degree (Coursework)</t>
        </is>
      </c>
      <c r="D517" t="inlineStr">
        <is>
          <t>Postgraduate coursework</t>
        </is>
      </c>
      <c r="E517" t="inlineStr">
        <is>
          <t>Advertised: official page in place</t>
        </is>
      </c>
      <c r="F517" t="inlineStr">
        <is>
          <t>https://www.sydney.edu.au/courses/courses/pc/master-of-global-health.html</t>
        </is>
      </c>
      <c r="G517" t="inlineStr">
        <is>
          <t>https://www.sydney.edu.au/courses/courses/pc/master-of-global-health.html</t>
        </is>
      </c>
      <c r="H517" t="inlineStr">
        <is>
          <t>Read</t>
        </is>
      </c>
      <c r="I517" t="inlineStr">
        <is>
          <t>Exact title match</t>
        </is>
      </c>
      <c r="J517" t="inlineStr"/>
      <c r="K517" t="inlineStr">
        <is>
          <t>Not sent to re-link</t>
        </is>
      </c>
      <c r="L517" t="inlineStr">
        <is>
          <t>Filled</t>
        </is>
      </c>
      <c r="M517" t="inlineStr">
        <is>
          <t>Not stated on course page</t>
        </is>
      </c>
      <c r="N517" t="inlineStr"/>
      <c r="O517" t="n">
        <v>0</v>
      </c>
      <c r="P517" t="inlineStr"/>
      <c r="Q517" t="inlineStr">
        <is>
          <t>Filled</t>
        </is>
      </c>
      <c r="R517" t="n">
        <v>6.5</v>
      </c>
      <c r="S517" t="inlineStr">
        <is>
          <t>Central English policy</t>
        </is>
      </c>
      <c r="T517" t="inlineStr">
        <is>
          <t>Central rule applies (value agrees)</t>
        </is>
      </c>
      <c r="U517" t="inlineStr"/>
      <c r="V517" t="inlineStr">
        <is>
          <t>Not stated on course page</t>
        </is>
      </c>
      <c r="W517" t="inlineStr"/>
      <c r="X517" t="inlineStr"/>
      <c r="Y517" t="n">
        <v>0</v>
      </c>
      <c r="Z517" t="inlineStr">
        <is>
          <t>No</t>
        </is>
      </c>
      <c r="AA517" t="inlineStr">
        <is>
          <t>Filled</t>
        </is>
      </c>
      <c r="AB517" t="inlineStr">
        <is>
          <t>on campus</t>
        </is>
      </c>
      <c r="AC517" t="inlineStr"/>
      <c r="AD517" t="n">
        <v>0</v>
      </c>
      <c r="AE517" t="inlineStr"/>
      <c r="AF517" t="inlineStr"/>
      <c r="AG517" t="inlineStr"/>
      <c r="AH517" t="inlineStr"/>
      <c r="AI517" t="inlineStr">
        <is>
          <t>Yes</t>
        </is>
      </c>
      <c r="AJ517" t="inlineStr"/>
      <c r="AK517" t="inlineStr"/>
      <c r="AL517" t="inlineStr"/>
      <c r="AM517" t="inlineStr"/>
    </row>
    <row r="518">
      <c r="A518" t="inlineStr">
        <is>
          <t>063948D</t>
        </is>
      </c>
      <c r="B518" t="inlineStr">
        <is>
          <t>Master of Health Communication</t>
        </is>
      </c>
      <c r="C518" t="inlineStr">
        <is>
          <t>Masters Degree (Coursework)</t>
        </is>
      </c>
      <c r="D518" t="inlineStr">
        <is>
          <t>Postgraduate coursework</t>
        </is>
      </c>
      <c r="E518" t="inlineStr">
        <is>
          <t>Page found, needs a rendered read</t>
        </is>
      </c>
      <c r="F518" t="inlineStr"/>
      <c r="G518" t="inlineStr">
        <is>
          <t>https://www.sydney.edu.au/courses/courses/pc/master-of-health-communication.html</t>
        </is>
      </c>
      <c r="H518" t="inlineStr">
        <is>
          <t>Needs a rendered read</t>
        </is>
      </c>
      <c r="I518" t="inlineStr"/>
      <c r="J518" t="inlineStr"/>
      <c r="K518" t="inlineStr">
        <is>
          <t>Finished, no page: every candidate address was refused by the reader or did not</t>
        </is>
      </c>
      <c r="L518" t="inlineStr">
        <is>
          <t>Page found, being read</t>
        </is>
      </c>
      <c r="M518" t="inlineStr">
        <is>
          <t>Page found, being read</t>
        </is>
      </c>
      <c r="N518" t="inlineStr"/>
      <c r="O518" t="n">
        <v>0</v>
      </c>
      <c r="P518" t="inlineStr"/>
      <c r="Q518" t="inlineStr">
        <is>
          <t>Filled</t>
        </is>
      </c>
      <c r="R518" t="n">
        <v>6.5</v>
      </c>
      <c r="S518" t="inlineStr">
        <is>
          <t>Central English policy</t>
        </is>
      </c>
      <c r="T518" t="inlineStr">
        <is>
          <t>Central rule applies (value agrees)</t>
        </is>
      </c>
      <c r="U518" t="inlineStr"/>
      <c r="V518" t="inlineStr">
        <is>
          <t>Page found, being read</t>
        </is>
      </c>
      <c r="W518" t="inlineStr"/>
      <c r="X518" t="inlineStr"/>
      <c r="Y518" t="n">
        <v>0</v>
      </c>
      <c r="Z518" t="inlineStr">
        <is>
          <t>No</t>
        </is>
      </c>
      <c r="AA518" t="inlineStr">
        <is>
          <t>Not stated on course page</t>
        </is>
      </c>
      <c r="AB518" t="inlineStr"/>
      <c r="AC518" t="inlineStr">
        <is>
          <t>Skipped: no allowed source had a value</t>
        </is>
      </c>
      <c r="AD518" t="n">
        <v>1</v>
      </c>
      <c r="AE518" t="inlineStr">
        <is>
          <t>Yes</t>
        </is>
      </c>
      <c r="AF518" t="inlineStr"/>
      <c r="AG518" t="inlineStr"/>
      <c r="AH518" t="inlineStr"/>
      <c r="AI518" t="inlineStr"/>
      <c r="AJ518" t="inlineStr"/>
      <c r="AK518" t="inlineStr"/>
      <c r="AL518" t="inlineStr"/>
      <c r="AM518" t="inlineStr"/>
    </row>
    <row r="519">
      <c r="A519" t="inlineStr">
        <is>
          <t>079641C</t>
        </is>
      </c>
      <c r="B519" t="inlineStr">
        <is>
          <t>Master of Health Communication</t>
        </is>
      </c>
      <c r="C519" t="inlineStr">
        <is>
          <t>Masters Degree (Coursework)</t>
        </is>
      </c>
      <c r="D519" t="inlineStr">
        <is>
          <t>Postgraduate coursework</t>
        </is>
      </c>
      <c r="E519" t="inlineStr">
        <is>
          <t>Page found, needs a rendered read</t>
        </is>
      </c>
      <c r="F519" t="inlineStr"/>
      <c r="G519" t="inlineStr">
        <is>
          <t>https://www.sydney.edu.au/courses/courses/pc/master-of-health-communication.html</t>
        </is>
      </c>
      <c r="H519" t="inlineStr">
        <is>
          <t>Needs a rendered read</t>
        </is>
      </c>
      <c r="I519" t="inlineStr"/>
      <c r="J519" t="inlineStr"/>
      <c r="K519" t="inlineStr">
        <is>
          <t>Finished, no page: every candidate address was refused by the reader or did not</t>
        </is>
      </c>
      <c r="L519" t="inlineStr">
        <is>
          <t>Page found, being read</t>
        </is>
      </c>
      <c r="M519" t="inlineStr">
        <is>
          <t>Page found, being read</t>
        </is>
      </c>
      <c r="N519" t="inlineStr"/>
      <c r="O519" t="n">
        <v>0</v>
      </c>
      <c r="P519" t="inlineStr"/>
      <c r="Q519" t="inlineStr">
        <is>
          <t>Filled</t>
        </is>
      </c>
      <c r="R519" t="n">
        <v>6.5</v>
      </c>
      <c r="S519" t="inlineStr">
        <is>
          <t>Central English policy</t>
        </is>
      </c>
      <c r="T519" t="inlineStr">
        <is>
          <t>Central rule applies (value agrees)</t>
        </is>
      </c>
      <c r="U519" t="inlineStr"/>
      <c r="V519" t="inlineStr">
        <is>
          <t>Page found, being read</t>
        </is>
      </c>
      <c r="W519" t="inlineStr"/>
      <c r="X519" t="inlineStr"/>
      <c r="Y519" t="n">
        <v>0</v>
      </c>
      <c r="Z519" t="inlineStr">
        <is>
          <t>No</t>
        </is>
      </c>
      <c r="AA519" t="inlineStr">
        <is>
          <t>Not stated on course page</t>
        </is>
      </c>
      <c r="AB519" t="inlineStr"/>
      <c r="AC519" t="inlineStr">
        <is>
          <t>Skipped: no allowed source had a value</t>
        </is>
      </c>
      <c r="AD519" t="n">
        <v>1</v>
      </c>
      <c r="AE519" t="inlineStr">
        <is>
          <t>Yes</t>
        </is>
      </c>
      <c r="AF519" t="inlineStr"/>
      <c r="AG519" t="inlineStr"/>
      <c r="AH519" t="inlineStr"/>
      <c r="AI519" t="inlineStr"/>
      <c r="AJ519" t="inlineStr"/>
      <c r="AK519" t="inlineStr"/>
      <c r="AL519" t="inlineStr"/>
      <c r="AM519" t="inlineStr"/>
    </row>
    <row r="520">
      <c r="A520" t="inlineStr">
        <is>
          <t>031432G</t>
        </is>
      </c>
      <c r="B520" t="inlineStr">
        <is>
          <t>Master of Health Law</t>
        </is>
      </c>
      <c r="C520" t="inlineStr">
        <is>
          <t>Masters Degree (Coursework)</t>
        </is>
      </c>
      <c r="D520" t="inlineStr">
        <is>
          <t>Postgraduate coursework</t>
        </is>
      </c>
      <c r="E520" t="inlineStr">
        <is>
          <t>Advertised: official page in place</t>
        </is>
      </c>
      <c r="F520" t="inlineStr">
        <is>
          <t>https://www.sydney.edu.au/courses/courses/pc/master-of-health-law.html</t>
        </is>
      </c>
      <c r="G520" t="inlineStr">
        <is>
          <t>https://www.sydney.edu.au/courses/courses/pc/master-of-health-law.html</t>
        </is>
      </c>
      <c r="H520" t="inlineStr">
        <is>
          <t>Read</t>
        </is>
      </c>
      <c r="I520" t="inlineStr">
        <is>
          <t>Exact title match</t>
        </is>
      </c>
      <c r="J520" t="inlineStr"/>
      <c r="K520" t="inlineStr">
        <is>
          <t>Not sent to re-link</t>
        </is>
      </c>
      <c r="L520" t="inlineStr">
        <is>
          <t>Filled</t>
        </is>
      </c>
      <c r="M520" t="inlineStr">
        <is>
          <t>Not stated on course page</t>
        </is>
      </c>
      <c r="N520" t="inlineStr"/>
      <c r="O520" t="n">
        <v>0</v>
      </c>
      <c r="P520" t="inlineStr"/>
      <c r="Q520" t="inlineStr">
        <is>
          <t>Filled</t>
        </is>
      </c>
      <c r="R520" t="n">
        <v>6.5</v>
      </c>
      <c r="S520" t="inlineStr">
        <is>
          <t>Central English policy</t>
        </is>
      </c>
      <c r="T520" t="inlineStr">
        <is>
          <t>Central rule applies (value agrees)</t>
        </is>
      </c>
      <c r="U520" t="inlineStr"/>
      <c r="V520" t="inlineStr">
        <is>
          <t>Not stated on course page</t>
        </is>
      </c>
      <c r="W520" t="inlineStr"/>
      <c r="X520" t="inlineStr"/>
      <c r="Y520" t="n">
        <v>0</v>
      </c>
      <c r="Z520" t="inlineStr">
        <is>
          <t>No</t>
        </is>
      </c>
      <c r="AA520" t="inlineStr">
        <is>
          <t>Filled</t>
        </is>
      </c>
      <c r="AB520" t="inlineStr">
        <is>
          <t>on campus</t>
        </is>
      </c>
      <c r="AC520" t="inlineStr"/>
      <c r="AD520" t="n">
        <v>0</v>
      </c>
      <c r="AE520" t="inlineStr"/>
      <c r="AF520" t="inlineStr"/>
      <c r="AG520" t="inlineStr"/>
      <c r="AH520" t="inlineStr"/>
      <c r="AI520" t="inlineStr">
        <is>
          <t>Yes</t>
        </is>
      </c>
      <c r="AJ520" t="inlineStr"/>
      <c r="AK520" t="inlineStr"/>
      <c r="AL520" t="inlineStr"/>
      <c r="AM520" t="inlineStr"/>
    </row>
    <row r="521">
      <c r="A521" t="inlineStr">
        <is>
          <t>053869G</t>
        </is>
      </c>
      <c r="B521" t="inlineStr">
        <is>
          <t>Master of Health Policy and Planning</t>
        </is>
      </c>
      <c r="C521" t="inlineStr">
        <is>
          <t>Masters Degree (Coursework)</t>
        </is>
      </c>
      <c r="D521" t="inlineStr">
        <is>
          <t>Postgraduate coursework</t>
        </is>
      </c>
      <c r="E521" t="inlineStr">
        <is>
          <t>Advertised: official page in place</t>
        </is>
      </c>
      <c r="F521" t="inlineStr">
        <is>
          <t>https://www.sydney.edu.au/courses/courses/pc/master-of-health-policy-and-planning.html</t>
        </is>
      </c>
      <c r="G521" t="inlineStr">
        <is>
          <t>https://www.sydney.edu.au/courses/courses/pc/master-of-health-policy-and-planning.html</t>
        </is>
      </c>
      <c r="H521" t="inlineStr">
        <is>
          <t>Read</t>
        </is>
      </c>
      <c r="I521" t="inlineStr">
        <is>
          <t>Exact title match</t>
        </is>
      </c>
      <c r="J521" t="inlineStr"/>
      <c r="K521" t="inlineStr">
        <is>
          <t>Not sent to re-link</t>
        </is>
      </c>
      <c r="L521" t="inlineStr">
        <is>
          <t>Filled</t>
        </is>
      </c>
      <c r="M521" t="inlineStr">
        <is>
          <t>Not stated on course page</t>
        </is>
      </c>
      <c r="N521" t="inlineStr"/>
      <c r="O521" t="n">
        <v>0</v>
      </c>
      <c r="P521" t="inlineStr"/>
      <c r="Q521" t="inlineStr">
        <is>
          <t>Filled</t>
        </is>
      </c>
      <c r="R521" t="n">
        <v>6.5</v>
      </c>
      <c r="S521" t="inlineStr">
        <is>
          <t>Central English policy</t>
        </is>
      </c>
      <c r="T521" t="inlineStr">
        <is>
          <t>Central rule applies (value agrees)</t>
        </is>
      </c>
      <c r="U521" t="inlineStr"/>
      <c r="V521" t="inlineStr">
        <is>
          <t>Not stated on course page</t>
        </is>
      </c>
      <c r="W521" t="inlineStr"/>
      <c r="X521" t="inlineStr"/>
      <c r="Y521" t="n">
        <v>0</v>
      </c>
      <c r="Z521" t="inlineStr">
        <is>
          <t>No</t>
        </is>
      </c>
      <c r="AA521" t="inlineStr">
        <is>
          <t>Filled</t>
        </is>
      </c>
      <c r="AB521" t="inlineStr">
        <is>
          <t>blended</t>
        </is>
      </c>
      <c r="AC521" t="inlineStr"/>
      <c r="AD521" t="n">
        <v>0</v>
      </c>
      <c r="AE521" t="inlineStr"/>
      <c r="AF521" t="inlineStr"/>
      <c r="AG521" t="inlineStr"/>
      <c r="AH521" t="inlineStr"/>
      <c r="AI521" t="inlineStr">
        <is>
          <t>Yes</t>
        </is>
      </c>
      <c r="AJ521" t="inlineStr"/>
      <c r="AK521" t="inlineStr"/>
      <c r="AL521" t="inlineStr"/>
      <c r="AM521" t="inlineStr"/>
    </row>
    <row r="522">
      <c r="A522" t="inlineStr">
        <is>
          <t>085862F</t>
        </is>
      </c>
      <c r="B522" t="inlineStr">
        <is>
          <t>Master of Health Security</t>
        </is>
      </c>
      <c r="C522" t="inlineStr">
        <is>
          <t>Masters Degree (Coursework)</t>
        </is>
      </c>
      <c r="D522" t="inlineStr">
        <is>
          <t>Postgraduate coursework</t>
        </is>
      </c>
      <c r="E522" t="inlineStr">
        <is>
          <t>Page found, needs a rendered read</t>
        </is>
      </c>
      <c r="F522" t="inlineStr"/>
      <c r="G522" t="inlineStr">
        <is>
          <t>https://www.sydney.edu.au/courses/courses/pc/master-of-health-security.html</t>
        </is>
      </c>
      <c r="H522" t="inlineStr">
        <is>
          <t>Needs a rendered read</t>
        </is>
      </c>
      <c r="I522" t="inlineStr"/>
      <c r="J522" t="inlineStr"/>
      <c r="K522" t="inlineStr">
        <is>
          <t>Finished, no page: every candidate address was refused by the reader or did not</t>
        </is>
      </c>
      <c r="L522" t="inlineStr">
        <is>
          <t>Page found, being read</t>
        </is>
      </c>
      <c r="M522" t="inlineStr">
        <is>
          <t>Page found, being read</t>
        </is>
      </c>
      <c r="N522" t="inlineStr"/>
      <c r="O522" t="n">
        <v>0</v>
      </c>
      <c r="P522" t="inlineStr"/>
      <c r="Q522" t="inlineStr">
        <is>
          <t>Filled</t>
        </is>
      </c>
      <c r="R522" t="n">
        <v>6.5</v>
      </c>
      <c r="S522" t="inlineStr">
        <is>
          <t>Central English policy</t>
        </is>
      </c>
      <c r="T522" t="inlineStr">
        <is>
          <t>Central rule applies (value agrees)</t>
        </is>
      </c>
      <c r="U522" t="inlineStr"/>
      <c r="V522" t="inlineStr">
        <is>
          <t>Page found, being read</t>
        </is>
      </c>
      <c r="W522" t="inlineStr"/>
      <c r="X522" t="inlineStr"/>
      <c r="Y522" t="n">
        <v>0</v>
      </c>
      <c r="Z522" t="inlineStr">
        <is>
          <t>No</t>
        </is>
      </c>
      <c r="AA522" t="inlineStr">
        <is>
          <t>Not stated on course page</t>
        </is>
      </c>
      <c r="AB522" t="inlineStr"/>
      <c r="AC522" t="inlineStr">
        <is>
          <t>Skipped: the quote is not on the page</t>
        </is>
      </c>
      <c r="AD522" t="n">
        <v>0</v>
      </c>
      <c r="AE522" t="inlineStr">
        <is>
          <t>Yes</t>
        </is>
      </c>
      <c r="AF522" t="inlineStr"/>
      <c r="AG522" t="inlineStr"/>
      <c r="AH522" t="inlineStr"/>
      <c r="AI522" t="inlineStr"/>
      <c r="AJ522" t="inlineStr"/>
      <c r="AK522" t="inlineStr">
        <is>
          <t>Yes</t>
        </is>
      </c>
      <c r="AL522" t="inlineStr"/>
      <c r="AM522" t="inlineStr"/>
    </row>
    <row r="523">
      <c r="A523" t="inlineStr">
        <is>
          <t>0100132</t>
        </is>
      </c>
      <c r="B523" t="inlineStr">
        <is>
          <t>Master of Health Studies</t>
        </is>
      </c>
      <c r="C523" t="inlineStr">
        <is>
          <t>Masters Degree (Coursework)</t>
        </is>
      </c>
      <c r="D523" t="inlineStr">
        <is>
          <t>Postgraduate coursework</t>
        </is>
      </c>
      <c r="E523" t="inlineStr">
        <is>
          <t>Page address no longer works</t>
        </is>
      </c>
      <c r="F523" t="inlineStr"/>
      <c r="G523" t="inlineStr">
        <is>
          <t>https://www.sydney.edu.au/courses/courses/pc/master-of-health-studies.html</t>
        </is>
      </c>
      <c r="H523" t="inlineStr">
        <is>
          <t>Address no longer works</t>
        </is>
      </c>
      <c r="I523" t="inlineStr"/>
      <c r="J523" t="inlineStr"/>
      <c r="K523" t="inlineStr">
        <is>
          <t>Finished, no page: every candidate address was refused by the reader or did not</t>
        </is>
      </c>
      <c r="L523" t="inlineStr">
        <is>
          <t>Page found, being read</t>
        </is>
      </c>
      <c r="M523" t="inlineStr">
        <is>
          <t>Page found, being read</t>
        </is>
      </c>
      <c r="N523" t="inlineStr"/>
      <c r="O523" t="n">
        <v>0</v>
      </c>
      <c r="P523" t="inlineStr"/>
      <c r="Q523" t="inlineStr">
        <is>
          <t>Filled</t>
        </is>
      </c>
      <c r="R523" t="n">
        <v>6.5</v>
      </c>
      <c r="S523" t="inlineStr">
        <is>
          <t>Central English policy</t>
        </is>
      </c>
      <c r="T523" t="inlineStr">
        <is>
          <t>Central rule applies (value agrees)</t>
        </is>
      </c>
      <c r="U523" t="inlineStr"/>
      <c r="V523" t="inlineStr">
        <is>
          <t>Page found, being read</t>
        </is>
      </c>
      <c r="W523" t="inlineStr"/>
      <c r="X523" t="inlineStr"/>
      <c r="Y523" t="n">
        <v>0</v>
      </c>
      <c r="Z523" t="inlineStr">
        <is>
          <t>No</t>
        </is>
      </c>
      <c r="AA523" t="inlineStr">
        <is>
          <t>Not stated on course page</t>
        </is>
      </c>
      <c r="AB523" t="inlineStr"/>
      <c r="AC523" t="inlineStr">
        <is>
          <t>Skipped: no allowed source had a value</t>
        </is>
      </c>
      <c r="AD523" t="n">
        <v>1</v>
      </c>
      <c r="AE523" t="inlineStr"/>
      <c r="AF523" t="inlineStr"/>
      <c r="AG523" t="inlineStr"/>
      <c r="AH523" t="inlineStr"/>
      <c r="AI523" t="inlineStr"/>
      <c r="AJ523" t="inlineStr"/>
      <c r="AK523" t="inlineStr"/>
      <c r="AL523" t="inlineStr"/>
      <c r="AM523" t="inlineStr"/>
    </row>
    <row r="524">
      <c r="A524" t="inlineStr">
        <is>
          <t>083976A</t>
        </is>
      </c>
      <c r="B524" t="inlineStr">
        <is>
          <t>Master of Health Technology Innovation</t>
        </is>
      </c>
      <c r="C524" t="inlineStr">
        <is>
          <t>Masters Degree (Coursework)</t>
        </is>
      </c>
      <c r="D524" t="inlineStr">
        <is>
          <t>Postgraduate coursework</t>
        </is>
      </c>
      <c r="E524" t="inlineStr">
        <is>
          <t>Advertised: official page in place</t>
        </is>
      </c>
      <c r="F524" t="inlineStr">
        <is>
          <t>https://rp-handbooks.sydney.edu.au/handbooks/archive/2022/engineering_PG/coursework/units_of_study/computer_science/health_technology_innovation.shtml.html</t>
        </is>
      </c>
      <c r="G524" t="inlineStr">
        <is>
          <t>https://rp-handbooks.sydney.edu.au/handbooks/archive/2022/engineering_PG/coursework/units_of_study/computer_science/health_technology_innovation.shtml.html</t>
        </is>
      </c>
      <c r="H524" t="inlineStr">
        <is>
          <t>Read</t>
        </is>
      </c>
      <c r="I524" t="inlineStr">
        <is>
          <t>Exact title match</t>
        </is>
      </c>
      <c r="J524" t="inlineStr"/>
      <c r="K524" t="inlineStr">
        <is>
          <t>Not sent to re-link</t>
        </is>
      </c>
      <c r="L524" t="inlineStr">
        <is>
          <t>Filled</t>
        </is>
      </c>
      <c r="M524" t="inlineStr">
        <is>
          <t>Not stated on course page</t>
        </is>
      </c>
      <c r="N524" t="inlineStr"/>
      <c r="O524" t="n">
        <v>0</v>
      </c>
      <c r="P524" t="inlineStr"/>
      <c r="Q524" t="inlineStr">
        <is>
          <t>Filled</t>
        </is>
      </c>
      <c r="R524" t="n">
        <v>6.5</v>
      </c>
      <c r="S524" t="inlineStr">
        <is>
          <t>Central English policy</t>
        </is>
      </c>
      <c r="T524" t="inlineStr">
        <is>
          <t>Central rule applies (value agrees)</t>
        </is>
      </c>
      <c r="U524" t="inlineStr"/>
      <c r="V524" t="inlineStr">
        <is>
          <t>Not stated on course page</t>
        </is>
      </c>
      <c r="W524" t="inlineStr"/>
      <c r="X524" t="inlineStr"/>
      <c r="Y524" t="n">
        <v>0</v>
      </c>
      <c r="Z524" t="inlineStr">
        <is>
          <t>No</t>
        </is>
      </c>
      <c r="AA524" t="inlineStr">
        <is>
          <t>Not stated on course page</t>
        </is>
      </c>
      <c r="AB524" t="inlineStr"/>
      <c r="AC524" t="inlineStr">
        <is>
          <t>Skipped: the page does not state it</t>
        </is>
      </c>
      <c r="AD524" t="n">
        <v>0</v>
      </c>
      <c r="AE524" t="inlineStr"/>
      <c r="AF524" t="inlineStr"/>
      <c r="AG524" t="inlineStr"/>
      <c r="AH524" t="inlineStr"/>
      <c r="AI524" t="inlineStr">
        <is>
          <t>Yes</t>
        </is>
      </c>
      <c r="AJ524" t="inlineStr"/>
      <c r="AK524" t="inlineStr"/>
      <c r="AL524" t="inlineStr"/>
      <c r="AM524" t="inlineStr"/>
    </row>
    <row r="525">
      <c r="A525" t="inlineStr">
        <is>
          <t>120793H</t>
        </is>
      </c>
      <c r="B525" t="inlineStr">
        <is>
          <t>Master of Heritage Conservation</t>
        </is>
      </c>
      <c r="C525" t="inlineStr">
        <is>
          <t>Masters Degree (Coursework)</t>
        </is>
      </c>
      <c r="D525" t="inlineStr">
        <is>
          <t>Postgraduate coursework</t>
        </is>
      </c>
      <c r="E525" t="inlineStr">
        <is>
          <t>Advertised: official page in place</t>
        </is>
      </c>
      <c r="F525" t="inlineStr">
        <is>
          <t>https://www.sydney.edu.au/courses/courses/pc/master-of-heritage-conservation0.html</t>
        </is>
      </c>
      <c r="G525" t="inlineStr">
        <is>
          <t>https://www.sydney.edu.au/courses/courses/pc/master-of-heritage-conservation0.html</t>
        </is>
      </c>
      <c r="H525" t="inlineStr">
        <is>
          <t>Read</t>
        </is>
      </c>
      <c r="I525" t="inlineStr">
        <is>
          <t>Exact title match</t>
        </is>
      </c>
      <c r="J525" t="inlineStr"/>
      <c r="K525" t="inlineStr">
        <is>
          <t>Not sent to re-link</t>
        </is>
      </c>
      <c r="L525" t="inlineStr">
        <is>
          <t>Filled</t>
        </is>
      </c>
      <c r="M525" t="inlineStr">
        <is>
          <t>Not stated on course page</t>
        </is>
      </c>
      <c r="N525" t="inlineStr"/>
      <c r="O525" t="n">
        <v>0</v>
      </c>
      <c r="P525" t="inlineStr"/>
      <c r="Q525" t="inlineStr">
        <is>
          <t>Filled</t>
        </is>
      </c>
      <c r="R525" t="n">
        <v>6.5</v>
      </c>
      <c r="S525" t="inlineStr">
        <is>
          <t>Central English policy</t>
        </is>
      </c>
      <c r="T525" t="inlineStr">
        <is>
          <t>Central rule applies (value agrees)</t>
        </is>
      </c>
      <c r="U525" t="inlineStr"/>
      <c r="V525" t="inlineStr">
        <is>
          <t>Not stated on course page</t>
        </is>
      </c>
      <c r="W525" t="inlineStr"/>
      <c r="X525" t="inlineStr"/>
      <c r="Y525" t="n">
        <v>0</v>
      </c>
      <c r="Z525" t="inlineStr">
        <is>
          <t>No</t>
        </is>
      </c>
      <c r="AA525" t="inlineStr">
        <is>
          <t>Filled</t>
        </is>
      </c>
      <c r="AB525" t="inlineStr">
        <is>
          <t>on campus</t>
        </is>
      </c>
      <c r="AC525" t="inlineStr"/>
      <c r="AD525" t="n">
        <v>0</v>
      </c>
      <c r="AE525" t="inlineStr"/>
      <c r="AF525" t="inlineStr"/>
      <c r="AG525" t="inlineStr"/>
      <c r="AH525" t="inlineStr"/>
      <c r="AI525" t="inlineStr">
        <is>
          <t>Yes</t>
        </is>
      </c>
      <c r="AJ525" t="inlineStr"/>
      <c r="AK525" t="inlineStr"/>
      <c r="AL525" t="inlineStr"/>
      <c r="AM525" t="inlineStr"/>
    </row>
    <row r="526">
      <c r="A526" t="inlineStr">
        <is>
          <t>000682B</t>
        </is>
      </c>
      <c r="B526" t="inlineStr">
        <is>
          <t>Master of Heritage Conservation</t>
        </is>
      </c>
      <c r="C526" t="inlineStr">
        <is>
          <t>Masters Degree (Coursework)</t>
        </is>
      </c>
      <c r="D526" t="inlineStr">
        <is>
          <t>Postgraduate coursework</t>
        </is>
      </c>
      <c r="E526" t="inlineStr">
        <is>
          <t>Advertised: official page in place</t>
        </is>
      </c>
      <c r="F526" t="inlineStr">
        <is>
          <t>https://www.sydney.edu.au/courses/courses/pc/master-of-heritage-conservation0.html</t>
        </is>
      </c>
      <c r="G526" t="inlineStr">
        <is>
          <t>https://www.sydney.edu.au/courses/courses/pc/master-of-heritage-conservation0.html</t>
        </is>
      </c>
      <c r="H526" t="inlineStr">
        <is>
          <t>Read</t>
        </is>
      </c>
      <c r="I526" t="inlineStr">
        <is>
          <t>Exact title match</t>
        </is>
      </c>
      <c r="J526" t="inlineStr"/>
      <c r="K526" t="inlineStr">
        <is>
          <t>Not sent to re-link</t>
        </is>
      </c>
      <c r="L526" t="inlineStr">
        <is>
          <t>Filled</t>
        </is>
      </c>
      <c r="M526" t="inlineStr">
        <is>
          <t>Not stated on course page</t>
        </is>
      </c>
      <c r="N526" t="inlineStr"/>
      <c r="O526" t="n">
        <v>0</v>
      </c>
      <c r="P526" t="inlineStr"/>
      <c r="Q526" t="inlineStr">
        <is>
          <t>Filled</t>
        </is>
      </c>
      <c r="R526" t="n">
        <v>6.5</v>
      </c>
      <c r="S526" t="inlineStr">
        <is>
          <t>Central English policy</t>
        </is>
      </c>
      <c r="T526" t="inlineStr">
        <is>
          <t>Central rule applies (value agrees)</t>
        </is>
      </c>
      <c r="U526" t="inlineStr"/>
      <c r="V526" t="inlineStr">
        <is>
          <t>Not stated on course page</t>
        </is>
      </c>
      <c r="W526" t="inlineStr"/>
      <c r="X526" t="inlineStr"/>
      <c r="Y526" t="n">
        <v>0</v>
      </c>
      <c r="Z526" t="inlineStr">
        <is>
          <t>No</t>
        </is>
      </c>
      <c r="AA526" t="inlineStr">
        <is>
          <t>Filled</t>
        </is>
      </c>
      <c r="AB526" t="inlineStr">
        <is>
          <t>on campus</t>
        </is>
      </c>
      <c r="AC526" t="inlineStr"/>
      <c r="AD526" t="n">
        <v>0</v>
      </c>
      <c r="AE526" t="inlineStr"/>
      <c r="AF526" t="inlineStr"/>
      <c r="AG526" t="inlineStr"/>
      <c r="AH526" t="inlineStr"/>
      <c r="AI526" t="inlineStr">
        <is>
          <t>Yes</t>
        </is>
      </c>
      <c r="AJ526" t="inlineStr"/>
      <c r="AK526" t="inlineStr"/>
      <c r="AL526" t="inlineStr"/>
      <c r="AM526" t="inlineStr"/>
    </row>
    <row r="527">
      <c r="A527" t="inlineStr">
        <is>
          <t>061140E</t>
        </is>
      </c>
      <c r="B527" t="inlineStr">
        <is>
          <t>Master of Human Resource Management &amp; Industrial Relations</t>
        </is>
      </c>
      <c r="C527" t="inlineStr">
        <is>
          <t>Masters Degree (Coursework)</t>
        </is>
      </c>
      <c r="D527" t="inlineStr">
        <is>
          <t>Postgraduate coursework</t>
        </is>
      </c>
      <c r="E527" t="inlineStr">
        <is>
          <t>Advertised: official page in place</t>
        </is>
      </c>
      <c r="F527" t="inlineStr">
        <is>
          <t>https://www.sydney.edu.au/courses/courses/pc/master-of-human-resource-management-and-industrial-relations.html</t>
        </is>
      </c>
      <c r="G527" t="inlineStr">
        <is>
          <t>https://www.sydney.edu.au/courses/courses/pc/master-of-human-resource-management-and-industrial-relations.html</t>
        </is>
      </c>
      <c r="H527" t="inlineStr">
        <is>
          <t>Read</t>
        </is>
      </c>
      <c r="I527" t="inlineStr">
        <is>
          <t>Exact title match</t>
        </is>
      </c>
      <c r="J527" t="inlineStr"/>
      <c r="K527" t="inlineStr">
        <is>
          <t>Not sent to re-link</t>
        </is>
      </c>
      <c r="L527" t="inlineStr">
        <is>
          <t>Filled</t>
        </is>
      </c>
      <c r="M527" t="inlineStr">
        <is>
          <t>Not stated on course page</t>
        </is>
      </c>
      <c r="N527" t="inlineStr"/>
      <c r="O527" t="n">
        <v>0</v>
      </c>
      <c r="P527" t="inlineStr"/>
      <c r="Q527" t="inlineStr">
        <is>
          <t>Filled</t>
        </is>
      </c>
      <c r="R527" t="n">
        <v>6.5</v>
      </c>
      <c r="S527" t="inlineStr">
        <is>
          <t>Central English policy</t>
        </is>
      </c>
      <c r="T527" t="inlineStr">
        <is>
          <t>Central rule applies (value agrees)</t>
        </is>
      </c>
      <c r="U527" t="inlineStr"/>
      <c r="V527" t="inlineStr">
        <is>
          <t>Not stated on course page</t>
        </is>
      </c>
      <c r="W527" t="inlineStr"/>
      <c r="X527" t="inlineStr"/>
      <c r="Y527" t="n">
        <v>0</v>
      </c>
      <c r="Z527" t="inlineStr">
        <is>
          <t>No</t>
        </is>
      </c>
      <c r="AA527" t="inlineStr">
        <is>
          <t>Filled</t>
        </is>
      </c>
      <c r="AB527" t="inlineStr">
        <is>
          <t>on campus</t>
        </is>
      </c>
      <c r="AC527" t="inlineStr"/>
      <c r="AD527" t="n">
        <v>0</v>
      </c>
      <c r="AE527" t="inlineStr"/>
      <c r="AF527" t="inlineStr"/>
      <c r="AG527" t="inlineStr"/>
      <c r="AH527" t="inlineStr"/>
      <c r="AI527" t="inlineStr">
        <is>
          <t>Yes</t>
        </is>
      </c>
      <c r="AJ527" t="inlineStr"/>
      <c r="AK527" t="inlineStr"/>
      <c r="AL527" t="inlineStr"/>
      <c r="AM527" t="inlineStr"/>
    </row>
    <row r="528">
      <c r="A528" t="inlineStr">
        <is>
          <t>082905B</t>
        </is>
      </c>
      <c r="B528" t="inlineStr">
        <is>
          <t>Master of Human Rights</t>
        </is>
      </c>
      <c r="C528" t="inlineStr">
        <is>
          <t>Masters Degree (Coursework)</t>
        </is>
      </c>
      <c r="D528" t="inlineStr">
        <is>
          <t>Postgraduate coursework</t>
        </is>
      </c>
      <c r="E528" t="inlineStr">
        <is>
          <t>Page found, needs a rendered read</t>
        </is>
      </c>
      <c r="F528" t="inlineStr"/>
      <c r="G528" t="inlineStr">
        <is>
          <t>https://www.sydney.edu.au/courses/courses/pc/master-of-human-rights.html</t>
        </is>
      </c>
      <c r="H528" t="inlineStr">
        <is>
          <t>Needs a rendered read</t>
        </is>
      </c>
      <c r="I528" t="inlineStr"/>
      <c r="J528" t="inlineStr"/>
      <c r="K528" t="inlineStr">
        <is>
          <t>Finished, no page: every candidate address was refused by the reader or did not</t>
        </is>
      </c>
      <c r="L528" t="inlineStr">
        <is>
          <t>Page found, being read</t>
        </is>
      </c>
      <c r="M528" t="inlineStr">
        <is>
          <t>Page found, being read</t>
        </is>
      </c>
      <c r="N528" t="inlineStr"/>
      <c r="O528" t="n">
        <v>0</v>
      </c>
      <c r="P528" t="inlineStr"/>
      <c r="Q528" t="inlineStr">
        <is>
          <t>Filled</t>
        </is>
      </c>
      <c r="R528" t="n">
        <v>6.5</v>
      </c>
      <c r="S528" t="inlineStr">
        <is>
          <t>Central English policy</t>
        </is>
      </c>
      <c r="T528" t="inlineStr">
        <is>
          <t>Central rule applies (value agrees)</t>
        </is>
      </c>
      <c r="U528" t="inlineStr"/>
      <c r="V528" t="inlineStr">
        <is>
          <t>Page found, being read</t>
        </is>
      </c>
      <c r="W528" t="inlineStr"/>
      <c r="X528" t="inlineStr"/>
      <c r="Y528" t="n">
        <v>0</v>
      </c>
      <c r="Z528" t="inlineStr">
        <is>
          <t>No</t>
        </is>
      </c>
      <c r="AA528" t="inlineStr">
        <is>
          <t>Not stated on course page</t>
        </is>
      </c>
      <c r="AB528" t="inlineStr"/>
      <c r="AC528" t="inlineStr">
        <is>
          <t>Skipped: the page does not state it</t>
        </is>
      </c>
      <c r="AD528" t="n">
        <v>0</v>
      </c>
      <c r="AE528" t="inlineStr">
        <is>
          <t>Yes</t>
        </is>
      </c>
      <c r="AF528" t="inlineStr"/>
      <c r="AG528" t="inlineStr"/>
      <c r="AH528" t="inlineStr"/>
      <c r="AI528" t="inlineStr"/>
      <c r="AJ528" t="inlineStr"/>
      <c r="AK528" t="inlineStr"/>
      <c r="AL528" t="inlineStr"/>
      <c r="AM528" t="inlineStr"/>
    </row>
    <row r="529">
      <c r="A529" t="inlineStr">
        <is>
          <t>060614F</t>
        </is>
      </c>
      <c r="B529" t="inlineStr">
        <is>
          <t>Master of Human Rights</t>
        </is>
      </c>
      <c r="C529" t="inlineStr">
        <is>
          <t>Masters Degree (Coursework)</t>
        </is>
      </c>
      <c r="D529" t="inlineStr">
        <is>
          <t>Postgraduate coursework</t>
        </is>
      </c>
      <c r="E529" t="inlineStr">
        <is>
          <t>Page found, needs a rendered read</t>
        </is>
      </c>
      <c r="F529" t="inlineStr"/>
      <c r="G529" t="inlineStr">
        <is>
          <t>https://www.sydney.edu.au/courses/courses/pc/master-of-human-rights.html</t>
        </is>
      </c>
      <c r="H529" t="inlineStr">
        <is>
          <t>Needs a rendered read</t>
        </is>
      </c>
      <c r="I529" t="inlineStr"/>
      <c r="J529" t="inlineStr"/>
      <c r="K529" t="inlineStr">
        <is>
          <t>Finished, no page: every candidate address was refused by the reader or did not</t>
        </is>
      </c>
      <c r="L529" t="inlineStr">
        <is>
          <t>Page found, being read</t>
        </is>
      </c>
      <c r="M529" t="inlineStr">
        <is>
          <t>Page found, being read</t>
        </is>
      </c>
      <c r="N529" t="inlineStr"/>
      <c r="O529" t="n">
        <v>0</v>
      </c>
      <c r="P529" t="inlineStr"/>
      <c r="Q529" t="inlineStr">
        <is>
          <t>Filled</t>
        </is>
      </c>
      <c r="R529" t="n">
        <v>6.5</v>
      </c>
      <c r="S529" t="inlineStr">
        <is>
          <t>Central English policy</t>
        </is>
      </c>
      <c r="T529" t="inlineStr">
        <is>
          <t>Central rule applies (value agrees)</t>
        </is>
      </c>
      <c r="U529" t="inlineStr"/>
      <c r="V529" t="inlineStr">
        <is>
          <t>Page found, being read</t>
        </is>
      </c>
      <c r="W529" t="inlineStr"/>
      <c r="X529" t="inlineStr"/>
      <c r="Y529" t="n">
        <v>0</v>
      </c>
      <c r="Z529" t="inlineStr">
        <is>
          <t>No</t>
        </is>
      </c>
      <c r="AA529" t="inlineStr">
        <is>
          <t>Not stated on course page</t>
        </is>
      </c>
      <c r="AB529" t="inlineStr"/>
      <c r="AC529" t="inlineStr">
        <is>
          <t>Skipped: the page does not state it</t>
        </is>
      </c>
      <c r="AD529" t="n">
        <v>0</v>
      </c>
      <c r="AE529" t="inlineStr">
        <is>
          <t>Yes</t>
        </is>
      </c>
      <c r="AF529" t="inlineStr"/>
      <c r="AG529" t="inlineStr"/>
      <c r="AH529" t="inlineStr"/>
      <c r="AI529" t="inlineStr"/>
      <c r="AJ529" t="inlineStr"/>
      <c r="AK529" t="inlineStr"/>
      <c r="AL529" t="inlineStr"/>
      <c r="AM529" t="inlineStr"/>
    </row>
    <row r="530">
      <c r="A530" t="inlineStr">
        <is>
          <t>022312B</t>
        </is>
      </c>
      <c r="B530" t="inlineStr">
        <is>
          <t>Master of Information Technology</t>
        </is>
      </c>
      <c r="C530" t="inlineStr">
        <is>
          <t>Masters Degree (Coursework)</t>
        </is>
      </c>
      <c r="D530" t="inlineStr">
        <is>
          <t>Postgraduate coursework</t>
        </is>
      </c>
      <c r="E530" t="inlineStr">
        <is>
          <t>Advertised: official page in place</t>
        </is>
      </c>
      <c r="F530" t="inlineStr">
        <is>
          <t>https://www.sydney.edu.au/handbooks/archive/2023/engineering_pg/computer_science/information_technology.html</t>
        </is>
      </c>
      <c r="G530" t="inlineStr">
        <is>
          <t>https://www.sydney.edu.au/handbooks/archive/2023/engineering_pg/computer_science/information_technology.html</t>
        </is>
      </c>
      <c r="H530" t="inlineStr">
        <is>
          <t>Read</t>
        </is>
      </c>
      <c r="I530" t="inlineStr">
        <is>
          <t>Exact title match</t>
        </is>
      </c>
      <c r="J530" t="inlineStr"/>
      <c r="K530" t="inlineStr">
        <is>
          <t>Not sent to re-link</t>
        </is>
      </c>
      <c r="L530" t="inlineStr">
        <is>
          <t>Filled</t>
        </is>
      </c>
      <c r="M530" t="inlineStr">
        <is>
          <t>Not stated on course page</t>
        </is>
      </c>
      <c r="N530" t="inlineStr"/>
      <c r="O530" t="n">
        <v>0</v>
      </c>
      <c r="P530" t="inlineStr"/>
      <c r="Q530" t="inlineStr">
        <is>
          <t>Filled</t>
        </is>
      </c>
      <c r="R530" t="n">
        <v>6.5</v>
      </c>
      <c r="S530" t="inlineStr">
        <is>
          <t>Central English policy</t>
        </is>
      </c>
      <c r="T530" t="inlineStr">
        <is>
          <t>Central rule applies (value agrees)</t>
        </is>
      </c>
      <c r="U530" t="inlineStr"/>
      <c r="V530" t="inlineStr">
        <is>
          <t>Not stated on course page</t>
        </is>
      </c>
      <c r="W530" t="inlineStr"/>
      <c r="X530" t="inlineStr"/>
      <c r="Y530" t="n">
        <v>0</v>
      </c>
      <c r="Z530" t="inlineStr">
        <is>
          <t>No</t>
        </is>
      </c>
      <c r="AA530" t="inlineStr">
        <is>
          <t>Not stated on course page</t>
        </is>
      </c>
      <c r="AB530" t="inlineStr"/>
      <c r="AC530" t="inlineStr">
        <is>
          <t>Skipped: the page does not state it</t>
        </is>
      </c>
      <c r="AD530" t="n">
        <v>0</v>
      </c>
      <c r="AE530" t="inlineStr"/>
      <c r="AF530" t="inlineStr"/>
      <c r="AG530" t="inlineStr"/>
      <c r="AH530" t="inlineStr"/>
      <c r="AI530" t="inlineStr">
        <is>
          <t>Yes</t>
        </is>
      </c>
      <c r="AJ530" t="inlineStr"/>
      <c r="AK530" t="inlineStr"/>
      <c r="AL530" t="inlineStr"/>
      <c r="AM530" t="inlineStr"/>
    </row>
    <row r="531">
      <c r="A531" t="inlineStr">
        <is>
          <t>082912C</t>
        </is>
      </c>
      <c r="B531" t="inlineStr">
        <is>
          <t>Master of Information Technology</t>
        </is>
      </c>
      <c r="C531" t="inlineStr">
        <is>
          <t>Masters Degree (Coursework)</t>
        </is>
      </c>
      <c r="D531" t="inlineStr">
        <is>
          <t>Postgraduate coursework</t>
        </is>
      </c>
      <c r="E531" t="inlineStr">
        <is>
          <t>Advertised: official page in place</t>
        </is>
      </c>
      <c r="F531" t="inlineStr">
        <is>
          <t>https://www.sydney.edu.au/handbooks/archive/2023/engineering_pg/computer_science/information_technology.html</t>
        </is>
      </c>
      <c r="G531" t="inlineStr">
        <is>
          <t>https://www.sydney.edu.au/handbooks/archive/2023/engineering_pg/computer_science/information_technology.html</t>
        </is>
      </c>
      <c r="H531" t="inlineStr">
        <is>
          <t>Read</t>
        </is>
      </c>
      <c r="I531" t="inlineStr">
        <is>
          <t>Exact title match</t>
        </is>
      </c>
      <c r="J531" t="inlineStr"/>
      <c r="K531" t="inlineStr">
        <is>
          <t>Not sent to re-link</t>
        </is>
      </c>
      <c r="L531" t="inlineStr">
        <is>
          <t>Filled</t>
        </is>
      </c>
      <c r="M531" t="inlineStr">
        <is>
          <t>Not stated on course page</t>
        </is>
      </c>
      <c r="N531" t="inlineStr"/>
      <c r="O531" t="n">
        <v>0</v>
      </c>
      <c r="P531" t="inlineStr"/>
      <c r="Q531" t="inlineStr">
        <is>
          <t>Filled</t>
        </is>
      </c>
      <c r="R531" t="n">
        <v>6.5</v>
      </c>
      <c r="S531" t="inlineStr">
        <is>
          <t>Central English policy</t>
        </is>
      </c>
      <c r="T531" t="inlineStr">
        <is>
          <t>Central rule applies (value agrees)</t>
        </is>
      </c>
      <c r="U531" t="inlineStr"/>
      <c r="V531" t="inlineStr">
        <is>
          <t>Not stated on course page</t>
        </is>
      </c>
      <c r="W531" t="inlineStr"/>
      <c r="X531" t="inlineStr"/>
      <c r="Y531" t="n">
        <v>0</v>
      </c>
      <c r="Z531" t="inlineStr">
        <is>
          <t>No</t>
        </is>
      </c>
      <c r="AA531" t="inlineStr">
        <is>
          <t>Not stated on course page</t>
        </is>
      </c>
      <c r="AB531" t="inlineStr"/>
      <c r="AC531" t="inlineStr">
        <is>
          <t>Skipped: the page does not state it</t>
        </is>
      </c>
      <c r="AD531" t="n">
        <v>0</v>
      </c>
      <c r="AE531" t="inlineStr"/>
      <c r="AF531" t="inlineStr"/>
      <c r="AG531" t="inlineStr"/>
      <c r="AH531" t="inlineStr"/>
      <c r="AI531" t="inlineStr">
        <is>
          <t>Yes</t>
        </is>
      </c>
      <c r="AJ531" t="inlineStr"/>
      <c r="AK531" t="inlineStr"/>
      <c r="AL531" t="inlineStr"/>
      <c r="AM531" t="inlineStr"/>
    </row>
    <row r="532">
      <c r="A532" t="inlineStr">
        <is>
          <t>083638G</t>
        </is>
      </c>
      <c r="B532" t="inlineStr">
        <is>
          <t>Master of Information Technology and Master of Information Technology Management</t>
        </is>
      </c>
      <c r="C532" t="inlineStr">
        <is>
          <t>Masters Degree (Coursework)</t>
        </is>
      </c>
      <c r="D532" t="inlineStr">
        <is>
          <t>Postgraduate coursework</t>
        </is>
      </c>
      <c r="E532" t="inlineStr">
        <is>
          <t>Page found, needs a rendered read</t>
        </is>
      </c>
      <c r="F532" t="inlineStr"/>
      <c r="G532" t="inlineStr">
        <is>
          <t>https://www.sydney.edu.au/courses/courses/pc/master-of-information-technology-and-master-of-information-technology-management.html</t>
        </is>
      </c>
      <c r="H532" t="inlineStr">
        <is>
          <t>Needs a rendered read</t>
        </is>
      </c>
      <c r="I532" t="inlineStr"/>
      <c r="J532" t="inlineStr"/>
      <c r="K532" t="inlineStr">
        <is>
          <t>Finished, no page: every candidate address was refused by the reader or did not</t>
        </is>
      </c>
      <c r="L532" t="inlineStr">
        <is>
          <t>Page found, being read</t>
        </is>
      </c>
      <c r="M532" t="inlineStr">
        <is>
          <t>Page found, being read</t>
        </is>
      </c>
      <c r="N532" t="inlineStr"/>
      <c r="O532" t="n">
        <v>0</v>
      </c>
      <c r="P532" t="inlineStr"/>
      <c r="Q532" t="inlineStr">
        <is>
          <t>Filled</t>
        </is>
      </c>
      <c r="R532" t="n">
        <v>6.5</v>
      </c>
      <c r="S532" t="inlineStr">
        <is>
          <t>Central English policy</t>
        </is>
      </c>
      <c r="T532" t="inlineStr">
        <is>
          <t>Central rule applies (value agrees)</t>
        </is>
      </c>
      <c r="U532" t="inlineStr"/>
      <c r="V532" t="inlineStr">
        <is>
          <t>Page found, being read</t>
        </is>
      </c>
      <c r="W532" t="inlineStr"/>
      <c r="X532" t="inlineStr"/>
      <c r="Y532" t="n">
        <v>0</v>
      </c>
      <c r="Z532" t="inlineStr">
        <is>
          <t>No</t>
        </is>
      </c>
      <c r="AA532" t="inlineStr">
        <is>
          <t>Not stated on course page</t>
        </is>
      </c>
      <c r="AB532" t="inlineStr"/>
      <c r="AC532" t="inlineStr">
        <is>
          <t>Skipped: the page does not state it</t>
        </is>
      </c>
      <c r="AD532" t="n">
        <v>0</v>
      </c>
      <c r="AE532" t="inlineStr">
        <is>
          <t>Yes</t>
        </is>
      </c>
      <c r="AF532" t="inlineStr"/>
      <c r="AG532" t="inlineStr"/>
      <c r="AH532" t="inlineStr"/>
      <c r="AI532" t="inlineStr"/>
      <c r="AJ532" t="inlineStr"/>
      <c r="AK532" t="inlineStr"/>
      <c r="AL532" t="inlineStr"/>
      <c r="AM532" t="inlineStr"/>
    </row>
    <row r="533">
      <c r="A533" t="inlineStr">
        <is>
          <t>082913B</t>
        </is>
      </c>
      <c r="B533" t="inlineStr">
        <is>
          <t>Master of Information Technology Management</t>
        </is>
      </c>
      <c r="C533" t="inlineStr">
        <is>
          <t>Masters Degree (Coursework)</t>
        </is>
      </c>
      <c r="D533" t="inlineStr">
        <is>
          <t>Postgraduate coursework</t>
        </is>
      </c>
      <c r="E533" t="inlineStr">
        <is>
          <t>Advertised: official page in place</t>
        </is>
      </c>
      <c r="F533" t="inlineStr">
        <is>
          <t>https://www.sydney.edu.au/handbooks/archive/2023/engineering_pg/computer_science/information_technology_information_technology_management.html</t>
        </is>
      </c>
      <c r="G533" t="inlineStr">
        <is>
          <t>https://www.sydney.edu.au/handbooks/archive/2023/engineering_pg/computer_science/information_technology_information_technology_management.html</t>
        </is>
      </c>
      <c r="H533" t="inlineStr">
        <is>
          <t>Read</t>
        </is>
      </c>
      <c r="I533" t="inlineStr">
        <is>
          <t>Exact title match</t>
        </is>
      </c>
      <c r="J533" t="inlineStr"/>
      <c r="K533" t="inlineStr">
        <is>
          <t>Not sent to re-link</t>
        </is>
      </c>
      <c r="L533" t="inlineStr">
        <is>
          <t>Filled</t>
        </is>
      </c>
      <c r="M533" t="inlineStr">
        <is>
          <t>Not stated on course page</t>
        </is>
      </c>
      <c r="N533" t="inlineStr"/>
      <c r="O533" t="n">
        <v>0</v>
      </c>
      <c r="P533" t="inlineStr"/>
      <c r="Q533" t="inlineStr">
        <is>
          <t>Filled</t>
        </is>
      </c>
      <c r="R533" t="n">
        <v>6.5</v>
      </c>
      <c r="S533" t="inlineStr">
        <is>
          <t>Central English policy</t>
        </is>
      </c>
      <c r="T533" t="inlineStr">
        <is>
          <t>Central rule applies (value agrees)</t>
        </is>
      </c>
      <c r="U533" t="inlineStr"/>
      <c r="V533" t="inlineStr">
        <is>
          <t>Not stated on course page</t>
        </is>
      </c>
      <c r="W533" t="inlineStr"/>
      <c r="X533" t="inlineStr"/>
      <c r="Y533" t="n">
        <v>0</v>
      </c>
      <c r="Z533" t="inlineStr">
        <is>
          <t>No</t>
        </is>
      </c>
      <c r="AA533" t="inlineStr">
        <is>
          <t>Not stated on course page</t>
        </is>
      </c>
      <c r="AB533" t="inlineStr"/>
      <c r="AC533" t="inlineStr">
        <is>
          <t>Skipped: the page does not state it</t>
        </is>
      </c>
      <c r="AD533" t="n">
        <v>0</v>
      </c>
      <c r="AE533" t="inlineStr"/>
      <c r="AF533" t="inlineStr"/>
      <c r="AG533" t="inlineStr"/>
      <c r="AH533" t="inlineStr"/>
      <c r="AI533" t="inlineStr">
        <is>
          <t>Yes</t>
        </is>
      </c>
      <c r="AJ533" t="inlineStr"/>
      <c r="AK533" t="inlineStr"/>
      <c r="AL533" t="inlineStr"/>
      <c r="AM533" t="inlineStr"/>
    </row>
    <row r="534">
      <c r="A534" t="inlineStr">
        <is>
          <t>055186G</t>
        </is>
      </c>
      <c r="B534" t="inlineStr">
        <is>
          <t>Master of Information Technology Management</t>
        </is>
      </c>
      <c r="C534" t="inlineStr">
        <is>
          <t>Masters Degree (Coursework)</t>
        </is>
      </c>
      <c r="D534" t="inlineStr">
        <is>
          <t>Postgraduate coursework</t>
        </is>
      </c>
      <c r="E534" t="inlineStr">
        <is>
          <t>Advertised: official page in place</t>
        </is>
      </c>
      <c r="F534" t="inlineStr">
        <is>
          <t>https://www.sydney.edu.au/handbooks/archive/2023/engineering_pg/computer_science/information_technology_information_technology_management.html</t>
        </is>
      </c>
      <c r="G534" t="inlineStr">
        <is>
          <t>https://www.sydney.edu.au/handbooks/archive/2023/engineering_pg/computer_science/information_technology_information_technology_management.html</t>
        </is>
      </c>
      <c r="H534" t="inlineStr">
        <is>
          <t>Read</t>
        </is>
      </c>
      <c r="I534" t="inlineStr">
        <is>
          <t>Exact title match</t>
        </is>
      </c>
      <c r="J534" t="inlineStr"/>
      <c r="K534" t="inlineStr">
        <is>
          <t>Not sent to re-link</t>
        </is>
      </c>
      <c r="L534" t="inlineStr">
        <is>
          <t>Filled</t>
        </is>
      </c>
      <c r="M534" t="inlineStr">
        <is>
          <t>Not stated on course page</t>
        </is>
      </c>
      <c r="N534" t="inlineStr"/>
      <c r="O534" t="n">
        <v>0</v>
      </c>
      <c r="P534" t="inlineStr"/>
      <c r="Q534" t="inlineStr">
        <is>
          <t>Filled</t>
        </is>
      </c>
      <c r="R534" t="n">
        <v>6.5</v>
      </c>
      <c r="S534" t="inlineStr">
        <is>
          <t>Central English policy</t>
        </is>
      </c>
      <c r="T534" t="inlineStr">
        <is>
          <t>Central rule applies (value agrees)</t>
        </is>
      </c>
      <c r="U534" t="inlineStr"/>
      <c r="V534" t="inlineStr">
        <is>
          <t>Not stated on course page</t>
        </is>
      </c>
      <c r="W534" t="inlineStr"/>
      <c r="X534" t="inlineStr"/>
      <c r="Y534" t="n">
        <v>0</v>
      </c>
      <c r="Z534" t="inlineStr">
        <is>
          <t>No</t>
        </is>
      </c>
      <c r="AA534" t="inlineStr">
        <is>
          <t>Not stated on course page</t>
        </is>
      </c>
      <c r="AB534" t="inlineStr"/>
      <c r="AC534" t="inlineStr">
        <is>
          <t>Skipped: the page does not state it</t>
        </is>
      </c>
      <c r="AD534" t="n">
        <v>0</v>
      </c>
      <c r="AE534" t="inlineStr"/>
      <c r="AF534" t="inlineStr"/>
      <c r="AG534" t="inlineStr"/>
      <c r="AH534" t="inlineStr"/>
      <c r="AI534" t="inlineStr">
        <is>
          <t>Yes</t>
        </is>
      </c>
      <c r="AJ534" t="inlineStr"/>
      <c r="AK534" t="inlineStr"/>
      <c r="AL534" t="inlineStr"/>
      <c r="AM534" t="inlineStr"/>
    </row>
    <row r="535">
      <c r="A535" t="inlineStr">
        <is>
          <t>068709A</t>
        </is>
      </c>
      <c r="B535" t="inlineStr">
        <is>
          <t>Master of Intensive Care Nursing</t>
        </is>
      </c>
      <c r="C535" t="inlineStr">
        <is>
          <t>Masters Degree (Coursework)</t>
        </is>
      </c>
      <c r="D535" t="inlineStr">
        <is>
          <t>Postgraduate coursework</t>
        </is>
      </c>
      <c r="E535" t="inlineStr">
        <is>
          <t>Page found, needs a rendered read</t>
        </is>
      </c>
      <c r="F535" t="inlineStr"/>
      <c r="G535" t="inlineStr">
        <is>
          <t>https://www.sydney.edu.au/courses/courses/pc/master-of-intensive-care-nursing.html</t>
        </is>
      </c>
      <c r="H535" t="inlineStr">
        <is>
          <t>Needs a rendered read</t>
        </is>
      </c>
      <c r="I535" t="inlineStr"/>
      <c r="J535" t="inlineStr"/>
      <c r="K535" t="inlineStr">
        <is>
          <t>Finished, no page: every candidate address was refused by the reader or did not</t>
        </is>
      </c>
      <c r="L535" t="inlineStr">
        <is>
          <t>Page found, being read</t>
        </is>
      </c>
      <c r="M535" t="inlineStr">
        <is>
          <t>Page found, being read</t>
        </is>
      </c>
      <c r="N535" t="inlineStr"/>
      <c r="O535" t="n">
        <v>0</v>
      </c>
      <c r="P535" t="inlineStr"/>
      <c r="Q535" t="inlineStr">
        <is>
          <t>Filled</t>
        </is>
      </c>
      <c r="R535" t="n">
        <v>6.5</v>
      </c>
      <c r="S535" t="inlineStr">
        <is>
          <t>Central English policy</t>
        </is>
      </c>
      <c r="T535" t="inlineStr">
        <is>
          <t>Central rule applies (value agrees)</t>
        </is>
      </c>
      <c r="U535" t="inlineStr"/>
      <c r="V535" t="inlineStr">
        <is>
          <t>Page found, being read</t>
        </is>
      </c>
      <c r="W535" t="inlineStr"/>
      <c r="X535" t="inlineStr"/>
      <c r="Y535" t="n">
        <v>0</v>
      </c>
      <c r="Z535" t="inlineStr">
        <is>
          <t>No</t>
        </is>
      </c>
      <c r="AA535" t="inlineStr">
        <is>
          <t>Not stated on course page</t>
        </is>
      </c>
      <c r="AB535" t="inlineStr"/>
      <c r="AC535" t="inlineStr">
        <is>
          <t>Skipped: the page does not state it</t>
        </is>
      </c>
      <c r="AD535" t="n">
        <v>0</v>
      </c>
      <c r="AE535" t="inlineStr">
        <is>
          <t>Yes</t>
        </is>
      </c>
      <c r="AF535" t="inlineStr"/>
      <c r="AG535" t="inlineStr"/>
      <c r="AH535" t="inlineStr"/>
      <c r="AI535" t="inlineStr"/>
      <c r="AJ535" t="inlineStr"/>
      <c r="AK535" t="inlineStr"/>
      <c r="AL535" t="inlineStr"/>
      <c r="AM535" t="inlineStr"/>
    </row>
    <row r="536">
      <c r="A536" t="inlineStr">
        <is>
          <t>064060C</t>
        </is>
      </c>
      <c r="B536" t="inlineStr">
        <is>
          <t>Master of Interaction Design and Electronic Arts</t>
        </is>
      </c>
      <c r="C536" t="inlineStr">
        <is>
          <t>Masters Degree (Coursework)</t>
        </is>
      </c>
      <c r="D536" t="inlineStr">
        <is>
          <t>Postgraduate coursework</t>
        </is>
      </c>
      <c r="E536" t="inlineStr">
        <is>
          <t>Advertised: official page in place</t>
        </is>
      </c>
      <c r="F536" t="inlineStr">
        <is>
          <t>https://www.sydney.edu.au/courses/courses/pc/master-of-interaction-design-and-electronic-arts.html</t>
        </is>
      </c>
      <c r="G536" t="inlineStr">
        <is>
          <t>https://www.sydney.edu.au/courses/courses/pc/master-of-interaction-design-and-electronic-arts.html</t>
        </is>
      </c>
      <c r="H536" t="inlineStr">
        <is>
          <t>Read</t>
        </is>
      </c>
      <c r="I536" t="inlineStr">
        <is>
          <t>Exact title match</t>
        </is>
      </c>
      <c r="J536" t="inlineStr"/>
      <c r="K536" t="inlineStr">
        <is>
          <t>Not sent to re-link</t>
        </is>
      </c>
      <c r="L536" t="inlineStr">
        <is>
          <t>Filled</t>
        </is>
      </c>
      <c r="M536" t="inlineStr">
        <is>
          <t>Not stated on course page</t>
        </is>
      </c>
      <c r="N536" t="inlineStr"/>
      <c r="O536" t="n">
        <v>0</v>
      </c>
      <c r="P536" t="inlineStr"/>
      <c r="Q536" t="inlineStr">
        <is>
          <t>Filled</t>
        </is>
      </c>
      <c r="R536" t="n">
        <v>6.5</v>
      </c>
      <c r="S536" t="inlineStr">
        <is>
          <t>Central English policy</t>
        </is>
      </c>
      <c r="T536" t="inlineStr">
        <is>
          <t>Central rule applies (value agrees)</t>
        </is>
      </c>
      <c r="U536" t="inlineStr"/>
      <c r="V536" t="inlineStr">
        <is>
          <t>Not stated on course page</t>
        </is>
      </c>
      <c r="W536" t="inlineStr"/>
      <c r="X536" t="inlineStr"/>
      <c r="Y536" t="n">
        <v>0</v>
      </c>
      <c r="Z536" t="inlineStr">
        <is>
          <t>No</t>
        </is>
      </c>
      <c r="AA536" t="inlineStr">
        <is>
          <t>Filled</t>
        </is>
      </c>
      <c r="AB536" t="inlineStr">
        <is>
          <t>on campus</t>
        </is>
      </c>
      <c r="AC536" t="inlineStr"/>
      <c r="AD536" t="n">
        <v>0</v>
      </c>
      <c r="AE536" t="inlineStr"/>
      <c r="AF536" t="inlineStr"/>
      <c r="AG536" t="inlineStr"/>
      <c r="AH536" t="inlineStr"/>
      <c r="AI536" t="inlineStr">
        <is>
          <t>Yes</t>
        </is>
      </c>
      <c r="AJ536" t="inlineStr"/>
      <c r="AK536" t="inlineStr"/>
      <c r="AL536" t="inlineStr"/>
      <c r="AM536" t="inlineStr"/>
    </row>
    <row r="537">
      <c r="A537" t="inlineStr">
        <is>
          <t>088318F</t>
        </is>
      </c>
      <c r="B537" t="inlineStr">
        <is>
          <t>Master of Interaction Design and Electronic Arts (with specialisation)</t>
        </is>
      </c>
      <c r="C537" t="inlineStr">
        <is>
          <t>Masters Degree (Coursework)</t>
        </is>
      </c>
      <c r="D537" t="inlineStr">
        <is>
          <t>Postgraduate coursework</t>
        </is>
      </c>
      <c r="E537" t="inlineStr">
        <is>
          <t>Page address no longer works</t>
        </is>
      </c>
      <c r="F537" t="inlineStr"/>
      <c r="G537" t="inlineStr">
        <is>
          <t>https://www.sydney.edu.au/courses/courses/pc/master-of-interaction-design-and-electronic-arts-with-specialisation.html</t>
        </is>
      </c>
      <c r="H537" t="inlineStr">
        <is>
          <t>Address no longer works</t>
        </is>
      </c>
      <c r="I537" t="inlineStr"/>
      <c r="J537" t="inlineStr"/>
      <c r="K537" t="inlineStr">
        <is>
          <t>Finished, no page: every candidate address was refused by the reader or did not</t>
        </is>
      </c>
      <c r="L537" t="inlineStr">
        <is>
          <t>Page found, being read</t>
        </is>
      </c>
      <c r="M537" t="inlineStr">
        <is>
          <t>Page found, being read</t>
        </is>
      </c>
      <c r="N537" t="inlineStr"/>
      <c r="O537" t="n">
        <v>0</v>
      </c>
      <c r="P537" t="inlineStr"/>
      <c r="Q537" t="inlineStr">
        <is>
          <t>Filled</t>
        </is>
      </c>
      <c r="R537" t="n">
        <v>6.5</v>
      </c>
      <c r="S537" t="inlineStr">
        <is>
          <t>Central English policy</t>
        </is>
      </c>
      <c r="T537" t="inlineStr">
        <is>
          <t>Central rule applies (value agrees)</t>
        </is>
      </c>
      <c r="U537" t="inlineStr"/>
      <c r="V537" t="inlineStr">
        <is>
          <t>Page found, being read</t>
        </is>
      </c>
      <c r="W537" t="inlineStr"/>
      <c r="X537" t="inlineStr"/>
      <c r="Y537" t="n">
        <v>0</v>
      </c>
      <c r="Z537" t="inlineStr">
        <is>
          <t>No</t>
        </is>
      </c>
      <c r="AA537" t="inlineStr">
        <is>
          <t>Not stated on course page</t>
        </is>
      </c>
      <c r="AB537" t="inlineStr"/>
      <c r="AC537" t="inlineStr">
        <is>
          <t>Skipped: the page does not state it</t>
        </is>
      </c>
      <c r="AD537" t="n">
        <v>0</v>
      </c>
      <c r="AE537" t="inlineStr"/>
      <c r="AF537" t="inlineStr"/>
      <c r="AG537" t="inlineStr"/>
      <c r="AH537" t="inlineStr"/>
      <c r="AI537" t="inlineStr"/>
      <c r="AJ537" t="inlineStr"/>
      <c r="AK537" t="inlineStr"/>
      <c r="AL537" t="inlineStr"/>
      <c r="AM537" t="inlineStr"/>
    </row>
    <row r="538">
      <c r="A538" t="inlineStr">
        <is>
          <t>074087J</t>
        </is>
      </c>
      <c r="B538" t="inlineStr">
        <is>
          <t>Master of International Business</t>
        </is>
      </c>
      <c r="C538" t="inlineStr">
        <is>
          <t>Masters Degree (Coursework)</t>
        </is>
      </c>
      <c r="D538" t="inlineStr">
        <is>
          <t>Postgraduate coursework</t>
        </is>
      </c>
      <c r="E538" t="inlineStr">
        <is>
          <t>Advertised: official page in place</t>
        </is>
      </c>
      <c r="F538" t="inlineStr">
        <is>
          <t>https://www.sydney.edu.au/courses/courses/pc/master-of-international-business.html</t>
        </is>
      </c>
      <c r="G538" t="inlineStr">
        <is>
          <t>https://www.sydney.edu.au/courses/courses/pc/master-of-international-business.html</t>
        </is>
      </c>
      <c r="H538" t="inlineStr">
        <is>
          <t>Read</t>
        </is>
      </c>
      <c r="I538" t="inlineStr">
        <is>
          <t>Exact title match</t>
        </is>
      </c>
      <c r="J538" t="inlineStr"/>
      <c r="K538" t="inlineStr">
        <is>
          <t>Not sent to re-link</t>
        </is>
      </c>
      <c r="L538" t="inlineStr">
        <is>
          <t>Filled</t>
        </is>
      </c>
      <c r="M538" t="inlineStr">
        <is>
          <t>Not stated on course page</t>
        </is>
      </c>
      <c r="N538" t="inlineStr"/>
      <c r="O538" t="n">
        <v>0</v>
      </c>
      <c r="P538" t="inlineStr"/>
      <c r="Q538" t="inlineStr">
        <is>
          <t>Filled</t>
        </is>
      </c>
      <c r="R538" t="n">
        <v>6.5</v>
      </c>
      <c r="S538" t="inlineStr">
        <is>
          <t>Central English policy</t>
        </is>
      </c>
      <c r="T538" t="inlineStr">
        <is>
          <t>Central rule applies (value agrees)</t>
        </is>
      </c>
      <c r="U538" t="inlineStr"/>
      <c r="V538" t="inlineStr">
        <is>
          <t>Not stated on course page</t>
        </is>
      </c>
      <c r="W538" t="inlineStr"/>
      <c r="X538" t="inlineStr"/>
      <c r="Y538" t="n">
        <v>0</v>
      </c>
      <c r="Z538" t="inlineStr">
        <is>
          <t>No</t>
        </is>
      </c>
      <c r="AA538" t="inlineStr">
        <is>
          <t>Filled</t>
        </is>
      </c>
      <c r="AB538" t="inlineStr">
        <is>
          <t>on campus</t>
        </is>
      </c>
      <c r="AC538" t="inlineStr"/>
      <c r="AD538" t="n">
        <v>0</v>
      </c>
      <c r="AE538" t="inlineStr"/>
      <c r="AF538" t="inlineStr"/>
      <c r="AG538" t="inlineStr"/>
      <c r="AH538" t="inlineStr"/>
      <c r="AI538" t="inlineStr">
        <is>
          <t>Yes</t>
        </is>
      </c>
      <c r="AJ538" t="inlineStr"/>
      <c r="AK538" t="inlineStr"/>
      <c r="AL538" t="inlineStr"/>
      <c r="AM538" t="inlineStr"/>
    </row>
    <row r="539">
      <c r="A539" t="inlineStr">
        <is>
          <t>074086K</t>
        </is>
      </c>
      <c r="B539" t="inlineStr">
        <is>
          <t>Master of International Business and Law</t>
        </is>
      </c>
      <c r="C539" t="inlineStr">
        <is>
          <t>Masters Degree (Coursework)</t>
        </is>
      </c>
      <c r="D539" t="inlineStr">
        <is>
          <t>Postgraduate coursework</t>
        </is>
      </c>
      <c r="E539" t="inlineStr">
        <is>
          <t>Advertised: official page in place</t>
        </is>
      </c>
      <c r="F539" t="inlineStr">
        <is>
          <t>https://rp-handbooks.sydney.edu.au/handbooks/archive/2012/business_school/postgraduate/coursework/international_business_law.shtml</t>
        </is>
      </c>
      <c r="G539" t="inlineStr">
        <is>
          <t>http://sydney.edu.au/handbooks/archive/2012/business_school/postgraduate/coursework/international_business_law.shtml</t>
        </is>
      </c>
      <c r="H539" t="inlineStr">
        <is>
          <t>Not a course page</t>
        </is>
      </c>
      <c r="I539" t="inlineStr"/>
      <c r="J539" t="inlineStr"/>
      <c r="K539" t="inlineStr">
        <is>
          <t>Not sent to re-link</t>
        </is>
      </c>
      <c r="L539" t="inlineStr">
        <is>
          <t>Filled</t>
        </is>
      </c>
      <c r="M539" t="inlineStr">
        <is>
          <t>Not stated on course page</t>
        </is>
      </c>
      <c r="N539" t="inlineStr"/>
      <c r="O539" t="n">
        <v>0</v>
      </c>
      <c r="P539" t="inlineStr"/>
      <c r="Q539" t="inlineStr">
        <is>
          <t>Filled</t>
        </is>
      </c>
      <c r="R539" t="n">
        <v>6.5</v>
      </c>
      <c r="S539" t="inlineStr">
        <is>
          <t>Central English policy</t>
        </is>
      </c>
      <c r="T539" t="inlineStr">
        <is>
          <t>Central rule applies (value agrees)</t>
        </is>
      </c>
      <c r="U539" t="inlineStr"/>
      <c r="V539" t="inlineStr">
        <is>
          <t>Not stated on course page</t>
        </is>
      </c>
      <c r="W539" t="inlineStr"/>
      <c r="X539" t="inlineStr"/>
      <c r="Y539" t="n">
        <v>0</v>
      </c>
      <c r="Z539" t="inlineStr">
        <is>
          <t>No</t>
        </is>
      </c>
      <c r="AA539" t="inlineStr">
        <is>
          <t>Not stated on course page</t>
        </is>
      </c>
      <c r="AB539" t="inlineStr"/>
      <c r="AC539" t="inlineStr">
        <is>
          <t>Skipped: taken back: the page read was another course's page</t>
        </is>
      </c>
      <c r="AD539" t="n">
        <v>1</v>
      </c>
      <c r="AE539" t="inlineStr"/>
      <c r="AF539" t="inlineStr"/>
      <c r="AG539" t="inlineStr"/>
      <c r="AH539" t="inlineStr"/>
      <c r="AI539" t="inlineStr">
        <is>
          <t>Yes</t>
        </is>
      </c>
      <c r="AJ539" t="inlineStr"/>
      <c r="AK539" t="inlineStr"/>
      <c r="AL539" t="inlineStr"/>
      <c r="AM539" t="inlineStr"/>
    </row>
    <row r="540">
      <c r="A540" t="inlineStr">
        <is>
          <t>029884J</t>
        </is>
      </c>
      <c r="B540" t="inlineStr">
        <is>
          <t>Master of International Law</t>
        </is>
      </c>
      <c r="C540" t="inlineStr">
        <is>
          <t>Masters Degree (Coursework)</t>
        </is>
      </c>
      <c r="D540" t="inlineStr">
        <is>
          <t>Postgraduate coursework</t>
        </is>
      </c>
      <c r="E540" t="inlineStr">
        <is>
          <t>Advertised: official page in place</t>
        </is>
      </c>
      <c r="F540" t="inlineStr">
        <is>
          <t>https://www.sydney.edu.au/courses/courses/pc/master-of-international-law.html</t>
        </is>
      </c>
      <c r="G540" t="inlineStr">
        <is>
          <t>https://www.sydney.edu.au/courses/courses/pc/master-of-international-law.html</t>
        </is>
      </c>
      <c r="H540" t="inlineStr">
        <is>
          <t>Read</t>
        </is>
      </c>
      <c r="I540" t="inlineStr">
        <is>
          <t>Exact title match</t>
        </is>
      </c>
      <c r="J540" t="inlineStr"/>
      <c r="K540" t="inlineStr">
        <is>
          <t>Not sent to re-link</t>
        </is>
      </c>
      <c r="L540" t="inlineStr">
        <is>
          <t>Filled</t>
        </is>
      </c>
      <c r="M540" t="inlineStr">
        <is>
          <t>Not stated on course page</t>
        </is>
      </c>
      <c r="N540" t="inlineStr"/>
      <c r="O540" t="n">
        <v>0</v>
      </c>
      <c r="P540" t="inlineStr"/>
      <c r="Q540" t="inlineStr">
        <is>
          <t>Filled</t>
        </is>
      </c>
      <c r="R540" t="n">
        <v>6.5</v>
      </c>
      <c r="S540" t="inlineStr">
        <is>
          <t>Central English policy</t>
        </is>
      </c>
      <c r="T540" t="inlineStr">
        <is>
          <t>Central rule applies (value agrees)</t>
        </is>
      </c>
      <c r="U540" t="inlineStr"/>
      <c r="V540" t="inlineStr">
        <is>
          <t>Not stated on course page</t>
        </is>
      </c>
      <c r="W540" t="inlineStr"/>
      <c r="X540" t="inlineStr"/>
      <c r="Y540" t="n">
        <v>0</v>
      </c>
      <c r="Z540" t="inlineStr">
        <is>
          <t>No</t>
        </is>
      </c>
      <c r="AA540" t="inlineStr">
        <is>
          <t>Filled</t>
        </is>
      </c>
      <c r="AB540" t="inlineStr">
        <is>
          <t>on campus</t>
        </is>
      </c>
      <c r="AC540" t="inlineStr"/>
      <c r="AD540" t="n">
        <v>0</v>
      </c>
      <c r="AE540" t="inlineStr"/>
      <c r="AF540" t="inlineStr"/>
      <c r="AG540" t="inlineStr"/>
      <c r="AH540" t="inlineStr"/>
      <c r="AI540" t="inlineStr">
        <is>
          <t>Yes</t>
        </is>
      </c>
      <c r="AJ540" t="inlineStr"/>
      <c r="AK540" t="inlineStr"/>
      <c r="AL540" t="inlineStr"/>
      <c r="AM540" t="inlineStr"/>
    </row>
    <row r="541">
      <c r="A541" t="inlineStr">
        <is>
          <t>079205A</t>
        </is>
      </c>
      <c r="B541" t="inlineStr">
        <is>
          <t>Master of International Relations</t>
        </is>
      </c>
      <c r="C541" t="inlineStr">
        <is>
          <t>Masters Degree (Coursework)</t>
        </is>
      </c>
      <c r="D541" t="inlineStr">
        <is>
          <t>Postgraduate coursework</t>
        </is>
      </c>
      <c r="E541" t="inlineStr">
        <is>
          <t>Advertised: official page in place</t>
        </is>
      </c>
      <c r="F541" t="inlineStr">
        <is>
          <t>https://www.sydney.edu.au/courses/courses/pc/master-of-international-relations.html</t>
        </is>
      </c>
      <c r="G541" t="inlineStr">
        <is>
          <t>https://www.sydney.edu.au/courses/courses/pc/master-of-international-relations.html</t>
        </is>
      </c>
      <c r="H541" t="inlineStr">
        <is>
          <t>Read</t>
        </is>
      </c>
      <c r="I541" t="inlineStr">
        <is>
          <t>Exact title match</t>
        </is>
      </c>
      <c r="J541" t="inlineStr"/>
      <c r="K541" t="inlineStr">
        <is>
          <t>Not sent to re-link</t>
        </is>
      </c>
      <c r="L541" t="inlineStr">
        <is>
          <t>Filled</t>
        </is>
      </c>
      <c r="M541" t="inlineStr">
        <is>
          <t>Not stated on course page</t>
        </is>
      </c>
      <c r="N541" t="inlineStr"/>
      <c r="O541" t="n">
        <v>0</v>
      </c>
      <c r="P541" t="inlineStr"/>
      <c r="Q541" t="inlineStr">
        <is>
          <t>Filled</t>
        </is>
      </c>
      <c r="R541" t="n">
        <v>6.5</v>
      </c>
      <c r="S541" t="inlineStr">
        <is>
          <t>Central English policy</t>
        </is>
      </c>
      <c r="T541" t="inlineStr">
        <is>
          <t>Central rule applies (value agrees)</t>
        </is>
      </c>
      <c r="U541" t="inlineStr"/>
      <c r="V541" t="inlineStr">
        <is>
          <t>Not stated on course page</t>
        </is>
      </c>
      <c r="W541" t="inlineStr"/>
      <c r="X541" t="inlineStr"/>
      <c r="Y541" t="n">
        <v>0</v>
      </c>
      <c r="Z541" t="inlineStr">
        <is>
          <t>No</t>
        </is>
      </c>
      <c r="AA541" t="inlineStr">
        <is>
          <t>Filled</t>
        </is>
      </c>
      <c r="AB541" t="inlineStr">
        <is>
          <t>on campus</t>
        </is>
      </c>
      <c r="AC541" t="inlineStr"/>
      <c r="AD541" t="n">
        <v>0</v>
      </c>
      <c r="AE541" t="inlineStr"/>
      <c r="AF541" t="inlineStr"/>
      <c r="AG541" t="inlineStr"/>
      <c r="AH541" t="inlineStr"/>
      <c r="AI541" t="inlineStr">
        <is>
          <t>Yes</t>
        </is>
      </c>
      <c r="AJ541" t="inlineStr"/>
      <c r="AK541" t="inlineStr"/>
      <c r="AL541" t="inlineStr"/>
      <c r="AM541" t="inlineStr"/>
    </row>
    <row r="542">
      <c r="A542" t="inlineStr">
        <is>
          <t>082906A</t>
        </is>
      </c>
      <c r="B542" t="inlineStr">
        <is>
          <t>Master of International Security</t>
        </is>
      </c>
      <c r="C542" t="inlineStr">
        <is>
          <t>Masters Degree (Coursework)</t>
        </is>
      </c>
      <c r="D542" t="inlineStr">
        <is>
          <t>Postgraduate coursework</t>
        </is>
      </c>
      <c r="E542" t="inlineStr">
        <is>
          <t>Page found, needs a rendered read</t>
        </is>
      </c>
      <c r="F542" t="inlineStr"/>
      <c r="G542" t="inlineStr">
        <is>
          <t>https://www.sydney.edu.au/courses/courses/pc/master-of-international-security.html</t>
        </is>
      </c>
      <c r="H542" t="inlineStr">
        <is>
          <t>Needs a rendered read</t>
        </is>
      </c>
      <c r="I542" t="inlineStr"/>
      <c r="J542" t="inlineStr"/>
      <c r="K542" t="inlineStr">
        <is>
          <t>Finished, no page: every candidate address was refused by the reader or did not</t>
        </is>
      </c>
      <c r="L542" t="inlineStr">
        <is>
          <t>Page found, being read</t>
        </is>
      </c>
      <c r="M542" t="inlineStr">
        <is>
          <t>Page found, being read</t>
        </is>
      </c>
      <c r="N542" t="inlineStr"/>
      <c r="O542" t="n">
        <v>0</v>
      </c>
      <c r="P542" t="inlineStr"/>
      <c r="Q542" t="inlineStr">
        <is>
          <t>Filled</t>
        </is>
      </c>
      <c r="R542" t="n">
        <v>6.5</v>
      </c>
      <c r="S542" t="inlineStr">
        <is>
          <t>Central English policy</t>
        </is>
      </c>
      <c r="T542" t="inlineStr">
        <is>
          <t>Central rule applies (value agrees)</t>
        </is>
      </c>
      <c r="U542" t="inlineStr"/>
      <c r="V542" t="inlineStr">
        <is>
          <t>Page found, being read</t>
        </is>
      </c>
      <c r="W542" t="inlineStr"/>
      <c r="X542" t="inlineStr"/>
      <c r="Y542" t="n">
        <v>0</v>
      </c>
      <c r="Z542" t="inlineStr">
        <is>
          <t>No</t>
        </is>
      </c>
      <c r="AA542" t="inlineStr">
        <is>
          <t>Not stated on course page</t>
        </is>
      </c>
      <c r="AB542" t="inlineStr"/>
      <c r="AC542" t="inlineStr">
        <is>
          <t>Skipped: no allowed source had a value</t>
        </is>
      </c>
      <c r="AD542" t="n">
        <v>1</v>
      </c>
      <c r="AE542" t="inlineStr">
        <is>
          <t>Yes</t>
        </is>
      </c>
      <c r="AF542" t="inlineStr"/>
      <c r="AG542" t="inlineStr"/>
      <c r="AH542" t="inlineStr"/>
      <c r="AI542" t="inlineStr"/>
      <c r="AJ542" t="inlineStr"/>
      <c r="AK542" t="inlineStr"/>
      <c r="AL542" t="inlineStr"/>
      <c r="AM542" t="inlineStr"/>
    </row>
    <row r="543">
      <c r="A543" t="inlineStr">
        <is>
          <t>061187A</t>
        </is>
      </c>
      <c r="B543" t="inlineStr">
        <is>
          <t>Master of International Security</t>
        </is>
      </c>
      <c r="C543" t="inlineStr">
        <is>
          <t>Masters Degree (Coursework)</t>
        </is>
      </c>
      <c r="D543" t="inlineStr">
        <is>
          <t>Postgraduate coursework</t>
        </is>
      </c>
      <c r="E543" t="inlineStr">
        <is>
          <t>Page found, needs a rendered read</t>
        </is>
      </c>
      <c r="F543" t="inlineStr"/>
      <c r="G543" t="inlineStr">
        <is>
          <t>https://www.sydney.edu.au/courses/courses/pc/master-of-international-security.html</t>
        </is>
      </c>
      <c r="H543" t="inlineStr">
        <is>
          <t>Needs a rendered read</t>
        </is>
      </c>
      <c r="I543" t="inlineStr"/>
      <c r="J543" t="inlineStr"/>
      <c r="K543" t="inlineStr">
        <is>
          <t>Finished, no page: every candidate address was refused by the reader or did not</t>
        </is>
      </c>
      <c r="L543" t="inlineStr">
        <is>
          <t>Page found, being read</t>
        </is>
      </c>
      <c r="M543" t="inlineStr">
        <is>
          <t>Page found, being read</t>
        </is>
      </c>
      <c r="N543" t="inlineStr"/>
      <c r="O543" t="n">
        <v>0</v>
      </c>
      <c r="P543" t="inlineStr"/>
      <c r="Q543" t="inlineStr">
        <is>
          <t>Filled</t>
        </is>
      </c>
      <c r="R543" t="n">
        <v>6.5</v>
      </c>
      <c r="S543" t="inlineStr">
        <is>
          <t>Central English policy</t>
        </is>
      </c>
      <c r="T543" t="inlineStr">
        <is>
          <t>Central rule applies (value agrees)</t>
        </is>
      </c>
      <c r="U543" t="inlineStr"/>
      <c r="V543" t="inlineStr">
        <is>
          <t>Page found, being read</t>
        </is>
      </c>
      <c r="W543" t="inlineStr"/>
      <c r="X543" t="inlineStr"/>
      <c r="Y543" t="n">
        <v>0</v>
      </c>
      <c r="Z543" t="inlineStr">
        <is>
          <t>No</t>
        </is>
      </c>
      <c r="AA543" t="inlineStr">
        <is>
          <t>Not stated on course page</t>
        </is>
      </c>
      <c r="AB543" t="inlineStr"/>
      <c r="AC543" t="inlineStr">
        <is>
          <t>Skipped: the page does not state it</t>
        </is>
      </c>
      <c r="AD543" t="n">
        <v>0</v>
      </c>
      <c r="AE543" t="inlineStr">
        <is>
          <t>Yes</t>
        </is>
      </c>
      <c r="AF543" t="inlineStr"/>
      <c r="AG543" t="inlineStr"/>
      <c r="AH543" t="inlineStr"/>
      <c r="AI543" t="inlineStr"/>
      <c r="AJ543" t="inlineStr"/>
      <c r="AK543" t="inlineStr"/>
      <c r="AL543" t="inlineStr"/>
      <c r="AM543" t="inlineStr"/>
    </row>
    <row r="544">
      <c r="A544" t="inlineStr">
        <is>
          <t>006436A</t>
        </is>
      </c>
      <c r="B544" t="inlineStr">
        <is>
          <t>Master of International Studies</t>
        </is>
      </c>
      <c r="C544" t="inlineStr">
        <is>
          <t>Masters Degree (Coursework)</t>
        </is>
      </c>
      <c r="D544" t="inlineStr">
        <is>
          <t>Postgraduate coursework</t>
        </is>
      </c>
      <c r="E544" t="inlineStr">
        <is>
          <t>Page address no longer works</t>
        </is>
      </c>
      <c r="F544" t="inlineStr"/>
      <c r="G544" t="inlineStr">
        <is>
          <t>https://www.sydney.edu.au/courses/courses/pc/master-of-international-studies0.html</t>
        </is>
      </c>
      <c r="H544" t="inlineStr">
        <is>
          <t>Address no longer works</t>
        </is>
      </c>
      <c r="I544" t="inlineStr"/>
      <c r="J544" t="inlineStr"/>
      <c r="K544" t="inlineStr">
        <is>
          <t>Finished, no page: every candidate address was refused by the reader or did not</t>
        </is>
      </c>
      <c r="L544" t="inlineStr">
        <is>
          <t>Page found, being read</t>
        </is>
      </c>
      <c r="M544" t="inlineStr">
        <is>
          <t>Page found, being read</t>
        </is>
      </c>
      <c r="N544" t="inlineStr"/>
      <c r="O544" t="n">
        <v>0</v>
      </c>
      <c r="P544" t="inlineStr"/>
      <c r="Q544" t="inlineStr">
        <is>
          <t>Filled</t>
        </is>
      </c>
      <c r="R544" t="n">
        <v>6.5</v>
      </c>
      <c r="S544" t="inlineStr">
        <is>
          <t>Central English policy</t>
        </is>
      </c>
      <c r="T544" t="inlineStr">
        <is>
          <t>Central rule applies (value agrees)</t>
        </is>
      </c>
      <c r="U544" t="inlineStr"/>
      <c r="V544" t="inlineStr">
        <is>
          <t>Page found, being read</t>
        </is>
      </c>
      <c r="W544" t="inlineStr"/>
      <c r="X544" t="inlineStr"/>
      <c r="Y544" t="n">
        <v>0</v>
      </c>
      <c r="Z544" t="inlineStr">
        <is>
          <t>No</t>
        </is>
      </c>
      <c r="AA544" t="inlineStr">
        <is>
          <t>Not stated on course page</t>
        </is>
      </c>
      <c r="AB544" t="inlineStr"/>
      <c r="AC544" t="inlineStr">
        <is>
          <t>Skipped: the page does not state it</t>
        </is>
      </c>
      <c r="AD544" t="n">
        <v>0</v>
      </c>
      <c r="AE544" t="inlineStr"/>
      <c r="AF544" t="inlineStr"/>
      <c r="AG544" t="inlineStr"/>
      <c r="AH544" t="inlineStr"/>
      <c r="AI544" t="inlineStr"/>
      <c r="AJ544" t="inlineStr"/>
      <c r="AK544" t="inlineStr"/>
      <c r="AL544" t="inlineStr"/>
      <c r="AM544" t="inlineStr"/>
    </row>
    <row r="545">
      <c r="A545" t="inlineStr">
        <is>
          <t>082907M</t>
        </is>
      </c>
      <c r="B545" t="inlineStr">
        <is>
          <t>Master of International Studies</t>
        </is>
      </c>
      <c r="C545" t="inlineStr">
        <is>
          <t>Masters Degree (Coursework)</t>
        </is>
      </c>
      <c r="D545" t="inlineStr">
        <is>
          <t>Postgraduate coursework</t>
        </is>
      </c>
      <c r="E545" t="inlineStr">
        <is>
          <t>Page address no longer works</t>
        </is>
      </c>
      <c r="F545" t="inlineStr"/>
      <c r="G545" t="inlineStr">
        <is>
          <t>https://www.sydney.edu.au/courses/courses/pc/master-of-international-studies0.html</t>
        </is>
      </c>
      <c r="H545" t="inlineStr">
        <is>
          <t>Address no longer works</t>
        </is>
      </c>
      <c r="I545" t="inlineStr"/>
      <c r="J545" t="inlineStr"/>
      <c r="K545" t="inlineStr">
        <is>
          <t>Finished, no page: every candidate address was refused by the reader or did not</t>
        </is>
      </c>
      <c r="L545" t="inlineStr">
        <is>
          <t>Page found, being read</t>
        </is>
      </c>
      <c r="M545" t="inlineStr">
        <is>
          <t>Page found, being read</t>
        </is>
      </c>
      <c r="N545" t="inlineStr"/>
      <c r="O545" t="n">
        <v>0</v>
      </c>
      <c r="P545" t="inlineStr"/>
      <c r="Q545" t="inlineStr">
        <is>
          <t>Filled</t>
        </is>
      </c>
      <c r="R545" t="n">
        <v>6.5</v>
      </c>
      <c r="S545" t="inlineStr">
        <is>
          <t>Central English policy</t>
        </is>
      </c>
      <c r="T545" t="inlineStr">
        <is>
          <t>Central rule applies (value agrees)</t>
        </is>
      </c>
      <c r="U545" t="inlineStr"/>
      <c r="V545" t="inlineStr">
        <is>
          <t>Page found, being read</t>
        </is>
      </c>
      <c r="W545" t="inlineStr"/>
      <c r="X545" t="inlineStr"/>
      <c r="Y545" t="n">
        <v>0</v>
      </c>
      <c r="Z545" t="inlineStr">
        <is>
          <t>No</t>
        </is>
      </c>
      <c r="AA545" t="inlineStr">
        <is>
          <t>Not stated on course page</t>
        </is>
      </c>
      <c r="AB545" t="inlineStr"/>
      <c r="AC545" t="inlineStr">
        <is>
          <t>Skipped: the page does not state it</t>
        </is>
      </c>
      <c r="AD545" t="n">
        <v>0</v>
      </c>
      <c r="AE545" t="inlineStr"/>
      <c r="AF545" t="inlineStr"/>
      <c r="AG545" t="inlineStr"/>
      <c r="AH545" t="inlineStr"/>
      <c r="AI545" t="inlineStr"/>
      <c r="AJ545" t="inlineStr"/>
      <c r="AK545" t="inlineStr"/>
      <c r="AL545" t="inlineStr"/>
      <c r="AM545" t="inlineStr"/>
    </row>
    <row r="546">
      <c r="A546" t="inlineStr">
        <is>
          <t>008406B</t>
        </is>
      </c>
      <c r="B546" t="inlineStr">
        <is>
          <t>Master of Jurisprudence</t>
        </is>
      </c>
      <c r="C546" t="inlineStr">
        <is>
          <t>Masters Degree (Coursework)</t>
        </is>
      </c>
      <c r="D546" t="inlineStr">
        <is>
          <t>Postgraduate coursework</t>
        </is>
      </c>
      <c r="E546" t="inlineStr">
        <is>
          <t>Page found, needs a rendered read</t>
        </is>
      </c>
      <c r="F546" t="inlineStr"/>
      <c r="G546" t="inlineStr">
        <is>
          <t>https://www.sydney.edu.au/courses/courses/pc/master-of-jurisprudence.html</t>
        </is>
      </c>
      <c r="H546" t="inlineStr">
        <is>
          <t>Needs a rendered read</t>
        </is>
      </c>
      <c r="I546" t="inlineStr"/>
      <c r="J546" t="inlineStr"/>
      <c r="K546" t="inlineStr">
        <is>
          <t>Finished, no page: every candidate address was refused by the reader or did not</t>
        </is>
      </c>
      <c r="L546" t="inlineStr">
        <is>
          <t>Page found, being read</t>
        </is>
      </c>
      <c r="M546" t="inlineStr">
        <is>
          <t>Page found, being read</t>
        </is>
      </c>
      <c r="N546" t="inlineStr"/>
      <c r="O546" t="n">
        <v>0</v>
      </c>
      <c r="P546" t="inlineStr"/>
      <c r="Q546" t="inlineStr">
        <is>
          <t>Filled</t>
        </is>
      </c>
      <c r="R546" t="n">
        <v>6.5</v>
      </c>
      <c r="S546" t="inlineStr">
        <is>
          <t>Central English policy</t>
        </is>
      </c>
      <c r="T546" t="inlineStr">
        <is>
          <t>Central rule applies (value agrees)</t>
        </is>
      </c>
      <c r="U546" t="inlineStr"/>
      <c r="V546" t="inlineStr">
        <is>
          <t>Page found, being read</t>
        </is>
      </c>
      <c r="W546" t="inlineStr"/>
      <c r="X546" t="inlineStr"/>
      <c r="Y546" t="n">
        <v>0</v>
      </c>
      <c r="Z546" t="inlineStr">
        <is>
          <t>No</t>
        </is>
      </c>
      <c r="AA546" t="inlineStr">
        <is>
          <t>Not stated on course page</t>
        </is>
      </c>
      <c r="AB546" t="inlineStr"/>
      <c r="AC546" t="inlineStr">
        <is>
          <t>Skipped: no allowed source had a value</t>
        </is>
      </c>
      <c r="AD546" t="n">
        <v>1</v>
      </c>
      <c r="AE546" t="inlineStr">
        <is>
          <t>Yes</t>
        </is>
      </c>
      <c r="AF546" t="inlineStr"/>
      <c r="AG546" t="inlineStr"/>
      <c r="AH546" t="inlineStr"/>
      <c r="AI546" t="inlineStr"/>
      <c r="AJ546" t="inlineStr"/>
      <c r="AK546" t="inlineStr"/>
      <c r="AL546" t="inlineStr"/>
      <c r="AM546" t="inlineStr"/>
    </row>
    <row r="547">
      <c r="A547" t="inlineStr">
        <is>
          <t>008405C</t>
        </is>
      </c>
      <c r="B547" t="inlineStr">
        <is>
          <t>Master of Labour Law and Relations</t>
        </is>
      </c>
      <c r="C547" t="inlineStr">
        <is>
          <t>Masters Degree (Coursework)</t>
        </is>
      </c>
      <c r="D547" t="inlineStr">
        <is>
          <t>Postgraduate coursework</t>
        </is>
      </c>
      <c r="E547" t="inlineStr">
        <is>
          <t>Advertised: official page in place</t>
        </is>
      </c>
      <c r="F547" t="inlineStr">
        <is>
          <t>https://www.sydney.edu.au/courses/courses/pc/master-of-labour-law-and-relations.html</t>
        </is>
      </c>
      <c r="G547" t="inlineStr">
        <is>
          <t>https://www.sydney.edu.au/courses/courses/pc/master-of-labour-law-and-relations.html</t>
        </is>
      </c>
      <c r="H547" t="inlineStr">
        <is>
          <t>Read</t>
        </is>
      </c>
      <c r="I547" t="inlineStr">
        <is>
          <t>Exact title match</t>
        </is>
      </c>
      <c r="J547" t="inlineStr"/>
      <c r="K547" t="inlineStr">
        <is>
          <t>Not sent to re-link</t>
        </is>
      </c>
      <c r="L547" t="inlineStr">
        <is>
          <t>Filled</t>
        </is>
      </c>
      <c r="M547" t="inlineStr">
        <is>
          <t>Not stated on course page</t>
        </is>
      </c>
      <c r="N547" t="inlineStr"/>
      <c r="O547" t="n">
        <v>0</v>
      </c>
      <c r="P547" t="inlineStr"/>
      <c r="Q547" t="inlineStr">
        <is>
          <t>Filled</t>
        </is>
      </c>
      <c r="R547" t="n">
        <v>6.5</v>
      </c>
      <c r="S547" t="inlineStr">
        <is>
          <t>Central English policy</t>
        </is>
      </c>
      <c r="T547" t="inlineStr">
        <is>
          <t>Central rule applies (value agrees)</t>
        </is>
      </c>
      <c r="U547" t="inlineStr"/>
      <c r="V547" t="inlineStr">
        <is>
          <t>Not stated on course page</t>
        </is>
      </c>
      <c r="W547" t="inlineStr"/>
      <c r="X547" t="inlineStr"/>
      <c r="Y547" t="n">
        <v>0</v>
      </c>
      <c r="Z547" t="inlineStr">
        <is>
          <t>No</t>
        </is>
      </c>
      <c r="AA547" t="inlineStr">
        <is>
          <t>Filled</t>
        </is>
      </c>
      <c r="AB547" t="inlineStr">
        <is>
          <t>on campus</t>
        </is>
      </c>
      <c r="AC547" t="inlineStr"/>
      <c r="AD547" t="n">
        <v>0</v>
      </c>
      <c r="AE547" t="inlineStr"/>
      <c r="AF547" t="inlineStr"/>
      <c r="AG547" t="inlineStr"/>
      <c r="AH547" t="inlineStr"/>
      <c r="AI547" t="inlineStr">
        <is>
          <t>Yes</t>
        </is>
      </c>
      <c r="AJ547" t="inlineStr"/>
      <c r="AK547" t="inlineStr"/>
      <c r="AL547" t="inlineStr"/>
      <c r="AM547" t="inlineStr"/>
    </row>
    <row r="548">
      <c r="A548" t="inlineStr">
        <is>
          <t>006449G</t>
        </is>
      </c>
      <c r="B548" t="inlineStr">
        <is>
          <t>Master of Laws</t>
        </is>
      </c>
      <c r="C548" t="inlineStr">
        <is>
          <t>Masters Degree (Coursework)</t>
        </is>
      </c>
      <c r="D548" t="inlineStr">
        <is>
          <t>Postgraduate coursework</t>
        </is>
      </c>
      <c r="E548" t="inlineStr">
        <is>
          <t>Advertised: official page in place</t>
        </is>
      </c>
      <c r="F548" t="inlineStr">
        <is>
          <t>https://www.sydney.edu.au/courses/courses/pc/master-of-laws.html</t>
        </is>
      </c>
      <c r="G548" t="inlineStr">
        <is>
          <t>https://www.sydney.edu.au/courses/courses/pc/master-of-laws.html</t>
        </is>
      </c>
      <c r="H548" t="inlineStr">
        <is>
          <t>Read</t>
        </is>
      </c>
      <c r="I548" t="inlineStr">
        <is>
          <t>Exact title match</t>
        </is>
      </c>
      <c r="J548" t="inlineStr"/>
      <c r="K548" t="inlineStr">
        <is>
          <t>Not sent to re-link</t>
        </is>
      </c>
      <c r="L548" t="inlineStr">
        <is>
          <t>Filled</t>
        </is>
      </c>
      <c r="M548" t="inlineStr">
        <is>
          <t>Not stated on course page</t>
        </is>
      </c>
      <c r="N548" t="inlineStr"/>
      <c r="O548" t="n">
        <v>0</v>
      </c>
      <c r="P548" t="inlineStr"/>
      <c r="Q548" t="inlineStr">
        <is>
          <t>Filled</t>
        </is>
      </c>
      <c r="R548" t="n">
        <v>6.5</v>
      </c>
      <c r="S548" t="inlineStr">
        <is>
          <t>Central English policy</t>
        </is>
      </c>
      <c r="T548" t="inlineStr">
        <is>
          <t>Central rule applies (value agrees)</t>
        </is>
      </c>
      <c r="U548" t="inlineStr"/>
      <c r="V548" t="inlineStr">
        <is>
          <t>Not stated on course page</t>
        </is>
      </c>
      <c r="W548" t="inlineStr"/>
      <c r="X548" t="inlineStr"/>
      <c r="Y548" t="n">
        <v>0</v>
      </c>
      <c r="Z548" t="inlineStr">
        <is>
          <t>No</t>
        </is>
      </c>
      <c r="AA548" t="inlineStr">
        <is>
          <t>Filled</t>
        </is>
      </c>
      <c r="AB548" t="inlineStr">
        <is>
          <t>on campus</t>
        </is>
      </c>
      <c r="AC548" t="inlineStr"/>
      <c r="AD548" t="n">
        <v>0</v>
      </c>
      <c r="AE548" t="inlineStr"/>
      <c r="AF548" t="inlineStr"/>
      <c r="AG548" t="inlineStr"/>
      <c r="AH548" t="inlineStr"/>
      <c r="AI548" t="inlineStr">
        <is>
          <t>Yes</t>
        </is>
      </c>
      <c r="AJ548" t="inlineStr"/>
      <c r="AK548" t="inlineStr"/>
      <c r="AL548" t="inlineStr"/>
      <c r="AM548" t="inlineStr"/>
    </row>
    <row r="549">
      <c r="A549" t="inlineStr">
        <is>
          <t>008408M</t>
        </is>
      </c>
      <c r="B549" t="inlineStr">
        <is>
          <t>Master of Laws (Research)</t>
        </is>
      </c>
      <c r="C549" t="inlineStr">
        <is>
          <t>Masters Degree (Research)</t>
        </is>
      </c>
      <c r="D549" t="inlineStr">
        <is>
          <t>Research degree</t>
        </is>
      </c>
      <c r="E549" t="inlineStr">
        <is>
          <t>Advertised: official page in place</t>
        </is>
      </c>
      <c r="F549" t="inlineStr">
        <is>
          <t>https://www.sydney.edu.au/courses/courses/pr/master-of-laws-research.html</t>
        </is>
      </c>
      <c r="G549" t="inlineStr">
        <is>
          <t>https://www.sydney.edu.au/courses/courses/pr/master-of-laws-research.html</t>
        </is>
      </c>
      <c r="H549" t="inlineStr">
        <is>
          <t>Read</t>
        </is>
      </c>
      <c r="I549" t="inlineStr">
        <is>
          <t>Exact title match</t>
        </is>
      </c>
      <c r="J549" t="inlineStr"/>
      <c r="K549" t="inlineStr">
        <is>
          <t>Not sent to re-link</t>
        </is>
      </c>
      <c r="L549" t="inlineStr">
        <is>
          <t>Filled</t>
        </is>
      </c>
      <c r="M549" t="inlineStr">
        <is>
          <t>Not stated on course page</t>
        </is>
      </c>
      <c r="N549" t="inlineStr"/>
      <c r="O549" t="n">
        <v>0</v>
      </c>
      <c r="P549" t="inlineStr"/>
      <c r="Q549" t="inlineStr">
        <is>
          <t>Filled</t>
        </is>
      </c>
      <c r="R549" t="n">
        <v>6.5</v>
      </c>
      <c r="S549" t="inlineStr">
        <is>
          <t>Central English policy</t>
        </is>
      </c>
      <c r="T549" t="inlineStr">
        <is>
          <t>Central rule applies (value agrees)</t>
        </is>
      </c>
      <c r="U549" t="inlineStr"/>
      <c r="V549" t="inlineStr">
        <is>
          <t>Filled</t>
        </is>
      </c>
      <c r="W549" t="inlineStr">
        <is>
          <t>March, July</t>
        </is>
      </c>
      <c r="X549" t="inlineStr">
        <is>
          <t>Page reader</t>
        </is>
      </c>
      <c r="Y549" t="n">
        <v>0</v>
      </c>
      <c r="Z549" t="inlineStr">
        <is>
          <t>No</t>
        </is>
      </c>
      <c r="AA549" t="inlineStr">
        <is>
          <t>Filled</t>
        </is>
      </c>
      <c r="AB549" t="inlineStr">
        <is>
          <t>on campus</t>
        </is>
      </c>
      <c r="AC549" t="inlineStr"/>
      <c r="AD549" t="n">
        <v>0</v>
      </c>
      <c r="AE549" t="inlineStr"/>
      <c r="AF549" t="inlineStr"/>
      <c r="AG549" t="inlineStr"/>
      <c r="AH549" t="inlineStr"/>
      <c r="AI549" t="inlineStr"/>
      <c r="AJ549" t="inlineStr"/>
      <c r="AK549" t="inlineStr"/>
      <c r="AL549" t="inlineStr"/>
      <c r="AM549" t="inlineStr"/>
    </row>
    <row r="550">
      <c r="A550" t="inlineStr">
        <is>
          <t>054857D</t>
        </is>
      </c>
      <c r="B550" t="inlineStr">
        <is>
          <t>Master of Learning Sciences &amp; Technology</t>
        </is>
      </c>
      <c r="C550" t="inlineStr">
        <is>
          <t>Masters Degree (Coursework)</t>
        </is>
      </c>
      <c r="D550" t="inlineStr">
        <is>
          <t>Postgraduate coursework</t>
        </is>
      </c>
      <c r="E550" t="inlineStr">
        <is>
          <t>Held: page found is for another course</t>
        </is>
      </c>
      <c r="F550" t="inlineStr"/>
      <c r="G550" t="inlineStr">
        <is>
          <t>https://rp-handbooks.sydney.edu.au/handbooks/archive/2014/education_PG/coursework/education/m_learning_science_technology.shtml.html</t>
        </is>
      </c>
      <c r="H550" t="inlineStr">
        <is>
          <t>Not a course page</t>
        </is>
      </c>
      <c r="I550" t="inlineStr"/>
      <c r="J550" t="inlineStr"/>
      <c r="K550" t="inlineStr">
        <is>
          <t>Not sent to re-link</t>
        </is>
      </c>
      <c r="L550" t="inlineStr">
        <is>
          <t>Not stated on course page</t>
        </is>
      </c>
      <c r="M550" t="inlineStr">
        <is>
          <t>Not stated on course page</t>
        </is>
      </c>
      <c r="N550" t="inlineStr"/>
      <c r="O550" t="n">
        <v>0</v>
      </c>
      <c r="P550" t="inlineStr"/>
      <c r="Q550" t="inlineStr">
        <is>
          <t>Filled</t>
        </is>
      </c>
      <c r="R550" t="n">
        <v>6.5</v>
      </c>
      <c r="S550" t="inlineStr">
        <is>
          <t>Central English policy</t>
        </is>
      </c>
      <c r="T550" t="inlineStr">
        <is>
          <t>Central rule applies (value agrees)</t>
        </is>
      </c>
      <c r="U550" t="inlineStr"/>
      <c r="V550" t="inlineStr">
        <is>
          <t>Not stated on course page</t>
        </is>
      </c>
      <c r="W550" t="inlineStr"/>
      <c r="X550" t="inlineStr"/>
      <c r="Y550" t="n">
        <v>0</v>
      </c>
      <c r="Z550" t="inlineStr">
        <is>
          <t>No</t>
        </is>
      </c>
      <c r="AA550" t="inlineStr">
        <is>
          <t>Not stated on course page</t>
        </is>
      </c>
      <c r="AB550" t="inlineStr"/>
      <c r="AC550" t="inlineStr">
        <is>
          <t>Skipped: the page does not state it</t>
        </is>
      </c>
      <c r="AD550" t="n">
        <v>0</v>
      </c>
      <c r="AE550" t="inlineStr"/>
      <c r="AF550" t="inlineStr"/>
      <c r="AG550" t="inlineStr"/>
      <c r="AH550" t="inlineStr"/>
      <c r="AI550" t="inlineStr"/>
      <c r="AJ550" t="inlineStr"/>
      <c r="AK550" t="inlineStr"/>
      <c r="AL550" t="inlineStr"/>
      <c r="AM550" t="inlineStr"/>
    </row>
    <row r="551">
      <c r="A551" t="inlineStr">
        <is>
          <t>088747G</t>
        </is>
      </c>
      <c r="B551" t="inlineStr">
        <is>
          <t>Master of Logistics and Supply Chain Management</t>
        </is>
      </c>
      <c r="C551" t="inlineStr">
        <is>
          <t>Masters Degree (Coursework)</t>
        </is>
      </c>
      <c r="D551" t="inlineStr">
        <is>
          <t>Postgraduate coursework</t>
        </is>
      </c>
      <c r="E551" t="inlineStr">
        <is>
          <t>Advertised: official page in place</t>
        </is>
      </c>
      <c r="F551" t="inlineStr">
        <is>
          <t>https://www.sydney.edu.au/courses/courses/pc/master-of-logistics-and-supply-chain-management.html</t>
        </is>
      </c>
      <c r="G551" t="inlineStr">
        <is>
          <t>https://www.sydney.edu.au/courses/courses/pc/master-of-logistics-and-supply-chain-management.html</t>
        </is>
      </c>
      <c r="H551" t="inlineStr">
        <is>
          <t>Read</t>
        </is>
      </c>
      <c r="I551" t="inlineStr">
        <is>
          <t>Exact title match</t>
        </is>
      </c>
      <c r="J551" t="inlineStr"/>
      <c r="K551" t="inlineStr">
        <is>
          <t>Not sent to re-link</t>
        </is>
      </c>
      <c r="L551" t="inlineStr">
        <is>
          <t>Filled</t>
        </is>
      </c>
      <c r="M551" t="inlineStr">
        <is>
          <t>Not stated on course page</t>
        </is>
      </c>
      <c r="N551" t="inlineStr"/>
      <c r="O551" t="n">
        <v>0</v>
      </c>
      <c r="P551" t="inlineStr"/>
      <c r="Q551" t="inlineStr">
        <is>
          <t>Filled</t>
        </is>
      </c>
      <c r="R551" t="n">
        <v>6.5</v>
      </c>
      <c r="S551" t="inlineStr">
        <is>
          <t>Central English policy</t>
        </is>
      </c>
      <c r="T551" t="inlineStr">
        <is>
          <t>Central rule applies (value agrees)</t>
        </is>
      </c>
      <c r="U551" t="inlineStr"/>
      <c r="V551" t="inlineStr">
        <is>
          <t>Not stated on course page</t>
        </is>
      </c>
      <c r="W551" t="inlineStr"/>
      <c r="X551" t="inlineStr"/>
      <c r="Y551" t="n">
        <v>0</v>
      </c>
      <c r="Z551" t="inlineStr">
        <is>
          <t>No</t>
        </is>
      </c>
      <c r="AA551" t="inlineStr">
        <is>
          <t>Filled</t>
        </is>
      </c>
      <c r="AB551" t="inlineStr">
        <is>
          <t>on campus</t>
        </is>
      </c>
      <c r="AC551" t="inlineStr"/>
      <c r="AD551" t="n">
        <v>0</v>
      </c>
      <c r="AE551" t="inlineStr"/>
      <c r="AF551" t="inlineStr"/>
      <c r="AG551" t="inlineStr"/>
      <c r="AH551" t="inlineStr"/>
      <c r="AI551" t="inlineStr">
        <is>
          <t>Yes</t>
        </is>
      </c>
      <c r="AJ551" t="inlineStr"/>
      <c r="AK551" t="inlineStr"/>
      <c r="AL551" t="inlineStr"/>
      <c r="AM551" t="inlineStr"/>
    </row>
    <row r="552">
      <c r="A552" t="inlineStr">
        <is>
          <t>063099G</t>
        </is>
      </c>
      <c r="B552" t="inlineStr">
        <is>
          <t>Master of Management</t>
        </is>
      </c>
      <c r="C552" t="inlineStr">
        <is>
          <t>Masters Degree (Coursework)</t>
        </is>
      </c>
      <c r="D552" t="inlineStr">
        <is>
          <t>Postgraduate coursework</t>
        </is>
      </c>
      <c r="E552" t="inlineStr">
        <is>
          <t>Advertised: official page in place</t>
        </is>
      </c>
      <c r="F552" t="inlineStr">
        <is>
          <t>https://www.sydney.edu.au/courses/courses/pc/master-of-management.html</t>
        </is>
      </c>
      <c r="G552" t="inlineStr">
        <is>
          <t>https://www.sydney.edu.au/courses/courses/pc/master-of-management.html</t>
        </is>
      </c>
      <c r="H552" t="inlineStr">
        <is>
          <t>Read</t>
        </is>
      </c>
      <c r="I552" t="inlineStr">
        <is>
          <t>Exact title match</t>
        </is>
      </c>
      <c r="J552" t="inlineStr"/>
      <c r="K552" t="inlineStr">
        <is>
          <t>Not sent to re-link</t>
        </is>
      </c>
      <c r="L552" t="inlineStr">
        <is>
          <t>Filled</t>
        </is>
      </c>
      <c r="M552" t="inlineStr">
        <is>
          <t>Not stated on course page</t>
        </is>
      </c>
      <c r="N552" t="inlineStr"/>
      <c r="O552" t="n">
        <v>0</v>
      </c>
      <c r="P552" t="inlineStr"/>
      <c r="Q552" t="inlineStr">
        <is>
          <t>Filled</t>
        </is>
      </c>
      <c r="R552" t="n">
        <v>6.5</v>
      </c>
      <c r="S552" t="inlineStr">
        <is>
          <t>Central English policy</t>
        </is>
      </c>
      <c r="T552" t="inlineStr">
        <is>
          <t>Central rule applies (value agrees)</t>
        </is>
      </c>
      <c r="U552" t="inlineStr"/>
      <c r="V552" t="inlineStr">
        <is>
          <t>Not stated on course page</t>
        </is>
      </c>
      <c r="W552" t="inlineStr"/>
      <c r="X552" t="inlineStr"/>
      <c r="Y552" t="n">
        <v>0</v>
      </c>
      <c r="Z552" t="inlineStr">
        <is>
          <t>No</t>
        </is>
      </c>
      <c r="AA552" t="inlineStr">
        <is>
          <t>Filled</t>
        </is>
      </c>
      <c r="AB552" t="inlineStr">
        <is>
          <t>on campus</t>
        </is>
      </c>
      <c r="AC552" t="inlineStr"/>
      <c r="AD552" t="n">
        <v>0</v>
      </c>
      <c r="AE552" t="inlineStr"/>
      <c r="AF552" t="inlineStr"/>
      <c r="AG552" t="inlineStr"/>
      <c r="AH552" t="inlineStr"/>
      <c r="AI552" t="inlineStr">
        <is>
          <t>Yes</t>
        </is>
      </c>
      <c r="AJ552" t="inlineStr"/>
      <c r="AK552" t="inlineStr"/>
      <c r="AL552" t="inlineStr"/>
      <c r="AM552" t="inlineStr"/>
    </row>
    <row r="553">
      <c r="A553" t="inlineStr">
        <is>
          <t>063100G</t>
        </is>
      </c>
      <c r="B553" t="inlineStr">
        <is>
          <t>Master of Management (Community of European Management Schools)</t>
        </is>
      </c>
      <c r="C553" t="inlineStr">
        <is>
          <t>Masters Degree (Coursework)</t>
        </is>
      </c>
      <c r="D553" t="inlineStr">
        <is>
          <t>Postgraduate coursework</t>
        </is>
      </c>
      <c r="E553" t="inlineStr">
        <is>
          <t>Page address no longer works</t>
        </is>
      </c>
      <c r="F553" t="inlineStr"/>
      <c r="G553" t="inlineStr">
        <is>
          <t>https://www.sydney.edu.au/courses/courses/pc/master-of-management-community-of-european-management-schools.html</t>
        </is>
      </c>
      <c r="H553" t="inlineStr">
        <is>
          <t>Address no longer works</t>
        </is>
      </c>
      <c r="I553" t="inlineStr"/>
      <c r="J553" t="inlineStr"/>
      <c r="K553" t="inlineStr">
        <is>
          <t>Finished, no page: every candidate address was refused by the reader or did not</t>
        </is>
      </c>
      <c r="L553" t="inlineStr">
        <is>
          <t>Page found, being read</t>
        </is>
      </c>
      <c r="M553" t="inlineStr">
        <is>
          <t>Page found, being read</t>
        </is>
      </c>
      <c r="N553" t="inlineStr"/>
      <c r="O553" t="n">
        <v>0</v>
      </c>
      <c r="P553" t="inlineStr"/>
      <c r="Q553" t="inlineStr">
        <is>
          <t>Filled</t>
        </is>
      </c>
      <c r="R553" t="n">
        <v>6.5</v>
      </c>
      <c r="S553" t="inlineStr">
        <is>
          <t>Central English policy</t>
        </is>
      </c>
      <c r="T553" t="inlineStr">
        <is>
          <t>Central rule applies (value agrees)</t>
        </is>
      </c>
      <c r="U553" t="inlineStr"/>
      <c r="V553" t="inlineStr">
        <is>
          <t>Page found, being read</t>
        </is>
      </c>
      <c r="W553" t="inlineStr"/>
      <c r="X553" t="inlineStr"/>
      <c r="Y553" t="n">
        <v>0</v>
      </c>
      <c r="Z553" t="inlineStr">
        <is>
          <t>No</t>
        </is>
      </c>
      <c r="AA553" t="inlineStr">
        <is>
          <t>Not stated on course page</t>
        </is>
      </c>
      <c r="AB553" t="inlineStr"/>
      <c r="AC553" t="inlineStr">
        <is>
          <t>Skipped: the page does not state it</t>
        </is>
      </c>
      <c r="AD553" t="n">
        <v>0</v>
      </c>
      <c r="AE553" t="inlineStr"/>
      <c r="AF553" t="inlineStr"/>
      <c r="AG553" t="inlineStr"/>
      <c r="AH553" t="inlineStr"/>
      <c r="AI553" t="inlineStr"/>
      <c r="AJ553" t="inlineStr"/>
      <c r="AK553" t="inlineStr"/>
      <c r="AL553" t="inlineStr"/>
      <c r="AM553" t="inlineStr"/>
    </row>
    <row r="554">
      <c r="A554" t="inlineStr">
        <is>
          <t>083318B</t>
        </is>
      </c>
      <c r="B554" t="inlineStr">
        <is>
          <t>Master of Marine Science and Management</t>
        </is>
      </c>
      <c r="C554" t="inlineStr">
        <is>
          <t>Masters Degree (Coursework)</t>
        </is>
      </c>
      <c r="D554" t="inlineStr">
        <is>
          <t>Postgraduate coursework</t>
        </is>
      </c>
      <c r="E554" t="inlineStr">
        <is>
          <t>Advertised: official page in place</t>
        </is>
      </c>
      <c r="F554" t="inlineStr">
        <is>
          <t>https://www.sydney.edu.au/courses/courses/pc/master-of-marine-science-and-management.html</t>
        </is>
      </c>
      <c r="G554" t="inlineStr">
        <is>
          <t>https://www.sydney.edu.au/courses/courses/pc/master-of-marine-science-and-management.html</t>
        </is>
      </c>
      <c r="H554" t="inlineStr">
        <is>
          <t>Read</t>
        </is>
      </c>
      <c r="I554" t="inlineStr">
        <is>
          <t>Exact title match</t>
        </is>
      </c>
      <c r="J554" t="inlineStr"/>
      <c r="K554" t="inlineStr">
        <is>
          <t>Not sent to re-link</t>
        </is>
      </c>
      <c r="L554" t="inlineStr">
        <is>
          <t>Filled</t>
        </is>
      </c>
      <c r="M554" t="inlineStr">
        <is>
          <t>Not stated on course page</t>
        </is>
      </c>
      <c r="N554" t="inlineStr"/>
      <c r="O554" t="n">
        <v>0</v>
      </c>
      <c r="P554" t="inlineStr"/>
      <c r="Q554" t="inlineStr">
        <is>
          <t>Filled</t>
        </is>
      </c>
      <c r="R554" t="n">
        <v>6.5</v>
      </c>
      <c r="S554" t="inlineStr">
        <is>
          <t>Central English policy</t>
        </is>
      </c>
      <c r="T554" t="inlineStr">
        <is>
          <t>Central rule applies (value agrees)</t>
        </is>
      </c>
      <c r="U554" t="inlineStr"/>
      <c r="V554" t="inlineStr">
        <is>
          <t>Not stated on course page</t>
        </is>
      </c>
      <c r="W554" t="inlineStr"/>
      <c r="X554" t="inlineStr"/>
      <c r="Y554" t="n">
        <v>0</v>
      </c>
      <c r="Z554" t="inlineStr">
        <is>
          <t>No</t>
        </is>
      </c>
      <c r="AA554" t="inlineStr">
        <is>
          <t>Filled</t>
        </is>
      </c>
      <c r="AB554" t="inlineStr">
        <is>
          <t>on campus</t>
        </is>
      </c>
      <c r="AC554" t="inlineStr"/>
      <c r="AD554" t="n">
        <v>0</v>
      </c>
      <c r="AE554" t="inlineStr"/>
      <c r="AF554" t="inlineStr"/>
      <c r="AG554" t="inlineStr"/>
      <c r="AH554" t="inlineStr"/>
      <c r="AI554" t="inlineStr">
        <is>
          <t>Yes</t>
        </is>
      </c>
      <c r="AJ554" t="inlineStr"/>
      <c r="AK554" t="inlineStr"/>
      <c r="AL554" t="inlineStr"/>
      <c r="AM554" t="inlineStr"/>
    </row>
    <row r="555">
      <c r="A555" t="inlineStr">
        <is>
          <t>062970C</t>
        </is>
      </c>
      <c r="B555" t="inlineStr">
        <is>
          <t>Master of Marketing</t>
        </is>
      </c>
      <c r="C555" t="inlineStr">
        <is>
          <t>Masters Degree (Coursework)</t>
        </is>
      </c>
      <c r="D555" t="inlineStr">
        <is>
          <t>Postgraduate coursework</t>
        </is>
      </c>
      <c r="E555" t="inlineStr">
        <is>
          <t>Page found, needs a rendered read</t>
        </is>
      </c>
      <c r="F555" t="inlineStr"/>
      <c r="G555" t="inlineStr">
        <is>
          <t>https://www.sydney.edu.au/courses/courses/pc/master-of-marketing.html</t>
        </is>
      </c>
      <c r="H555" t="inlineStr">
        <is>
          <t>Needs a rendered read</t>
        </is>
      </c>
      <c r="I555" t="inlineStr"/>
      <c r="J555" t="inlineStr"/>
      <c r="K555" t="inlineStr">
        <is>
          <t>Finished, no page: every candidate address was refused by the reader or did not</t>
        </is>
      </c>
      <c r="L555" t="inlineStr">
        <is>
          <t>Page found, being read</t>
        </is>
      </c>
      <c r="M555" t="inlineStr">
        <is>
          <t>Page found, being read</t>
        </is>
      </c>
      <c r="N555" t="inlineStr"/>
      <c r="O555" t="n">
        <v>0</v>
      </c>
      <c r="P555" t="inlineStr"/>
      <c r="Q555" t="inlineStr">
        <is>
          <t>Filled</t>
        </is>
      </c>
      <c r="R555" t="n">
        <v>6.5</v>
      </c>
      <c r="S555" t="inlineStr">
        <is>
          <t>Central English policy</t>
        </is>
      </c>
      <c r="T555" t="inlineStr">
        <is>
          <t>Central rule applies (value agrees)</t>
        </is>
      </c>
      <c r="U555" t="inlineStr"/>
      <c r="V555" t="inlineStr">
        <is>
          <t>Page found, being read</t>
        </is>
      </c>
      <c r="W555" t="inlineStr"/>
      <c r="X555" t="inlineStr"/>
      <c r="Y555" t="n">
        <v>0</v>
      </c>
      <c r="Z555" t="inlineStr">
        <is>
          <t>No</t>
        </is>
      </c>
      <c r="AA555" t="inlineStr">
        <is>
          <t>Not stated on course page</t>
        </is>
      </c>
      <c r="AB555" t="inlineStr"/>
      <c r="AC555" t="inlineStr">
        <is>
          <t>Skipped: the page does not state it</t>
        </is>
      </c>
      <c r="AD555" t="n">
        <v>0</v>
      </c>
      <c r="AE555" t="inlineStr">
        <is>
          <t>Yes</t>
        </is>
      </c>
      <c r="AF555" t="inlineStr"/>
      <c r="AG555" t="inlineStr"/>
      <c r="AH555" t="inlineStr"/>
      <c r="AI555" t="inlineStr"/>
      <c r="AJ555" t="inlineStr"/>
      <c r="AK555" t="inlineStr"/>
      <c r="AL555" t="inlineStr"/>
      <c r="AM555" t="inlineStr"/>
    </row>
    <row r="556">
      <c r="A556" t="inlineStr">
        <is>
          <t>097035J</t>
        </is>
      </c>
      <c r="B556" t="inlineStr">
        <is>
          <t>Master of Mathematical Sciences</t>
        </is>
      </c>
      <c r="C556" t="inlineStr">
        <is>
          <t>Masters Degree (Coursework)</t>
        </is>
      </c>
      <c r="D556" t="inlineStr">
        <is>
          <t>Postgraduate coursework</t>
        </is>
      </c>
      <c r="E556" t="inlineStr">
        <is>
          <t>Page read, not yet admitted</t>
        </is>
      </c>
      <c r="F556" t="inlineStr"/>
      <c r="G556" t="inlineStr">
        <is>
          <t>https://www.sydney.edu.au/courses/courses/pc/master-of-mathematical-sciences.html</t>
        </is>
      </c>
      <c r="H556" t="inlineStr">
        <is>
          <t>Read</t>
        </is>
      </c>
      <c r="I556" t="inlineStr">
        <is>
          <t>Set by hand</t>
        </is>
      </c>
      <c r="J556" t="inlineStr"/>
      <c r="K556" t="inlineStr">
        <is>
          <t>Not sent to re-link</t>
        </is>
      </c>
      <c r="L556" t="inlineStr">
        <is>
          <t>Not stated on course page</t>
        </is>
      </c>
      <c r="M556" t="inlineStr">
        <is>
          <t>Not stated on course page</t>
        </is>
      </c>
      <c r="N556" t="inlineStr"/>
      <c r="O556" t="n">
        <v>0</v>
      </c>
      <c r="P556" t="inlineStr"/>
      <c r="Q556" t="inlineStr">
        <is>
          <t>Filled</t>
        </is>
      </c>
      <c r="R556" t="n">
        <v>6.5</v>
      </c>
      <c r="S556" t="inlineStr">
        <is>
          <t>Central English policy</t>
        </is>
      </c>
      <c r="T556" t="inlineStr">
        <is>
          <t>Central rule applies (value agrees)</t>
        </is>
      </c>
      <c r="U556" t="inlineStr"/>
      <c r="V556" t="inlineStr">
        <is>
          <t>Not stated on course page</t>
        </is>
      </c>
      <c r="W556" t="inlineStr"/>
      <c r="X556" t="inlineStr"/>
      <c r="Y556" t="n">
        <v>0</v>
      </c>
      <c r="Z556" t="inlineStr">
        <is>
          <t>No</t>
        </is>
      </c>
      <c r="AA556" t="inlineStr">
        <is>
          <t>Not stated on course page</t>
        </is>
      </c>
      <c r="AB556" t="inlineStr"/>
      <c r="AC556" t="inlineStr">
        <is>
          <t>Skipped: the page does not state it</t>
        </is>
      </c>
      <c r="AD556" t="n">
        <v>0</v>
      </c>
      <c r="AE556" t="inlineStr"/>
      <c r="AF556" t="inlineStr"/>
      <c r="AG556" t="inlineStr"/>
      <c r="AH556" t="inlineStr"/>
      <c r="AI556" t="inlineStr"/>
      <c r="AJ556" t="inlineStr"/>
      <c r="AK556" t="inlineStr"/>
      <c r="AL556" t="inlineStr"/>
      <c r="AM556" t="inlineStr"/>
    </row>
    <row r="557">
      <c r="A557" t="inlineStr">
        <is>
          <t>078670F</t>
        </is>
      </c>
      <c r="B557" t="inlineStr">
        <is>
          <t>Master of Media Practice</t>
        </is>
      </c>
      <c r="C557" t="inlineStr">
        <is>
          <t>Masters Degree (Coursework)</t>
        </is>
      </c>
      <c r="D557" t="inlineStr">
        <is>
          <t>Postgraduate coursework</t>
        </is>
      </c>
      <c r="E557" t="inlineStr">
        <is>
          <t>Advertised: official page in place</t>
        </is>
      </c>
      <c r="F557" t="inlineStr">
        <is>
          <t>https://www.sydney.edu.au/courses/courses/pc/master-of-media-practice.html</t>
        </is>
      </c>
      <c r="G557" t="inlineStr">
        <is>
          <t>https://www.sydney.edu.au/courses/courses/pc/master-of-media-practice.html</t>
        </is>
      </c>
      <c r="H557" t="inlineStr">
        <is>
          <t>Read</t>
        </is>
      </c>
      <c r="I557" t="inlineStr">
        <is>
          <t>Exact title match</t>
        </is>
      </c>
      <c r="J557" t="inlineStr"/>
      <c r="K557" t="inlineStr">
        <is>
          <t>Not sent to re-link</t>
        </is>
      </c>
      <c r="L557" t="inlineStr">
        <is>
          <t>Filled</t>
        </is>
      </c>
      <c r="M557" t="inlineStr">
        <is>
          <t>Not stated on course page</t>
        </is>
      </c>
      <c r="N557" t="inlineStr"/>
      <c r="O557" t="n">
        <v>0</v>
      </c>
      <c r="P557" t="inlineStr"/>
      <c r="Q557" t="inlineStr">
        <is>
          <t>Filled</t>
        </is>
      </c>
      <c r="R557" t="n">
        <v>6.5</v>
      </c>
      <c r="S557" t="inlineStr">
        <is>
          <t>Central English policy</t>
        </is>
      </c>
      <c r="T557" t="inlineStr">
        <is>
          <t>Central rule applies (value agrees)</t>
        </is>
      </c>
      <c r="U557" t="inlineStr"/>
      <c r="V557" t="inlineStr">
        <is>
          <t>Not stated on course page</t>
        </is>
      </c>
      <c r="W557" t="inlineStr"/>
      <c r="X557" t="inlineStr"/>
      <c r="Y557" t="n">
        <v>0</v>
      </c>
      <c r="Z557" t="inlineStr">
        <is>
          <t>No</t>
        </is>
      </c>
      <c r="AA557" t="inlineStr">
        <is>
          <t>Filled</t>
        </is>
      </c>
      <c r="AB557" t="inlineStr">
        <is>
          <t>on campus</t>
        </is>
      </c>
      <c r="AC557" t="inlineStr"/>
      <c r="AD557" t="n">
        <v>0</v>
      </c>
      <c r="AE557" t="inlineStr"/>
      <c r="AF557" t="inlineStr"/>
      <c r="AG557" t="inlineStr"/>
      <c r="AH557" t="inlineStr"/>
      <c r="AI557" t="inlineStr">
        <is>
          <t>Yes</t>
        </is>
      </c>
      <c r="AJ557" t="inlineStr"/>
      <c r="AK557" t="inlineStr"/>
      <c r="AL557" t="inlineStr"/>
      <c r="AM557" t="inlineStr"/>
    </row>
    <row r="558">
      <c r="A558" t="inlineStr">
        <is>
          <t>050097E</t>
        </is>
      </c>
      <c r="B558" t="inlineStr">
        <is>
          <t>Master of Medical Physics</t>
        </is>
      </c>
      <c r="C558" t="inlineStr">
        <is>
          <t>Masters Degree (Coursework)</t>
        </is>
      </c>
      <c r="D558" t="inlineStr">
        <is>
          <t>Postgraduate coursework</t>
        </is>
      </c>
      <c r="E558" t="inlineStr">
        <is>
          <t>Advertised: official page in place</t>
        </is>
      </c>
      <c r="F558" t="inlineStr">
        <is>
          <t>https://www.sydney.edu.au/courses/courses/pc/master-of-medical-physics.html</t>
        </is>
      </c>
      <c r="G558" t="inlineStr">
        <is>
          <t>https://www.sydney.edu.au/courses/courses/pc/master-of-medical-physics.html</t>
        </is>
      </c>
      <c r="H558" t="inlineStr">
        <is>
          <t>Read</t>
        </is>
      </c>
      <c r="I558" t="inlineStr">
        <is>
          <t>Exact title match</t>
        </is>
      </c>
      <c r="J558" t="inlineStr"/>
      <c r="K558" t="inlineStr">
        <is>
          <t>Not sent to re-link</t>
        </is>
      </c>
      <c r="L558" t="inlineStr">
        <is>
          <t>Filled</t>
        </is>
      </c>
      <c r="M558" t="inlineStr">
        <is>
          <t>Not stated on course page</t>
        </is>
      </c>
      <c r="N558" t="inlineStr"/>
      <c r="O558" t="n">
        <v>0</v>
      </c>
      <c r="P558" t="inlineStr"/>
      <c r="Q558" t="inlineStr">
        <is>
          <t>Filled</t>
        </is>
      </c>
      <c r="R558" t="n">
        <v>6.5</v>
      </c>
      <c r="S558" t="inlineStr">
        <is>
          <t>Central English policy</t>
        </is>
      </c>
      <c r="T558" t="inlineStr">
        <is>
          <t>Central rule applies (value agrees)</t>
        </is>
      </c>
      <c r="U558" t="inlineStr"/>
      <c r="V558" t="inlineStr">
        <is>
          <t>Not stated on course page</t>
        </is>
      </c>
      <c r="W558" t="inlineStr"/>
      <c r="X558" t="inlineStr"/>
      <c r="Y558" t="n">
        <v>0</v>
      </c>
      <c r="Z558" t="inlineStr">
        <is>
          <t>No</t>
        </is>
      </c>
      <c r="AA558" t="inlineStr">
        <is>
          <t>Filled</t>
        </is>
      </c>
      <c r="AB558" t="inlineStr">
        <is>
          <t>on campus</t>
        </is>
      </c>
      <c r="AC558" t="inlineStr"/>
      <c r="AD558" t="n">
        <v>0</v>
      </c>
      <c r="AE558" t="inlineStr"/>
      <c r="AF558" t="inlineStr"/>
      <c r="AG558" t="inlineStr"/>
      <c r="AH558" t="inlineStr"/>
      <c r="AI558" t="inlineStr">
        <is>
          <t>Yes</t>
        </is>
      </c>
      <c r="AJ558" t="inlineStr"/>
      <c r="AK558" t="inlineStr"/>
      <c r="AL558" t="inlineStr"/>
      <c r="AM558" t="inlineStr"/>
    </row>
    <row r="559">
      <c r="A559" t="inlineStr">
        <is>
          <t>083644K</t>
        </is>
      </c>
      <c r="B559" t="inlineStr">
        <is>
          <t>Master of Medicine (Advanced)</t>
        </is>
      </c>
      <c r="C559" t="inlineStr">
        <is>
          <t>Masters Degree (Coursework)</t>
        </is>
      </c>
      <c r="D559" t="inlineStr">
        <is>
          <t>Postgraduate coursework</t>
        </is>
      </c>
      <c r="E559" t="inlineStr">
        <is>
          <t>Advertised: official page in place</t>
        </is>
      </c>
      <c r="F559" t="inlineStr">
        <is>
          <t>https://www.sydney.edu.au/courses/courses/pc/master-of-medicine-advanced-pharmaceutical-and-medical-device-development.html</t>
        </is>
      </c>
      <c r="G559" t="inlineStr">
        <is>
          <t>https://www.sydney.edu.au/courses/courses/pc/master-of-medicine-advanced-pharmaceutical-and-medical-device-development.html</t>
        </is>
      </c>
      <c r="H559" t="inlineStr">
        <is>
          <t>Read</t>
        </is>
      </c>
      <c r="I559" t="inlineStr">
        <is>
          <t>Exact title match</t>
        </is>
      </c>
      <c r="J559" t="inlineStr"/>
      <c r="K559" t="inlineStr">
        <is>
          <t>Not sent to re-link</t>
        </is>
      </c>
      <c r="L559" t="inlineStr">
        <is>
          <t>Filled</t>
        </is>
      </c>
      <c r="M559" t="inlineStr">
        <is>
          <t>Not stated on course page</t>
        </is>
      </c>
      <c r="N559" t="inlineStr"/>
      <c r="O559" t="n">
        <v>0</v>
      </c>
      <c r="P559" t="inlineStr"/>
      <c r="Q559" t="inlineStr">
        <is>
          <t>Filled</t>
        </is>
      </c>
      <c r="R559" t="n">
        <v>6.5</v>
      </c>
      <c r="S559" t="inlineStr">
        <is>
          <t>Central English policy</t>
        </is>
      </c>
      <c r="T559" t="inlineStr">
        <is>
          <t>Central rule applies (value agrees)</t>
        </is>
      </c>
      <c r="U559" t="inlineStr"/>
      <c r="V559" t="inlineStr">
        <is>
          <t>Not stated on course page</t>
        </is>
      </c>
      <c r="W559" t="inlineStr"/>
      <c r="X559" t="inlineStr"/>
      <c r="Y559" t="n">
        <v>0</v>
      </c>
      <c r="Z559" t="inlineStr">
        <is>
          <t>No</t>
        </is>
      </c>
      <c r="AA559" t="inlineStr">
        <is>
          <t>Filled</t>
        </is>
      </c>
      <c r="AB559" t="inlineStr">
        <is>
          <t>online</t>
        </is>
      </c>
      <c r="AC559" t="inlineStr">
        <is>
          <t>Filled</t>
        </is>
      </c>
      <c r="AD559" t="n">
        <v>0</v>
      </c>
      <c r="AE559" t="inlineStr"/>
      <c r="AF559" t="inlineStr"/>
      <c r="AG559" t="inlineStr"/>
      <c r="AH559" t="inlineStr"/>
      <c r="AI559" t="inlineStr">
        <is>
          <t>Yes</t>
        </is>
      </c>
      <c r="AJ559" t="inlineStr"/>
      <c r="AK559" t="inlineStr"/>
      <c r="AL559" t="inlineStr"/>
      <c r="AM559" t="inlineStr"/>
    </row>
    <row r="560">
      <c r="A560" t="inlineStr">
        <is>
          <t>107856G</t>
        </is>
      </c>
      <c r="B560" t="inlineStr">
        <is>
          <t>Master of Medicine (Advanced) (Sexual and Reproductive Health)</t>
        </is>
      </c>
      <c r="C560" t="inlineStr">
        <is>
          <t>Masters Degree (Coursework)</t>
        </is>
      </c>
      <c r="D560" t="inlineStr">
        <is>
          <t>Postgraduate coursework</t>
        </is>
      </c>
      <c r="E560" t="inlineStr">
        <is>
          <t>Advertised: official page in place</t>
        </is>
      </c>
      <c r="F560" t="inlineStr">
        <is>
          <t>https://www.sydney.edu.au/courses/courses/pc/master-of-medicine-advanced-sexual-and-reproductive-health0.html</t>
        </is>
      </c>
      <c r="G560" t="inlineStr">
        <is>
          <t>https://www.sydney.edu.au/courses/courses/pc/master-of-medicine-advanced-sexual-and-reproductive-health0.html</t>
        </is>
      </c>
      <c r="H560" t="inlineStr">
        <is>
          <t>Read</t>
        </is>
      </c>
      <c r="I560" t="inlineStr">
        <is>
          <t>Exact title match</t>
        </is>
      </c>
      <c r="J560" t="inlineStr"/>
      <c r="K560" t="inlineStr">
        <is>
          <t>Not sent to re-link</t>
        </is>
      </c>
      <c r="L560" t="inlineStr">
        <is>
          <t>Filled</t>
        </is>
      </c>
      <c r="M560" t="inlineStr">
        <is>
          <t>Not stated on course page</t>
        </is>
      </c>
      <c r="N560" t="inlineStr"/>
      <c r="O560" t="n">
        <v>0</v>
      </c>
      <c r="P560" t="inlineStr"/>
      <c r="Q560" t="inlineStr">
        <is>
          <t>Filled</t>
        </is>
      </c>
      <c r="R560" t="n">
        <v>6.5</v>
      </c>
      <c r="S560" t="inlineStr">
        <is>
          <t>Central English policy</t>
        </is>
      </c>
      <c r="T560" t="inlineStr">
        <is>
          <t>Central rule applies (value agrees)</t>
        </is>
      </c>
      <c r="U560" t="inlineStr"/>
      <c r="V560" t="inlineStr">
        <is>
          <t>Not stated on course page</t>
        </is>
      </c>
      <c r="W560" t="inlineStr"/>
      <c r="X560" t="inlineStr"/>
      <c r="Y560" t="n">
        <v>0</v>
      </c>
      <c r="Z560" t="inlineStr">
        <is>
          <t>No</t>
        </is>
      </c>
      <c r="AA560" t="inlineStr">
        <is>
          <t>Filled</t>
        </is>
      </c>
      <c r="AB560" t="inlineStr">
        <is>
          <t>on campus</t>
        </is>
      </c>
      <c r="AC560" t="inlineStr"/>
      <c r="AD560" t="n">
        <v>0</v>
      </c>
      <c r="AE560" t="inlineStr"/>
      <c r="AF560" t="inlineStr"/>
      <c r="AG560" t="inlineStr"/>
      <c r="AH560" t="inlineStr"/>
      <c r="AI560" t="inlineStr">
        <is>
          <t>Yes</t>
        </is>
      </c>
      <c r="AJ560" t="inlineStr"/>
      <c r="AK560" t="inlineStr"/>
      <c r="AL560" t="inlineStr"/>
      <c r="AM560" t="inlineStr"/>
    </row>
    <row r="561">
      <c r="A561" t="inlineStr">
        <is>
          <t>053865A</t>
        </is>
      </c>
      <c r="B561" t="inlineStr">
        <is>
          <t>Master of Medicine (Clinical Epidemiology)</t>
        </is>
      </c>
      <c r="C561" t="inlineStr">
        <is>
          <t>Masters Degree (Coursework)</t>
        </is>
      </c>
      <c r="D561" t="inlineStr">
        <is>
          <t>Postgraduate coursework</t>
        </is>
      </c>
      <c r="E561" t="inlineStr">
        <is>
          <t>Advertised: official page in place</t>
        </is>
      </c>
      <c r="F561" t="inlineStr">
        <is>
          <t>https://www.sydney.edu.au/courses/courses/pc/master-of-medicine-clinical-epidemiology.html</t>
        </is>
      </c>
      <c r="G561" t="inlineStr">
        <is>
          <t>https://www.sydney.edu.au/courses/courses/pc/master-of-medicine-clinical-epidemiology.html</t>
        </is>
      </c>
      <c r="H561" t="inlineStr">
        <is>
          <t>Read</t>
        </is>
      </c>
      <c r="I561" t="inlineStr">
        <is>
          <t>Exact title match</t>
        </is>
      </c>
      <c r="J561" t="inlineStr"/>
      <c r="K561" t="inlineStr">
        <is>
          <t>Not sent to re-link</t>
        </is>
      </c>
      <c r="L561" t="inlineStr">
        <is>
          <t>Filled</t>
        </is>
      </c>
      <c r="M561" t="inlineStr">
        <is>
          <t>Not stated on course page</t>
        </is>
      </c>
      <c r="N561" t="inlineStr"/>
      <c r="O561" t="n">
        <v>0</v>
      </c>
      <c r="P561" t="inlineStr"/>
      <c r="Q561" t="inlineStr">
        <is>
          <t>Filled</t>
        </is>
      </c>
      <c r="R561" t="n">
        <v>6.5</v>
      </c>
      <c r="S561" t="inlineStr">
        <is>
          <t>Central English policy</t>
        </is>
      </c>
      <c r="T561" t="inlineStr">
        <is>
          <t>Central rule applies (value agrees)</t>
        </is>
      </c>
      <c r="U561" t="inlineStr"/>
      <c r="V561" t="inlineStr">
        <is>
          <t>Not stated on course page</t>
        </is>
      </c>
      <c r="W561" t="inlineStr"/>
      <c r="X561" t="inlineStr"/>
      <c r="Y561" t="n">
        <v>0</v>
      </c>
      <c r="Z561" t="inlineStr">
        <is>
          <t>No</t>
        </is>
      </c>
      <c r="AA561" t="inlineStr">
        <is>
          <t>Filled</t>
        </is>
      </c>
      <c r="AB561" t="inlineStr">
        <is>
          <t>on campus</t>
        </is>
      </c>
      <c r="AC561" t="inlineStr"/>
      <c r="AD561" t="n">
        <v>0</v>
      </c>
      <c r="AE561" t="inlineStr"/>
      <c r="AF561" t="inlineStr"/>
      <c r="AG561" t="inlineStr"/>
      <c r="AH561" t="inlineStr"/>
      <c r="AI561" t="inlineStr">
        <is>
          <t>Yes</t>
        </is>
      </c>
      <c r="AJ561" t="inlineStr"/>
      <c r="AK561" t="inlineStr"/>
      <c r="AL561" t="inlineStr"/>
      <c r="AM561" t="inlineStr"/>
    </row>
    <row r="562">
      <c r="A562" t="inlineStr">
        <is>
          <t>107850B</t>
        </is>
      </c>
      <c r="B562" t="inlineStr">
        <is>
          <t>Master of Medicine (Sexual and Reproductive Health)</t>
        </is>
      </c>
      <c r="C562" t="inlineStr">
        <is>
          <t>Masters Degree (Coursework)</t>
        </is>
      </c>
      <c r="D562" t="inlineStr">
        <is>
          <t>Postgraduate coursework</t>
        </is>
      </c>
      <c r="E562" t="inlineStr">
        <is>
          <t>Advertised: official page in place</t>
        </is>
      </c>
      <c r="F562" t="inlineStr">
        <is>
          <t>https://www.sydney.edu.au/courses/courses/pc/master-of-medicine-sexual-and-reproductive-health0.html</t>
        </is>
      </c>
      <c r="G562" t="inlineStr">
        <is>
          <t>https://www.sydney.edu.au/courses/courses/pc/master-of-medicine-sexual-and-reproductive-health0.html</t>
        </is>
      </c>
      <c r="H562" t="inlineStr">
        <is>
          <t>Read</t>
        </is>
      </c>
      <c r="I562" t="inlineStr">
        <is>
          <t>Exact title match</t>
        </is>
      </c>
      <c r="J562" t="inlineStr"/>
      <c r="K562" t="inlineStr">
        <is>
          <t>Not sent to re-link</t>
        </is>
      </c>
      <c r="L562" t="inlineStr">
        <is>
          <t>Filled</t>
        </is>
      </c>
      <c r="M562" t="inlineStr">
        <is>
          <t>Not stated on course page</t>
        </is>
      </c>
      <c r="N562" t="inlineStr"/>
      <c r="O562" t="n">
        <v>0</v>
      </c>
      <c r="P562" t="inlineStr"/>
      <c r="Q562" t="inlineStr">
        <is>
          <t>Filled</t>
        </is>
      </c>
      <c r="R562" t="n">
        <v>6.5</v>
      </c>
      <c r="S562" t="inlineStr">
        <is>
          <t>Central English policy</t>
        </is>
      </c>
      <c r="T562" t="inlineStr">
        <is>
          <t>Central rule applies (value agrees)</t>
        </is>
      </c>
      <c r="U562" t="inlineStr"/>
      <c r="V562" t="inlineStr">
        <is>
          <t>Not stated on course page</t>
        </is>
      </c>
      <c r="W562" t="inlineStr"/>
      <c r="X562" t="inlineStr"/>
      <c r="Y562" t="n">
        <v>0</v>
      </c>
      <c r="Z562" t="inlineStr">
        <is>
          <t>No</t>
        </is>
      </c>
      <c r="AA562" t="inlineStr">
        <is>
          <t>Filled</t>
        </is>
      </c>
      <c r="AB562" t="inlineStr">
        <is>
          <t>on campus</t>
        </is>
      </c>
      <c r="AC562" t="inlineStr"/>
      <c r="AD562" t="n">
        <v>0</v>
      </c>
      <c r="AE562" t="inlineStr"/>
      <c r="AF562" t="inlineStr"/>
      <c r="AG562" t="inlineStr"/>
      <c r="AH562" t="inlineStr"/>
      <c r="AI562" t="inlineStr">
        <is>
          <t>Yes</t>
        </is>
      </c>
      <c r="AJ562" t="inlineStr"/>
      <c r="AK562" t="inlineStr"/>
      <c r="AL562" t="inlineStr"/>
      <c r="AM562" t="inlineStr"/>
    </row>
    <row r="563">
      <c r="A563" t="inlineStr">
        <is>
          <t>068710G</t>
        </is>
      </c>
      <c r="B563" t="inlineStr">
        <is>
          <t>Master of Mental Health Nursing</t>
        </is>
      </c>
      <c r="C563" t="inlineStr">
        <is>
          <t>Masters Degree (Coursework)</t>
        </is>
      </c>
      <c r="D563" t="inlineStr">
        <is>
          <t>Postgraduate coursework</t>
        </is>
      </c>
      <c r="E563" t="inlineStr">
        <is>
          <t>Page found, needs a rendered read</t>
        </is>
      </c>
      <c r="F563" t="inlineStr"/>
      <c r="G563" t="inlineStr">
        <is>
          <t>https://www.sydney.edu.au/courses/courses/pc/master-of-mental-health-nursing.html</t>
        </is>
      </c>
      <c r="H563" t="inlineStr">
        <is>
          <t>Needs a rendered read</t>
        </is>
      </c>
      <c r="I563" t="inlineStr"/>
      <c r="J563" t="inlineStr"/>
      <c r="K563" t="inlineStr">
        <is>
          <t>Finished, no page: every candidate address was refused by the reader or did not</t>
        </is>
      </c>
      <c r="L563" t="inlineStr">
        <is>
          <t>Page found, being read</t>
        </is>
      </c>
      <c r="M563" t="inlineStr">
        <is>
          <t>Page found, being read</t>
        </is>
      </c>
      <c r="N563" t="inlineStr"/>
      <c r="O563" t="n">
        <v>0</v>
      </c>
      <c r="P563" t="inlineStr"/>
      <c r="Q563" t="inlineStr">
        <is>
          <t>Filled</t>
        </is>
      </c>
      <c r="R563" t="n">
        <v>6.5</v>
      </c>
      <c r="S563" t="inlineStr">
        <is>
          <t>Central English policy</t>
        </is>
      </c>
      <c r="T563" t="inlineStr">
        <is>
          <t>Central rule applies (value agrees)</t>
        </is>
      </c>
      <c r="U563" t="inlineStr"/>
      <c r="V563" t="inlineStr">
        <is>
          <t>Page found, being read</t>
        </is>
      </c>
      <c r="W563" t="inlineStr"/>
      <c r="X563" t="inlineStr"/>
      <c r="Y563" t="n">
        <v>0</v>
      </c>
      <c r="Z563" t="inlineStr">
        <is>
          <t>No</t>
        </is>
      </c>
      <c r="AA563" t="inlineStr">
        <is>
          <t>Not stated on course page</t>
        </is>
      </c>
      <c r="AB563" t="inlineStr"/>
      <c r="AC563" t="inlineStr">
        <is>
          <t>Skipped: no allowed source had a value</t>
        </is>
      </c>
      <c r="AD563" t="n">
        <v>1</v>
      </c>
      <c r="AE563" t="inlineStr">
        <is>
          <t>Yes</t>
        </is>
      </c>
      <c r="AF563" t="inlineStr"/>
      <c r="AG563" t="inlineStr"/>
      <c r="AH563" t="inlineStr"/>
      <c r="AI563" t="inlineStr"/>
      <c r="AJ563" t="inlineStr"/>
      <c r="AK563" t="inlineStr"/>
      <c r="AL563" t="inlineStr"/>
      <c r="AM563" t="inlineStr"/>
    </row>
    <row r="564">
      <c r="A564" t="inlineStr">
        <is>
          <t>083287D</t>
        </is>
      </c>
      <c r="B564" t="inlineStr">
        <is>
          <t>Master of Moving Image</t>
        </is>
      </c>
      <c r="C564" t="inlineStr">
        <is>
          <t>Masters Degree (Coursework)</t>
        </is>
      </c>
      <c r="D564" t="inlineStr">
        <is>
          <t>Postgraduate coursework</t>
        </is>
      </c>
      <c r="E564" t="inlineStr">
        <is>
          <t>Held: page found is for another course</t>
        </is>
      </c>
      <c r="F564" t="inlineStr"/>
      <c r="G564" t="inlineStr">
        <is>
          <t>https://rp-handbooks.sydney.edu.au/handbooks/archive/2016/sca/postgraduate/coursework/m_moving_image.shtml.html</t>
        </is>
      </c>
      <c r="H564" t="inlineStr">
        <is>
          <t>Not a course page</t>
        </is>
      </c>
      <c r="I564" t="inlineStr"/>
      <c r="J564" t="inlineStr"/>
      <c r="K564" t="inlineStr">
        <is>
          <t>Not sent to re-link</t>
        </is>
      </c>
      <c r="L564" t="inlineStr">
        <is>
          <t>Not stated on course page</t>
        </is>
      </c>
      <c r="M564" t="inlineStr">
        <is>
          <t>Not stated on course page</t>
        </is>
      </c>
      <c r="N564" t="inlineStr"/>
      <c r="O564" t="n">
        <v>0</v>
      </c>
      <c r="P564" t="inlineStr"/>
      <c r="Q564" t="inlineStr">
        <is>
          <t>Filled</t>
        </is>
      </c>
      <c r="R564" t="n">
        <v>6.5</v>
      </c>
      <c r="S564" t="inlineStr">
        <is>
          <t>Central English policy</t>
        </is>
      </c>
      <c r="T564" t="inlineStr">
        <is>
          <t>Central rule applies (value agrees)</t>
        </is>
      </c>
      <c r="U564" t="inlineStr"/>
      <c r="V564" t="inlineStr">
        <is>
          <t>Filled</t>
        </is>
      </c>
      <c r="W564" t="inlineStr">
        <is>
          <t>July</t>
        </is>
      </c>
      <c r="X564" t="inlineStr">
        <is>
          <t>Page reader</t>
        </is>
      </c>
      <c r="Y564" t="n">
        <v>0</v>
      </c>
      <c r="Z564" t="inlineStr">
        <is>
          <t>No</t>
        </is>
      </c>
      <c r="AA564" t="inlineStr">
        <is>
          <t>Not stated on course page</t>
        </is>
      </c>
      <c r="AB564" t="inlineStr"/>
      <c r="AC564" t="inlineStr">
        <is>
          <t>Skipped: taken back: the page read was another course's page</t>
        </is>
      </c>
      <c r="AD564" t="n">
        <v>1</v>
      </c>
      <c r="AE564" t="inlineStr"/>
      <c r="AF564" t="inlineStr"/>
      <c r="AG564" t="inlineStr"/>
      <c r="AH564" t="inlineStr"/>
      <c r="AI564" t="inlineStr"/>
      <c r="AJ564" t="inlineStr"/>
      <c r="AK564" t="inlineStr"/>
      <c r="AL564" t="inlineStr"/>
      <c r="AM564" t="inlineStr"/>
    </row>
    <row r="565">
      <c r="A565" t="inlineStr">
        <is>
          <t>079208J</t>
        </is>
      </c>
      <c r="B565" t="inlineStr">
        <is>
          <t>Master of Museum and Heritage Studies</t>
        </is>
      </c>
      <c r="C565" t="inlineStr">
        <is>
          <t>Masters Degree (Coursework)</t>
        </is>
      </c>
      <c r="D565" t="inlineStr">
        <is>
          <t>Postgraduate coursework</t>
        </is>
      </c>
      <c r="E565" t="inlineStr">
        <is>
          <t>Advertised: official page in place</t>
        </is>
      </c>
      <c r="F565" t="inlineStr">
        <is>
          <t>https://www.sydney.edu.au/courses/courses/pc/master-of-museum-and-heritage-studies.html</t>
        </is>
      </c>
      <c r="G565" t="inlineStr">
        <is>
          <t>https://www.sydney.edu.au/courses/courses/pc/master-of-museum-and-heritage-studies.html</t>
        </is>
      </c>
      <c r="H565" t="inlineStr">
        <is>
          <t>Read</t>
        </is>
      </c>
      <c r="I565" t="inlineStr">
        <is>
          <t>Exact title match</t>
        </is>
      </c>
      <c r="J565" t="inlineStr"/>
      <c r="K565" t="inlineStr">
        <is>
          <t>Not sent to re-link</t>
        </is>
      </c>
      <c r="L565" t="inlineStr">
        <is>
          <t>Filled</t>
        </is>
      </c>
      <c r="M565" t="inlineStr">
        <is>
          <t>Not stated on course page</t>
        </is>
      </c>
      <c r="N565" t="inlineStr"/>
      <c r="O565" t="n">
        <v>0</v>
      </c>
      <c r="P565" t="inlineStr"/>
      <c r="Q565" t="inlineStr">
        <is>
          <t>Filled</t>
        </is>
      </c>
      <c r="R565" t="n">
        <v>6.5</v>
      </c>
      <c r="S565" t="inlineStr">
        <is>
          <t>Central English policy</t>
        </is>
      </c>
      <c r="T565" t="inlineStr">
        <is>
          <t>Central rule applies (value agrees)</t>
        </is>
      </c>
      <c r="U565" t="inlineStr"/>
      <c r="V565" t="inlineStr">
        <is>
          <t>Not stated on course page</t>
        </is>
      </c>
      <c r="W565" t="inlineStr"/>
      <c r="X565" t="inlineStr"/>
      <c r="Y565" t="n">
        <v>0</v>
      </c>
      <c r="Z565" t="inlineStr">
        <is>
          <t>No</t>
        </is>
      </c>
      <c r="AA565" t="inlineStr">
        <is>
          <t>Filled</t>
        </is>
      </c>
      <c r="AB565" t="inlineStr">
        <is>
          <t>on campus</t>
        </is>
      </c>
      <c r="AC565" t="inlineStr"/>
      <c r="AD565" t="n">
        <v>0</v>
      </c>
      <c r="AE565" t="inlineStr"/>
      <c r="AF565" t="inlineStr"/>
      <c r="AG565" t="inlineStr"/>
      <c r="AH565" t="inlineStr"/>
      <c r="AI565" t="inlineStr">
        <is>
          <t>Yes</t>
        </is>
      </c>
      <c r="AJ565" t="inlineStr"/>
      <c r="AK565" t="inlineStr"/>
      <c r="AL565" t="inlineStr"/>
      <c r="AM565" t="inlineStr"/>
    </row>
    <row r="566">
      <c r="A566" t="inlineStr">
        <is>
          <t>052441M</t>
        </is>
      </c>
      <c r="B566" t="inlineStr">
        <is>
          <t>Master of Music (Applied Research in Music Performance)</t>
        </is>
      </c>
      <c r="C566" t="inlineStr">
        <is>
          <t>Masters Degree (Research)</t>
        </is>
      </c>
      <c r="D566" t="inlineStr">
        <is>
          <t>Research degree</t>
        </is>
      </c>
      <c r="E566" t="inlineStr">
        <is>
          <t>Page address no longer works</t>
        </is>
      </c>
      <c r="F566" t="inlineStr"/>
      <c r="G566" t="inlineStr">
        <is>
          <t>https://www.sydney.edu.au/courses/courses/pr/master-of-music-applied-research-in-music-performance0.html</t>
        </is>
      </c>
      <c r="H566" t="inlineStr">
        <is>
          <t>Address no longer works</t>
        </is>
      </c>
      <c r="I566" t="inlineStr"/>
      <c r="J566" t="inlineStr"/>
      <c r="K566" t="inlineStr">
        <is>
          <t>Finished, no page: every candidate address was refused by the reader or did not</t>
        </is>
      </c>
      <c r="L566" t="inlineStr">
        <is>
          <t>Page found, being read</t>
        </is>
      </c>
      <c r="M566" t="inlineStr">
        <is>
          <t>Page found, being read</t>
        </is>
      </c>
      <c r="N566" t="inlineStr"/>
      <c r="O566" t="n">
        <v>0</v>
      </c>
      <c r="P566" t="inlineStr"/>
      <c r="Q566" t="inlineStr">
        <is>
          <t>Filled</t>
        </is>
      </c>
      <c r="R566" t="n">
        <v>6.5</v>
      </c>
      <c r="S566" t="inlineStr">
        <is>
          <t>Central English policy</t>
        </is>
      </c>
      <c r="T566" t="inlineStr">
        <is>
          <t>Central rule applies (value agrees)</t>
        </is>
      </c>
      <c r="U566" t="inlineStr"/>
      <c r="V566" t="inlineStr">
        <is>
          <t>Page found, being read</t>
        </is>
      </c>
      <c r="W566" t="inlineStr"/>
      <c r="X566" t="inlineStr"/>
      <c r="Y566" t="n">
        <v>0</v>
      </c>
      <c r="Z566" t="inlineStr">
        <is>
          <t>No</t>
        </is>
      </c>
      <c r="AA566" t="inlineStr">
        <is>
          <t>Not stated on course page</t>
        </is>
      </c>
      <c r="AB566" t="inlineStr"/>
      <c r="AC566" t="inlineStr">
        <is>
          <t>Skipped: no allowed source had a value</t>
        </is>
      </c>
      <c r="AD566" t="n">
        <v>1</v>
      </c>
      <c r="AE566" t="inlineStr"/>
      <c r="AF566" t="inlineStr"/>
      <c r="AG566" t="inlineStr"/>
      <c r="AH566" t="inlineStr"/>
      <c r="AI566" t="inlineStr"/>
      <c r="AJ566" t="inlineStr"/>
      <c r="AK566" t="inlineStr"/>
      <c r="AL566" t="inlineStr"/>
      <c r="AM566" t="inlineStr"/>
    </row>
    <row r="567">
      <c r="A567" t="inlineStr">
        <is>
          <t>019178G</t>
        </is>
      </c>
      <c r="B567" t="inlineStr">
        <is>
          <t>Master of Music (Composition)</t>
        </is>
      </c>
      <c r="C567" t="inlineStr">
        <is>
          <t>Masters Degree (Research)</t>
        </is>
      </c>
      <c r="D567" t="inlineStr">
        <is>
          <t>Research degree</t>
        </is>
      </c>
      <c r="E567" t="inlineStr">
        <is>
          <t>Advertised: official page in place</t>
        </is>
      </c>
      <c r="F567" t="inlineStr">
        <is>
          <t>https://www.sydney.edu.au/courses/courses/pr/master-of-music-composition0.html</t>
        </is>
      </c>
      <c r="G567" t="inlineStr">
        <is>
          <t>https://www.sydney.edu.au/courses/courses/pr/master-of-music-composition0.html</t>
        </is>
      </c>
      <c r="H567" t="inlineStr">
        <is>
          <t>Read</t>
        </is>
      </c>
      <c r="I567" t="inlineStr">
        <is>
          <t>Exact title match</t>
        </is>
      </c>
      <c r="J567" t="inlineStr"/>
      <c r="K567" t="inlineStr">
        <is>
          <t>Not sent to re-link</t>
        </is>
      </c>
      <c r="L567" t="inlineStr">
        <is>
          <t>Filled</t>
        </is>
      </c>
      <c r="M567" t="inlineStr">
        <is>
          <t>Not stated on course page</t>
        </is>
      </c>
      <c r="N567" t="inlineStr"/>
      <c r="O567" t="n">
        <v>0</v>
      </c>
      <c r="P567" t="inlineStr"/>
      <c r="Q567" t="inlineStr">
        <is>
          <t>Filled</t>
        </is>
      </c>
      <c r="R567" t="n">
        <v>6.5</v>
      </c>
      <c r="S567" t="inlineStr">
        <is>
          <t>Central English policy</t>
        </is>
      </c>
      <c r="T567" t="inlineStr">
        <is>
          <t>Central rule applies (value agrees)</t>
        </is>
      </c>
      <c r="U567" t="inlineStr"/>
      <c r="V567" t="inlineStr">
        <is>
          <t>Filled</t>
        </is>
      </c>
      <c r="W567" t="inlineStr">
        <is>
          <t>March, June, July, September</t>
        </is>
      </c>
      <c r="X567" t="inlineStr">
        <is>
          <t>Page reader</t>
        </is>
      </c>
      <c r="Y567" t="n">
        <v>0</v>
      </c>
      <c r="Z567" t="inlineStr">
        <is>
          <t>No</t>
        </is>
      </c>
      <c r="AA567" t="inlineStr">
        <is>
          <t>Filled</t>
        </is>
      </c>
      <c r="AB567" t="inlineStr">
        <is>
          <t>on campus</t>
        </is>
      </c>
      <c r="AC567" t="inlineStr"/>
      <c r="AD567" t="n">
        <v>0</v>
      </c>
      <c r="AE567" t="inlineStr"/>
      <c r="AF567" t="inlineStr"/>
      <c r="AG567" t="inlineStr"/>
      <c r="AH567" t="inlineStr"/>
      <c r="AI567" t="inlineStr"/>
      <c r="AJ567" t="inlineStr"/>
      <c r="AK567" t="inlineStr"/>
      <c r="AL567" t="inlineStr"/>
      <c r="AM567" t="inlineStr"/>
    </row>
    <row r="568">
      <c r="A568" t="inlineStr">
        <is>
          <t>008454E</t>
        </is>
      </c>
      <c r="B568" t="inlineStr">
        <is>
          <t>Master of Music (Music Education)</t>
        </is>
      </c>
      <c r="C568" t="inlineStr">
        <is>
          <t>Masters Degree (Research)</t>
        </is>
      </c>
      <c r="D568" t="inlineStr">
        <is>
          <t>Research degree</t>
        </is>
      </c>
      <c r="E568" t="inlineStr">
        <is>
          <t>Advertised: official page in place</t>
        </is>
      </c>
      <c r="F568" t="inlineStr">
        <is>
          <t>https://www.sydney.edu.au/courses/courses/pr/master-of-music-music-education0.html</t>
        </is>
      </c>
      <c r="G568" t="inlineStr">
        <is>
          <t>https://www.sydney.edu.au/courses/courses/pr/master-of-music-music-education0.html</t>
        </is>
      </c>
      <c r="H568" t="inlineStr">
        <is>
          <t>Read</t>
        </is>
      </c>
      <c r="I568" t="inlineStr">
        <is>
          <t>Exact title match</t>
        </is>
      </c>
      <c r="J568" t="inlineStr"/>
      <c r="K568" t="inlineStr">
        <is>
          <t>Not sent to re-link</t>
        </is>
      </c>
      <c r="L568" t="inlineStr">
        <is>
          <t>Filled</t>
        </is>
      </c>
      <c r="M568" t="inlineStr">
        <is>
          <t>Not stated on course page</t>
        </is>
      </c>
      <c r="N568" t="inlineStr"/>
      <c r="O568" t="n">
        <v>0</v>
      </c>
      <c r="P568" t="inlineStr"/>
      <c r="Q568" t="inlineStr">
        <is>
          <t>Filled</t>
        </is>
      </c>
      <c r="R568" t="n">
        <v>6.5</v>
      </c>
      <c r="S568" t="inlineStr">
        <is>
          <t>Central English policy</t>
        </is>
      </c>
      <c r="T568" t="inlineStr">
        <is>
          <t>Central rule applies (value agrees)</t>
        </is>
      </c>
      <c r="U568" t="inlineStr"/>
      <c r="V568" t="inlineStr">
        <is>
          <t>Filled</t>
        </is>
      </c>
      <c r="W568" t="inlineStr">
        <is>
          <t>February, March, April, June, July, August, September</t>
        </is>
      </c>
      <c r="X568" t="inlineStr">
        <is>
          <t>Page reader</t>
        </is>
      </c>
      <c r="Y568" t="n">
        <v>0</v>
      </c>
      <c r="Z568" t="inlineStr">
        <is>
          <t>No</t>
        </is>
      </c>
      <c r="AA568" t="inlineStr">
        <is>
          <t>Filled</t>
        </is>
      </c>
      <c r="AB568" t="inlineStr">
        <is>
          <t>on campus</t>
        </is>
      </c>
      <c r="AC568" t="inlineStr"/>
      <c r="AD568" t="n">
        <v>0</v>
      </c>
      <c r="AE568" t="inlineStr"/>
      <c r="AF568" t="inlineStr"/>
      <c r="AG568" t="inlineStr"/>
      <c r="AH568" t="inlineStr"/>
      <c r="AI568" t="inlineStr"/>
      <c r="AJ568" t="inlineStr"/>
      <c r="AK568" t="inlineStr"/>
      <c r="AL568" t="inlineStr"/>
      <c r="AM568" t="inlineStr"/>
    </row>
    <row r="569">
      <c r="A569" t="inlineStr">
        <is>
          <t>019180B</t>
        </is>
      </c>
      <c r="B569" t="inlineStr">
        <is>
          <t>Master of Music (Musicology)</t>
        </is>
      </c>
      <c r="C569" t="inlineStr">
        <is>
          <t>Masters Degree (Research)</t>
        </is>
      </c>
      <c r="D569" t="inlineStr">
        <is>
          <t>Research degree</t>
        </is>
      </c>
      <c r="E569" t="inlineStr">
        <is>
          <t>Advertised: official page in place</t>
        </is>
      </c>
      <c r="F569" t="inlineStr">
        <is>
          <t>https://www.sydney.edu.au/courses/courses/pr/master-of-music-musicology0.html</t>
        </is>
      </c>
      <c r="G569" t="inlineStr">
        <is>
          <t>https://www.sydney.edu.au/courses/courses/pr/master-of-music-musicology0.html</t>
        </is>
      </c>
      <c r="H569" t="inlineStr">
        <is>
          <t>Read</t>
        </is>
      </c>
      <c r="I569" t="inlineStr">
        <is>
          <t>Exact title match</t>
        </is>
      </c>
      <c r="J569" t="inlineStr"/>
      <c r="K569" t="inlineStr">
        <is>
          <t>Not sent to re-link</t>
        </is>
      </c>
      <c r="L569" t="inlineStr">
        <is>
          <t>Filled</t>
        </is>
      </c>
      <c r="M569" t="inlineStr">
        <is>
          <t>Not stated on course page</t>
        </is>
      </c>
      <c r="N569" t="inlineStr"/>
      <c r="O569" t="n">
        <v>0</v>
      </c>
      <c r="P569" t="inlineStr"/>
      <c r="Q569" t="inlineStr">
        <is>
          <t>Filled</t>
        </is>
      </c>
      <c r="R569" t="n">
        <v>6.5</v>
      </c>
      <c r="S569" t="inlineStr">
        <is>
          <t>Central English policy</t>
        </is>
      </c>
      <c r="T569" t="inlineStr">
        <is>
          <t>Central rule applies (value agrees)</t>
        </is>
      </c>
      <c r="U569" t="inlineStr"/>
      <c r="V569" t="inlineStr">
        <is>
          <t>Filled</t>
        </is>
      </c>
      <c r="W569" t="inlineStr">
        <is>
          <t>February, March, April, July, August, September</t>
        </is>
      </c>
      <c r="X569" t="inlineStr">
        <is>
          <t>Page reader</t>
        </is>
      </c>
      <c r="Y569" t="n">
        <v>0</v>
      </c>
      <c r="Z569" t="inlineStr">
        <is>
          <t>No</t>
        </is>
      </c>
      <c r="AA569" t="inlineStr">
        <is>
          <t>Filled</t>
        </is>
      </c>
      <c r="AB569" t="inlineStr">
        <is>
          <t>on campus</t>
        </is>
      </c>
      <c r="AC569" t="inlineStr"/>
      <c r="AD569" t="n">
        <v>0</v>
      </c>
      <c r="AE569" t="inlineStr"/>
      <c r="AF569" t="inlineStr"/>
      <c r="AG569" t="inlineStr"/>
      <c r="AH569" t="inlineStr"/>
      <c r="AI569" t="inlineStr"/>
      <c r="AJ569" t="inlineStr"/>
      <c r="AK569" t="inlineStr"/>
      <c r="AL569" t="inlineStr"/>
      <c r="AM569" t="inlineStr"/>
    </row>
    <row r="570">
      <c r="A570" t="inlineStr">
        <is>
          <t>007448M</t>
        </is>
      </c>
      <c r="B570" t="inlineStr">
        <is>
          <t>Master of Music (Performance)</t>
        </is>
      </c>
      <c r="C570" t="inlineStr">
        <is>
          <t>Masters Degree (Research)</t>
        </is>
      </c>
      <c r="D570" t="inlineStr">
        <is>
          <t>Research degree</t>
        </is>
      </c>
      <c r="E570" t="inlineStr">
        <is>
          <t>Advertised: official page in place</t>
        </is>
      </c>
      <c r="F570" t="inlineStr">
        <is>
          <t>https://www.sydney.edu.au/courses/courses/pr/master-of-music-performance0.html</t>
        </is>
      </c>
      <c r="G570" t="inlineStr">
        <is>
          <t>https://www.sydney.edu.au/courses/courses/pr/master-of-music-performance0.html</t>
        </is>
      </c>
      <c r="H570" t="inlineStr">
        <is>
          <t>Read</t>
        </is>
      </c>
      <c r="I570" t="inlineStr">
        <is>
          <t>Exact title match</t>
        </is>
      </c>
      <c r="J570" t="inlineStr"/>
      <c r="K570" t="inlineStr">
        <is>
          <t>Not sent to re-link</t>
        </is>
      </c>
      <c r="L570" t="inlineStr">
        <is>
          <t>Filled</t>
        </is>
      </c>
      <c r="M570" t="inlineStr">
        <is>
          <t>Not stated on course page</t>
        </is>
      </c>
      <c r="N570" t="inlineStr"/>
      <c r="O570" t="n">
        <v>0</v>
      </c>
      <c r="P570" t="inlineStr"/>
      <c r="Q570" t="inlineStr">
        <is>
          <t>Filled</t>
        </is>
      </c>
      <c r="R570" t="n">
        <v>6.5</v>
      </c>
      <c r="S570" t="inlineStr">
        <is>
          <t>Central English policy</t>
        </is>
      </c>
      <c r="T570" t="inlineStr">
        <is>
          <t>Central rule applies (value agrees)</t>
        </is>
      </c>
      <c r="U570" t="inlineStr"/>
      <c r="V570" t="inlineStr">
        <is>
          <t>Filled</t>
        </is>
      </c>
      <c r="W570" t="inlineStr">
        <is>
          <t>February, March, April, July, August</t>
        </is>
      </c>
      <c r="X570" t="inlineStr">
        <is>
          <t>Page reader</t>
        </is>
      </c>
      <c r="Y570" t="n">
        <v>0</v>
      </c>
      <c r="Z570" t="inlineStr">
        <is>
          <t>No</t>
        </is>
      </c>
      <c r="AA570" t="inlineStr">
        <is>
          <t>Filled</t>
        </is>
      </c>
      <c r="AB570" t="inlineStr">
        <is>
          <t>on campus</t>
        </is>
      </c>
      <c r="AC570" t="inlineStr"/>
      <c r="AD570" t="n">
        <v>0</v>
      </c>
      <c r="AE570" t="inlineStr"/>
      <c r="AF570" t="inlineStr"/>
      <c r="AG570" t="inlineStr"/>
      <c r="AH570" t="inlineStr"/>
      <c r="AI570" t="inlineStr"/>
      <c r="AJ570" t="inlineStr"/>
      <c r="AK570" t="inlineStr"/>
      <c r="AL570" t="inlineStr"/>
      <c r="AM570" t="inlineStr"/>
    </row>
    <row r="571">
      <c r="A571" t="inlineStr">
        <is>
          <t>077459F</t>
        </is>
      </c>
      <c r="B571" t="inlineStr">
        <is>
          <t>Master of Music Studies (Opera Performance)</t>
        </is>
      </c>
      <c r="C571" t="inlineStr">
        <is>
          <t>Masters Degree (Coursework)</t>
        </is>
      </c>
      <c r="D571" t="inlineStr">
        <is>
          <t>Postgraduate coursework</t>
        </is>
      </c>
      <c r="E571" t="inlineStr">
        <is>
          <t>Advertised: official page in place</t>
        </is>
      </c>
      <c r="F571" t="inlineStr">
        <is>
          <t>https://www.sydney.edu.au/courses/courses/pc/master-of-music-studies-opera-performance.html</t>
        </is>
      </c>
      <c r="G571" t="inlineStr">
        <is>
          <t>https://www.sydney.edu.au/courses/courses/pc/master-of-music-studies-opera-performance.html</t>
        </is>
      </c>
      <c r="H571" t="inlineStr">
        <is>
          <t>Read</t>
        </is>
      </c>
      <c r="I571" t="inlineStr">
        <is>
          <t>Exact title match</t>
        </is>
      </c>
      <c r="J571" t="inlineStr"/>
      <c r="K571" t="inlineStr">
        <is>
          <t>Not sent to re-link</t>
        </is>
      </c>
      <c r="L571" t="inlineStr">
        <is>
          <t>Filled</t>
        </is>
      </c>
      <c r="M571" t="inlineStr">
        <is>
          <t>Not stated on course page</t>
        </is>
      </c>
      <c r="N571" t="inlineStr"/>
      <c r="O571" t="n">
        <v>0</v>
      </c>
      <c r="P571" t="inlineStr"/>
      <c r="Q571" t="inlineStr">
        <is>
          <t>Filled</t>
        </is>
      </c>
      <c r="R571" t="n">
        <v>6.5</v>
      </c>
      <c r="S571" t="inlineStr">
        <is>
          <t>Central English policy</t>
        </is>
      </c>
      <c r="T571" t="inlineStr">
        <is>
          <t>Central rule applies (value agrees)</t>
        </is>
      </c>
      <c r="U571" t="inlineStr"/>
      <c r="V571" t="inlineStr">
        <is>
          <t>Not stated on course page</t>
        </is>
      </c>
      <c r="W571" t="inlineStr"/>
      <c r="X571" t="inlineStr"/>
      <c r="Y571" t="n">
        <v>0</v>
      </c>
      <c r="Z571" t="inlineStr">
        <is>
          <t>No</t>
        </is>
      </c>
      <c r="AA571" t="inlineStr">
        <is>
          <t>Filled</t>
        </is>
      </c>
      <c r="AB571" t="inlineStr">
        <is>
          <t>on campus</t>
        </is>
      </c>
      <c r="AC571" t="inlineStr"/>
      <c r="AD571" t="n">
        <v>0</v>
      </c>
      <c r="AE571" t="inlineStr"/>
      <c r="AF571" t="inlineStr"/>
      <c r="AG571" t="inlineStr"/>
      <c r="AH571" t="inlineStr"/>
      <c r="AI571" t="inlineStr">
        <is>
          <t>Yes</t>
        </is>
      </c>
      <c r="AJ571" t="inlineStr"/>
      <c r="AK571" t="inlineStr"/>
      <c r="AL571" t="inlineStr"/>
      <c r="AM571" t="inlineStr"/>
    </row>
    <row r="572">
      <c r="A572" t="inlineStr">
        <is>
          <t>058373C</t>
        </is>
      </c>
      <c r="B572" t="inlineStr">
        <is>
          <t>Master of Music Studies (Performance)</t>
        </is>
      </c>
      <c r="C572" t="inlineStr">
        <is>
          <t>Masters Degree (Coursework)</t>
        </is>
      </c>
      <c r="D572" t="inlineStr">
        <is>
          <t>Postgraduate coursework</t>
        </is>
      </c>
      <c r="E572" t="inlineStr">
        <is>
          <t>Advertised: official page in place</t>
        </is>
      </c>
      <c r="F572" t="inlineStr">
        <is>
          <t>https://www.sydney.edu.au/courses/courses/pc/master-of-music-studies-performance.html</t>
        </is>
      </c>
      <c r="G572" t="inlineStr">
        <is>
          <t>https://www.sydney.edu.au/courses/courses/pc/master-of-music-studies-performance.html</t>
        </is>
      </c>
      <c r="H572" t="inlineStr">
        <is>
          <t>Read</t>
        </is>
      </c>
      <c r="I572" t="inlineStr">
        <is>
          <t>Exact title match</t>
        </is>
      </c>
      <c r="J572" t="inlineStr"/>
      <c r="K572" t="inlineStr">
        <is>
          <t>Not sent to re-link</t>
        </is>
      </c>
      <c r="L572" t="inlineStr">
        <is>
          <t>Filled</t>
        </is>
      </c>
      <c r="M572" t="inlineStr">
        <is>
          <t>Not stated on course page</t>
        </is>
      </c>
      <c r="N572" t="inlineStr"/>
      <c r="O572" t="n">
        <v>0</v>
      </c>
      <c r="P572" t="inlineStr"/>
      <c r="Q572" t="inlineStr">
        <is>
          <t>Filled</t>
        </is>
      </c>
      <c r="R572" t="n">
        <v>6.5</v>
      </c>
      <c r="S572" t="inlineStr">
        <is>
          <t>Central English policy</t>
        </is>
      </c>
      <c r="T572" t="inlineStr">
        <is>
          <t>Central rule applies (value agrees)</t>
        </is>
      </c>
      <c r="U572" t="inlineStr"/>
      <c r="V572" t="inlineStr">
        <is>
          <t>Not stated on course page</t>
        </is>
      </c>
      <c r="W572" t="inlineStr"/>
      <c r="X572" t="inlineStr"/>
      <c r="Y572" t="n">
        <v>0</v>
      </c>
      <c r="Z572" t="inlineStr">
        <is>
          <t>No</t>
        </is>
      </c>
      <c r="AA572" t="inlineStr">
        <is>
          <t>Filled</t>
        </is>
      </c>
      <c r="AB572" t="inlineStr">
        <is>
          <t>on campus</t>
        </is>
      </c>
      <c r="AC572" t="inlineStr"/>
      <c r="AD572" t="n">
        <v>0</v>
      </c>
      <c r="AE572" t="inlineStr"/>
      <c r="AF572" t="inlineStr"/>
      <c r="AG572" t="inlineStr"/>
      <c r="AH572" t="inlineStr"/>
      <c r="AI572" t="inlineStr">
        <is>
          <t>Yes</t>
        </is>
      </c>
      <c r="AJ572" t="inlineStr"/>
      <c r="AK572" t="inlineStr"/>
      <c r="AL572" t="inlineStr"/>
      <c r="AM572" t="inlineStr"/>
    </row>
    <row r="573">
      <c r="A573" t="inlineStr">
        <is>
          <t>068773D</t>
        </is>
      </c>
      <c r="B573" t="inlineStr">
        <is>
          <t>Master of Nursing</t>
        </is>
      </c>
      <c r="C573" t="inlineStr">
        <is>
          <t>Masters Degree (Coursework)</t>
        </is>
      </c>
      <c r="D573" t="inlineStr">
        <is>
          <t>Postgraduate coursework</t>
        </is>
      </c>
      <c r="E573" t="inlineStr">
        <is>
          <t>Advertised: official page in place</t>
        </is>
      </c>
      <c r="F573" t="inlineStr">
        <is>
          <t>https://www.sydney.edu.au/courses/courses/pc/master-of-nursing.html</t>
        </is>
      </c>
      <c r="G573" t="inlineStr">
        <is>
          <t>https://www.sydney.edu.au/courses/courses/pc/master-of-nursing.html</t>
        </is>
      </c>
      <c r="H573" t="inlineStr">
        <is>
          <t>Read</t>
        </is>
      </c>
      <c r="I573" t="inlineStr">
        <is>
          <t>Exact title match</t>
        </is>
      </c>
      <c r="J573" t="inlineStr"/>
      <c r="K573" t="inlineStr">
        <is>
          <t>Not sent to re-link</t>
        </is>
      </c>
      <c r="L573" t="inlineStr">
        <is>
          <t>Filled</t>
        </is>
      </c>
      <c r="M573" t="inlineStr">
        <is>
          <t>Not stated on course page</t>
        </is>
      </c>
      <c r="N573" t="inlineStr"/>
      <c r="O573" t="n">
        <v>0</v>
      </c>
      <c r="P573" t="inlineStr"/>
      <c r="Q573" t="inlineStr">
        <is>
          <t>Filled</t>
        </is>
      </c>
      <c r="R573" t="n">
        <v>6.5</v>
      </c>
      <c r="S573" t="inlineStr">
        <is>
          <t>Central English policy</t>
        </is>
      </c>
      <c r="T573" t="inlineStr">
        <is>
          <t>Central rule applies (value agrees)</t>
        </is>
      </c>
      <c r="U573" t="inlineStr"/>
      <c r="V573" t="inlineStr">
        <is>
          <t>Filled</t>
        </is>
      </c>
      <c r="W573" t="inlineStr">
        <is>
          <t>March, June, October</t>
        </is>
      </c>
      <c r="X573" t="inlineStr">
        <is>
          <t>Page reader</t>
        </is>
      </c>
      <c r="Y573" t="n">
        <v>0</v>
      </c>
      <c r="Z573" t="inlineStr">
        <is>
          <t>No</t>
        </is>
      </c>
      <c r="AA573" t="inlineStr">
        <is>
          <t>Filled</t>
        </is>
      </c>
      <c r="AB573" t="inlineStr">
        <is>
          <t>on campus</t>
        </is>
      </c>
      <c r="AC573" t="inlineStr"/>
      <c r="AD573" t="n">
        <v>0</v>
      </c>
      <c r="AE573" t="inlineStr"/>
      <c r="AF573" t="inlineStr"/>
      <c r="AG573" t="inlineStr"/>
      <c r="AH573" t="inlineStr"/>
      <c r="AI573" t="inlineStr"/>
      <c r="AJ573" t="inlineStr"/>
      <c r="AK573" t="inlineStr"/>
      <c r="AL573" t="inlineStr"/>
      <c r="AM573" t="inlineStr"/>
    </row>
    <row r="574">
      <c r="A574" t="inlineStr">
        <is>
          <t>117618E</t>
        </is>
      </c>
      <c r="B574" t="inlineStr">
        <is>
          <t>Master of Nursing</t>
        </is>
      </c>
      <c r="C574" t="inlineStr">
        <is>
          <t>Masters Degree (Coursework)</t>
        </is>
      </c>
      <c r="D574" t="inlineStr">
        <is>
          <t>Postgraduate coursework</t>
        </is>
      </c>
      <c r="E574" t="inlineStr">
        <is>
          <t>Advertised: official page in place</t>
        </is>
      </c>
      <c r="F574" t="inlineStr">
        <is>
          <t>https://www.sydney.edu.au/courses/courses/pc/master-of-nursing.html</t>
        </is>
      </c>
      <c r="G574" t="inlineStr">
        <is>
          <t>https://www.sydney.edu.au/courses/courses/pc/master-of-nursing.html</t>
        </is>
      </c>
      <c r="H574" t="inlineStr">
        <is>
          <t>Read</t>
        </is>
      </c>
      <c r="I574" t="inlineStr">
        <is>
          <t>Exact title match</t>
        </is>
      </c>
      <c r="J574" t="inlineStr"/>
      <c r="K574" t="inlineStr">
        <is>
          <t>Not sent to re-link</t>
        </is>
      </c>
      <c r="L574" t="inlineStr">
        <is>
          <t>Filled</t>
        </is>
      </c>
      <c r="M574" t="inlineStr">
        <is>
          <t>Not stated on course page</t>
        </is>
      </c>
      <c r="N574" t="inlineStr"/>
      <c r="O574" t="n">
        <v>0</v>
      </c>
      <c r="P574" t="inlineStr"/>
      <c r="Q574" t="inlineStr">
        <is>
          <t>Filled</t>
        </is>
      </c>
      <c r="R574" t="n">
        <v>6.5</v>
      </c>
      <c r="S574" t="inlineStr">
        <is>
          <t>Central English policy</t>
        </is>
      </c>
      <c r="T574" t="inlineStr">
        <is>
          <t>Central rule applies (value agrees)</t>
        </is>
      </c>
      <c r="U574" t="inlineStr"/>
      <c r="V574" t="inlineStr">
        <is>
          <t>Not stated on course page</t>
        </is>
      </c>
      <c r="W574" t="inlineStr"/>
      <c r="X574" t="inlineStr"/>
      <c r="Y574" t="n">
        <v>0</v>
      </c>
      <c r="Z574" t="inlineStr">
        <is>
          <t>No</t>
        </is>
      </c>
      <c r="AA574" t="inlineStr">
        <is>
          <t>Filled</t>
        </is>
      </c>
      <c r="AB574" t="inlineStr">
        <is>
          <t>on campus</t>
        </is>
      </c>
      <c r="AC574" t="inlineStr"/>
      <c r="AD574" t="n">
        <v>0</v>
      </c>
      <c r="AE574" t="inlineStr"/>
      <c r="AF574" t="inlineStr"/>
      <c r="AG574" t="inlineStr"/>
      <c r="AH574" t="inlineStr"/>
      <c r="AI574" t="inlineStr">
        <is>
          <t>Yes</t>
        </is>
      </c>
      <c r="AJ574" t="inlineStr"/>
      <c r="AK574" t="inlineStr"/>
      <c r="AL574" t="inlineStr"/>
      <c r="AM574" t="inlineStr"/>
    </row>
    <row r="575">
      <c r="A575" t="inlineStr">
        <is>
          <t>008414B</t>
        </is>
      </c>
      <c r="B575" t="inlineStr">
        <is>
          <t>Master of Nutrition and Dietetics</t>
        </is>
      </c>
      <c r="C575" t="inlineStr">
        <is>
          <t>Masters Degree (Coursework)</t>
        </is>
      </c>
      <c r="D575" t="inlineStr">
        <is>
          <t>Postgraduate coursework</t>
        </is>
      </c>
      <c r="E575" t="inlineStr">
        <is>
          <t>Advertised: official page in place</t>
        </is>
      </c>
      <c r="F575" t="inlineStr">
        <is>
          <t>https://www.sydney.edu.au/courses/courses/pc/master-of-nutrition-and-dietetics0.html</t>
        </is>
      </c>
      <c r="G575" t="inlineStr">
        <is>
          <t>https://www.sydney.edu.au/courses/courses/pc/master-of-nutrition-and-dietetics0.html</t>
        </is>
      </c>
      <c r="H575" t="inlineStr">
        <is>
          <t>Read</t>
        </is>
      </c>
      <c r="I575" t="inlineStr">
        <is>
          <t>Exact title match</t>
        </is>
      </c>
      <c r="J575" t="inlineStr"/>
      <c r="K575" t="inlineStr">
        <is>
          <t>Not sent to re-link</t>
        </is>
      </c>
      <c r="L575" t="inlineStr">
        <is>
          <t>Filled</t>
        </is>
      </c>
      <c r="M575" t="inlineStr">
        <is>
          <t>Not stated on course page</t>
        </is>
      </c>
      <c r="N575" t="inlineStr"/>
      <c r="O575" t="n">
        <v>0</v>
      </c>
      <c r="P575" t="inlineStr"/>
      <c r="Q575" t="inlineStr">
        <is>
          <t>Filled</t>
        </is>
      </c>
      <c r="R575" t="n">
        <v>6.5</v>
      </c>
      <c r="S575" t="inlineStr">
        <is>
          <t>Central English policy</t>
        </is>
      </c>
      <c r="T575" t="inlineStr">
        <is>
          <t>Central rule applies (value agrees)</t>
        </is>
      </c>
      <c r="U575" t="inlineStr"/>
      <c r="V575" t="inlineStr">
        <is>
          <t>Not stated on course page</t>
        </is>
      </c>
      <c r="W575" t="inlineStr"/>
      <c r="X575" t="inlineStr"/>
      <c r="Y575" t="n">
        <v>0</v>
      </c>
      <c r="Z575" t="inlineStr">
        <is>
          <t>No</t>
        </is>
      </c>
      <c r="AA575" t="inlineStr">
        <is>
          <t>Filled</t>
        </is>
      </c>
      <c r="AB575" t="inlineStr">
        <is>
          <t>on campus</t>
        </is>
      </c>
      <c r="AC575" t="inlineStr"/>
      <c r="AD575" t="n">
        <v>0</v>
      </c>
      <c r="AE575" t="inlineStr"/>
      <c r="AF575" t="inlineStr"/>
      <c r="AG575" t="inlineStr"/>
      <c r="AH575" t="inlineStr"/>
      <c r="AI575" t="inlineStr">
        <is>
          <t>Yes</t>
        </is>
      </c>
      <c r="AJ575" t="inlineStr"/>
      <c r="AK575" t="inlineStr"/>
      <c r="AL575" t="inlineStr"/>
      <c r="AM575" t="inlineStr"/>
    </row>
    <row r="576">
      <c r="A576" t="inlineStr">
        <is>
          <t>027888K</t>
        </is>
      </c>
      <c r="B576" t="inlineStr">
        <is>
          <t>Master of Occupational Therapy</t>
        </is>
      </c>
      <c r="C576" t="inlineStr">
        <is>
          <t>Masters Degree (Coursework)</t>
        </is>
      </c>
      <c r="D576" t="inlineStr">
        <is>
          <t>Postgraduate coursework</t>
        </is>
      </c>
      <c r="E576" t="inlineStr">
        <is>
          <t>Advertised: official page in place</t>
        </is>
      </c>
      <c r="F576" t="inlineStr">
        <is>
          <t>https://www.sydney.edu.au/courses/courses/pc/master-of-occupational-therapy.html</t>
        </is>
      </c>
      <c r="G576" t="inlineStr">
        <is>
          <t>https://www.sydney.edu.au/courses/courses/pc/master-of-occupational-therapy.html</t>
        </is>
      </c>
      <c r="H576" t="inlineStr">
        <is>
          <t>Read</t>
        </is>
      </c>
      <c r="I576" t="inlineStr">
        <is>
          <t>Exact title match</t>
        </is>
      </c>
      <c r="J576" t="inlineStr"/>
      <c r="K576" t="inlineStr">
        <is>
          <t>Not sent to re-link</t>
        </is>
      </c>
      <c r="L576" t="inlineStr">
        <is>
          <t>Filled</t>
        </is>
      </c>
      <c r="M576" t="inlineStr">
        <is>
          <t>Not stated on course page</t>
        </is>
      </c>
      <c r="N576" t="inlineStr"/>
      <c r="O576" t="n">
        <v>0</v>
      </c>
      <c r="P576" t="inlineStr"/>
      <c r="Q576" t="inlineStr">
        <is>
          <t>Filled</t>
        </is>
      </c>
      <c r="R576" t="n">
        <v>6.5</v>
      </c>
      <c r="S576" t="inlineStr">
        <is>
          <t>Central English policy</t>
        </is>
      </c>
      <c r="T576" t="inlineStr">
        <is>
          <t>Central rule applies (value agrees)</t>
        </is>
      </c>
      <c r="U576" t="inlineStr"/>
      <c r="V576" t="inlineStr">
        <is>
          <t>Not stated on course page</t>
        </is>
      </c>
      <c r="W576" t="inlineStr"/>
      <c r="X576" t="inlineStr"/>
      <c r="Y576" t="n">
        <v>0</v>
      </c>
      <c r="Z576" t="inlineStr">
        <is>
          <t>No</t>
        </is>
      </c>
      <c r="AA576" t="inlineStr">
        <is>
          <t>Filled</t>
        </is>
      </c>
      <c r="AB576" t="inlineStr">
        <is>
          <t>on campus</t>
        </is>
      </c>
      <c r="AC576" t="inlineStr"/>
      <c r="AD576" t="n">
        <v>0</v>
      </c>
      <c r="AE576" t="inlineStr"/>
      <c r="AF576" t="inlineStr"/>
      <c r="AG576" t="inlineStr"/>
      <c r="AH576" t="inlineStr"/>
      <c r="AI576" t="inlineStr">
        <is>
          <t>Yes</t>
        </is>
      </c>
      <c r="AJ576" t="inlineStr"/>
      <c r="AK576" t="inlineStr"/>
      <c r="AL576" t="inlineStr"/>
      <c r="AM576" t="inlineStr"/>
    </row>
    <row r="577">
      <c r="A577" t="inlineStr">
        <is>
          <t>055331D</t>
        </is>
      </c>
      <c r="B577" t="inlineStr">
        <is>
          <t>Master of Peace and Conflict Studies</t>
        </is>
      </c>
      <c r="C577" t="inlineStr">
        <is>
          <t>Masters Degree (Coursework)</t>
        </is>
      </c>
      <c r="D577" t="inlineStr">
        <is>
          <t>Postgraduate coursework</t>
        </is>
      </c>
      <c r="E577" t="inlineStr">
        <is>
          <t>Page found, needs a rendered read</t>
        </is>
      </c>
      <c r="F577" t="inlineStr"/>
      <c r="G577" t="inlineStr">
        <is>
          <t>https://www.sydney.edu.au/courses/courses/pc/master-of-peace-and-conflict-studies.html</t>
        </is>
      </c>
      <c r="H577" t="inlineStr">
        <is>
          <t>Needs a rendered read</t>
        </is>
      </c>
      <c r="I577" t="inlineStr"/>
      <c r="J577" t="inlineStr"/>
      <c r="K577" t="inlineStr">
        <is>
          <t>Finished, no page: every candidate address was refused by the reader or did not</t>
        </is>
      </c>
      <c r="L577" t="inlineStr">
        <is>
          <t>Page found, being read</t>
        </is>
      </c>
      <c r="M577" t="inlineStr">
        <is>
          <t>Page found, being read</t>
        </is>
      </c>
      <c r="N577" t="inlineStr"/>
      <c r="O577" t="n">
        <v>0</v>
      </c>
      <c r="P577" t="inlineStr"/>
      <c r="Q577" t="inlineStr">
        <is>
          <t>Filled</t>
        </is>
      </c>
      <c r="R577" t="n">
        <v>6.5</v>
      </c>
      <c r="S577" t="inlineStr">
        <is>
          <t>Central English policy</t>
        </is>
      </c>
      <c r="T577" t="inlineStr">
        <is>
          <t>Central rule applies (value agrees)</t>
        </is>
      </c>
      <c r="U577" t="inlineStr"/>
      <c r="V577" t="inlineStr">
        <is>
          <t>Page found, being read</t>
        </is>
      </c>
      <c r="W577" t="inlineStr"/>
      <c r="X577" t="inlineStr"/>
      <c r="Y577" t="n">
        <v>0</v>
      </c>
      <c r="Z577" t="inlineStr">
        <is>
          <t>No</t>
        </is>
      </c>
      <c r="AA577" t="inlineStr">
        <is>
          <t>Not stated on course page</t>
        </is>
      </c>
      <c r="AB577" t="inlineStr"/>
      <c r="AC577" t="inlineStr">
        <is>
          <t>Skipped: the quote is not on the page</t>
        </is>
      </c>
      <c r="AD577" t="n">
        <v>0</v>
      </c>
      <c r="AE577" t="inlineStr">
        <is>
          <t>Yes</t>
        </is>
      </c>
      <c r="AF577" t="inlineStr"/>
      <c r="AG577" t="inlineStr"/>
      <c r="AH577" t="inlineStr"/>
      <c r="AI577" t="inlineStr"/>
      <c r="AJ577" t="inlineStr"/>
      <c r="AK577" t="inlineStr">
        <is>
          <t>Yes</t>
        </is>
      </c>
      <c r="AL577" t="inlineStr"/>
      <c r="AM577" t="inlineStr"/>
    </row>
    <row r="578">
      <c r="A578" t="inlineStr">
        <is>
          <t>082908K</t>
        </is>
      </c>
      <c r="B578" t="inlineStr">
        <is>
          <t>Master of Peace and Conflict Studies</t>
        </is>
      </c>
      <c r="C578" t="inlineStr">
        <is>
          <t>Masters Degree (Coursework)</t>
        </is>
      </c>
      <c r="D578" t="inlineStr">
        <is>
          <t>Postgraduate coursework</t>
        </is>
      </c>
      <c r="E578" t="inlineStr">
        <is>
          <t>Page found, needs a rendered read</t>
        </is>
      </c>
      <c r="F578" t="inlineStr"/>
      <c r="G578" t="inlineStr">
        <is>
          <t>https://www.sydney.edu.au/courses/courses/pc/master-of-peace-and-conflict-studies.html</t>
        </is>
      </c>
      <c r="H578" t="inlineStr">
        <is>
          <t>Needs a rendered read</t>
        </is>
      </c>
      <c r="I578" t="inlineStr"/>
      <c r="J578" t="inlineStr"/>
      <c r="K578" t="inlineStr">
        <is>
          <t>Finished, no page: every candidate address was refused by the reader or did not</t>
        </is>
      </c>
      <c r="L578" t="inlineStr">
        <is>
          <t>Page found, being read</t>
        </is>
      </c>
      <c r="M578" t="inlineStr">
        <is>
          <t>Page found, being read</t>
        </is>
      </c>
      <c r="N578" t="inlineStr"/>
      <c r="O578" t="n">
        <v>0</v>
      </c>
      <c r="P578" t="inlineStr"/>
      <c r="Q578" t="inlineStr">
        <is>
          <t>Filled</t>
        </is>
      </c>
      <c r="R578" t="n">
        <v>6.5</v>
      </c>
      <c r="S578" t="inlineStr">
        <is>
          <t>Central English policy</t>
        </is>
      </c>
      <c r="T578" t="inlineStr">
        <is>
          <t>Central rule applies (value agrees)</t>
        </is>
      </c>
      <c r="U578" t="inlineStr"/>
      <c r="V578" t="inlineStr">
        <is>
          <t>Page found, being read</t>
        </is>
      </c>
      <c r="W578" t="inlineStr"/>
      <c r="X578" t="inlineStr"/>
      <c r="Y578" t="n">
        <v>0</v>
      </c>
      <c r="Z578" t="inlineStr">
        <is>
          <t>No</t>
        </is>
      </c>
      <c r="AA578" t="inlineStr">
        <is>
          <t>Not stated on course page</t>
        </is>
      </c>
      <c r="AB578" t="inlineStr"/>
      <c r="AC578" t="inlineStr">
        <is>
          <t>Skipped: no allowed source had a value</t>
        </is>
      </c>
      <c r="AD578" t="n">
        <v>1</v>
      </c>
      <c r="AE578" t="inlineStr">
        <is>
          <t>Yes</t>
        </is>
      </c>
      <c r="AF578" t="inlineStr"/>
      <c r="AG578" t="inlineStr"/>
      <c r="AH578" t="inlineStr"/>
      <c r="AI578" t="inlineStr"/>
      <c r="AJ578" t="inlineStr"/>
      <c r="AK578" t="inlineStr"/>
      <c r="AL578" t="inlineStr"/>
      <c r="AM578" t="inlineStr"/>
    </row>
    <row r="579">
      <c r="A579" t="inlineStr">
        <is>
          <t>050004D</t>
        </is>
      </c>
      <c r="B579" t="inlineStr">
        <is>
          <t>Master of Pharmacy</t>
        </is>
      </c>
      <c r="C579" t="inlineStr">
        <is>
          <t>Masters Degree (Coursework)</t>
        </is>
      </c>
      <c r="D579" t="inlineStr">
        <is>
          <t>Postgraduate coursework</t>
        </is>
      </c>
      <c r="E579" t="inlineStr">
        <is>
          <t>Advertised: official page in place</t>
        </is>
      </c>
      <c r="F579" t="inlineStr">
        <is>
          <t>https://www.sydney.edu.au/courses/courses/pc/master-of-pharmacy0.html</t>
        </is>
      </c>
      <c r="G579" t="inlineStr">
        <is>
          <t>https://www.sydney.edu.au/courses/courses/pc/master-of-pharmacy0.html</t>
        </is>
      </c>
      <c r="H579" t="inlineStr">
        <is>
          <t>Read</t>
        </is>
      </c>
      <c r="I579" t="inlineStr">
        <is>
          <t>Exact title match</t>
        </is>
      </c>
      <c r="J579" t="inlineStr"/>
      <c r="K579" t="inlineStr">
        <is>
          <t>Not sent to re-link</t>
        </is>
      </c>
      <c r="L579" t="inlineStr">
        <is>
          <t>Filled</t>
        </is>
      </c>
      <c r="M579" t="inlineStr">
        <is>
          <t>Not stated on course page</t>
        </is>
      </c>
      <c r="N579" t="inlineStr"/>
      <c r="O579" t="n">
        <v>0</v>
      </c>
      <c r="P579" t="inlineStr"/>
      <c r="Q579" t="inlineStr">
        <is>
          <t>Filled</t>
        </is>
      </c>
      <c r="R579" t="n">
        <v>7</v>
      </c>
      <c r="S579" t="inlineStr">
        <is>
          <t>Other</t>
        </is>
      </c>
      <c r="T579" t="inlineStr">
        <is>
          <t>Central rule applies (course value differs)</t>
        </is>
      </c>
      <c r="U579" t="inlineStr">
        <is>
          <t>Yes: course has IELTS 7.00, central rule says 6.5</t>
        </is>
      </c>
      <c r="V579" t="inlineStr">
        <is>
          <t>Filled</t>
        </is>
      </c>
      <c r="W579" t="inlineStr">
        <is>
          <t>January</t>
        </is>
      </c>
      <c r="X579" t="inlineStr">
        <is>
          <t>Other</t>
        </is>
      </c>
      <c r="Y579" t="n">
        <v>0</v>
      </c>
      <c r="Z579" t="inlineStr">
        <is>
          <t>No</t>
        </is>
      </c>
      <c r="AA579" t="inlineStr">
        <is>
          <t>Filled</t>
        </is>
      </c>
      <c r="AB579" t="inlineStr">
        <is>
          <t>on campus</t>
        </is>
      </c>
      <c r="AC579" t="inlineStr"/>
      <c r="AD579" t="n">
        <v>0</v>
      </c>
      <c r="AE579" t="inlineStr"/>
      <c r="AF579" t="inlineStr"/>
      <c r="AG579" t="inlineStr"/>
      <c r="AH579" t="inlineStr"/>
      <c r="AI579" t="inlineStr"/>
      <c r="AJ579" t="inlineStr"/>
      <c r="AK579" t="inlineStr"/>
      <c r="AL579" t="inlineStr"/>
      <c r="AM579" t="inlineStr"/>
    </row>
    <row r="580">
      <c r="A580" t="inlineStr">
        <is>
          <t>116243F</t>
        </is>
      </c>
      <c r="B580" t="inlineStr">
        <is>
          <t>Master of Pharmacy</t>
        </is>
      </c>
      <c r="C580" t="inlineStr">
        <is>
          <t>Masters Degree (Coursework)</t>
        </is>
      </c>
      <c r="D580" t="inlineStr">
        <is>
          <t>Postgraduate coursework</t>
        </is>
      </c>
      <c r="E580" t="inlineStr">
        <is>
          <t>Advertised: official page in place</t>
        </is>
      </c>
      <c r="F580" t="inlineStr">
        <is>
          <t>https://www.sydney.edu.au/courses/courses/pc/master-of-pharmacy0.html</t>
        </is>
      </c>
      <c r="G580" t="inlineStr">
        <is>
          <t>https://www.sydney.edu.au/courses/courses/pc/master-of-pharmacy0.html</t>
        </is>
      </c>
      <c r="H580" t="inlineStr">
        <is>
          <t>Read</t>
        </is>
      </c>
      <c r="I580" t="inlineStr">
        <is>
          <t>Exact title match</t>
        </is>
      </c>
      <c r="J580" t="inlineStr"/>
      <c r="K580" t="inlineStr">
        <is>
          <t>Not sent to re-link</t>
        </is>
      </c>
      <c r="L580" t="inlineStr">
        <is>
          <t>Filled</t>
        </is>
      </c>
      <c r="M580" t="inlineStr">
        <is>
          <t>Not stated on course page</t>
        </is>
      </c>
      <c r="N580" t="inlineStr"/>
      <c r="O580" t="n">
        <v>0</v>
      </c>
      <c r="P580" t="inlineStr"/>
      <c r="Q580" t="inlineStr">
        <is>
          <t>Filled</t>
        </is>
      </c>
      <c r="R580" t="n">
        <v>7</v>
      </c>
      <c r="S580" t="inlineStr">
        <is>
          <t>Other</t>
        </is>
      </c>
      <c r="T580" t="inlineStr">
        <is>
          <t>Central rule applies (course value differs)</t>
        </is>
      </c>
      <c r="U580" t="inlineStr">
        <is>
          <t>Yes: course has IELTS 7.00, central rule says 6.5</t>
        </is>
      </c>
      <c r="V580" t="inlineStr">
        <is>
          <t>Not stated on course page</t>
        </is>
      </c>
      <c r="W580" t="inlineStr"/>
      <c r="X580" t="inlineStr"/>
      <c r="Y580" t="n">
        <v>0</v>
      </c>
      <c r="Z580" t="inlineStr">
        <is>
          <t>No</t>
        </is>
      </c>
      <c r="AA580" t="inlineStr">
        <is>
          <t>Filled</t>
        </is>
      </c>
      <c r="AB580" t="inlineStr">
        <is>
          <t>on campus</t>
        </is>
      </c>
      <c r="AC580" t="inlineStr"/>
      <c r="AD580" t="n">
        <v>0</v>
      </c>
      <c r="AE580" t="inlineStr"/>
      <c r="AF580" t="inlineStr"/>
      <c r="AG580" t="inlineStr"/>
      <c r="AH580" t="inlineStr"/>
      <c r="AI580" t="inlineStr">
        <is>
          <t>Yes</t>
        </is>
      </c>
      <c r="AJ580" t="inlineStr"/>
      <c r="AK580" t="inlineStr"/>
      <c r="AL580" t="inlineStr"/>
      <c r="AM580" t="inlineStr"/>
    </row>
    <row r="581">
      <c r="A581" t="inlineStr">
        <is>
          <t>000685K</t>
        </is>
      </c>
      <c r="B581" t="inlineStr">
        <is>
          <t>Master of Philosophy (Architecture, Design and Planning)</t>
        </is>
      </c>
      <c r="C581" t="inlineStr">
        <is>
          <t>Masters Degree (Research)</t>
        </is>
      </c>
      <c r="D581" t="inlineStr">
        <is>
          <t>Research degree</t>
        </is>
      </c>
      <c r="E581" t="inlineStr">
        <is>
          <t>Advertised: official page in place</t>
        </is>
      </c>
      <c r="F581" t="inlineStr">
        <is>
          <t>https://www.sydney.edu.au/courses/courses/pr/master-of-philosophy-architecture-design-and-planning.html</t>
        </is>
      </c>
      <c r="G581" t="inlineStr">
        <is>
          <t>https://www.sydney.edu.au/courses/courses/pr/master-of-philosophy-architecture-design-and-planning.html</t>
        </is>
      </c>
      <c r="H581" t="inlineStr">
        <is>
          <t>Read</t>
        </is>
      </c>
      <c r="I581" t="inlineStr">
        <is>
          <t>Exact title match</t>
        </is>
      </c>
      <c r="J581" t="inlineStr"/>
      <c r="K581" t="inlineStr">
        <is>
          <t>Not sent to re-link</t>
        </is>
      </c>
      <c r="L581" t="inlineStr">
        <is>
          <t>Filled</t>
        </is>
      </c>
      <c r="M581" t="inlineStr">
        <is>
          <t>Not stated on course page</t>
        </is>
      </c>
      <c r="N581" t="inlineStr"/>
      <c r="O581" t="n">
        <v>0</v>
      </c>
      <c r="P581" t="inlineStr"/>
      <c r="Q581" t="inlineStr">
        <is>
          <t>Filled</t>
        </is>
      </c>
      <c r="R581" t="n">
        <v>6.5</v>
      </c>
      <c r="S581" t="inlineStr">
        <is>
          <t>Central English policy</t>
        </is>
      </c>
      <c r="T581" t="inlineStr">
        <is>
          <t>Central rule applies (value agrees)</t>
        </is>
      </c>
      <c r="U581" t="inlineStr"/>
      <c r="V581" t="inlineStr">
        <is>
          <t>Filled</t>
        </is>
      </c>
      <c r="W581" t="inlineStr">
        <is>
          <t>March, July</t>
        </is>
      </c>
      <c r="X581" t="inlineStr">
        <is>
          <t>Page reader</t>
        </is>
      </c>
      <c r="Y581" t="n">
        <v>0</v>
      </c>
      <c r="Z581" t="inlineStr">
        <is>
          <t>No</t>
        </is>
      </c>
      <c r="AA581" t="inlineStr">
        <is>
          <t>Filled</t>
        </is>
      </c>
      <c r="AB581" t="inlineStr">
        <is>
          <t>on campus</t>
        </is>
      </c>
      <c r="AC581" t="inlineStr"/>
      <c r="AD581" t="n">
        <v>0</v>
      </c>
      <c r="AE581" t="inlineStr"/>
      <c r="AF581" t="inlineStr"/>
      <c r="AG581" t="inlineStr"/>
      <c r="AH581" t="inlineStr"/>
      <c r="AI581" t="inlineStr"/>
      <c r="AJ581" t="inlineStr"/>
      <c r="AK581" t="inlineStr"/>
      <c r="AL581" t="inlineStr"/>
      <c r="AM581" t="inlineStr"/>
    </row>
    <row r="582">
      <c r="A582" t="inlineStr">
        <is>
          <t>009061C</t>
        </is>
      </c>
      <c r="B582" t="inlineStr">
        <is>
          <t>Master of Philosophy (Arts and Social Sciences)</t>
        </is>
      </c>
      <c r="C582" t="inlineStr">
        <is>
          <t>Masters Degree (Research)</t>
        </is>
      </c>
      <c r="D582" t="inlineStr">
        <is>
          <t>Research degree</t>
        </is>
      </c>
      <c r="E582" t="inlineStr">
        <is>
          <t>Advertised: official page in place</t>
        </is>
      </c>
      <c r="F582" t="inlineStr">
        <is>
          <t>https://www.sydney.edu.au/courses/courses/pr/master-of-philosophy-arts-and-social-sciences.html</t>
        </is>
      </c>
      <c r="G582" t="inlineStr">
        <is>
          <t>https://www.sydney.edu.au/courses/courses/pr/master-of-philosophy-arts-and-social-sciences.html</t>
        </is>
      </c>
      <c r="H582" t="inlineStr">
        <is>
          <t>Read</t>
        </is>
      </c>
      <c r="I582" t="inlineStr">
        <is>
          <t>Exact title match</t>
        </is>
      </c>
      <c r="J582" t="inlineStr"/>
      <c r="K582" t="inlineStr">
        <is>
          <t>Not sent to re-link</t>
        </is>
      </c>
      <c r="L582" t="inlineStr">
        <is>
          <t>Filled</t>
        </is>
      </c>
      <c r="M582" t="inlineStr">
        <is>
          <t>Not stated on course page</t>
        </is>
      </c>
      <c r="N582" t="inlineStr"/>
      <c r="O582" t="n">
        <v>0</v>
      </c>
      <c r="P582" t="inlineStr"/>
      <c r="Q582" t="inlineStr">
        <is>
          <t>Filled</t>
        </is>
      </c>
      <c r="R582" t="n">
        <v>6.5</v>
      </c>
      <c r="S582" t="inlineStr">
        <is>
          <t>Central English policy</t>
        </is>
      </c>
      <c r="T582" t="inlineStr">
        <is>
          <t>Central rule applies (value agrees)</t>
        </is>
      </c>
      <c r="U582" t="inlineStr"/>
      <c r="V582" t="inlineStr">
        <is>
          <t>Filled</t>
        </is>
      </c>
      <c r="W582" t="inlineStr">
        <is>
          <t>March, July</t>
        </is>
      </c>
      <c r="X582" t="inlineStr">
        <is>
          <t>Page reader</t>
        </is>
      </c>
      <c r="Y582" t="n">
        <v>0</v>
      </c>
      <c r="Z582" t="inlineStr">
        <is>
          <t>No</t>
        </is>
      </c>
      <c r="AA582" t="inlineStr">
        <is>
          <t>Filled</t>
        </is>
      </c>
      <c r="AB582" t="inlineStr">
        <is>
          <t>on campus</t>
        </is>
      </c>
      <c r="AC582" t="inlineStr"/>
      <c r="AD582" t="n">
        <v>0</v>
      </c>
      <c r="AE582" t="inlineStr"/>
      <c r="AF582" t="inlineStr"/>
      <c r="AG582" t="inlineStr"/>
      <c r="AH582" t="inlineStr"/>
      <c r="AI582" t="inlineStr"/>
      <c r="AJ582" t="inlineStr"/>
      <c r="AK582" t="inlineStr"/>
      <c r="AL582" t="inlineStr"/>
      <c r="AM582" t="inlineStr"/>
    </row>
    <row r="583">
      <c r="A583" t="inlineStr">
        <is>
          <t>019835A</t>
        </is>
      </c>
      <c r="B583" t="inlineStr">
        <is>
          <t>Master of Philosophy (Business)</t>
        </is>
      </c>
      <c r="C583" t="inlineStr">
        <is>
          <t>Masters Degree (Research)</t>
        </is>
      </c>
      <c r="D583" t="inlineStr">
        <is>
          <t>Research degree</t>
        </is>
      </c>
      <c r="E583" t="inlineStr">
        <is>
          <t>Advertised: official page in place</t>
        </is>
      </c>
      <c r="F583" t="inlineStr">
        <is>
          <t>https://www.sydney.edu.au/courses/courses/pr/master-of-philosophy-business0.html</t>
        </is>
      </c>
      <c r="G583" t="inlineStr">
        <is>
          <t>https://www.sydney.edu.au/courses/courses/pr/master-of-philosophy-business0.html</t>
        </is>
      </c>
      <c r="H583" t="inlineStr">
        <is>
          <t>Read</t>
        </is>
      </c>
      <c r="I583" t="inlineStr">
        <is>
          <t>Exact title match</t>
        </is>
      </c>
      <c r="J583" t="inlineStr"/>
      <c r="K583" t="inlineStr">
        <is>
          <t>Not sent to re-link</t>
        </is>
      </c>
      <c r="L583" t="inlineStr">
        <is>
          <t>Filled</t>
        </is>
      </c>
      <c r="M583" t="inlineStr">
        <is>
          <t>Not stated on course page</t>
        </is>
      </c>
      <c r="N583" t="inlineStr"/>
      <c r="O583" t="n">
        <v>0</v>
      </c>
      <c r="P583" t="inlineStr"/>
      <c r="Q583" t="inlineStr">
        <is>
          <t>Filled</t>
        </is>
      </c>
      <c r="R583" t="n">
        <v>6.5</v>
      </c>
      <c r="S583" t="inlineStr">
        <is>
          <t>Central English policy</t>
        </is>
      </c>
      <c r="T583" t="inlineStr">
        <is>
          <t>Central rule applies (value agrees)</t>
        </is>
      </c>
      <c r="U583" t="inlineStr"/>
      <c r="V583" t="inlineStr">
        <is>
          <t>Not stated on course page</t>
        </is>
      </c>
      <c r="W583" t="inlineStr"/>
      <c r="X583" t="inlineStr"/>
      <c r="Y583" t="n">
        <v>0</v>
      </c>
      <c r="Z583" t="inlineStr">
        <is>
          <t>No</t>
        </is>
      </c>
      <c r="AA583" t="inlineStr">
        <is>
          <t>Filled</t>
        </is>
      </c>
      <c r="AB583" t="inlineStr">
        <is>
          <t>on campus</t>
        </is>
      </c>
      <c r="AC583" t="inlineStr"/>
      <c r="AD583" t="n">
        <v>0</v>
      </c>
      <c r="AE583" t="inlineStr"/>
      <c r="AF583" t="inlineStr"/>
      <c r="AG583" t="inlineStr"/>
      <c r="AH583" t="inlineStr"/>
      <c r="AI583" t="inlineStr">
        <is>
          <t>Yes</t>
        </is>
      </c>
      <c r="AJ583" t="inlineStr"/>
      <c r="AK583" t="inlineStr"/>
      <c r="AL583" t="inlineStr"/>
      <c r="AM583" t="inlineStr"/>
    </row>
    <row r="584">
      <c r="A584" t="inlineStr">
        <is>
          <t>057896F</t>
        </is>
      </c>
      <c r="B584" t="inlineStr">
        <is>
          <t>Master of Philosophy (Dentistry)</t>
        </is>
      </c>
      <c r="C584" t="inlineStr">
        <is>
          <t>Masters Degree (Research)</t>
        </is>
      </c>
      <c r="D584" t="inlineStr">
        <is>
          <t>Research degree</t>
        </is>
      </c>
      <c r="E584" t="inlineStr">
        <is>
          <t>No-page record (no page), awaiting review</t>
        </is>
      </c>
      <c r="F584" t="inlineStr"/>
      <c r="G584" t="inlineStr">
        <is>
          <t>https://rp-handbooks.sydney.edu.au/handbooks/archive/2018/dentistry/postgraduate/research/m_philosophy.shtml.html</t>
        </is>
      </c>
      <c r="H584" t="inlineStr">
        <is>
          <t>Not a course page</t>
        </is>
      </c>
      <c r="I584" t="inlineStr"/>
      <c r="J584" t="inlineStr">
        <is>
          <t>No page (proposed)</t>
        </is>
      </c>
      <c r="K584" t="inlineStr">
        <is>
          <t>Not sent to re-link</t>
        </is>
      </c>
      <c r="L584" t="inlineStr">
        <is>
          <t>Not stated on course page</t>
        </is>
      </c>
      <c r="M584" t="inlineStr">
        <is>
          <t>Not stated on course page</t>
        </is>
      </c>
      <c r="N584" t="inlineStr"/>
      <c r="O584" t="n">
        <v>0</v>
      </c>
      <c r="P584" t="inlineStr"/>
      <c r="Q584" t="inlineStr">
        <is>
          <t>Filled</t>
        </is>
      </c>
      <c r="R584" t="n">
        <v>6.5</v>
      </c>
      <c r="S584" t="inlineStr">
        <is>
          <t>Central English policy</t>
        </is>
      </c>
      <c r="T584" t="inlineStr">
        <is>
          <t>Central rule applies (value agrees)</t>
        </is>
      </c>
      <c r="U584" t="inlineStr"/>
      <c r="V584" t="inlineStr">
        <is>
          <t>Not stated on course page</t>
        </is>
      </c>
      <c r="W584" t="inlineStr"/>
      <c r="X584" t="inlineStr"/>
      <c r="Y584" t="n">
        <v>0</v>
      </c>
      <c r="Z584" t="inlineStr">
        <is>
          <t>No</t>
        </is>
      </c>
      <c r="AA584" t="inlineStr">
        <is>
          <t>Not stated on course page</t>
        </is>
      </c>
      <c r="AB584" t="inlineStr"/>
      <c r="AC584" t="inlineStr">
        <is>
          <t>Skipped: taken back: the page read was another course's page</t>
        </is>
      </c>
      <c r="AD584" t="n">
        <v>1</v>
      </c>
      <c r="AE584" t="inlineStr"/>
      <c r="AF584" t="inlineStr"/>
      <c r="AG584" t="inlineStr"/>
      <c r="AH584" t="inlineStr"/>
      <c r="AI584" t="inlineStr"/>
      <c r="AJ584" t="inlineStr"/>
      <c r="AK584" t="inlineStr"/>
      <c r="AL584" t="inlineStr"/>
      <c r="AM584" t="inlineStr">
        <is>
          <t>Yes</t>
        </is>
      </c>
    </row>
    <row r="585">
      <c r="A585" t="inlineStr">
        <is>
          <t>026956M</t>
        </is>
      </c>
      <c r="B585" t="inlineStr">
        <is>
          <t>Master of Philosophy (Education)</t>
        </is>
      </c>
      <c r="C585" t="inlineStr">
        <is>
          <t>Masters Degree (Research)</t>
        </is>
      </c>
      <c r="D585" t="inlineStr">
        <is>
          <t>Research degree</t>
        </is>
      </c>
      <c r="E585" t="inlineStr">
        <is>
          <t>Advertised: official page in place</t>
        </is>
      </c>
      <c r="F585" t="inlineStr">
        <is>
          <t>https://rp-handbooks.sydney.edu.au/handbooks/arts_PG/research/m_philosophy_education.shtml</t>
        </is>
      </c>
      <c r="G585" t="inlineStr">
        <is>
          <t>https://rp-handbooks.sydney.edu.au/handbooks/arts_PG/research/m_philosophy_education.shtml</t>
        </is>
      </c>
      <c r="H585" t="inlineStr">
        <is>
          <t>Read</t>
        </is>
      </c>
      <c r="I585" t="inlineStr">
        <is>
          <t>Exact title match</t>
        </is>
      </c>
      <c r="J585" t="inlineStr"/>
      <c r="K585" t="inlineStr">
        <is>
          <t>Not sent to re-link</t>
        </is>
      </c>
      <c r="L585" t="inlineStr">
        <is>
          <t>Filled</t>
        </is>
      </c>
      <c r="M585" t="inlineStr">
        <is>
          <t>Not stated on course page</t>
        </is>
      </c>
      <c r="N585" t="inlineStr"/>
      <c r="O585" t="n">
        <v>0</v>
      </c>
      <c r="P585" t="inlineStr"/>
      <c r="Q585" t="inlineStr">
        <is>
          <t>Filled</t>
        </is>
      </c>
      <c r="R585" t="n">
        <v>6.5</v>
      </c>
      <c r="S585" t="inlineStr">
        <is>
          <t>Central English policy</t>
        </is>
      </c>
      <c r="T585" t="inlineStr">
        <is>
          <t>Central rule applies (value agrees)</t>
        </is>
      </c>
      <c r="U585" t="inlineStr"/>
      <c r="V585" t="inlineStr">
        <is>
          <t>Not stated on course page</t>
        </is>
      </c>
      <c r="W585" t="inlineStr"/>
      <c r="X585" t="inlineStr"/>
      <c r="Y585" t="n">
        <v>0</v>
      </c>
      <c r="Z585" t="inlineStr">
        <is>
          <t>No</t>
        </is>
      </c>
      <c r="AA585" t="inlineStr">
        <is>
          <t>Not stated on course page</t>
        </is>
      </c>
      <c r="AB585" t="inlineStr"/>
      <c r="AC585" t="inlineStr">
        <is>
          <t>Skipped: the page does not state it</t>
        </is>
      </c>
      <c r="AD585" t="n">
        <v>0</v>
      </c>
      <c r="AE585" t="inlineStr"/>
      <c r="AF585" t="inlineStr"/>
      <c r="AG585" t="inlineStr"/>
      <c r="AH585" t="inlineStr"/>
      <c r="AI585" t="inlineStr">
        <is>
          <t>Yes</t>
        </is>
      </c>
      <c r="AJ585" t="inlineStr"/>
      <c r="AK585" t="inlineStr"/>
      <c r="AL585" t="inlineStr"/>
      <c r="AM585" t="inlineStr"/>
    </row>
    <row r="586">
      <c r="A586" t="inlineStr">
        <is>
          <t>061790D</t>
        </is>
      </c>
      <c r="B586" t="inlineStr">
        <is>
          <t>Master of Philosophy (Engineering)</t>
        </is>
      </c>
      <c r="C586" t="inlineStr">
        <is>
          <t>Masters Degree (Research)</t>
        </is>
      </c>
      <c r="D586" t="inlineStr">
        <is>
          <t>Research degree</t>
        </is>
      </c>
      <c r="E586" t="inlineStr">
        <is>
          <t>Advertised: official page in place</t>
        </is>
      </c>
      <c r="F586" t="inlineStr">
        <is>
          <t>https://www.sydney.edu.au/courses/courses/pr/master-of-philosophy-engineering.html</t>
        </is>
      </c>
      <c r="G586" t="inlineStr">
        <is>
          <t>https://www.sydney.edu.au/courses/courses/pr/master-of-philosophy-engineering.html</t>
        </is>
      </c>
      <c r="H586" t="inlineStr">
        <is>
          <t>Read</t>
        </is>
      </c>
      <c r="I586" t="inlineStr">
        <is>
          <t>Exact title match</t>
        </is>
      </c>
      <c r="J586" t="inlineStr"/>
      <c r="K586" t="inlineStr">
        <is>
          <t>Not sent to re-link</t>
        </is>
      </c>
      <c r="L586" t="inlineStr">
        <is>
          <t>Filled</t>
        </is>
      </c>
      <c r="M586" t="inlineStr">
        <is>
          <t>Not stated on course page</t>
        </is>
      </c>
      <c r="N586" t="inlineStr"/>
      <c r="O586" t="n">
        <v>0</v>
      </c>
      <c r="P586" t="inlineStr"/>
      <c r="Q586" t="inlineStr">
        <is>
          <t>Filled</t>
        </is>
      </c>
      <c r="R586" t="n">
        <v>6.5</v>
      </c>
      <c r="S586" t="inlineStr">
        <is>
          <t>Central English policy</t>
        </is>
      </c>
      <c r="T586" t="inlineStr">
        <is>
          <t>Central rule applies (value agrees)</t>
        </is>
      </c>
      <c r="U586" t="inlineStr"/>
      <c r="V586" t="inlineStr">
        <is>
          <t>Filled</t>
        </is>
      </c>
      <c r="W586" t="inlineStr">
        <is>
          <t>January, March, July, October</t>
        </is>
      </c>
      <c r="X586" t="inlineStr">
        <is>
          <t>Page reader</t>
        </is>
      </c>
      <c r="Y586" t="n">
        <v>0</v>
      </c>
      <c r="Z586" t="inlineStr">
        <is>
          <t>No</t>
        </is>
      </c>
      <c r="AA586" t="inlineStr">
        <is>
          <t>Filled</t>
        </is>
      </c>
      <c r="AB586" t="inlineStr">
        <is>
          <t>on campus</t>
        </is>
      </c>
      <c r="AC586" t="inlineStr"/>
      <c r="AD586" t="n">
        <v>0</v>
      </c>
      <c r="AE586" t="inlineStr"/>
      <c r="AF586" t="inlineStr"/>
      <c r="AG586" t="inlineStr"/>
      <c r="AH586" t="inlineStr"/>
      <c r="AI586" t="inlineStr"/>
      <c r="AJ586" t="inlineStr"/>
      <c r="AK586" t="inlineStr"/>
      <c r="AL586" t="inlineStr"/>
      <c r="AM586" t="inlineStr"/>
    </row>
    <row r="587">
      <c r="A587" t="inlineStr">
        <is>
          <t>057895G</t>
        </is>
      </c>
      <c r="B587" t="inlineStr">
        <is>
          <t>Master of Philosophy (Medicine and Health)</t>
        </is>
      </c>
      <c r="C587" t="inlineStr">
        <is>
          <t>Masters Degree (Research)</t>
        </is>
      </c>
      <c r="D587" t="inlineStr">
        <is>
          <t>Research degree</t>
        </is>
      </c>
      <c r="E587" t="inlineStr">
        <is>
          <t>Advertised: official page in place</t>
        </is>
      </c>
      <c r="F587" t="inlineStr">
        <is>
          <t>https://www.sydney.edu.au/courses/courses/pr/master-of-philosophy-medicine-and-health.html</t>
        </is>
      </c>
      <c r="G587" t="inlineStr">
        <is>
          <t>https://www.sydney.edu.au/courses/courses/pr/master-of-philosophy-medicine-and-health.html</t>
        </is>
      </c>
      <c r="H587" t="inlineStr">
        <is>
          <t>Read</t>
        </is>
      </c>
      <c r="I587" t="inlineStr">
        <is>
          <t>Exact title match</t>
        </is>
      </c>
      <c r="J587" t="inlineStr"/>
      <c r="K587" t="inlineStr">
        <is>
          <t>Not sent to re-link</t>
        </is>
      </c>
      <c r="L587" t="inlineStr">
        <is>
          <t>Filled</t>
        </is>
      </c>
      <c r="M587" t="inlineStr">
        <is>
          <t>Not stated on course page</t>
        </is>
      </c>
      <c r="N587" t="inlineStr"/>
      <c r="O587" t="n">
        <v>0</v>
      </c>
      <c r="P587" t="inlineStr"/>
      <c r="Q587" t="inlineStr">
        <is>
          <t>Filled</t>
        </is>
      </c>
      <c r="R587" t="n">
        <v>6.5</v>
      </c>
      <c r="S587" t="inlineStr">
        <is>
          <t>Central English policy</t>
        </is>
      </c>
      <c r="T587" t="inlineStr">
        <is>
          <t>Central rule applies (value agrees)</t>
        </is>
      </c>
      <c r="U587" t="inlineStr"/>
      <c r="V587" t="inlineStr">
        <is>
          <t>Filled</t>
        </is>
      </c>
      <c r="W587" t="inlineStr">
        <is>
          <t>March, July, October</t>
        </is>
      </c>
      <c r="X587" t="inlineStr">
        <is>
          <t>Page reader</t>
        </is>
      </c>
      <c r="Y587" t="n">
        <v>0</v>
      </c>
      <c r="Z587" t="inlineStr">
        <is>
          <t>No</t>
        </is>
      </c>
      <c r="AA587" t="inlineStr">
        <is>
          <t>Filled</t>
        </is>
      </c>
      <c r="AB587" t="inlineStr">
        <is>
          <t>on campus</t>
        </is>
      </c>
      <c r="AC587" t="inlineStr"/>
      <c r="AD587" t="n">
        <v>0</v>
      </c>
      <c r="AE587" t="inlineStr"/>
      <c r="AF587" t="inlineStr"/>
      <c r="AG587" t="inlineStr"/>
      <c r="AH587" t="inlineStr"/>
      <c r="AI587" t="inlineStr"/>
      <c r="AJ587" t="inlineStr"/>
      <c r="AK587" t="inlineStr"/>
      <c r="AL587" t="inlineStr"/>
      <c r="AM587" t="inlineStr"/>
    </row>
    <row r="588">
      <c r="A588" t="inlineStr">
        <is>
          <t>057897E</t>
        </is>
      </c>
      <c r="B588" t="inlineStr">
        <is>
          <t>Master of Philosophy (Pharmacy)</t>
        </is>
      </c>
      <c r="C588" t="inlineStr">
        <is>
          <t>Masters Degree (Research)</t>
        </is>
      </c>
      <c r="D588" t="inlineStr">
        <is>
          <t>Research degree</t>
        </is>
      </c>
      <c r="E588" t="inlineStr">
        <is>
          <t>Held: page found is for another course</t>
        </is>
      </c>
      <c r="F588" t="inlineStr"/>
      <c r="G588" t="inlineStr">
        <is>
          <t>https://rp-handbooks.sydney.edu.au/handbooks/archive/2018/pharmacy/postgraduate/research/master_philosophy.shtml.html</t>
        </is>
      </c>
      <c r="H588" t="inlineStr">
        <is>
          <t>Not a course page</t>
        </is>
      </c>
      <c r="I588" t="inlineStr"/>
      <c r="J588" t="inlineStr"/>
      <c r="K588" t="inlineStr">
        <is>
          <t>Not sent to re-link</t>
        </is>
      </c>
      <c r="L588" t="inlineStr">
        <is>
          <t>Not stated on course page</t>
        </is>
      </c>
      <c r="M588" t="inlineStr">
        <is>
          <t>Not stated on course page</t>
        </is>
      </c>
      <c r="N588" t="inlineStr"/>
      <c r="O588" t="n">
        <v>0</v>
      </c>
      <c r="P588" t="inlineStr"/>
      <c r="Q588" t="inlineStr">
        <is>
          <t>Filled</t>
        </is>
      </c>
      <c r="R588" t="n">
        <v>6.5</v>
      </c>
      <c r="S588" t="inlineStr">
        <is>
          <t>Central English policy</t>
        </is>
      </c>
      <c r="T588" t="inlineStr">
        <is>
          <t>Central rule applies (value agrees)</t>
        </is>
      </c>
      <c r="U588" t="inlineStr"/>
      <c r="V588" t="inlineStr">
        <is>
          <t>Not stated on course page</t>
        </is>
      </c>
      <c r="W588" t="inlineStr"/>
      <c r="X588" t="inlineStr"/>
      <c r="Y588" t="n">
        <v>0</v>
      </c>
      <c r="Z588" t="inlineStr">
        <is>
          <t>No</t>
        </is>
      </c>
      <c r="AA588" t="inlineStr">
        <is>
          <t>Not stated on course page</t>
        </is>
      </c>
      <c r="AB588" t="inlineStr"/>
      <c r="AC588" t="inlineStr">
        <is>
          <t>Skipped: the page does not state it</t>
        </is>
      </c>
      <c r="AD588" t="n">
        <v>0</v>
      </c>
      <c r="AE588" t="inlineStr"/>
      <c r="AF588" t="inlineStr"/>
      <c r="AG588" t="inlineStr"/>
      <c r="AH588" t="inlineStr"/>
      <c r="AI588" t="inlineStr"/>
      <c r="AJ588" t="inlineStr"/>
      <c r="AK588" t="inlineStr"/>
      <c r="AL588" t="inlineStr"/>
      <c r="AM588" t="inlineStr"/>
    </row>
    <row r="589">
      <c r="A589" t="inlineStr">
        <is>
          <t>086400F</t>
        </is>
      </c>
      <c r="B589" t="inlineStr">
        <is>
          <t>Master of Philosophy (Science)</t>
        </is>
      </c>
      <c r="C589" t="inlineStr">
        <is>
          <t>Masters Degree (Research)</t>
        </is>
      </c>
      <c r="D589" t="inlineStr">
        <is>
          <t>Research degree</t>
        </is>
      </c>
      <c r="E589" t="inlineStr">
        <is>
          <t>Advertised: official page in place</t>
        </is>
      </c>
      <c r="F589" t="inlineStr">
        <is>
          <t>https://www.sydney.edu.au/courses/courses/pr/master-of-philosophy-science0.html</t>
        </is>
      </c>
      <c r="G589" t="inlineStr">
        <is>
          <t>https://www.sydney.edu.au/courses/courses/pr/master-of-philosophy-science0.html</t>
        </is>
      </c>
      <c r="H589" t="inlineStr">
        <is>
          <t>Read</t>
        </is>
      </c>
      <c r="I589" t="inlineStr">
        <is>
          <t>Exact title match</t>
        </is>
      </c>
      <c r="J589" t="inlineStr"/>
      <c r="K589" t="inlineStr">
        <is>
          <t>Not sent to re-link</t>
        </is>
      </c>
      <c r="L589" t="inlineStr">
        <is>
          <t>Filled</t>
        </is>
      </c>
      <c r="M589" t="inlineStr">
        <is>
          <t>Not stated on course page</t>
        </is>
      </c>
      <c r="N589" t="inlineStr"/>
      <c r="O589" t="n">
        <v>0</v>
      </c>
      <c r="P589" t="inlineStr"/>
      <c r="Q589" t="inlineStr">
        <is>
          <t>Filled</t>
        </is>
      </c>
      <c r="R589" t="n">
        <v>6.5</v>
      </c>
      <c r="S589" t="inlineStr">
        <is>
          <t>Central English policy</t>
        </is>
      </c>
      <c r="T589" t="inlineStr">
        <is>
          <t>Central rule applies (value agrees)</t>
        </is>
      </c>
      <c r="U589" t="inlineStr"/>
      <c r="V589" t="inlineStr">
        <is>
          <t>Not stated on course page</t>
        </is>
      </c>
      <c r="W589" t="inlineStr"/>
      <c r="X589" t="inlineStr"/>
      <c r="Y589" t="n">
        <v>0</v>
      </c>
      <c r="Z589" t="inlineStr">
        <is>
          <t>No</t>
        </is>
      </c>
      <c r="AA589" t="inlineStr">
        <is>
          <t>Filled</t>
        </is>
      </c>
      <c r="AB589" t="inlineStr">
        <is>
          <t>on campus</t>
        </is>
      </c>
      <c r="AC589" t="inlineStr"/>
      <c r="AD589" t="n">
        <v>0</v>
      </c>
      <c r="AE589" t="inlineStr"/>
      <c r="AF589" t="inlineStr"/>
      <c r="AG589" t="inlineStr"/>
      <c r="AH589" t="inlineStr"/>
      <c r="AI589" t="inlineStr">
        <is>
          <t>Yes</t>
        </is>
      </c>
      <c r="AJ589" t="inlineStr"/>
      <c r="AK589" t="inlineStr"/>
      <c r="AL589" t="inlineStr"/>
      <c r="AM589" t="inlineStr"/>
    </row>
    <row r="590">
      <c r="A590" t="inlineStr">
        <is>
          <t>039860A</t>
        </is>
      </c>
      <c r="B590" t="inlineStr">
        <is>
          <t>Master of Philosophy (Social Work)</t>
        </is>
      </c>
      <c r="C590" t="inlineStr">
        <is>
          <t>Masters Degree (Research)</t>
        </is>
      </c>
      <c r="D590" t="inlineStr">
        <is>
          <t>Research degree</t>
        </is>
      </c>
      <c r="E590" t="inlineStr">
        <is>
          <t>Advertised: official page in place</t>
        </is>
      </c>
      <c r="F590" t="inlineStr">
        <is>
          <t>https://rp-handbooks.sydney.edu.au/handbooks/archive/2022/arts_PG/research/m_philosophy_social_work.shtml.html</t>
        </is>
      </c>
      <c r="G590" t="inlineStr">
        <is>
          <t>https://rp-handbooks.sydney.edu.au/handbooks/archive/2022/arts_PG/research/m_philosophy_social_work.shtml.html</t>
        </is>
      </c>
      <c r="H590" t="inlineStr">
        <is>
          <t>Read</t>
        </is>
      </c>
      <c r="I590" t="inlineStr">
        <is>
          <t>Exact title match</t>
        </is>
      </c>
      <c r="J590" t="inlineStr"/>
      <c r="K590" t="inlineStr">
        <is>
          <t>Not sent to re-link</t>
        </is>
      </c>
      <c r="L590" t="inlineStr">
        <is>
          <t>Filled</t>
        </is>
      </c>
      <c r="M590" t="inlineStr">
        <is>
          <t>Not stated on course page</t>
        </is>
      </c>
      <c r="N590" t="inlineStr"/>
      <c r="O590" t="n">
        <v>0</v>
      </c>
      <c r="P590" t="inlineStr"/>
      <c r="Q590" t="inlineStr">
        <is>
          <t>Filled</t>
        </is>
      </c>
      <c r="R590" t="n">
        <v>6.5</v>
      </c>
      <c r="S590" t="inlineStr">
        <is>
          <t>Central English policy</t>
        </is>
      </c>
      <c r="T590" t="inlineStr">
        <is>
          <t>Central rule applies (value agrees)</t>
        </is>
      </c>
      <c r="U590" t="inlineStr"/>
      <c r="V590" t="inlineStr">
        <is>
          <t>Not stated on course page</t>
        </is>
      </c>
      <c r="W590" t="inlineStr"/>
      <c r="X590" t="inlineStr"/>
      <c r="Y590" t="n">
        <v>0</v>
      </c>
      <c r="Z590" t="inlineStr">
        <is>
          <t>No</t>
        </is>
      </c>
      <c r="AA590" t="inlineStr">
        <is>
          <t>Filled</t>
        </is>
      </c>
      <c r="AB590" t="inlineStr">
        <is>
          <t>on campus</t>
        </is>
      </c>
      <c r="AC590" t="inlineStr">
        <is>
          <t>Filled</t>
        </is>
      </c>
      <c r="AD590" t="n">
        <v>0</v>
      </c>
      <c r="AE590" t="inlineStr"/>
      <c r="AF590" t="inlineStr"/>
      <c r="AG590" t="inlineStr"/>
      <c r="AH590" t="inlineStr"/>
      <c r="AI590" t="inlineStr">
        <is>
          <t>Yes</t>
        </is>
      </c>
      <c r="AJ590" t="inlineStr"/>
      <c r="AK590" t="inlineStr"/>
      <c r="AL590" t="inlineStr"/>
      <c r="AM590" t="inlineStr"/>
    </row>
    <row r="591">
      <c r="A591" t="inlineStr">
        <is>
          <t>047794F</t>
        </is>
      </c>
      <c r="B591" t="inlineStr">
        <is>
          <t>Master of Physiotherapy</t>
        </is>
      </c>
      <c r="C591" t="inlineStr">
        <is>
          <t>Masters Degree (Coursework)</t>
        </is>
      </c>
      <c r="D591" t="inlineStr">
        <is>
          <t>Postgraduate coursework</t>
        </is>
      </c>
      <c r="E591" t="inlineStr">
        <is>
          <t>No page found</t>
        </is>
      </c>
      <c r="F591" t="inlineStr"/>
      <c r="G591" t="inlineStr"/>
      <c r="H591" t="inlineStr"/>
      <c r="I591" t="inlineStr"/>
      <c r="J591" t="inlineStr"/>
      <c r="K591" t="inlineStr">
        <is>
          <t>Not sent to re-link</t>
        </is>
      </c>
      <c r="L591" t="inlineStr">
        <is>
          <t>Searching for course page</t>
        </is>
      </c>
      <c r="M591" t="inlineStr">
        <is>
          <t>Searching for course page</t>
        </is>
      </c>
      <c r="N591" t="inlineStr"/>
      <c r="O591" t="n">
        <v>0</v>
      </c>
      <c r="P591" t="inlineStr"/>
      <c r="Q591" t="inlineStr">
        <is>
          <t>Filled</t>
        </is>
      </c>
      <c r="R591" t="n">
        <v>6.5</v>
      </c>
      <c r="S591" t="inlineStr">
        <is>
          <t>Central English policy</t>
        </is>
      </c>
      <c r="T591" t="inlineStr">
        <is>
          <t>Central rule applies (value agrees)</t>
        </is>
      </c>
      <c r="U591" t="inlineStr"/>
      <c r="V591" t="inlineStr">
        <is>
          <t>Searching for course page</t>
        </is>
      </c>
      <c r="W591" t="inlineStr"/>
      <c r="X591" t="inlineStr"/>
      <c r="Y591" t="n">
        <v>0</v>
      </c>
      <c r="Z591" t="inlineStr">
        <is>
          <t>No</t>
        </is>
      </c>
      <c r="AA591" t="inlineStr">
        <is>
          <t>Not stated on course page</t>
        </is>
      </c>
      <c r="AB591" t="inlineStr"/>
      <c r="AC591" t="inlineStr">
        <is>
          <t>Skipped: no allowed source had a value</t>
        </is>
      </c>
      <c r="AD591" t="n">
        <v>0</v>
      </c>
      <c r="AE591" t="inlineStr"/>
      <c r="AF591" t="inlineStr"/>
      <c r="AG591" t="inlineStr"/>
      <c r="AH591" t="inlineStr"/>
      <c r="AI591" t="inlineStr"/>
      <c r="AJ591" t="inlineStr"/>
      <c r="AK591" t="inlineStr"/>
      <c r="AL591" t="inlineStr"/>
      <c r="AM591" t="inlineStr"/>
    </row>
    <row r="592">
      <c r="A592" t="inlineStr">
        <is>
          <t>079642B</t>
        </is>
      </c>
      <c r="B592" t="inlineStr">
        <is>
          <t>Master of Political Economy</t>
        </is>
      </c>
      <c r="C592" t="inlineStr">
        <is>
          <t>Masters Degree (Coursework)</t>
        </is>
      </c>
      <c r="D592" t="inlineStr">
        <is>
          <t>Postgraduate coursework</t>
        </is>
      </c>
      <c r="E592" t="inlineStr">
        <is>
          <t>Advertised: official page in place</t>
        </is>
      </c>
      <c r="F592" t="inlineStr">
        <is>
          <t>https://www.sydney.edu.au/courses/courses/pc/master-of-political-economy.html</t>
        </is>
      </c>
      <c r="G592" t="inlineStr">
        <is>
          <t>https://www.sydney.edu.au/courses/courses/pc/master-of-political-economy.html</t>
        </is>
      </c>
      <c r="H592" t="inlineStr">
        <is>
          <t>Read</t>
        </is>
      </c>
      <c r="I592" t="inlineStr">
        <is>
          <t>Exact title match</t>
        </is>
      </c>
      <c r="J592" t="inlineStr"/>
      <c r="K592" t="inlineStr">
        <is>
          <t>Not sent to re-link</t>
        </is>
      </c>
      <c r="L592" t="inlineStr">
        <is>
          <t>Filled</t>
        </is>
      </c>
      <c r="M592" t="inlineStr">
        <is>
          <t>Not stated on course page</t>
        </is>
      </c>
      <c r="N592" t="inlineStr"/>
      <c r="O592" t="n">
        <v>0</v>
      </c>
      <c r="P592" t="inlineStr"/>
      <c r="Q592" t="inlineStr">
        <is>
          <t>Filled</t>
        </is>
      </c>
      <c r="R592" t="n">
        <v>6.5</v>
      </c>
      <c r="S592" t="inlineStr">
        <is>
          <t>Central English policy</t>
        </is>
      </c>
      <c r="T592" t="inlineStr">
        <is>
          <t>Central rule applies (value agrees)</t>
        </is>
      </c>
      <c r="U592" t="inlineStr"/>
      <c r="V592" t="inlineStr">
        <is>
          <t>Not stated on course page</t>
        </is>
      </c>
      <c r="W592" t="inlineStr"/>
      <c r="X592" t="inlineStr"/>
      <c r="Y592" t="n">
        <v>0</v>
      </c>
      <c r="Z592" t="inlineStr">
        <is>
          <t>No</t>
        </is>
      </c>
      <c r="AA592" t="inlineStr">
        <is>
          <t>Filled</t>
        </is>
      </c>
      <c r="AB592" t="inlineStr">
        <is>
          <t>on campus</t>
        </is>
      </c>
      <c r="AC592" t="inlineStr"/>
      <c r="AD592" t="n">
        <v>0</v>
      </c>
      <c r="AE592" t="inlineStr"/>
      <c r="AF592" t="inlineStr"/>
      <c r="AG592" t="inlineStr"/>
      <c r="AH592" t="inlineStr"/>
      <c r="AI592" t="inlineStr">
        <is>
          <t>Yes</t>
        </is>
      </c>
      <c r="AJ592" t="inlineStr"/>
      <c r="AK592" t="inlineStr"/>
      <c r="AL592" t="inlineStr"/>
      <c r="AM592" t="inlineStr"/>
    </row>
    <row r="593">
      <c r="A593" t="inlineStr">
        <is>
          <t>064136K</t>
        </is>
      </c>
      <c r="B593" t="inlineStr">
        <is>
          <t>Master of Political Economy</t>
        </is>
      </c>
      <c r="C593" t="inlineStr">
        <is>
          <t>Masters Degree (Coursework)</t>
        </is>
      </c>
      <c r="D593" t="inlineStr">
        <is>
          <t>Postgraduate coursework</t>
        </is>
      </c>
      <c r="E593" t="inlineStr">
        <is>
          <t>Advertised: official page in place</t>
        </is>
      </c>
      <c r="F593" t="inlineStr">
        <is>
          <t>https://www.sydney.edu.au/courses/courses/pc/master-of-political-economy.html</t>
        </is>
      </c>
      <c r="G593" t="inlineStr">
        <is>
          <t>https://www.sydney.edu.au/courses/courses/pc/master-of-political-economy.html</t>
        </is>
      </c>
      <c r="H593" t="inlineStr">
        <is>
          <t>Read</t>
        </is>
      </c>
      <c r="I593" t="inlineStr">
        <is>
          <t>Exact title match</t>
        </is>
      </c>
      <c r="J593" t="inlineStr"/>
      <c r="K593" t="inlineStr">
        <is>
          <t>Not sent to re-link</t>
        </is>
      </c>
      <c r="L593" t="inlineStr">
        <is>
          <t>Filled</t>
        </is>
      </c>
      <c r="M593" t="inlineStr">
        <is>
          <t>Not stated on course page</t>
        </is>
      </c>
      <c r="N593" t="inlineStr"/>
      <c r="O593" t="n">
        <v>0</v>
      </c>
      <c r="P593" t="inlineStr"/>
      <c r="Q593" t="inlineStr">
        <is>
          <t>Filled</t>
        </is>
      </c>
      <c r="R593" t="n">
        <v>6.5</v>
      </c>
      <c r="S593" t="inlineStr">
        <is>
          <t>Central English policy</t>
        </is>
      </c>
      <c r="T593" t="inlineStr">
        <is>
          <t>Central rule applies (value agrees)</t>
        </is>
      </c>
      <c r="U593" t="inlineStr"/>
      <c r="V593" t="inlineStr">
        <is>
          <t>Not stated on course page</t>
        </is>
      </c>
      <c r="W593" t="inlineStr"/>
      <c r="X593" t="inlineStr"/>
      <c r="Y593" t="n">
        <v>0</v>
      </c>
      <c r="Z593" t="inlineStr">
        <is>
          <t>No</t>
        </is>
      </c>
      <c r="AA593" t="inlineStr">
        <is>
          <t>Filled</t>
        </is>
      </c>
      <c r="AB593" t="inlineStr">
        <is>
          <t>on campus</t>
        </is>
      </c>
      <c r="AC593" t="inlineStr"/>
      <c r="AD593" t="n">
        <v>0</v>
      </c>
      <c r="AE593" t="inlineStr"/>
      <c r="AF593" t="inlineStr"/>
      <c r="AG593" t="inlineStr"/>
      <c r="AH593" t="inlineStr"/>
      <c r="AI593" t="inlineStr">
        <is>
          <t>Yes</t>
        </is>
      </c>
      <c r="AJ593" t="inlineStr"/>
      <c r="AK593" t="inlineStr"/>
      <c r="AL593" t="inlineStr"/>
      <c r="AM593" t="inlineStr"/>
    </row>
    <row r="594">
      <c r="A594" t="inlineStr">
        <is>
          <t>079241G</t>
        </is>
      </c>
      <c r="B594" t="inlineStr">
        <is>
          <t>Master of Primary Health Care</t>
        </is>
      </c>
      <c r="C594" t="inlineStr">
        <is>
          <t>Masters Degree (Coursework)</t>
        </is>
      </c>
      <c r="D594" t="inlineStr">
        <is>
          <t>Postgraduate coursework</t>
        </is>
      </c>
      <c r="E594" t="inlineStr">
        <is>
          <t>Page address no longer works</t>
        </is>
      </c>
      <c r="F594" t="inlineStr"/>
      <c r="G594" t="inlineStr">
        <is>
          <t>https://www.sydney.edu.au/courses/courses/pc/master-of-primary-health-care.html</t>
        </is>
      </c>
      <c r="H594" t="inlineStr">
        <is>
          <t>Address no longer works</t>
        </is>
      </c>
      <c r="I594" t="inlineStr"/>
      <c r="J594" t="inlineStr"/>
      <c r="K594" t="inlineStr">
        <is>
          <t>Finished, no page: every candidate address was refused by the reader or did not</t>
        </is>
      </c>
      <c r="L594" t="inlineStr">
        <is>
          <t>Page found, being read</t>
        </is>
      </c>
      <c r="M594" t="inlineStr">
        <is>
          <t>Page found, being read</t>
        </is>
      </c>
      <c r="N594" t="inlineStr"/>
      <c r="O594" t="n">
        <v>0</v>
      </c>
      <c r="P594" t="inlineStr"/>
      <c r="Q594" t="inlineStr">
        <is>
          <t>Filled</t>
        </is>
      </c>
      <c r="R594" t="n">
        <v>6.5</v>
      </c>
      <c r="S594" t="inlineStr">
        <is>
          <t>Central English policy</t>
        </is>
      </c>
      <c r="T594" t="inlineStr">
        <is>
          <t>Central rule applies (value agrees)</t>
        </is>
      </c>
      <c r="U594" t="inlineStr"/>
      <c r="V594" t="inlineStr">
        <is>
          <t>Page found, being read</t>
        </is>
      </c>
      <c r="W594" t="inlineStr"/>
      <c r="X594" t="inlineStr"/>
      <c r="Y594" t="n">
        <v>0</v>
      </c>
      <c r="Z594" t="inlineStr">
        <is>
          <t>No</t>
        </is>
      </c>
      <c r="AA594" t="inlineStr">
        <is>
          <t>Not stated on course page</t>
        </is>
      </c>
      <c r="AB594" t="inlineStr"/>
      <c r="AC594" t="inlineStr">
        <is>
          <t>Skipped: no allowed source had a value</t>
        </is>
      </c>
      <c r="AD594" t="n">
        <v>1</v>
      </c>
      <c r="AE594" t="inlineStr"/>
      <c r="AF594" t="inlineStr"/>
      <c r="AG594" t="inlineStr"/>
      <c r="AH594" t="inlineStr"/>
      <c r="AI594" t="inlineStr"/>
      <c r="AJ594" t="inlineStr"/>
      <c r="AK594" t="inlineStr"/>
      <c r="AL594" t="inlineStr"/>
      <c r="AM594" t="inlineStr"/>
    </row>
    <row r="595">
      <c r="A595" t="inlineStr">
        <is>
          <t>058362F</t>
        </is>
      </c>
      <c r="B595" t="inlineStr">
        <is>
          <t>Master of Professional Accounting</t>
        </is>
      </c>
      <c r="C595" t="inlineStr">
        <is>
          <t>Masters Degree (Coursework)</t>
        </is>
      </c>
      <c r="D595" t="inlineStr">
        <is>
          <t>Postgraduate coursework</t>
        </is>
      </c>
      <c r="E595" t="inlineStr">
        <is>
          <t>Advertised: official page in place</t>
        </is>
      </c>
      <c r="F595" t="inlineStr">
        <is>
          <t>https://www.sydney.edu.au/courses/courses/pc/master-of-professional-accounting-and-business-performance.html</t>
        </is>
      </c>
      <c r="G595" t="inlineStr">
        <is>
          <t>https://www.sydney.edu.au/courses/courses/pc/master-of-professional-accounting-and-business-performance.html</t>
        </is>
      </c>
      <c r="H595" t="inlineStr">
        <is>
          <t>Read</t>
        </is>
      </c>
      <c r="I595" t="inlineStr">
        <is>
          <t>Exact title match</t>
        </is>
      </c>
      <c r="J595" t="inlineStr"/>
      <c r="K595" t="inlineStr">
        <is>
          <t>Not sent to re-link</t>
        </is>
      </c>
      <c r="L595" t="inlineStr">
        <is>
          <t>Filled</t>
        </is>
      </c>
      <c r="M595" t="inlineStr">
        <is>
          <t>Not stated on course page</t>
        </is>
      </c>
      <c r="N595" t="inlineStr"/>
      <c r="O595" t="n">
        <v>0</v>
      </c>
      <c r="P595" t="inlineStr"/>
      <c r="Q595" t="inlineStr">
        <is>
          <t>Filled</t>
        </is>
      </c>
      <c r="R595" t="n">
        <v>6.5</v>
      </c>
      <c r="S595" t="inlineStr">
        <is>
          <t>Central English policy</t>
        </is>
      </c>
      <c r="T595" t="inlineStr">
        <is>
          <t>Central rule applies (value agrees)</t>
        </is>
      </c>
      <c r="U595" t="inlineStr"/>
      <c r="V595" t="inlineStr">
        <is>
          <t>Not stated on course page</t>
        </is>
      </c>
      <c r="W595" t="inlineStr"/>
      <c r="X595" t="inlineStr"/>
      <c r="Y595" t="n">
        <v>0</v>
      </c>
      <c r="Z595" t="inlineStr">
        <is>
          <t>No</t>
        </is>
      </c>
      <c r="AA595" t="inlineStr">
        <is>
          <t>Filled</t>
        </is>
      </c>
      <c r="AB595" t="inlineStr">
        <is>
          <t>on campus</t>
        </is>
      </c>
      <c r="AC595" t="inlineStr"/>
      <c r="AD595" t="n">
        <v>0</v>
      </c>
      <c r="AE595" t="inlineStr"/>
      <c r="AF595" t="inlineStr"/>
      <c r="AG595" t="inlineStr"/>
      <c r="AH595" t="inlineStr"/>
      <c r="AI595" t="inlineStr">
        <is>
          <t>Yes</t>
        </is>
      </c>
      <c r="AJ595" t="inlineStr"/>
      <c r="AK595" t="inlineStr"/>
      <c r="AL595" t="inlineStr"/>
      <c r="AM595" t="inlineStr"/>
    </row>
    <row r="596">
      <c r="A596" t="inlineStr">
        <is>
          <t>077337E</t>
        </is>
      </c>
      <c r="B596" t="inlineStr">
        <is>
          <t>Master of Professional Accounting</t>
        </is>
      </c>
      <c r="C596" t="inlineStr">
        <is>
          <t>Masters Degree (Coursework)</t>
        </is>
      </c>
      <c r="D596" t="inlineStr">
        <is>
          <t>Postgraduate coursework</t>
        </is>
      </c>
      <c r="E596" t="inlineStr">
        <is>
          <t>Advertised: official page in place</t>
        </is>
      </c>
      <c r="F596" t="inlineStr">
        <is>
          <t>https://www.sydney.edu.au/courses/courses/pc/master-of-professional-accounting-and-business-performance.html</t>
        </is>
      </c>
      <c r="G596" t="inlineStr">
        <is>
          <t>https://www.sydney.edu.au/courses/courses/pc/master-of-professional-accounting-and-business-performance.html</t>
        </is>
      </c>
      <c r="H596" t="inlineStr">
        <is>
          <t>Read</t>
        </is>
      </c>
      <c r="I596" t="inlineStr">
        <is>
          <t>Exact title match</t>
        </is>
      </c>
      <c r="J596" t="inlineStr"/>
      <c r="K596" t="inlineStr">
        <is>
          <t>Not sent to re-link</t>
        </is>
      </c>
      <c r="L596" t="inlineStr">
        <is>
          <t>Filled</t>
        </is>
      </c>
      <c r="M596" t="inlineStr">
        <is>
          <t>Not stated on course page</t>
        </is>
      </c>
      <c r="N596" t="inlineStr"/>
      <c r="O596" t="n">
        <v>0</v>
      </c>
      <c r="P596" t="inlineStr"/>
      <c r="Q596" t="inlineStr">
        <is>
          <t>Filled</t>
        </is>
      </c>
      <c r="R596" t="n">
        <v>6.5</v>
      </c>
      <c r="S596" t="inlineStr">
        <is>
          <t>Central English policy</t>
        </is>
      </c>
      <c r="T596" t="inlineStr">
        <is>
          <t>Central rule applies (value agrees)</t>
        </is>
      </c>
      <c r="U596" t="inlineStr"/>
      <c r="V596" t="inlineStr">
        <is>
          <t>Not stated on course page</t>
        </is>
      </c>
      <c r="W596" t="inlineStr"/>
      <c r="X596" t="inlineStr"/>
      <c r="Y596" t="n">
        <v>0</v>
      </c>
      <c r="Z596" t="inlineStr">
        <is>
          <t>No</t>
        </is>
      </c>
      <c r="AA596" t="inlineStr">
        <is>
          <t>Filled</t>
        </is>
      </c>
      <c r="AB596" t="inlineStr">
        <is>
          <t>on campus</t>
        </is>
      </c>
      <c r="AC596" t="inlineStr"/>
      <c r="AD596" t="n">
        <v>0</v>
      </c>
      <c r="AE596" t="inlineStr"/>
      <c r="AF596" t="inlineStr"/>
      <c r="AG596" t="inlineStr"/>
      <c r="AH596" t="inlineStr"/>
      <c r="AI596" t="inlineStr">
        <is>
          <t>Yes</t>
        </is>
      </c>
      <c r="AJ596" t="inlineStr"/>
      <c r="AK596" t="inlineStr"/>
      <c r="AL596" t="inlineStr"/>
      <c r="AM596" t="inlineStr"/>
    </row>
    <row r="597">
      <c r="A597" t="inlineStr">
        <is>
          <t>107966A</t>
        </is>
      </c>
      <c r="B597" t="inlineStr">
        <is>
          <t>Master of Professional Accounting and Business Performance</t>
        </is>
      </c>
      <c r="C597" t="inlineStr">
        <is>
          <t>Masters Degree (Coursework)</t>
        </is>
      </c>
      <c r="D597" t="inlineStr">
        <is>
          <t>Postgraduate coursework</t>
        </is>
      </c>
      <c r="E597" t="inlineStr">
        <is>
          <t>Advertised: official page in place</t>
        </is>
      </c>
      <c r="F597" t="inlineStr">
        <is>
          <t>https://www.sydney.edu.au/courses/courses/pc/master-of-professional-accounting-and-business-performance.html</t>
        </is>
      </c>
      <c r="G597" t="inlineStr">
        <is>
          <t>https://www.sydney.edu.au/courses/courses/pc/master-of-professional-accounting-and-business-performance.html</t>
        </is>
      </c>
      <c r="H597" t="inlineStr">
        <is>
          <t>Read</t>
        </is>
      </c>
      <c r="I597" t="inlineStr">
        <is>
          <t>Exact title match</t>
        </is>
      </c>
      <c r="J597" t="inlineStr"/>
      <c r="K597" t="inlineStr">
        <is>
          <t>Not sent to re-link</t>
        </is>
      </c>
      <c r="L597" t="inlineStr">
        <is>
          <t>Filled</t>
        </is>
      </c>
      <c r="M597" t="inlineStr">
        <is>
          <t>Not stated on course page</t>
        </is>
      </c>
      <c r="N597" t="inlineStr"/>
      <c r="O597" t="n">
        <v>0</v>
      </c>
      <c r="P597" t="inlineStr"/>
      <c r="Q597" t="inlineStr">
        <is>
          <t>Filled</t>
        </is>
      </c>
      <c r="R597" t="n">
        <v>6.5</v>
      </c>
      <c r="S597" t="inlineStr">
        <is>
          <t>Central English policy</t>
        </is>
      </c>
      <c r="T597" t="inlineStr">
        <is>
          <t>Central rule applies (value agrees)</t>
        </is>
      </c>
      <c r="U597" t="inlineStr"/>
      <c r="V597" t="inlineStr">
        <is>
          <t>Not stated on course page</t>
        </is>
      </c>
      <c r="W597" t="inlineStr"/>
      <c r="X597" t="inlineStr"/>
      <c r="Y597" t="n">
        <v>0</v>
      </c>
      <c r="Z597" t="inlineStr">
        <is>
          <t>No</t>
        </is>
      </c>
      <c r="AA597" t="inlineStr">
        <is>
          <t>Filled</t>
        </is>
      </c>
      <c r="AB597" t="inlineStr">
        <is>
          <t>on campus</t>
        </is>
      </c>
      <c r="AC597" t="inlineStr"/>
      <c r="AD597" t="n">
        <v>0</v>
      </c>
      <c r="AE597" t="inlineStr"/>
      <c r="AF597" t="inlineStr"/>
      <c r="AG597" t="inlineStr"/>
      <c r="AH597" t="inlineStr"/>
      <c r="AI597" t="inlineStr">
        <is>
          <t>Yes</t>
        </is>
      </c>
      <c r="AJ597" t="inlineStr"/>
      <c r="AK597" t="inlineStr"/>
      <c r="AL597" t="inlineStr"/>
      <c r="AM597" t="inlineStr"/>
    </row>
    <row r="598">
      <c r="A598" t="inlineStr">
        <is>
          <t>064107D</t>
        </is>
      </c>
      <c r="B598" t="inlineStr">
        <is>
          <t>Master of Professional Engineering</t>
        </is>
      </c>
      <c r="C598" t="inlineStr">
        <is>
          <t>Masters Degree (Coursework)</t>
        </is>
      </c>
      <c r="D598" t="inlineStr">
        <is>
          <t>Postgraduate coursework</t>
        </is>
      </c>
      <c r="E598" t="inlineStr">
        <is>
          <t>Advertised: official page in place</t>
        </is>
      </c>
      <c r="F598" t="inlineStr">
        <is>
          <t>https://www.sydney.edu.au/courses/courses/pc/master-of-professional-engineering-mechanical-engineering.html</t>
        </is>
      </c>
      <c r="G598" t="inlineStr">
        <is>
          <t>https://www.sydney.edu.au/courses/courses/pc/master-of-professional-engineering-mechanical-engineering.html</t>
        </is>
      </c>
      <c r="H598" t="inlineStr">
        <is>
          <t>Read</t>
        </is>
      </c>
      <c r="I598" t="inlineStr">
        <is>
          <t>Exact title match</t>
        </is>
      </c>
      <c r="J598" t="inlineStr"/>
      <c r="K598" t="inlineStr">
        <is>
          <t>Not sent to re-link</t>
        </is>
      </c>
      <c r="L598" t="inlineStr">
        <is>
          <t>Filled</t>
        </is>
      </c>
      <c r="M598" t="inlineStr">
        <is>
          <t>Not stated on course page</t>
        </is>
      </c>
      <c r="N598" t="inlineStr"/>
      <c r="O598" t="n">
        <v>0</v>
      </c>
      <c r="P598" t="inlineStr"/>
      <c r="Q598" t="inlineStr">
        <is>
          <t>Filled</t>
        </is>
      </c>
      <c r="R598" t="n">
        <v>6.5</v>
      </c>
      <c r="S598" t="inlineStr">
        <is>
          <t>Central English policy</t>
        </is>
      </c>
      <c r="T598" t="inlineStr">
        <is>
          <t>Central rule applies (value agrees)</t>
        </is>
      </c>
      <c r="U598" t="inlineStr"/>
      <c r="V598" t="inlineStr">
        <is>
          <t>Not stated on course page</t>
        </is>
      </c>
      <c r="W598" t="inlineStr"/>
      <c r="X598" t="inlineStr"/>
      <c r="Y598" t="n">
        <v>0</v>
      </c>
      <c r="Z598" t="inlineStr">
        <is>
          <t>No</t>
        </is>
      </c>
      <c r="AA598" t="inlineStr">
        <is>
          <t>Filled</t>
        </is>
      </c>
      <c r="AB598" t="inlineStr">
        <is>
          <t>on campus</t>
        </is>
      </c>
      <c r="AC598" t="inlineStr"/>
      <c r="AD598" t="n">
        <v>0</v>
      </c>
      <c r="AE598" t="inlineStr"/>
      <c r="AF598" t="inlineStr"/>
      <c r="AG598" t="inlineStr"/>
      <c r="AH598" t="inlineStr"/>
      <c r="AI598" t="inlineStr">
        <is>
          <t>Yes</t>
        </is>
      </c>
      <c r="AJ598" t="inlineStr"/>
      <c r="AK598" t="inlineStr"/>
      <c r="AL598" t="inlineStr"/>
      <c r="AM598" t="inlineStr"/>
    </row>
    <row r="599">
      <c r="A599" t="inlineStr">
        <is>
          <t>077470M</t>
        </is>
      </c>
      <c r="B599" t="inlineStr">
        <is>
          <t>Master of Professional Engineering</t>
        </is>
      </c>
      <c r="C599" t="inlineStr">
        <is>
          <t>Masters Degree (Coursework)</t>
        </is>
      </c>
      <c r="D599" t="inlineStr">
        <is>
          <t>Postgraduate coursework</t>
        </is>
      </c>
      <c r="E599" t="inlineStr">
        <is>
          <t>Advertised: official page in place</t>
        </is>
      </c>
      <c r="F599" t="inlineStr">
        <is>
          <t>https://www.sydney.edu.au/courses/courses/pc/master-of-professional-engineering-mechanical-engineering.html</t>
        </is>
      </c>
      <c r="G599" t="inlineStr">
        <is>
          <t>https://www.sydney.edu.au/courses/courses/pc/master-of-professional-engineering-mechanical-engineering.html</t>
        </is>
      </c>
      <c r="H599" t="inlineStr">
        <is>
          <t>Read</t>
        </is>
      </c>
      <c r="I599" t="inlineStr">
        <is>
          <t>Exact title match</t>
        </is>
      </c>
      <c r="J599" t="inlineStr"/>
      <c r="K599" t="inlineStr">
        <is>
          <t>Not sent to re-link</t>
        </is>
      </c>
      <c r="L599" t="inlineStr">
        <is>
          <t>Filled</t>
        </is>
      </c>
      <c r="M599" t="inlineStr">
        <is>
          <t>Not stated on course page</t>
        </is>
      </c>
      <c r="N599" t="inlineStr"/>
      <c r="O599" t="n">
        <v>0</v>
      </c>
      <c r="P599" t="inlineStr"/>
      <c r="Q599" t="inlineStr">
        <is>
          <t>Filled</t>
        </is>
      </c>
      <c r="R599" t="n">
        <v>6.5</v>
      </c>
      <c r="S599" t="inlineStr">
        <is>
          <t>Central English policy</t>
        </is>
      </c>
      <c r="T599" t="inlineStr">
        <is>
          <t>Central rule applies (value agrees)</t>
        </is>
      </c>
      <c r="U599" t="inlineStr"/>
      <c r="V599" t="inlineStr">
        <is>
          <t>Not stated on course page</t>
        </is>
      </c>
      <c r="W599" t="inlineStr"/>
      <c r="X599" t="inlineStr"/>
      <c r="Y599" t="n">
        <v>0</v>
      </c>
      <c r="Z599" t="inlineStr">
        <is>
          <t>No</t>
        </is>
      </c>
      <c r="AA599" t="inlineStr">
        <is>
          <t>Filled</t>
        </is>
      </c>
      <c r="AB599" t="inlineStr">
        <is>
          <t>on campus</t>
        </is>
      </c>
      <c r="AC599" t="inlineStr"/>
      <c r="AD599" t="n">
        <v>0</v>
      </c>
      <c r="AE599" t="inlineStr"/>
      <c r="AF599" t="inlineStr"/>
      <c r="AG599" t="inlineStr"/>
      <c r="AH599" t="inlineStr"/>
      <c r="AI599" t="inlineStr">
        <is>
          <t>Yes</t>
        </is>
      </c>
      <c r="AJ599" t="inlineStr"/>
      <c r="AK599" t="inlineStr"/>
      <c r="AL599" t="inlineStr"/>
      <c r="AM599" t="inlineStr"/>
    </row>
    <row r="600">
      <c r="A600" t="inlineStr">
        <is>
          <t>098247M</t>
        </is>
      </c>
      <c r="B600" t="inlineStr">
        <is>
          <t>Master of Professional Engineering (Accelerated)</t>
        </is>
      </c>
      <c r="C600" t="inlineStr">
        <is>
          <t>Masters Degree (Coursework)</t>
        </is>
      </c>
      <c r="D600" t="inlineStr">
        <is>
          <t>Postgraduate coursework</t>
        </is>
      </c>
      <c r="E600" t="inlineStr">
        <is>
          <t>Advertised: official page in place</t>
        </is>
      </c>
      <c r="F600" t="inlineStr">
        <is>
          <t>https://www.sydney.edu.au/courses/courses/pc/master-of-professional-engineering-accelerated-mechanical-engineering.html</t>
        </is>
      </c>
      <c r="G600" t="inlineStr">
        <is>
          <t>https://www.sydney.edu.au/courses/courses/pc/master-of-professional-engineering-accelerated-mechanical-engineering.html</t>
        </is>
      </c>
      <c r="H600" t="inlineStr">
        <is>
          <t>Read</t>
        </is>
      </c>
      <c r="I600" t="inlineStr">
        <is>
          <t>Exact title match</t>
        </is>
      </c>
      <c r="J600" t="inlineStr"/>
      <c r="K600" t="inlineStr">
        <is>
          <t>Not sent to re-link</t>
        </is>
      </c>
      <c r="L600" t="inlineStr">
        <is>
          <t>Filled</t>
        </is>
      </c>
      <c r="M600" t="inlineStr">
        <is>
          <t>Not stated on course page</t>
        </is>
      </c>
      <c r="N600" t="inlineStr"/>
      <c r="O600" t="n">
        <v>0</v>
      </c>
      <c r="P600" t="inlineStr"/>
      <c r="Q600" t="inlineStr">
        <is>
          <t>Filled</t>
        </is>
      </c>
      <c r="R600" t="n">
        <v>6.5</v>
      </c>
      <c r="S600" t="inlineStr">
        <is>
          <t>Central English policy</t>
        </is>
      </c>
      <c r="T600" t="inlineStr">
        <is>
          <t>Central rule applies (value agrees)</t>
        </is>
      </c>
      <c r="U600" t="inlineStr"/>
      <c r="V600" t="inlineStr">
        <is>
          <t>Not stated on course page</t>
        </is>
      </c>
      <c r="W600" t="inlineStr"/>
      <c r="X600" t="inlineStr"/>
      <c r="Y600" t="n">
        <v>0</v>
      </c>
      <c r="Z600" t="inlineStr">
        <is>
          <t>No</t>
        </is>
      </c>
      <c r="AA600" t="inlineStr">
        <is>
          <t>Filled</t>
        </is>
      </c>
      <c r="AB600" t="inlineStr">
        <is>
          <t>on campus</t>
        </is>
      </c>
      <c r="AC600" t="inlineStr"/>
      <c r="AD600" t="n">
        <v>0</v>
      </c>
      <c r="AE600" t="inlineStr"/>
      <c r="AF600" t="inlineStr"/>
      <c r="AG600" t="inlineStr"/>
      <c r="AH600" t="inlineStr"/>
      <c r="AI600" t="inlineStr">
        <is>
          <t>Yes</t>
        </is>
      </c>
      <c r="AJ600" t="inlineStr"/>
      <c r="AK600" t="inlineStr"/>
      <c r="AL600" t="inlineStr"/>
      <c r="AM600" t="inlineStr"/>
    </row>
    <row r="601">
      <c r="A601" t="inlineStr">
        <is>
          <t>097700C</t>
        </is>
      </c>
      <c r="B601" t="inlineStr">
        <is>
          <t>Master of Project and Program Management</t>
        </is>
      </c>
      <c r="C601" t="inlineStr">
        <is>
          <t>Masters Degree (Coursework)</t>
        </is>
      </c>
      <c r="D601" t="inlineStr">
        <is>
          <t>Postgraduate coursework</t>
        </is>
      </c>
      <c r="E601" t="inlineStr">
        <is>
          <t>Page read, not yet admitted</t>
        </is>
      </c>
      <c r="F601" t="inlineStr"/>
      <c r="G601" t="inlineStr">
        <is>
          <t>https://www.sydney.edu.au/courses/courses/pc/master-of-project-and-program-management.html</t>
        </is>
      </c>
      <c r="H601" t="inlineStr">
        <is>
          <t>Read</t>
        </is>
      </c>
      <c r="I601" t="inlineStr">
        <is>
          <t>Set by hand</t>
        </is>
      </c>
      <c r="J601" t="inlineStr"/>
      <c r="K601" t="inlineStr">
        <is>
          <t>Not sent to re-link</t>
        </is>
      </c>
      <c r="L601" t="inlineStr">
        <is>
          <t>Not stated on course page</t>
        </is>
      </c>
      <c r="M601" t="inlineStr">
        <is>
          <t>Not stated on course page</t>
        </is>
      </c>
      <c r="N601" t="inlineStr"/>
      <c r="O601" t="n">
        <v>0</v>
      </c>
      <c r="P601" t="inlineStr"/>
      <c r="Q601" t="inlineStr">
        <is>
          <t>Filled</t>
        </is>
      </c>
      <c r="R601" t="n">
        <v>6.5</v>
      </c>
      <c r="S601" t="inlineStr">
        <is>
          <t>Central English policy</t>
        </is>
      </c>
      <c r="T601" t="inlineStr">
        <is>
          <t>Central rule applies (value agrees)</t>
        </is>
      </c>
      <c r="U601" t="inlineStr"/>
      <c r="V601" t="inlineStr">
        <is>
          <t>Not stated on course page</t>
        </is>
      </c>
      <c r="W601" t="inlineStr"/>
      <c r="X601" t="inlineStr"/>
      <c r="Y601" t="n">
        <v>0</v>
      </c>
      <c r="Z601" t="inlineStr">
        <is>
          <t>No</t>
        </is>
      </c>
      <c r="AA601" t="inlineStr">
        <is>
          <t>Not stated on course page</t>
        </is>
      </c>
      <c r="AB601" t="inlineStr"/>
      <c r="AC601" t="inlineStr">
        <is>
          <t>Skipped: the page does not state it</t>
        </is>
      </c>
      <c r="AD601" t="n">
        <v>0</v>
      </c>
      <c r="AE601" t="inlineStr"/>
      <c r="AF601" t="inlineStr"/>
      <c r="AG601" t="inlineStr"/>
      <c r="AH601" t="inlineStr"/>
      <c r="AI601" t="inlineStr"/>
      <c r="AJ601" t="inlineStr"/>
      <c r="AK601" t="inlineStr"/>
      <c r="AL601" t="inlineStr"/>
      <c r="AM601" t="inlineStr"/>
    </row>
    <row r="602">
      <c r="A602" t="inlineStr">
        <is>
          <t>031911D</t>
        </is>
      </c>
      <c r="B602" t="inlineStr">
        <is>
          <t>Master of Project Management</t>
        </is>
      </c>
      <c r="C602" t="inlineStr">
        <is>
          <t>Masters Degree (Coursework)</t>
        </is>
      </c>
      <c r="D602" t="inlineStr">
        <is>
          <t>Postgraduate coursework</t>
        </is>
      </c>
      <c r="E602" t="inlineStr">
        <is>
          <t>Advertised: official page in place</t>
        </is>
      </c>
      <c r="F602" t="inlineStr">
        <is>
          <t>https://www.sydney.edu.au/courses/courses/pc/master-of-project-management.html</t>
        </is>
      </c>
      <c r="G602" t="inlineStr">
        <is>
          <t>https://www.sydney.edu.au/courses/courses/pc/master-of-project-management.html</t>
        </is>
      </c>
      <c r="H602" t="inlineStr">
        <is>
          <t>Read</t>
        </is>
      </c>
      <c r="I602" t="inlineStr">
        <is>
          <t>Exact title match</t>
        </is>
      </c>
      <c r="J602" t="inlineStr"/>
      <c r="K602" t="inlineStr">
        <is>
          <t>Not sent to re-link</t>
        </is>
      </c>
      <c r="L602" t="inlineStr">
        <is>
          <t>Filled</t>
        </is>
      </c>
      <c r="M602" t="inlineStr">
        <is>
          <t>Not stated on course page</t>
        </is>
      </c>
      <c r="N602" t="inlineStr"/>
      <c r="O602" t="n">
        <v>0</v>
      </c>
      <c r="P602" t="inlineStr"/>
      <c r="Q602" t="inlineStr">
        <is>
          <t>Filled</t>
        </is>
      </c>
      <c r="R602" t="n">
        <v>6.5</v>
      </c>
      <c r="S602" t="inlineStr">
        <is>
          <t>Central English policy</t>
        </is>
      </c>
      <c r="T602" t="inlineStr">
        <is>
          <t>Central rule applies (value agrees)</t>
        </is>
      </c>
      <c r="U602" t="inlineStr"/>
      <c r="V602" t="inlineStr">
        <is>
          <t>Not stated on course page</t>
        </is>
      </c>
      <c r="W602" t="inlineStr"/>
      <c r="X602" t="inlineStr"/>
      <c r="Y602" t="n">
        <v>0</v>
      </c>
      <c r="Z602" t="inlineStr">
        <is>
          <t>No</t>
        </is>
      </c>
      <c r="AA602" t="inlineStr">
        <is>
          <t>Filled</t>
        </is>
      </c>
      <c r="AB602" t="inlineStr">
        <is>
          <t>on campus</t>
        </is>
      </c>
      <c r="AC602" t="inlineStr"/>
      <c r="AD602" t="n">
        <v>0</v>
      </c>
      <c r="AE602" t="inlineStr"/>
      <c r="AF602" t="inlineStr"/>
      <c r="AG602" t="inlineStr"/>
      <c r="AH602" t="inlineStr"/>
      <c r="AI602" t="inlineStr">
        <is>
          <t>Yes</t>
        </is>
      </c>
      <c r="AJ602" t="inlineStr"/>
      <c r="AK602" t="inlineStr"/>
      <c r="AL602" t="inlineStr"/>
      <c r="AM602" t="inlineStr"/>
    </row>
    <row r="603">
      <c r="A603" t="inlineStr">
        <is>
          <t>082914A</t>
        </is>
      </c>
      <c r="B603" t="inlineStr">
        <is>
          <t>Master of Project Management</t>
        </is>
      </c>
      <c r="C603" t="inlineStr">
        <is>
          <t>Masters Degree (Coursework)</t>
        </is>
      </c>
      <c r="D603" t="inlineStr">
        <is>
          <t>Postgraduate coursework</t>
        </is>
      </c>
      <c r="E603" t="inlineStr">
        <is>
          <t>Advertised: official page in place</t>
        </is>
      </c>
      <c r="F603" t="inlineStr">
        <is>
          <t>https://www.sydney.edu.au/courses/courses/pc/master-of-project-management.html</t>
        </is>
      </c>
      <c r="G603" t="inlineStr">
        <is>
          <t>https://www.sydney.edu.au/courses/courses/pc/master-of-project-management.html</t>
        </is>
      </c>
      <c r="H603" t="inlineStr">
        <is>
          <t>Read</t>
        </is>
      </c>
      <c r="I603" t="inlineStr">
        <is>
          <t>Exact title match</t>
        </is>
      </c>
      <c r="J603" t="inlineStr"/>
      <c r="K603" t="inlineStr">
        <is>
          <t>Not sent to re-link</t>
        </is>
      </c>
      <c r="L603" t="inlineStr">
        <is>
          <t>Filled</t>
        </is>
      </c>
      <c r="M603" t="inlineStr">
        <is>
          <t>Not stated on course page</t>
        </is>
      </c>
      <c r="N603" t="inlineStr"/>
      <c r="O603" t="n">
        <v>0</v>
      </c>
      <c r="P603" t="inlineStr"/>
      <c r="Q603" t="inlineStr">
        <is>
          <t>Filled</t>
        </is>
      </c>
      <c r="R603" t="n">
        <v>6.5</v>
      </c>
      <c r="S603" t="inlineStr">
        <is>
          <t>Central English policy</t>
        </is>
      </c>
      <c r="T603" t="inlineStr">
        <is>
          <t>Central rule applies (value agrees)</t>
        </is>
      </c>
      <c r="U603" t="inlineStr"/>
      <c r="V603" t="inlineStr">
        <is>
          <t>Not stated on course page</t>
        </is>
      </c>
      <c r="W603" t="inlineStr"/>
      <c r="X603" t="inlineStr"/>
      <c r="Y603" t="n">
        <v>0</v>
      </c>
      <c r="Z603" t="inlineStr">
        <is>
          <t>No</t>
        </is>
      </c>
      <c r="AA603" t="inlineStr">
        <is>
          <t>Filled</t>
        </is>
      </c>
      <c r="AB603" t="inlineStr">
        <is>
          <t>on campus</t>
        </is>
      </c>
      <c r="AC603" t="inlineStr"/>
      <c r="AD603" t="n">
        <v>0</v>
      </c>
      <c r="AE603" t="inlineStr"/>
      <c r="AF603" t="inlineStr"/>
      <c r="AG603" t="inlineStr"/>
      <c r="AH603" t="inlineStr"/>
      <c r="AI603" t="inlineStr">
        <is>
          <t>Yes</t>
        </is>
      </c>
      <c r="AJ603" t="inlineStr"/>
      <c r="AK603" t="inlineStr"/>
      <c r="AL603" t="inlineStr"/>
      <c r="AM603" t="inlineStr"/>
    </row>
    <row r="604">
      <c r="A604" t="inlineStr">
        <is>
          <t>053859K</t>
        </is>
      </c>
      <c r="B604" t="inlineStr">
        <is>
          <t>Master of Public Administration</t>
        </is>
      </c>
      <c r="C604" t="inlineStr">
        <is>
          <t>Masters Degree (Coursework)</t>
        </is>
      </c>
      <c r="D604" t="inlineStr">
        <is>
          <t>Postgraduate coursework</t>
        </is>
      </c>
      <c r="E604" t="inlineStr">
        <is>
          <t>Page found, needs a rendered read</t>
        </is>
      </c>
      <c r="F604" t="inlineStr"/>
      <c r="G604" t="inlineStr">
        <is>
          <t>https://www.sydney.edu.au/courses/courses/pc/master-of-public-administration.html</t>
        </is>
      </c>
      <c r="H604" t="inlineStr">
        <is>
          <t>Needs a rendered read</t>
        </is>
      </c>
      <c r="I604" t="inlineStr"/>
      <c r="J604" t="inlineStr"/>
      <c r="K604" t="inlineStr">
        <is>
          <t>Finished, no page: every candidate address was refused by the reader or did not</t>
        </is>
      </c>
      <c r="L604" t="inlineStr">
        <is>
          <t>Page found, being read</t>
        </is>
      </c>
      <c r="M604" t="inlineStr">
        <is>
          <t>Page found, being read</t>
        </is>
      </c>
      <c r="N604" t="inlineStr"/>
      <c r="O604" t="n">
        <v>0</v>
      </c>
      <c r="P604" t="inlineStr"/>
      <c r="Q604" t="inlineStr">
        <is>
          <t>Filled</t>
        </is>
      </c>
      <c r="R604" t="n">
        <v>6.5</v>
      </c>
      <c r="S604" t="inlineStr">
        <is>
          <t>Central English policy</t>
        </is>
      </c>
      <c r="T604" t="inlineStr">
        <is>
          <t>Central rule applies (value agrees)</t>
        </is>
      </c>
      <c r="U604" t="inlineStr"/>
      <c r="V604" t="inlineStr">
        <is>
          <t>Page found, being read</t>
        </is>
      </c>
      <c r="W604" t="inlineStr"/>
      <c r="X604" t="inlineStr"/>
      <c r="Y604" t="n">
        <v>0</v>
      </c>
      <c r="Z604" t="inlineStr">
        <is>
          <t>No</t>
        </is>
      </c>
      <c r="AA604" t="inlineStr">
        <is>
          <t>Not stated on course page</t>
        </is>
      </c>
      <c r="AB604" t="inlineStr"/>
      <c r="AC604" t="inlineStr">
        <is>
          <t>Skipped: the page does not state it</t>
        </is>
      </c>
      <c r="AD604" t="n">
        <v>0</v>
      </c>
      <c r="AE604" t="inlineStr">
        <is>
          <t>Yes</t>
        </is>
      </c>
      <c r="AF604" t="inlineStr"/>
      <c r="AG604" t="inlineStr"/>
      <c r="AH604" t="inlineStr"/>
      <c r="AI604" t="inlineStr"/>
      <c r="AJ604" t="inlineStr"/>
      <c r="AK604" t="inlineStr"/>
      <c r="AL604" t="inlineStr"/>
      <c r="AM604" t="inlineStr"/>
    </row>
    <row r="605">
      <c r="A605" t="inlineStr">
        <is>
          <t>054757G</t>
        </is>
      </c>
      <c r="B605" t="inlineStr">
        <is>
          <t>Master of Public Health</t>
        </is>
      </c>
      <c r="C605" t="inlineStr">
        <is>
          <t>Masters Degree (Coursework)</t>
        </is>
      </c>
      <c r="D605" t="inlineStr">
        <is>
          <t>Postgraduate coursework</t>
        </is>
      </c>
      <c r="E605" t="inlineStr">
        <is>
          <t>Advertised: official page in place</t>
        </is>
      </c>
      <c r="F605" t="inlineStr">
        <is>
          <t>https://www.sydney.edu.au/courses/courses/pc/master-of-public-health0.html</t>
        </is>
      </c>
      <c r="G605" t="inlineStr">
        <is>
          <t>https://www.sydney.edu.au/courses/courses/pc/master-of-public-health0.html</t>
        </is>
      </c>
      <c r="H605" t="inlineStr">
        <is>
          <t>Read</t>
        </is>
      </c>
      <c r="I605" t="inlineStr">
        <is>
          <t>Exact title match</t>
        </is>
      </c>
      <c r="J605" t="inlineStr"/>
      <c r="K605" t="inlineStr">
        <is>
          <t>Not sent to re-link</t>
        </is>
      </c>
      <c r="L605" t="inlineStr">
        <is>
          <t>Filled</t>
        </is>
      </c>
      <c r="M605" t="inlineStr">
        <is>
          <t>Not stated on course page</t>
        </is>
      </c>
      <c r="N605" t="inlineStr"/>
      <c r="O605" t="n">
        <v>0</v>
      </c>
      <c r="P605" t="inlineStr"/>
      <c r="Q605" t="inlineStr">
        <is>
          <t>Filled</t>
        </is>
      </c>
      <c r="R605" t="n">
        <v>6.5</v>
      </c>
      <c r="S605" t="inlineStr">
        <is>
          <t>Central English policy</t>
        </is>
      </c>
      <c r="T605" t="inlineStr">
        <is>
          <t>Central rule applies (value agrees)</t>
        </is>
      </c>
      <c r="U605" t="inlineStr"/>
      <c r="V605" t="inlineStr">
        <is>
          <t>Not stated on course page</t>
        </is>
      </c>
      <c r="W605" t="inlineStr"/>
      <c r="X605" t="inlineStr"/>
      <c r="Y605" t="n">
        <v>0</v>
      </c>
      <c r="Z605" t="inlineStr">
        <is>
          <t>No</t>
        </is>
      </c>
      <c r="AA605" t="inlineStr">
        <is>
          <t>Filled</t>
        </is>
      </c>
      <c r="AB605" t="inlineStr">
        <is>
          <t>on campus</t>
        </is>
      </c>
      <c r="AC605" t="inlineStr"/>
      <c r="AD605" t="n">
        <v>0</v>
      </c>
      <c r="AE605" t="inlineStr"/>
      <c r="AF605" t="inlineStr"/>
      <c r="AG605" t="inlineStr"/>
      <c r="AH605" t="inlineStr"/>
      <c r="AI605" t="inlineStr">
        <is>
          <t>Yes</t>
        </is>
      </c>
      <c r="AJ605" t="inlineStr"/>
      <c r="AK605" t="inlineStr"/>
      <c r="AL605" t="inlineStr"/>
      <c r="AM605" t="inlineStr"/>
    </row>
    <row r="606">
      <c r="A606" t="inlineStr">
        <is>
          <t>097037G</t>
        </is>
      </c>
      <c r="B606" t="inlineStr">
        <is>
          <t>Master of Public Health</t>
        </is>
      </c>
      <c r="C606" t="inlineStr">
        <is>
          <t>Masters Degree (Coursework)</t>
        </is>
      </c>
      <c r="D606" t="inlineStr">
        <is>
          <t>Postgraduate coursework</t>
        </is>
      </c>
      <c r="E606" t="inlineStr">
        <is>
          <t>Advertised: official page in place</t>
        </is>
      </c>
      <c r="F606" t="inlineStr">
        <is>
          <t>https://www.sydney.edu.au/courses/courses/pc/master-of-public-health0.html</t>
        </is>
      </c>
      <c r="G606" t="inlineStr">
        <is>
          <t>https://www.sydney.edu.au/courses/courses/pc/master-of-public-health0.html</t>
        </is>
      </c>
      <c r="H606" t="inlineStr">
        <is>
          <t>Read</t>
        </is>
      </c>
      <c r="I606" t="inlineStr">
        <is>
          <t>Exact title match</t>
        </is>
      </c>
      <c r="J606" t="inlineStr"/>
      <c r="K606" t="inlineStr">
        <is>
          <t>Not sent to re-link</t>
        </is>
      </c>
      <c r="L606" t="inlineStr">
        <is>
          <t>Filled</t>
        </is>
      </c>
      <c r="M606" t="inlineStr">
        <is>
          <t>Not stated on course page</t>
        </is>
      </c>
      <c r="N606" t="inlineStr"/>
      <c r="O606" t="n">
        <v>0</v>
      </c>
      <c r="P606" t="inlineStr"/>
      <c r="Q606" t="inlineStr">
        <is>
          <t>Filled</t>
        </is>
      </c>
      <c r="R606" t="n">
        <v>6.5</v>
      </c>
      <c r="S606" t="inlineStr">
        <is>
          <t>Central English policy</t>
        </is>
      </c>
      <c r="T606" t="inlineStr">
        <is>
          <t>Central rule applies (value agrees)</t>
        </is>
      </c>
      <c r="U606" t="inlineStr"/>
      <c r="V606" t="inlineStr">
        <is>
          <t>Not stated on course page</t>
        </is>
      </c>
      <c r="W606" t="inlineStr"/>
      <c r="X606" t="inlineStr"/>
      <c r="Y606" t="n">
        <v>0</v>
      </c>
      <c r="Z606" t="inlineStr">
        <is>
          <t>No</t>
        </is>
      </c>
      <c r="AA606" t="inlineStr">
        <is>
          <t>Filled</t>
        </is>
      </c>
      <c r="AB606" t="inlineStr">
        <is>
          <t>on campus</t>
        </is>
      </c>
      <c r="AC606" t="inlineStr"/>
      <c r="AD606" t="n">
        <v>0</v>
      </c>
      <c r="AE606" t="inlineStr"/>
      <c r="AF606" t="inlineStr"/>
      <c r="AG606" t="inlineStr"/>
      <c r="AH606" t="inlineStr"/>
      <c r="AI606" t="inlineStr">
        <is>
          <t>Yes</t>
        </is>
      </c>
      <c r="AJ606" t="inlineStr"/>
      <c r="AK606" t="inlineStr"/>
      <c r="AL606" t="inlineStr"/>
      <c r="AM606" t="inlineStr"/>
    </row>
    <row r="607">
      <c r="A607" t="inlineStr">
        <is>
          <t>082909J</t>
        </is>
      </c>
      <c r="B607" t="inlineStr">
        <is>
          <t>Master of Public Policy</t>
        </is>
      </c>
      <c r="C607" t="inlineStr">
        <is>
          <t>Masters Degree (Coursework)</t>
        </is>
      </c>
      <c r="D607" t="inlineStr">
        <is>
          <t>Postgraduate coursework</t>
        </is>
      </c>
      <c r="E607" t="inlineStr">
        <is>
          <t>Advertised: official page in place</t>
        </is>
      </c>
      <c r="F607" t="inlineStr">
        <is>
          <t>https://www.sydney.edu.au/courses/courses/pc/master-of-public-policy.html</t>
        </is>
      </c>
      <c r="G607" t="inlineStr">
        <is>
          <t>https://www.sydney.edu.au/courses/courses/pc/master-of-public-policy.html</t>
        </is>
      </c>
      <c r="H607" t="inlineStr">
        <is>
          <t>Read</t>
        </is>
      </c>
      <c r="I607" t="inlineStr">
        <is>
          <t>Exact title match</t>
        </is>
      </c>
      <c r="J607" t="inlineStr"/>
      <c r="K607" t="inlineStr">
        <is>
          <t>Not sent to re-link</t>
        </is>
      </c>
      <c r="L607" t="inlineStr">
        <is>
          <t>Filled</t>
        </is>
      </c>
      <c r="M607" t="inlineStr">
        <is>
          <t>Not stated on course page</t>
        </is>
      </c>
      <c r="N607" t="inlineStr"/>
      <c r="O607" t="n">
        <v>0</v>
      </c>
      <c r="P607" t="inlineStr"/>
      <c r="Q607" t="inlineStr">
        <is>
          <t>Filled</t>
        </is>
      </c>
      <c r="R607" t="n">
        <v>6.5</v>
      </c>
      <c r="S607" t="inlineStr">
        <is>
          <t>Central English policy</t>
        </is>
      </c>
      <c r="T607" t="inlineStr">
        <is>
          <t>Central rule applies (value agrees)</t>
        </is>
      </c>
      <c r="U607" t="inlineStr"/>
      <c r="V607" t="inlineStr">
        <is>
          <t>Not stated on course page</t>
        </is>
      </c>
      <c r="W607" t="inlineStr"/>
      <c r="X607" t="inlineStr"/>
      <c r="Y607" t="n">
        <v>0</v>
      </c>
      <c r="Z607" t="inlineStr">
        <is>
          <t>No</t>
        </is>
      </c>
      <c r="AA607" t="inlineStr">
        <is>
          <t>Filled</t>
        </is>
      </c>
      <c r="AB607" t="inlineStr">
        <is>
          <t>on campus</t>
        </is>
      </c>
      <c r="AC607" t="inlineStr"/>
      <c r="AD607" t="n">
        <v>0</v>
      </c>
      <c r="AE607" t="inlineStr"/>
      <c r="AF607" t="inlineStr"/>
      <c r="AG607" t="inlineStr"/>
      <c r="AH607" t="inlineStr"/>
      <c r="AI607" t="inlineStr">
        <is>
          <t>Yes</t>
        </is>
      </c>
      <c r="AJ607" t="inlineStr"/>
      <c r="AK607" t="inlineStr"/>
      <c r="AL607" t="inlineStr"/>
      <c r="AM607" t="inlineStr"/>
    </row>
    <row r="608">
      <c r="A608" t="inlineStr">
        <is>
          <t>016228D</t>
        </is>
      </c>
      <c r="B608" t="inlineStr">
        <is>
          <t>Master of Public Policy</t>
        </is>
      </c>
      <c r="C608" t="inlineStr">
        <is>
          <t>Masters Degree (Coursework)</t>
        </is>
      </c>
      <c r="D608" t="inlineStr">
        <is>
          <t>Postgraduate coursework</t>
        </is>
      </c>
      <c r="E608" t="inlineStr">
        <is>
          <t>Advertised: official page in place</t>
        </is>
      </c>
      <c r="F608" t="inlineStr">
        <is>
          <t>https://www.sydney.edu.au/courses/courses/pc/master-of-public-policy.html</t>
        </is>
      </c>
      <c r="G608" t="inlineStr">
        <is>
          <t>https://www.sydney.edu.au/courses/courses/pc/master-of-public-policy.html</t>
        </is>
      </c>
      <c r="H608" t="inlineStr">
        <is>
          <t>Read</t>
        </is>
      </c>
      <c r="I608" t="inlineStr">
        <is>
          <t>Exact title match</t>
        </is>
      </c>
      <c r="J608" t="inlineStr"/>
      <c r="K608" t="inlineStr">
        <is>
          <t>Not sent to re-link</t>
        </is>
      </c>
      <c r="L608" t="inlineStr">
        <is>
          <t>Filled</t>
        </is>
      </c>
      <c r="M608" t="inlineStr">
        <is>
          <t>Not stated on course page</t>
        </is>
      </c>
      <c r="N608" t="inlineStr"/>
      <c r="O608" t="n">
        <v>0</v>
      </c>
      <c r="P608" t="inlineStr"/>
      <c r="Q608" t="inlineStr">
        <is>
          <t>Filled</t>
        </is>
      </c>
      <c r="R608" t="n">
        <v>6.5</v>
      </c>
      <c r="S608" t="inlineStr">
        <is>
          <t>Central English policy</t>
        </is>
      </c>
      <c r="T608" t="inlineStr">
        <is>
          <t>Central rule applies (value agrees)</t>
        </is>
      </c>
      <c r="U608" t="inlineStr"/>
      <c r="V608" t="inlineStr">
        <is>
          <t>Not stated on course page</t>
        </is>
      </c>
      <c r="W608" t="inlineStr"/>
      <c r="X608" t="inlineStr"/>
      <c r="Y608" t="n">
        <v>0</v>
      </c>
      <c r="Z608" t="inlineStr">
        <is>
          <t>No</t>
        </is>
      </c>
      <c r="AA608" t="inlineStr">
        <is>
          <t>Filled</t>
        </is>
      </c>
      <c r="AB608" t="inlineStr">
        <is>
          <t>on campus</t>
        </is>
      </c>
      <c r="AC608" t="inlineStr"/>
      <c r="AD608" t="n">
        <v>0</v>
      </c>
      <c r="AE608" t="inlineStr"/>
      <c r="AF608" t="inlineStr"/>
      <c r="AG608" t="inlineStr"/>
      <c r="AH608" t="inlineStr"/>
      <c r="AI608" t="inlineStr">
        <is>
          <t>Yes</t>
        </is>
      </c>
      <c r="AJ608" t="inlineStr"/>
      <c r="AK608" t="inlineStr"/>
      <c r="AL608" t="inlineStr"/>
      <c r="AM608" t="inlineStr"/>
    </row>
    <row r="609">
      <c r="A609" t="inlineStr">
        <is>
          <t>079643A</t>
        </is>
      </c>
      <c r="B609" t="inlineStr">
        <is>
          <t>Master of Publishing</t>
        </is>
      </c>
      <c r="C609" t="inlineStr">
        <is>
          <t>Masters Degree (Coursework)</t>
        </is>
      </c>
      <c r="D609" t="inlineStr">
        <is>
          <t>Postgraduate coursework</t>
        </is>
      </c>
      <c r="E609" t="inlineStr">
        <is>
          <t>Advertised: official page in place</t>
        </is>
      </c>
      <c r="F609" t="inlineStr">
        <is>
          <t>https://www.sydney.edu.au/courses/courses/pc/master-of-publishing.html</t>
        </is>
      </c>
      <c r="G609" t="inlineStr">
        <is>
          <t>https://www.sydney.edu.au/courses/courses/pc/master-of-publishing.html</t>
        </is>
      </c>
      <c r="H609" t="inlineStr">
        <is>
          <t>Read</t>
        </is>
      </c>
      <c r="I609" t="inlineStr">
        <is>
          <t>Exact title match</t>
        </is>
      </c>
      <c r="J609" t="inlineStr"/>
      <c r="K609" t="inlineStr">
        <is>
          <t>Not sent to re-link</t>
        </is>
      </c>
      <c r="L609" t="inlineStr">
        <is>
          <t>Filled</t>
        </is>
      </c>
      <c r="M609" t="inlineStr">
        <is>
          <t>Not stated on course page</t>
        </is>
      </c>
      <c r="N609" t="inlineStr"/>
      <c r="O609" t="n">
        <v>0</v>
      </c>
      <c r="P609" t="inlineStr"/>
      <c r="Q609" t="inlineStr">
        <is>
          <t>Filled</t>
        </is>
      </c>
      <c r="R609" t="n">
        <v>6.5</v>
      </c>
      <c r="S609" t="inlineStr">
        <is>
          <t>Central English policy</t>
        </is>
      </c>
      <c r="T609" t="inlineStr">
        <is>
          <t>Central rule applies (value agrees)</t>
        </is>
      </c>
      <c r="U609" t="inlineStr"/>
      <c r="V609" t="inlineStr">
        <is>
          <t>Not stated on course page</t>
        </is>
      </c>
      <c r="W609" t="inlineStr"/>
      <c r="X609" t="inlineStr"/>
      <c r="Y609" t="n">
        <v>0</v>
      </c>
      <c r="Z609" t="inlineStr">
        <is>
          <t>No</t>
        </is>
      </c>
      <c r="AA609" t="inlineStr">
        <is>
          <t>Filled</t>
        </is>
      </c>
      <c r="AB609" t="inlineStr">
        <is>
          <t>on campus</t>
        </is>
      </c>
      <c r="AC609" t="inlineStr"/>
      <c r="AD609" t="n">
        <v>0</v>
      </c>
      <c r="AE609" t="inlineStr"/>
      <c r="AF609" t="inlineStr"/>
      <c r="AG609" t="inlineStr"/>
      <c r="AH609" t="inlineStr"/>
      <c r="AI609" t="inlineStr">
        <is>
          <t>Yes</t>
        </is>
      </c>
      <c r="AJ609" t="inlineStr"/>
      <c r="AK609" t="inlineStr"/>
      <c r="AL609" t="inlineStr"/>
      <c r="AM609" t="inlineStr"/>
    </row>
    <row r="610">
      <c r="A610" t="inlineStr">
        <is>
          <t>063204M</t>
        </is>
      </c>
      <c r="B610" t="inlineStr">
        <is>
          <t>Master of Rehabilitation Counselling</t>
        </is>
      </c>
      <c r="C610" t="inlineStr">
        <is>
          <t>Masters Degree (Coursework)</t>
        </is>
      </c>
      <c r="D610" t="inlineStr">
        <is>
          <t>Postgraduate coursework</t>
        </is>
      </c>
      <c r="E610" t="inlineStr">
        <is>
          <t>Held: page found is for another course</t>
        </is>
      </c>
      <c r="F610" t="inlineStr"/>
      <c r="G610" t="inlineStr">
        <is>
          <t>https://rp-handbooks.sydney.edu.au/handbooks/archive/2019/health_sci/postgraduate/coursework/rehabilitation_counselling_master_descriptions.shtml.html</t>
        </is>
      </c>
      <c r="H610" t="inlineStr">
        <is>
          <t>Not a course page</t>
        </is>
      </c>
      <c r="I610" t="inlineStr"/>
      <c r="J610" t="inlineStr"/>
      <c r="K610" t="inlineStr">
        <is>
          <t>Not sent to re-link</t>
        </is>
      </c>
      <c r="L610" t="inlineStr">
        <is>
          <t>Not stated on course page</t>
        </is>
      </c>
      <c r="M610" t="inlineStr">
        <is>
          <t>Not stated on course page</t>
        </is>
      </c>
      <c r="N610" t="inlineStr"/>
      <c r="O610" t="n">
        <v>0</v>
      </c>
      <c r="P610" t="inlineStr"/>
      <c r="Q610" t="inlineStr">
        <is>
          <t>Filled</t>
        </is>
      </c>
      <c r="R610" t="n">
        <v>6.5</v>
      </c>
      <c r="S610" t="inlineStr">
        <is>
          <t>Central English policy</t>
        </is>
      </c>
      <c r="T610" t="inlineStr">
        <is>
          <t>Central rule applies (value agrees)</t>
        </is>
      </c>
      <c r="U610" t="inlineStr"/>
      <c r="V610" t="inlineStr">
        <is>
          <t>Filled</t>
        </is>
      </c>
      <c r="W610" t="inlineStr">
        <is>
          <t>February, July, October, November</t>
        </is>
      </c>
      <c r="X610" t="inlineStr">
        <is>
          <t>Page reader</t>
        </is>
      </c>
      <c r="Y610" t="n">
        <v>0</v>
      </c>
      <c r="Z610" t="inlineStr">
        <is>
          <t>No</t>
        </is>
      </c>
      <c r="AA610" t="inlineStr">
        <is>
          <t>Not stated on course page</t>
        </is>
      </c>
      <c r="AB610" t="inlineStr"/>
      <c r="AC610" t="inlineStr">
        <is>
          <t>Skipped: taken back: the page read was another course's page</t>
        </is>
      </c>
      <c r="AD610" t="n">
        <v>1</v>
      </c>
      <c r="AE610" t="inlineStr"/>
      <c r="AF610" t="inlineStr"/>
      <c r="AG610" t="inlineStr"/>
      <c r="AH610" t="inlineStr"/>
      <c r="AI610" t="inlineStr"/>
      <c r="AJ610" t="inlineStr"/>
      <c r="AK610" t="inlineStr"/>
      <c r="AL610" t="inlineStr"/>
      <c r="AM610" t="inlineStr"/>
    </row>
    <row r="611">
      <c r="A611" t="inlineStr">
        <is>
          <t>039030F</t>
        </is>
      </c>
      <c r="B611" t="inlineStr">
        <is>
          <t>Master of Science</t>
        </is>
      </c>
      <c r="C611" t="inlineStr">
        <is>
          <t>Masters Degree (Research)</t>
        </is>
      </c>
      <c r="D611" t="inlineStr">
        <is>
          <t>Research degree</t>
        </is>
      </c>
      <c r="E611" t="inlineStr">
        <is>
          <t>Advertised: official page in place</t>
        </is>
      </c>
      <c r="F611" t="inlineStr">
        <is>
          <t>https://www.sydney.edu.au/courses/courses/pc/master-of-science-in-medicine-pharmaceutical-and-medical-device-development.html</t>
        </is>
      </c>
      <c r="G611" t="inlineStr">
        <is>
          <t>https://www.sydney.edu.au/courses/courses/pc/master-of-science-in-medicine-metabolic-health.html</t>
        </is>
      </c>
      <c r="H611" t="inlineStr">
        <is>
          <t>Read</t>
        </is>
      </c>
      <c r="I611" t="inlineStr">
        <is>
          <t>Exact title match</t>
        </is>
      </c>
      <c r="J611" t="inlineStr"/>
      <c r="K611" t="inlineStr">
        <is>
          <t>Not sent to re-link</t>
        </is>
      </c>
      <c r="L611" t="inlineStr">
        <is>
          <t>Filled</t>
        </is>
      </c>
      <c r="M611" t="inlineStr">
        <is>
          <t>Not stated on course page</t>
        </is>
      </c>
      <c r="N611" t="inlineStr"/>
      <c r="O611" t="n">
        <v>0</v>
      </c>
      <c r="P611" t="inlineStr"/>
      <c r="Q611" t="inlineStr">
        <is>
          <t>Filled</t>
        </is>
      </c>
      <c r="R611" t="n">
        <v>6.5</v>
      </c>
      <c r="S611" t="inlineStr">
        <is>
          <t>Central English policy</t>
        </is>
      </c>
      <c r="T611" t="inlineStr">
        <is>
          <t>Central rule applies (value agrees)</t>
        </is>
      </c>
      <c r="U611" t="inlineStr"/>
      <c r="V611" t="inlineStr">
        <is>
          <t>Not stated on course page</t>
        </is>
      </c>
      <c r="W611" t="inlineStr"/>
      <c r="X611" t="inlineStr"/>
      <c r="Y611" t="n">
        <v>0</v>
      </c>
      <c r="Z611" t="inlineStr">
        <is>
          <t>No</t>
        </is>
      </c>
      <c r="AA611" t="inlineStr">
        <is>
          <t>Filled</t>
        </is>
      </c>
      <c r="AB611" t="inlineStr">
        <is>
          <t>online</t>
        </is>
      </c>
      <c r="AC611" t="inlineStr">
        <is>
          <t>Filled</t>
        </is>
      </c>
      <c r="AD611" t="n">
        <v>0</v>
      </c>
      <c r="AE611" t="inlineStr"/>
      <c r="AF611" t="inlineStr"/>
      <c r="AG611" t="inlineStr"/>
      <c r="AH611" t="inlineStr"/>
      <c r="AI611" t="inlineStr">
        <is>
          <t>Yes</t>
        </is>
      </c>
      <c r="AJ611" t="inlineStr"/>
      <c r="AK611" t="inlineStr"/>
      <c r="AL611" t="inlineStr"/>
      <c r="AM611" t="inlineStr"/>
    </row>
    <row r="612">
      <c r="A612" t="inlineStr">
        <is>
          <t>074185G</t>
        </is>
      </c>
      <c r="B612" t="inlineStr">
        <is>
          <t>Master of Science in Coaching Psychology</t>
        </is>
      </c>
      <c r="C612" t="inlineStr">
        <is>
          <t>Masters Degree (Coursework)</t>
        </is>
      </c>
      <c r="D612" t="inlineStr">
        <is>
          <t>Postgraduate coursework</t>
        </is>
      </c>
      <c r="E612" t="inlineStr">
        <is>
          <t>Advertised: official page in place</t>
        </is>
      </c>
      <c r="F612" t="inlineStr">
        <is>
          <t>https://www.sydney.edu.au/courses/courses/pc/master-of-science-in-coaching-psychology.html</t>
        </is>
      </c>
      <c r="G612" t="inlineStr">
        <is>
          <t>https://www.sydney.edu.au/courses/courses/pc/master-of-science-in-coaching-psychology.html</t>
        </is>
      </c>
      <c r="H612" t="inlineStr">
        <is>
          <t>Read</t>
        </is>
      </c>
      <c r="I612" t="inlineStr">
        <is>
          <t>Exact title match</t>
        </is>
      </c>
      <c r="J612" t="inlineStr"/>
      <c r="K612" t="inlineStr">
        <is>
          <t>Not sent to re-link</t>
        </is>
      </c>
      <c r="L612" t="inlineStr">
        <is>
          <t>Filled</t>
        </is>
      </c>
      <c r="M612" t="inlineStr">
        <is>
          <t>Not stated on course page</t>
        </is>
      </c>
      <c r="N612" t="inlineStr"/>
      <c r="O612" t="n">
        <v>0</v>
      </c>
      <c r="P612" t="inlineStr"/>
      <c r="Q612" t="inlineStr">
        <is>
          <t>Filled</t>
        </is>
      </c>
      <c r="R612" t="n">
        <v>6.5</v>
      </c>
      <c r="S612" t="inlineStr">
        <is>
          <t>Central English policy</t>
        </is>
      </c>
      <c r="T612" t="inlineStr">
        <is>
          <t>Central rule applies (value agrees)</t>
        </is>
      </c>
      <c r="U612" t="inlineStr"/>
      <c r="V612" t="inlineStr">
        <is>
          <t>Not stated on course page</t>
        </is>
      </c>
      <c r="W612" t="inlineStr"/>
      <c r="X612" t="inlineStr"/>
      <c r="Y612" t="n">
        <v>0</v>
      </c>
      <c r="Z612" t="inlineStr">
        <is>
          <t>No</t>
        </is>
      </c>
      <c r="AA612" t="inlineStr">
        <is>
          <t>Filled</t>
        </is>
      </c>
      <c r="AB612" t="inlineStr">
        <is>
          <t>online</t>
        </is>
      </c>
      <c r="AC612" t="inlineStr"/>
      <c r="AD612" t="n">
        <v>0</v>
      </c>
      <c r="AE612" t="inlineStr"/>
      <c r="AF612" t="inlineStr"/>
      <c r="AG612" t="inlineStr"/>
      <c r="AH612" t="inlineStr"/>
      <c r="AI612" t="inlineStr">
        <is>
          <t>Yes</t>
        </is>
      </c>
      <c r="AJ612" t="inlineStr"/>
      <c r="AK612" t="inlineStr"/>
      <c r="AL612" t="inlineStr"/>
      <c r="AM612" t="inlineStr"/>
    </row>
    <row r="613">
      <c r="A613" t="inlineStr">
        <is>
          <t>083645J</t>
        </is>
      </c>
      <c r="B613" t="inlineStr">
        <is>
          <t>Master of Science in Medicine</t>
        </is>
      </c>
      <c r="C613" t="inlineStr">
        <is>
          <t>Masters Degree (Coursework)</t>
        </is>
      </c>
      <c r="D613" t="inlineStr">
        <is>
          <t>Postgraduate coursework</t>
        </is>
      </c>
      <c r="E613" t="inlineStr">
        <is>
          <t>Advertised: official page in place</t>
        </is>
      </c>
      <c r="F613" t="inlineStr">
        <is>
          <t>https://www.sydney.edu.au/courses/courses/pc/master-of-science-in-medicine-pharmaceutical-and-medical-device-development.html</t>
        </is>
      </c>
      <c r="G613" t="inlineStr">
        <is>
          <t>https://www.sydney.edu.au/courses/courses/pc/master-of-science-in-medicine-pharmaceutical-and-medical-device-development.html</t>
        </is>
      </c>
      <c r="H613" t="inlineStr">
        <is>
          <t>Read</t>
        </is>
      </c>
      <c r="I613" t="inlineStr">
        <is>
          <t>Exact title match</t>
        </is>
      </c>
      <c r="J613" t="inlineStr"/>
      <c r="K613" t="inlineStr">
        <is>
          <t>Not sent to re-link</t>
        </is>
      </c>
      <c r="L613" t="inlineStr">
        <is>
          <t>Filled</t>
        </is>
      </c>
      <c r="M613" t="inlineStr">
        <is>
          <t>Not stated on course page</t>
        </is>
      </c>
      <c r="N613" t="inlineStr"/>
      <c r="O613" t="n">
        <v>0</v>
      </c>
      <c r="P613" t="inlineStr"/>
      <c r="Q613" t="inlineStr">
        <is>
          <t>Filled</t>
        </is>
      </c>
      <c r="R613" t="n">
        <v>6.5</v>
      </c>
      <c r="S613" t="inlineStr">
        <is>
          <t>Central English policy</t>
        </is>
      </c>
      <c r="T613" t="inlineStr">
        <is>
          <t>Central rule applies (value agrees)</t>
        </is>
      </c>
      <c r="U613" t="inlineStr"/>
      <c r="V613" t="inlineStr">
        <is>
          <t>Not stated on course page</t>
        </is>
      </c>
      <c r="W613" t="inlineStr"/>
      <c r="X613" t="inlineStr"/>
      <c r="Y613" t="n">
        <v>0</v>
      </c>
      <c r="Z613" t="inlineStr">
        <is>
          <t>No</t>
        </is>
      </c>
      <c r="AA613" t="inlineStr">
        <is>
          <t>Filled</t>
        </is>
      </c>
      <c r="AB613" t="inlineStr">
        <is>
          <t>online</t>
        </is>
      </c>
      <c r="AC613" t="inlineStr">
        <is>
          <t>Filled</t>
        </is>
      </c>
      <c r="AD613" t="n">
        <v>0</v>
      </c>
      <c r="AE613" t="inlineStr"/>
      <c r="AF613" t="inlineStr"/>
      <c r="AG613" t="inlineStr"/>
      <c r="AH613" t="inlineStr"/>
      <c r="AI613" t="inlineStr">
        <is>
          <t>Yes</t>
        </is>
      </c>
      <c r="AJ613" t="inlineStr"/>
      <c r="AK613" t="inlineStr"/>
      <c r="AL613" t="inlineStr"/>
      <c r="AM613" t="inlineStr"/>
    </row>
    <row r="614">
      <c r="A614" t="inlineStr">
        <is>
          <t>083646G</t>
        </is>
      </c>
      <c r="B614" t="inlineStr">
        <is>
          <t>Master of Science in Medicine (Advanced)</t>
        </is>
      </c>
      <c r="C614" t="inlineStr">
        <is>
          <t>Masters Degree (Coursework)</t>
        </is>
      </c>
      <c r="D614" t="inlineStr">
        <is>
          <t>Postgraduate coursework</t>
        </is>
      </c>
      <c r="E614" t="inlineStr">
        <is>
          <t>Advertised: official page in place</t>
        </is>
      </c>
      <c r="F614" t="inlineStr">
        <is>
          <t>https://www.sydney.edu.au/courses/courses/pc/master-of-science-in-medicine-advanced-sexual-and-reproductive-health0.html</t>
        </is>
      </c>
      <c r="G614" t="inlineStr">
        <is>
          <t>https://www.sydney.edu.au/courses/courses/pc/master-of-science-in-medicine-advanced-metabolic-health.html</t>
        </is>
      </c>
      <c r="H614" t="inlineStr">
        <is>
          <t>Read</t>
        </is>
      </c>
      <c r="I614" t="inlineStr">
        <is>
          <t>Exact title match</t>
        </is>
      </c>
      <c r="J614" t="inlineStr"/>
      <c r="K614" t="inlineStr">
        <is>
          <t>Not sent to re-link</t>
        </is>
      </c>
      <c r="L614" t="inlineStr">
        <is>
          <t>Filled</t>
        </is>
      </c>
      <c r="M614" t="inlineStr">
        <is>
          <t>Not stated on course page</t>
        </is>
      </c>
      <c r="N614" t="inlineStr"/>
      <c r="O614" t="n">
        <v>0</v>
      </c>
      <c r="P614" t="inlineStr"/>
      <c r="Q614" t="inlineStr">
        <is>
          <t>Filled</t>
        </is>
      </c>
      <c r="R614" t="n">
        <v>6.5</v>
      </c>
      <c r="S614" t="inlineStr">
        <is>
          <t>Central English policy</t>
        </is>
      </c>
      <c r="T614" t="inlineStr">
        <is>
          <t>Central rule applies (value agrees)</t>
        </is>
      </c>
      <c r="U614" t="inlineStr"/>
      <c r="V614" t="inlineStr">
        <is>
          <t>Not stated on course page</t>
        </is>
      </c>
      <c r="W614" t="inlineStr"/>
      <c r="X614" t="inlineStr"/>
      <c r="Y614" t="n">
        <v>0</v>
      </c>
      <c r="Z614" t="inlineStr">
        <is>
          <t>No</t>
        </is>
      </c>
      <c r="AA614" t="inlineStr">
        <is>
          <t>Filled</t>
        </is>
      </c>
      <c r="AB614" t="inlineStr">
        <is>
          <t>online</t>
        </is>
      </c>
      <c r="AC614" t="inlineStr"/>
      <c r="AD614" t="n">
        <v>0</v>
      </c>
      <c r="AE614" t="inlineStr"/>
      <c r="AF614" t="inlineStr"/>
      <c r="AG614" t="inlineStr"/>
      <c r="AH614" t="inlineStr"/>
      <c r="AI614" t="inlineStr">
        <is>
          <t>Yes</t>
        </is>
      </c>
      <c r="AJ614" t="inlineStr"/>
      <c r="AK614" t="inlineStr"/>
      <c r="AL614" t="inlineStr"/>
      <c r="AM614" t="inlineStr"/>
    </row>
    <row r="615">
      <c r="A615" t="inlineStr">
        <is>
          <t>107857F</t>
        </is>
      </c>
      <c r="B615" t="inlineStr">
        <is>
          <t>Master of Science in Medicine (Advanced) (Sexual and Reproductive Health)</t>
        </is>
      </c>
      <c r="C615" t="inlineStr">
        <is>
          <t>Masters Degree (Coursework)</t>
        </is>
      </c>
      <c r="D615" t="inlineStr">
        <is>
          <t>Postgraduate coursework</t>
        </is>
      </c>
      <c r="E615" t="inlineStr">
        <is>
          <t>Advertised: official page in place</t>
        </is>
      </c>
      <c r="F615" t="inlineStr">
        <is>
          <t>https://www.sydney.edu.au/courses/courses/pc/master-of-science-in-medicine-advanced-sexual-and-reproductive-health0.html</t>
        </is>
      </c>
      <c r="G615" t="inlineStr">
        <is>
          <t>https://www.sydney.edu.au/courses/courses/pc/master-of-science-in-medicine-advanced-sexual-and-reproductive-health0.html</t>
        </is>
      </c>
      <c r="H615" t="inlineStr">
        <is>
          <t>Read</t>
        </is>
      </c>
      <c r="I615" t="inlineStr">
        <is>
          <t>Exact title match</t>
        </is>
      </c>
      <c r="J615" t="inlineStr"/>
      <c r="K615" t="inlineStr">
        <is>
          <t>Not sent to re-link</t>
        </is>
      </c>
      <c r="L615" t="inlineStr">
        <is>
          <t>Filled</t>
        </is>
      </c>
      <c r="M615" t="inlineStr">
        <is>
          <t>Not stated on course page</t>
        </is>
      </c>
      <c r="N615" t="inlineStr"/>
      <c r="O615" t="n">
        <v>0</v>
      </c>
      <c r="P615" t="inlineStr"/>
      <c r="Q615" t="inlineStr">
        <is>
          <t>Filled</t>
        </is>
      </c>
      <c r="R615" t="n">
        <v>6.5</v>
      </c>
      <c r="S615" t="inlineStr">
        <is>
          <t>Central English policy</t>
        </is>
      </c>
      <c r="T615" t="inlineStr">
        <is>
          <t>Central rule applies (value agrees)</t>
        </is>
      </c>
      <c r="U615" t="inlineStr"/>
      <c r="V615" t="inlineStr">
        <is>
          <t>Not stated on course page</t>
        </is>
      </c>
      <c r="W615" t="inlineStr"/>
      <c r="X615" t="inlineStr"/>
      <c r="Y615" t="n">
        <v>0</v>
      </c>
      <c r="Z615" t="inlineStr">
        <is>
          <t>No</t>
        </is>
      </c>
      <c r="AA615" t="inlineStr">
        <is>
          <t>Filled</t>
        </is>
      </c>
      <c r="AB615" t="inlineStr">
        <is>
          <t>on campus</t>
        </is>
      </c>
      <c r="AC615" t="inlineStr"/>
      <c r="AD615" t="n">
        <v>0</v>
      </c>
      <c r="AE615" t="inlineStr"/>
      <c r="AF615" t="inlineStr"/>
      <c r="AG615" t="inlineStr"/>
      <c r="AH615" t="inlineStr"/>
      <c r="AI615" t="inlineStr">
        <is>
          <t>Yes</t>
        </is>
      </c>
      <c r="AJ615" t="inlineStr"/>
      <c r="AK615" t="inlineStr"/>
      <c r="AL615" t="inlineStr"/>
      <c r="AM615" t="inlineStr"/>
    </row>
    <row r="616">
      <c r="A616" t="inlineStr">
        <is>
          <t>053863C</t>
        </is>
      </c>
      <c r="B616" t="inlineStr">
        <is>
          <t>Master of Science in Medicine (Clinical Epidemiology)</t>
        </is>
      </c>
      <c r="C616" t="inlineStr">
        <is>
          <t>Masters Degree (Coursework)</t>
        </is>
      </c>
      <c r="D616" t="inlineStr">
        <is>
          <t>Postgraduate coursework</t>
        </is>
      </c>
      <c r="E616" t="inlineStr">
        <is>
          <t>Advertised: official page in place</t>
        </is>
      </c>
      <c r="F616" t="inlineStr">
        <is>
          <t>https://www.sydney.edu.au/courses/courses/pc/master-of-science-in-medicine-clinical-epidemiology.html</t>
        </is>
      </c>
      <c r="G616" t="inlineStr">
        <is>
          <t>https://www.sydney.edu.au/courses/courses/pc/master-of-science-in-medicine-clinical-epidemiology.html</t>
        </is>
      </c>
      <c r="H616" t="inlineStr">
        <is>
          <t>Read</t>
        </is>
      </c>
      <c r="I616" t="inlineStr">
        <is>
          <t>Exact title match</t>
        </is>
      </c>
      <c r="J616" t="inlineStr"/>
      <c r="K616" t="inlineStr">
        <is>
          <t>Not sent to re-link</t>
        </is>
      </c>
      <c r="L616" t="inlineStr">
        <is>
          <t>Filled</t>
        </is>
      </c>
      <c r="M616" t="inlineStr">
        <is>
          <t>Not stated on course page</t>
        </is>
      </c>
      <c r="N616" t="inlineStr"/>
      <c r="O616" t="n">
        <v>0</v>
      </c>
      <c r="P616" t="inlineStr"/>
      <c r="Q616" t="inlineStr">
        <is>
          <t>Filled</t>
        </is>
      </c>
      <c r="R616" t="n">
        <v>6.5</v>
      </c>
      <c r="S616" t="inlineStr">
        <is>
          <t>Central English policy</t>
        </is>
      </c>
      <c r="T616" t="inlineStr">
        <is>
          <t>Central rule applies (value agrees)</t>
        </is>
      </c>
      <c r="U616" t="inlineStr"/>
      <c r="V616" t="inlineStr">
        <is>
          <t>Not stated on course page</t>
        </is>
      </c>
      <c r="W616" t="inlineStr"/>
      <c r="X616" t="inlineStr"/>
      <c r="Y616" t="n">
        <v>0</v>
      </c>
      <c r="Z616" t="inlineStr">
        <is>
          <t>No</t>
        </is>
      </c>
      <c r="AA616" t="inlineStr">
        <is>
          <t>Filled</t>
        </is>
      </c>
      <c r="AB616" t="inlineStr">
        <is>
          <t>on campus</t>
        </is>
      </c>
      <c r="AC616" t="inlineStr"/>
      <c r="AD616" t="n">
        <v>0</v>
      </c>
      <c r="AE616" t="inlineStr"/>
      <c r="AF616" t="inlineStr"/>
      <c r="AG616" t="inlineStr"/>
      <c r="AH616" t="inlineStr"/>
      <c r="AI616" t="inlineStr">
        <is>
          <t>Yes</t>
        </is>
      </c>
      <c r="AJ616" t="inlineStr"/>
      <c r="AK616" t="inlineStr"/>
      <c r="AL616" t="inlineStr"/>
      <c r="AM616" t="inlineStr"/>
    </row>
    <row r="617">
      <c r="A617" t="inlineStr">
        <is>
          <t>107853K</t>
        </is>
      </c>
      <c r="B617" t="inlineStr">
        <is>
          <t>Master of Science in Medicine (Sexual and Reproductive Health)</t>
        </is>
      </c>
      <c r="C617" t="inlineStr">
        <is>
          <t>Masters Degree (Coursework)</t>
        </is>
      </c>
      <c r="D617" t="inlineStr">
        <is>
          <t>Postgraduate coursework</t>
        </is>
      </c>
      <c r="E617" t="inlineStr">
        <is>
          <t>Advertised: official page in place</t>
        </is>
      </c>
      <c r="F617" t="inlineStr">
        <is>
          <t>https://www.sydney.edu.au/courses/courses/pc/master-of-science-in-medicine-sexual-and-reproductive-health0.html</t>
        </is>
      </c>
      <c r="G617" t="inlineStr">
        <is>
          <t>https://www.sydney.edu.au/courses/courses/pc/master-of-science-in-medicine-sexual-and-reproductive-health0.html</t>
        </is>
      </c>
      <c r="H617" t="inlineStr">
        <is>
          <t>Read</t>
        </is>
      </c>
      <c r="I617" t="inlineStr">
        <is>
          <t>Exact title match</t>
        </is>
      </c>
      <c r="J617" t="inlineStr"/>
      <c r="K617" t="inlineStr">
        <is>
          <t>Not sent to re-link</t>
        </is>
      </c>
      <c r="L617" t="inlineStr">
        <is>
          <t>Filled</t>
        </is>
      </c>
      <c r="M617" t="inlineStr">
        <is>
          <t>Not stated on course page</t>
        </is>
      </c>
      <c r="N617" t="inlineStr"/>
      <c r="O617" t="n">
        <v>0</v>
      </c>
      <c r="P617" t="inlineStr"/>
      <c r="Q617" t="inlineStr">
        <is>
          <t>Filled</t>
        </is>
      </c>
      <c r="R617" t="n">
        <v>6.5</v>
      </c>
      <c r="S617" t="inlineStr">
        <is>
          <t>Central English policy</t>
        </is>
      </c>
      <c r="T617" t="inlineStr">
        <is>
          <t>Central rule applies (value agrees)</t>
        </is>
      </c>
      <c r="U617" t="inlineStr"/>
      <c r="V617" t="inlineStr">
        <is>
          <t>Not stated on course page</t>
        </is>
      </c>
      <c r="W617" t="inlineStr"/>
      <c r="X617" t="inlineStr"/>
      <c r="Y617" t="n">
        <v>0</v>
      </c>
      <c r="Z617" t="inlineStr">
        <is>
          <t>No</t>
        </is>
      </c>
      <c r="AA617" t="inlineStr">
        <is>
          <t>Filled</t>
        </is>
      </c>
      <c r="AB617" t="inlineStr">
        <is>
          <t>on campus</t>
        </is>
      </c>
      <c r="AC617" t="inlineStr"/>
      <c r="AD617" t="n">
        <v>0</v>
      </c>
      <c r="AE617" t="inlineStr"/>
      <c r="AF617" t="inlineStr"/>
      <c r="AG617" t="inlineStr"/>
      <c r="AH617" t="inlineStr"/>
      <c r="AI617" t="inlineStr">
        <is>
          <t>Yes</t>
        </is>
      </c>
      <c r="AJ617" t="inlineStr"/>
      <c r="AK617" t="inlineStr"/>
      <c r="AL617" t="inlineStr"/>
      <c r="AM617" t="inlineStr"/>
    </row>
    <row r="618">
      <c r="A618" t="inlineStr">
        <is>
          <t>106362D</t>
        </is>
      </c>
      <c r="B618" t="inlineStr">
        <is>
          <t>Master of Social Justice</t>
        </is>
      </c>
      <c r="C618" t="inlineStr">
        <is>
          <t>Masters Degree (Coursework)</t>
        </is>
      </c>
      <c r="D618" t="inlineStr">
        <is>
          <t>Postgraduate coursework</t>
        </is>
      </c>
      <c r="E618" t="inlineStr">
        <is>
          <t>Advertised: official page in place</t>
        </is>
      </c>
      <c r="F618" t="inlineStr">
        <is>
          <t>https://www.sydney.edu.au/arts/study/postgraduate-courses/our-degrees-explained/social-justice-programs.html</t>
        </is>
      </c>
      <c r="G618" t="inlineStr">
        <is>
          <t>https://www.sydney.edu.au/courses/courses/pc/master-of-social-justice-peace-and-conflict-studies.html</t>
        </is>
      </c>
      <c r="H618" t="inlineStr">
        <is>
          <t>Read</t>
        </is>
      </c>
      <c r="I618" t="inlineStr">
        <is>
          <t>Exact title match</t>
        </is>
      </c>
      <c r="J618" t="inlineStr"/>
      <c r="K618" t="inlineStr">
        <is>
          <t>Not sent to re-link</t>
        </is>
      </c>
      <c r="L618" t="inlineStr">
        <is>
          <t>Filled</t>
        </is>
      </c>
      <c r="M618" t="inlineStr">
        <is>
          <t>Not stated on course page</t>
        </is>
      </c>
      <c r="N618" t="inlineStr"/>
      <c r="O618" t="n">
        <v>0</v>
      </c>
      <c r="P618" t="inlineStr"/>
      <c r="Q618" t="inlineStr">
        <is>
          <t>Filled</t>
        </is>
      </c>
      <c r="R618" t="n">
        <v>6.5</v>
      </c>
      <c r="S618" t="inlineStr">
        <is>
          <t>Central English policy</t>
        </is>
      </c>
      <c r="T618" t="inlineStr">
        <is>
          <t>Central rule applies (value agrees)</t>
        </is>
      </c>
      <c r="U618" t="inlineStr"/>
      <c r="V618" t="inlineStr">
        <is>
          <t>Not stated on course page</t>
        </is>
      </c>
      <c r="W618" t="inlineStr"/>
      <c r="X618" t="inlineStr"/>
      <c r="Y618" t="n">
        <v>0</v>
      </c>
      <c r="Z618" t="inlineStr">
        <is>
          <t>No</t>
        </is>
      </c>
      <c r="AA618" t="inlineStr">
        <is>
          <t>Filled</t>
        </is>
      </c>
      <c r="AB618" t="inlineStr">
        <is>
          <t>on campus</t>
        </is>
      </c>
      <c r="AC618" t="inlineStr">
        <is>
          <t>Skipped: the page does not state it</t>
        </is>
      </c>
      <c r="AD618" t="n">
        <v>0</v>
      </c>
      <c r="AE618" t="inlineStr"/>
      <c r="AF618" t="inlineStr"/>
      <c r="AG618" t="inlineStr"/>
      <c r="AH618" t="inlineStr"/>
      <c r="AI618" t="inlineStr">
        <is>
          <t>Yes</t>
        </is>
      </c>
      <c r="AJ618" t="inlineStr"/>
      <c r="AK618" t="inlineStr"/>
      <c r="AL618" t="inlineStr"/>
      <c r="AM618" t="inlineStr"/>
    </row>
    <row r="619">
      <c r="A619" t="inlineStr">
        <is>
          <t>023334K</t>
        </is>
      </c>
      <c r="B619" t="inlineStr">
        <is>
          <t>Master of Social Work</t>
        </is>
      </c>
      <c r="C619" t="inlineStr">
        <is>
          <t>Masters Degree (Coursework)</t>
        </is>
      </c>
      <c r="D619" t="inlineStr">
        <is>
          <t>Postgraduate coursework</t>
        </is>
      </c>
      <c r="E619" t="inlineStr">
        <is>
          <t>Page found, needs a rendered read</t>
        </is>
      </c>
      <c r="F619" t="inlineStr"/>
      <c r="G619" t="inlineStr">
        <is>
          <t>https://www.sydney.edu.au/courses/courses/pc/master-of-social-work.html</t>
        </is>
      </c>
      <c r="H619" t="inlineStr">
        <is>
          <t>Needs a rendered read</t>
        </is>
      </c>
      <c r="I619" t="inlineStr"/>
      <c r="J619" t="inlineStr"/>
      <c r="K619" t="inlineStr">
        <is>
          <t>Finished, no page: every candidate address was refused by the reader or did not</t>
        </is>
      </c>
      <c r="L619" t="inlineStr">
        <is>
          <t>Page found, being read</t>
        </is>
      </c>
      <c r="M619" t="inlineStr">
        <is>
          <t>Page found, being read</t>
        </is>
      </c>
      <c r="N619" t="inlineStr"/>
      <c r="O619" t="n">
        <v>0</v>
      </c>
      <c r="P619" t="inlineStr"/>
      <c r="Q619" t="inlineStr">
        <is>
          <t>Filled</t>
        </is>
      </c>
      <c r="R619" t="n">
        <v>6.5</v>
      </c>
      <c r="S619" t="inlineStr">
        <is>
          <t>Central English policy</t>
        </is>
      </c>
      <c r="T619" t="inlineStr">
        <is>
          <t>Central rule applies (value agrees)</t>
        </is>
      </c>
      <c r="U619" t="inlineStr"/>
      <c r="V619" t="inlineStr">
        <is>
          <t>Page found, being read</t>
        </is>
      </c>
      <c r="W619" t="inlineStr"/>
      <c r="X619" t="inlineStr"/>
      <c r="Y619" t="n">
        <v>0</v>
      </c>
      <c r="Z619" t="inlineStr">
        <is>
          <t>No</t>
        </is>
      </c>
      <c r="AA619" t="inlineStr">
        <is>
          <t>Not stated on course page</t>
        </is>
      </c>
      <c r="AB619" t="inlineStr"/>
      <c r="AC619" t="inlineStr">
        <is>
          <t>Skipped: the page does not state it</t>
        </is>
      </c>
      <c r="AD619" t="n">
        <v>0</v>
      </c>
      <c r="AE619" t="inlineStr">
        <is>
          <t>Yes</t>
        </is>
      </c>
      <c r="AF619" t="inlineStr"/>
      <c r="AG619" t="inlineStr"/>
      <c r="AH619" t="inlineStr"/>
      <c r="AI619" t="inlineStr"/>
      <c r="AJ619" t="inlineStr"/>
      <c r="AK619" t="inlineStr"/>
      <c r="AL619" t="inlineStr"/>
      <c r="AM619" t="inlineStr"/>
    </row>
    <row r="620">
      <c r="A620" t="inlineStr">
        <is>
          <t>072217J</t>
        </is>
      </c>
      <c r="B620" t="inlineStr">
        <is>
          <t>Master of Social Work (Qualifying)</t>
        </is>
      </c>
      <c r="C620" t="inlineStr">
        <is>
          <t>Masters Degree (Coursework)</t>
        </is>
      </c>
      <c r="D620" t="inlineStr">
        <is>
          <t>Postgraduate coursework</t>
        </is>
      </c>
      <c r="E620" t="inlineStr">
        <is>
          <t>Advertised: official page in place</t>
        </is>
      </c>
      <c r="F620" t="inlineStr">
        <is>
          <t>https://www.sydney.edu.au/courses/courses/pc/master-of-social-work-qualifying.html</t>
        </is>
      </c>
      <c r="G620" t="inlineStr">
        <is>
          <t>https://www.sydney.edu.au/courses/courses/pc/master-of-social-work-qualifying.html</t>
        </is>
      </c>
      <c r="H620" t="inlineStr">
        <is>
          <t>Read</t>
        </is>
      </c>
      <c r="I620" t="inlineStr">
        <is>
          <t>Exact title match</t>
        </is>
      </c>
      <c r="J620" t="inlineStr"/>
      <c r="K620" t="inlineStr">
        <is>
          <t>Not sent to re-link</t>
        </is>
      </c>
      <c r="L620" t="inlineStr">
        <is>
          <t>Filled</t>
        </is>
      </c>
      <c r="M620" t="inlineStr">
        <is>
          <t>Not stated on course page</t>
        </is>
      </c>
      <c r="N620" t="inlineStr"/>
      <c r="O620" t="n">
        <v>0</v>
      </c>
      <c r="P620" t="inlineStr"/>
      <c r="Q620" t="inlineStr">
        <is>
          <t>Filled</t>
        </is>
      </c>
      <c r="R620" t="n">
        <v>6.5</v>
      </c>
      <c r="S620" t="inlineStr">
        <is>
          <t>Central English policy</t>
        </is>
      </c>
      <c r="T620" t="inlineStr">
        <is>
          <t>Central rule applies (value agrees)</t>
        </is>
      </c>
      <c r="U620" t="inlineStr"/>
      <c r="V620" t="inlineStr">
        <is>
          <t>Not stated on course page</t>
        </is>
      </c>
      <c r="W620" t="inlineStr"/>
      <c r="X620" t="inlineStr"/>
      <c r="Y620" t="n">
        <v>0</v>
      </c>
      <c r="Z620" t="inlineStr">
        <is>
          <t>No</t>
        </is>
      </c>
      <c r="AA620" t="inlineStr">
        <is>
          <t>Filled</t>
        </is>
      </c>
      <c r="AB620" t="inlineStr">
        <is>
          <t>on campus</t>
        </is>
      </c>
      <c r="AC620" t="inlineStr"/>
      <c r="AD620" t="n">
        <v>0</v>
      </c>
      <c r="AE620" t="inlineStr"/>
      <c r="AF620" t="inlineStr"/>
      <c r="AG620" t="inlineStr"/>
      <c r="AH620" t="inlineStr"/>
      <c r="AI620" t="inlineStr">
        <is>
          <t>Yes</t>
        </is>
      </c>
      <c r="AJ620" t="inlineStr"/>
      <c r="AK620" t="inlineStr"/>
      <c r="AL620" t="inlineStr"/>
      <c r="AM620" t="inlineStr"/>
    </row>
    <row r="621">
      <c r="A621" t="inlineStr">
        <is>
          <t>052756C</t>
        </is>
      </c>
      <c r="B621" t="inlineStr">
        <is>
          <t>Master of Speech Language Pathology</t>
        </is>
      </c>
      <c r="C621" t="inlineStr">
        <is>
          <t>Masters Degree (Coursework)</t>
        </is>
      </c>
      <c r="D621" t="inlineStr">
        <is>
          <t>Postgraduate coursework</t>
        </is>
      </c>
      <c r="E621" t="inlineStr">
        <is>
          <t>Advertised: official page in place</t>
        </is>
      </c>
      <c r="F621" t="inlineStr">
        <is>
          <t>https://www.sydney.edu.au/courses/courses/pc/master-of-speech-language-pathology.html</t>
        </is>
      </c>
      <c r="G621" t="inlineStr">
        <is>
          <t>https://www.sydney.edu.au/courses/courses/pc/master-of-speech-language-pathology.html</t>
        </is>
      </c>
      <c r="H621" t="inlineStr">
        <is>
          <t>Read</t>
        </is>
      </c>
      <c r="I621" t="inlineStr">
        <is>
          <t>Exact title match</t>
        </is>
      </c>
      <c r="J621" t="inlineStr"/>
      <c r="K621" t="inlineStr">
        <is>
          <t>Not sent to re-link</t>
        </is>
      </c>
      <c r="L621" t="inlineStr">
        <is>
          <t>Filled</t>
        </is>
      </c>
      <c r="M621" t="inlineStr">
        <is>
          <t>Not stated on course page</t>
        </is>
      </c>
      <c r="N621" t="inlineStr"/>
      <c r="O621" t="n">
        <v>0</v>
      </c>
      <c r="P621" t="inlineStr"/>
      <c r="Q621" t="inlineStr">
        <is>
          <t>Filled</t>
        </is>
      </c>
      <c r="R621" t="n">
        <v>6.5</v>
      </c>
      <c r="S621" t="inlineStr">
        <is>
          <t>Central English policy</t>
        </is>
      </c>
      <c r="T621" t="inlineStr">
        <is>
          <t>Central rule applies (value agrees)</t>
        </is>
      </c>
      <c r="U621" t="inlineStr"/>
      <c r="V621" t="inlineStr">
        <is>
          <t>Not stated on course page</t>
        </is>
      </c>
      <c r="W621" t="inlineStr"/>
      <c r="X621" t="inlineStr"/>
      <c r="Y621" t="n">
        <v>0</v>
      </c>
      <c r="Z621" t="inlineStr">
        <is>
          <t>No</t>
        </is>
      </c>
      <c r="AA621" t="inlineStr">
        <is>
          <t>Filled</t>
        </is>
      </c>
      <c r="AB621" t="inlineStr">
        <is>
          <t>on campus</t>
        </is>
      </c>
      <c r="AC621" t="inlineStr"/>
      <c r="AD621" t="n">
        <v>0</v>
      </c>
      <c r="AE621" t="inlineStr"/>
      <c r="AF621" t="inlineStr"/>
      <c r="AG621" t="inlineStr"/>
      <c r="AH621" t="inlineStr"/>
      <c r="AI621" t="inlineStr">
        <is>
          <t>Yes</t>
        </is>
      </c>
      <c r="AJ621" t="inlineStr"/>
      <c r="AK621" t="inlineStr"/>
      <c r="AL621" t="inlineStr"/>
      <c r="AM621" t="inlineStr"/>
    </row>
    <row r="622">
      <c r="A622" t="inlineStr">
        <is>
          <t>079644M</t>
        </is>
      </c>
      <c r="B622" t="inlineStr">
        <is>
          <t>Master of Strategic Public Relations</t>
        </is>
      </c>
      <c r="C622" t="inlineStr">
        <is>
          <t>Masters Degree (Coursework)</t>
        </is>
      </c>
      <c r="D622" t="inlineStr">
        <is>
          <t>Postgraduate coursework</t>
        </is>
      </c>
      <c r="E622" t="inlineStr">
        <is>
          <t>Advertised: official page in place</t>
        </is>
      </c>
      <c r="F622" t="inlineStr">
        <is>
          <t>https://www.sydney.edu.au/courses/courses/pc/master-of-strategic-public-relations.html</t>
        </is>
      </c>
      <c r="G622" t="inlineStr">
        <is>
          <t>https://www.sydney.edu.au/courses/courses/pc/master-of-strategic-public-relations.html</t>
        </is>
      </c>
      <c r="H622" t="inlineStr">
        <is>
          <t>Read</t>
        </is>
      </c>
      <c r="I622" t="inlineStr">
        <is>
          <t>Exact title match</t>
        </is>
      </c>
      <c r="J622" t="inlineStr"/>
      <c r="K622" t="inlineStr">
        <is>
          <t>Not sent to re-link</t>
        </is>
      </c>
      <c r="L622" t="inlineStr">
        <is>
          <t>Filled</t>
        </is>
      </c>
      <c r="M622" t="inlineStr">
        <is>
          <t>Not stated on course page</t>
        </is>
      </c>
      <c r="N622" t="inlineStr"/>
      <c r="O622" t="n">
        <v>0</v>
      </c>
      <c r="P622" t="inlineStr"/>
      <c r="Q622" t="inlineStr">
        <is>
          <t>Filled</t>
        </is>
      </c>
      <c r="R622" t="n">
        <v>6.5</v>
      </c>
      <c r="S622" t="inlineStr">
        <is>
          <t>Central English policy</t>
        </is>
      </c>
      <c r="T622" t="inlineStr">
        <is>
          <t>Central rule applies (value agrees)</t>
        </is>
      </c>
      <c r="U622" t="inlineStr"/>
      <c r="V622" t="inlineStr">
        <is>
          <t>Not stated on course page</t>
        </is>
      </c>
      <c r="W622" t="inlineStr"/>
      <c r="X622" t="inlineStr"/>
      <c r="Y622" t="n">
        <v>0</v>
      </c>
      <c r="Z622" t="inlineStr">
        <is>
          <t>No</t>
        </is>
      </c>
      <c r="AA622" t="inlineStr">
        <is>
          <t>Filled</t>
        </is>
      </c>
      <c r="AB622" t="inlineStr">
        <is>
          <t>on campus</t>
        </is>
      </c>
      <c r="AC622" t="inlineStr"/>
      <c r="AD622" t="n">
        <v>0</v>
      </c>
      <c r="AE622" t="inlineStr"/>
      <c r="AF622" t="inlineStr"/>
      <c r="AG622" t="inlineStr"/>
      <c r="AH622" t="inlineStr"/>
      <c r="AI622" t="inlineStr">
        <is>
          <t>Yes</t>
        </is>
      </c>
      <c r="AJ622" t="inlineStr"/>
      <c r="AK622" t="inlineStr"/>
      <c r="AL622" t="inlineStr"/>
      <c r="AM622" t="inlineStr"/>
    </row>
    <row r="623">
      <c r="A623" t="inlineStr">
        <is>
          <t>026965K</t>
        </is>
      </c>
      <c r="B623" t="inlineStr">
        <is>
          <t>Master of Studio Art</t>
        </is>
      </c>
      <c r="C623" t="inlineStr">
        <is>
          <t>Masters Degree (Coursework)</t>
        </is>
      </c>
      <c r="D623" t="inlineStr">
        <is>
          <t>Postgraduate coursework</t>
        </is>
      </c>
      <c r="E623" t="inlineStr">
        <is>
          <t>Held: page found is for another course</t>
        </is>
      </c>
      <c r="F623" t="inlineStr"/>
      <c r="G623" t="inlineStr">
        <is>
          <t>https://rp-handbooks.sydney.edu.au/handbooks/archive/2014/sca/postgraduate/coursework/m_studio_art.shtml.html</t>
        </is>
      </c>
      <c r="H623" t="inlineStr">
        <is>
          <t>Not a course page</t>
        </is>
      </c>
      <c r="I623" t="inlineStr"/>
      <c r="J623" t="inlineStr"/>
      <c r="K623" t="inlineStr">
        <is>
          <t>Not sent to re-link</t>
        </is>
      </c>
      <c r="L623" t="inlineStr">
        <is>
          <t>Not stated on course page</t>
        </is>
      </c>
      <c r="M623" t="inlineStr">
        <is>
          <t>Not stated on course page</t>
        </is>
      </c>
      <c r="N623" t="inlineStr"/>
      <c r="O623" t="n">
        <v>0</v>
      </c>
      <c r="P623" t="inlineStr"/>
      <c r="Q623" t="inlineStr">
        <is>
          <t>Filled</t>
        </is>
      </c>
      <c r="R623" t="n">
        <v>6.5</v>
      </c>
      <c r="S623" t="inlineStr">
        <is>
          <t>Central English policy</t>
        </is>
      </c>
      <c r="T623" t="inlineStr">
        <is>
          <t>Central rule applies (value agrees)</t>
        </is>
      </c>
      <c r="U623" t="inlineStr"/>
      <c r="V623" t="inlineStr">
        <is>
          <t>Not stated on course page</t>
        </is>
      </c>
      <c r="W623" t="inlineStr"/>
      <c r="X623" t="inlineStr"/>
      <c r="Y623" t="n">
        <v>0</v>
      </c>
      <c r="Z623" t="inlineStr">
        <is>
          <t>No</t>
        </is>
      </c>
      <c r="AA623" t="inlineStr">
        <is>
          <t>Not stated on course page</t>
        </is>
      </c>
      <c r="AB623" t="inlineStr"/>
      <c r="AC623" t="inlineStr">
        <is>
          <t>Skipped: taken back: the page read was another course's page</t>
        </is>
      </c>
      <c r="AD623" t="n">
        <v>1</v>
      </c>
      <c r="AE623" t="inlineStr"/>
      <c r="AF623" t="inlineStr"/>
      <c r="AG623" t="inlineStr"/>
      <c r="AH623" t="inlineStr"/>
      <c r="AI623" t="inlineStr"/>
      <c r="AJ623" t="inlineStr"/>
      <c r="AK623" t="inlineStr"/>
      <c r="AL623" t="inlineStr"/>
      <c r="AM623" t="inlineStr"/>
    </row>
    <row r="624">
      <c r="A624" t="inlineStr">
        <is>
          <t>121051E</t>
        </is>
      </c>
      <c r="B624" t="inlineStr">
        <is>
          <t>Master of Sustainability</t>
        </is>
      </c>
      <c r="C624" t="inlineStr">
        <is>
          <t>Masters Degree (Coursework)</t>
        </is>
      </c>
      <c r="D624" t="inlineStr">
        <is>
          <t>Postgraduate coursework</t>
        </is>
      </c>
      <c r="E624" t="inlineStr">
        <is>
          <t>Advertised: official page in place</t>
        </is>
      </c>
      <c r="F624" t="inlineStr">
        <is>
          <t>https://www.sydney.edu.au/courses/courses/pc/master-of-sustainability0.html</t>
        </is>
      </c>
      <c r="G624" t="inlineStr">
        <is>
          <t>https://www.sydney.edu.au/courses/courses/pc/master-of-sustainability0.html</t>
        </is>
      </c>
      <c r="H624" t="inlineStr">
        <is>
          <t>Read</t>
        </is>
      </c>
      <c r="I624" t="inlineStr">
        <is>
          <t>Exact title match</t>
        </is>
      </c>
      <c r="J624" t="inlineStr"/>
      <c r="K624" t="inlineStr">
        <is>
          <t>Not sent to re-link</t>
        </is>
      </c>
      <c r="L624" t="inlineStr">
        <is>
          <t>Filled</t>
        </is>
      </c>
      <c r="M624" t="inlineStr">
        <is>
          <t>Not stated on course page</t>
        </is>
      </c>
      <c r="N624" t="inlineStr"/>
      <c r="O624" t="n">
        <v>0</v>
      </c>
      <c r="P624" t="inlineStr"/>
      <c r="Q624" t="inlineStr">
        <is>
          <t>Filled</t>
        </is>
      </c>
      <c r="R624" t="n">
        <v>6.5</v>
      </c>
      <c r="S624" t="inlineStr">
        <is>
          <t>Central English policy</t>
        </is>
      </c>
      <c r="T624" t="inlineStr">
        <is>
          <t>Central rule applies (value agrees)</t>
        </is>
      </c>
      <c r="U624" t="inlineStr"/>
      <c r="V624" t="inlineStr">
        <is>
          <t>Not stated on course page</t>
        </is>
      </c>
      <c r="W624" t="inlineStr"/>
      <c r="X624" t="inlineStr"/>
      <c r="Y624" t="n">
        <v>0</v>
      </c>
      <c r="Z624" t="inlineStr">
        <is>
          <t>No</t>
        </is>
      </c>
      <c r="AA624" t="inlineStr">
        <is>
          <t>Filled</t>
        </is>
      </c>
      <c r="AB624" t="inlineStr">
        <is>
          <t>on campus</t>
        </is>
      </c>
      <c r="AC624" t="inlineStr"/>
      <c r="AD624" t="n">
        <v>0</v>
      </c>
      <c r="AE624" t="inlineStr"/>
      <c r="AF624" t="inlineStr"/>
      <c r="AG624" t="inlineStr"/>
      <c r="AH624" t="inlineStr"/>
      <c r="AI624" t="inlineStr">
        <is>
          <t>Yes</t>
        </is>
      </c>
      <c r="AJ624" t="inlineStr"/>
      <c r="AK624" t="inlineStr"/>
      <c r="AL624" t="inlineStr"/>
      <c r="AM624" t="inlineStr"/>
    </row>
    <row r="625">
      <c r="A625" t="inlineStr">
        <is>
          <t>068694C</t>
        </is>
      </c>
      <c r="B625" t="inlineStr">
        <is>
          <t>Master of Sustainability</t>
        </is>
      </c>
      <c r="C625" t="inlineStr">
        <is>
          <t>Masters Degree (Coursework)</t>
        </is>
      </c>
      <c r="D625" t="inlineStr">
        <is>
          <t>Postgraduate coursework</t>
        </is>
      </c>
      <c r="E625" t="inlineStr">
        <is>
          <t>Advertised: official page in place</t>
        </is>
      </c>
      <c r="F625" t="inlineStr">
        <is>
          <t>https://www.sydney.edu.au/courses/courses/pc/master-of-sustainability0.html</t>
        </is>
      </c>
      <c r="G625" t="inlineStr">
        <is>
          <t>https://www.sydney.edu.au/courses/courses/pc/master-of-sustainability0.html</t>
        </is>
      </c>
      <c r="H625" t="inlineStr">
        <is>
          <t>Read</t>
        </is>
      </c>
      <c r="I625" t="inlineStr">
        <is>
          <t>Exact title match</t>
        </is>
      </c>
      <c r="J625" t="inlineStr"/>
      <c r="K625" t="inlineStr">
        <is>
          <t>Not sent to re-link</t>
        </is>
      </c>
      <c r="L625" t="inlineStr">
        <is>
          <t>Filled</t>
        </is>
      </c>
      <c r="M625" t="inlineStr">
        <is>
          <t>Not stated on course page</t>
        </is>
      </c>
      <c r="N625" t="inlineStr"/>
      <c r="O625" t="n">
        <v>0</v>
      </c>
      <c r="P625" t="inlineStr"/>
      <c r="Q625" t="inlineStr">
        <is>
          <t>Filled</t>
        </is>
      </c>
      <c r="R625" t="n">
        <v>6.5</v>
      </c>
      <c r="S625" t="inlineStr">
        <is>
          <t>Central English policy</t>
        </is>
      </c>
      <c r="T625" t="inlineStr">
        <is>
          <t>Central rule applies (value agrees)</t>
        </is>
      </c>
      <c r="U625" t="inlineStr"/>
      <c r="V625" t="inlineStr">
        <is>
          <t>Not stated on course page</t>
        </is>
      </c>
      <c r="W625" t="inlineStr"/>
      <c r="X625" t="inlineStr"/>
      <c r="Y625" t="n">
        <v>0</v>
      </c>
      <c r="Z625" t="inlineStr">
        <is>
          <t>No</t>
        </is>
      </c>
      <c r="AA625" t="inlineStr">
        <is>
          <t>Filled</t>
        </is>
      </c>
      <c r="AB625" t="inlineStr">
        <is>
          <t>on campus</t>
        </is>
      </c>
      <c r="AC625" t="inlineStr"/>
      <c r="AD625" t="n">
        <v>0</v>
      </c>
      <c r="AE625" t="inlineStr"/>
      <c r="AF625" t="inlineStr"/>
      <c r="AG625" t="inlineStr"/>
      <c r="AH625" t="inlineStr"/>
      <c r="AI625" t="inlineStr">
        <is>
          <t>Yes</t>
        </is>
      </c>
      <c r="AJ625" t="inlineStr"/>
      <c r="AK625" t="inlineStr"/>
      <c r="AL625" t="inlineStr"/>
      <c r="AM625" t="inlineStr"/>
    </row>
    <row r="626">
      <c r="A626" t="inlineStr">
        <is>
          <t>008407A</t>
        </is>
      </c>
      <c r="B626" t="inlineStr">
        <is>
          <t>Master of Taxation</t>
        </is>
      </c>
      <c r="C626" t="inlineStr">
        <is>
          <t>Masters Degree (Coursework)</t>
        </is>
      </c>
      <c r="D626" t="inlineStr">
        <is>
          <t>Postgraduate coursework</t>
        </is>
      </c>
      <c r="E626" t="inlineStr">
        <is>
          <t>Advertised: official page in place</t>
        </is>
      </c>
      <c r="F626" t="inlineStr">
        <is>
          <t>https://www.sydney.edu.au/courses/courses/pc/master-of-taxation.html</t>
        </is>
      </c>
      <c r="G626" t="inlineStr">
        <is>
          <t>https://www.sydney.edu.au/courses/courses/pc/master-of-taxation.html</t>
        </is>
      </c>
      <c r="H626" t="inlineStr">
        <is>
          <t>Read</t>
        </is>
      </c>
      <c r="I626" t="inlineStr">
        <is>
          <t>Exact title match</t>
        </is>
      </c>
      <c r="J626" t="inlineStr"/>
      <c r="K626" t="inlineStr">
        <is>
          <t>Not sent to re-link</t>
        </is>
      </c>
      <c r="L626" t="inlineStr">
        <is>
          <t>Filled</t>
        </is>
      </c>
      <c r="M626" t="inlineStr">
        <is>
          <t>Not stated on course page</t>
        </is>
      </c>
      <c r="N626" t="inlineStr"/>
      <c r="O626" t="n">
        <v>0</v>
      </c>
      <c r="P626" t="inlineStr"/>
      <c r="Q626" t="inlineStr">
        <is>
          <t>Filled</t>
        </is>
      </c>
      <c r="R626" t="n">
        <v>6.5</v>
      </c>
      <c r="S626" t="inlineStr">
        <is>
          <t>Central English policy</t>
        </is>
      </c>
      <c r="T626" t="inlineStr">
        <is>
          <t>Central rule applies (value agrees)</t>
        </is>
      </c>
      <c r="U626" t="inlineStr"/>
      <c r="V626" t="inlineStr">
        <is>
          <t>Not stated on course page</t>
        </is>
      </c>
      <c r="W626" t="inlineStr"/>
      <c r="X626" t="inlineStr"/>
      <c r="Y626" t="n">
        <v>0</v>
      </c>
      <c r="Z626" t="inlineStr">
        <is>
          <t>No</t>
        </is>
      </c>
      <c r="AA626" t="inlineStr">
        <is>
          <t>Filled</t>
        </is>
      </c>
      <c r="AB626" t="inlineStr">
        <is>
          <t>on campus</t>
        </is>
      </c>
      <c r="AC626" t="inlineStr"/>
      <c r="AD626" t="n">
        <v>0</v>
      </c>
      <c r="AE626" t="inlineStr"/>
      <c r="AF626" t="inlineStr"/>
      <c r="AG626" t="inlineStr"/>
      <c r="AH626" t="inlineStr"/>
      <c r="AI626" t="inlineStr">
        <is>
          <t>Yes</t>
        </is>
      </c>
      <c r="AJ626" t="inlineStr"/>
      <c r="AK626" t="inlineStr"/>
      <c r="AL626" t="inlineStr"/>
      <c r="AM626" t="inlineStr"/>
    </row>
    <row r="627">
      <c r="A627" t="inlineStr">
        <is>
          <t>020155D</t>
        </is>
      </c>
      <c r="B627" t="inlineStr">
        <is>
          <t>Master of Teaching</t>
        </is>
      </c>
      <c r="C627" t="inlineStr">
        <is>
          <t>Masters Degree (Coursework)</t>
        </is>
      </c>
      <c r="D627" t="inlineStr">
        <is>
          <t>Postgraduate coursework</t>
        </is>
      </c>
      <c r="E627" t="inlineStr">
        <is>
          <t>Advertised: official page in place</t>
        </is>
      </c>
      <c r="F627" t="inlineStr">
        <is>
          <t>https://www.sydney.edu.au/courses/courses/pc/master-of-teaching-early-childhood.html</t>
        </is>
      </c>
      <c r="G627" t="inlineStr">
        <is>
          <t>https://www.sydney.edu.au/courses/courses/pc/master-of-teaching-early-childhood.html</t>
        </is>
      </c>
      <c r="H627" t="inlineStr">
        <is>
          <t>Read</t>
        </is>
      </c>
      <c r="I627" t="inlineStr">
        <is>
          <t>Exact title match</t>
        </is>
      </c>
      <c r="J627" t="inlineStr"/>
      <c r="K627" t="inlineStr">
        <is>
          <t>Not sent to re-link</t>
        </is>
      </c>
      <c r="L627" t="inlineStr">
        <is>
          <t>Filled</t>
        </is>
      </c>
      <c r="M627" t="inlineStr">
        <is>
          <t>Not stated on course page</t>
        </is>
      </c>
      <c r="N627" t="inlineStr"/>
      <c r="O627" t="n">
        <v>0</v>
      </c>
      <c r="P627" t="inlineStr"/>
      <c r="Q627" t="inlineStr">
        <is>
          <t>Filled</t>
        </is>
      </c>
      <c r="R627" t="n">
        <v>6.5</v>
      </c>
      <c r="S627" t="inlineStr">
        <is>
          <t>Central English policy</t>
        </is>
      </c>
      <c r="T627" t="inlineStr">
        <is>
          <t>Central rule applies (value agrees)</t>
        </is>
      </c>
      <c r="U627" t="inlineStr"/>
      <c r="V627" t="inlineStr">
        <is>
          <t>Not stated on course page</t>
        </is>
      </c>
      <c r="W627" t="inlineStr"/>
      <c r="X627" t="inlineStr"/>
      <c r="Y627" t="n">
        <v>0</v>
      </c>
      <c r="Z627" t="inlineStr">
        <is>
          <t>No</t>
        </is>
      </c>
      <c r="AA627" t="inlineStr">
        <is>
          <t>Filled</t>
        </is>
      </c>
      <c r="AB627" t="inlineStr">
        <is>
          <t>on campus</t>
        </is>
      </c>
      <c r="AC627" t="inlineStr"/>
      <c r="AD627" t="n">
        <v>0</v>
      </c>
      <c r="AE627" t="inlineStr"/>
      <c r="AF627" t="inlineStr"/>
      <c r="AG627" t="inlineStr"/>
      <c r="AH627" t="inlineStr"/>
      <c r="AI627" t="inlineStr">
        <is>
          <t>Yes</t>
        </is>
      </c>
      <c r="AJ627" t="inlineStr"/>
      <c r="AK627" t="inlineStr"/>
      <c r="AL627" t="inlineStr"/>
      <c r="AM627" t="inlineStr"/>
    </row>
    <row r="628">
      <c r="A628" t="inlineStr">
        <is>
          <t>118316M</t>
        </is>
      </c>
      <c r="B628" t="inlineStr">
        <is>
          <t>Master of Teaching English to Speakers of Other Languages</t>
        </is>
      </c>
      <c r="C628" t="inlineStr">
        <is>
          <t>Masters Degree (Coursework)</t>
        </is>
      </c>
      <c r="D628" t="inlineStr">
        <is>
          <t>Postgraduate coursework</t>
        </is>
      </c>
      <c r="E628" t="inlineStr">
        <is>
          <t>Advertised: official page in place</t>
        </is>
      </c>
      <c r="F628" t="inlineStr">
        <is>
          <t>https://www.sydney.edu.au/courses/courses/pc/master-of-teaching-english-to-speakers-of-other-languages.html</t>
        </is>
      </c>
      <c r="G628" t="inlineStr">
        <is>
          <t>https://www.sydney.edu.au/courses/courses/pc/master-of-teaching-english-to-speakers-of-other-languages.html</t>
        </is>
      </c>
      <c r="H628" t="inlineStr">
        <is>
          <t>Read</t>
        </is>
      </c>
      <c r="I628" t="inlineStr">
        <is>
          <t>Exact title match</t>
        </is>
      </c>
      <c r="J628" t="inlineStr"/>
      <c r="K628" t="inlineStr">
        <is>
          <t>Not sent to re-link</t>
        </is>
      </c>
      <c r="L628" t="inlineStr">
        <is>
          <t>Filled</t>
        </is>
      </c>
      <c r="M628" t="inlineStr">
        <is>
          <t>Not stated on course page</t>
        </is>
      </c>
      <c r="N628" t="inlineStr"/>
      <c r="O628" t="n">
        <v>0</v>
      </c>
      <c r="P628" t="inlineStr"/>
      <c r="Q628" t="inlineStr">
        <is>
          <t>Filled</t>
        </is>
      </c>
      <c r="R628" t="n">
        <v>6.5</v>
      </c>
      <c r="S628" t="inlineStr">
        <is>
          <t>Central English policy</t>
        </is>
      </c>
      <c r="T628" t="inlineStr">
        <is>
          <t>Central rule applies (value agrees)</t>
        </is>
      </c>
      <c r="U628" t="inlineStr"/>
      <c r="V628" t="inlineStr">
        <is>
          <t>Not stated on course page</t>
        </is>
      </c>
      <c r="W628" t="inlineStr"/>
      <c r="X628" t="inlineStr"/>
      <c r="Y628" t="n">
        <v>0</v>
      </c>
      <c r="Z628" t="inlineStr">
        <is>
          <t>No</t>
        </is>
      </c>
      <c r="AA628" t="inlineStr">
        <is>
          <t>Filled</t>
        </is>
      </c>
      <c r="AB628" t="inlineStr">
        <is>
          <t>on campus</t>
        </is>
      </c>
      <c r="AC628" t="inlineStr"/>
      <c r="AD628" t="n">
        <v>0</v>
      </c>
      <c r="AE628" t="inlineStr"/>
      <c r="AF628" t="inlineStr"/>
      <c r="AG628" t="inlineStr"/>
      <c r="AH628" t="inlineStr"/>
      <c r="AI628" t="inlineStr">
        <is>
          <t>Yes</t>
        </is>
      </c>
      <c r="AJ628" t="inlineStr"/>
      <c r="AK628" t="inlineStr"/>
      <c r="AL628" t="inlineStr"/>
      <c r="AM628" t="inlineStr"/>
    </row>
    <row r="629">
      <c r="A629" t="inlineStr">
        <is>
          <t>099890J</t>
        </is>
      </c>
      <c r="B629" t="inlineStr">
        <is>
          <t>Master of Transport</t>
        </is>
      </c>
      <c r="C629" t="inlineStr">
        <is>
          <t>Masters Degree (Coursework)</t>
        </is>
      </c>
      <c r="D629" t="inlineStr">
        <is>
          <t>Postgraduate coursework</t>
        </is>
      </c>
      <c r="E629" t="inlineStr">
        <is>
          <t>Advertised: official page in place</t>
        </is>
      </c>
      <c r="F629" t="inlineStr">
        <is>
          <t>https://www.sydney.edu.au/courses/courses/pc/master-of-transport.html</t>
        </is>
      </c>
      <c r="G629" t="inlineStr">
        <is>
          <t>https://www.sydney.edu.au/courses/courses/pc/master-of-transport.html</t>
        </is>
      </c>
      <c r="H629" t="inlineStr">
        <is>
          <t>Read</t>
        </is>
      </c>
      <c r="I629" t="inlineStr">
        <is>
          <t>Exact title match</t>
        </is>
      </c>
      <c r="J629" t="inlineStr"/>
      <c r="K629" t="inlineStr">
        <is>
          <t>Not sent to re-link</t>
        </is>
      </c>
      <c r="L629" t="inlineStr">
        <is>
          <t>Filled</t>
        </is>
      </c>
      <c r="M629" t="inlineStr">
        <is>
          <t>Not stated on course page</t>
        </is>
      </c>
      <c r="N629" t="inlineStr"/>
      <c r="O629" t="n">
        <v>0</v>
      </c>
      <c r="P629" t="inlineStr"/>
      <c r="Q629" t="inlineStr">
        <is>
          <t>Filled</t>
        </is>
      </c>
      <c r="R629" t="n">
        <v>6.5</v>
      </c>
      <c r="S629" t="inlineStr">
        <is>
          <t>Central English policy</t>
        </is>
      </c>
      <c r="T629" t="inlineStr">
        <is>
          <t>Central rule applies (value agrees)</t>
        </is>
      </c>
      <c r="U629" t="inlineStr"/>
      <c r="V629" t="inlineStr">
        <is>
          <t>Not stated on course page</t>
        </is>
      </c>
      <c r="W629" t="inlineStr"/>
      <c r="X629" t="inlineStr"/>
      <c r="Y629" t="n">
        <v>0</v>
      </c>
      <c r="Z629" t="inlineStr">
        <is>
          <t>No</t>
        </is>
      </c>
      <c r="AA629" t="inlineStr">
        <is>
          <t>Filled</t>
        </is>
      </c>
      <c r="AB629" t="inlineStr">
        <is>
          <t>on campus</t>
        </is>
      </c>
      <c r="AC629" t="inlineStr"/>
      <c r="AD629" t="n">
        <v>0</v>
      </c>
      <c r="AE629" t="inlineStr"/>
      <c r="AF629" t="inlineStr"/>
      <c r="AG629" t="inlineStr"/>
      <c r="AH629" t="inlineStr"/>
      <c r="AI629" t="inlineStr">
        <is>
          <t>Yes</t>
        </is>
      </c>
      <c r="AJ629" t="inlineStr"/>
      <c r="AK629" t="inlineStr"/>
      <c r="AL629" t="inlineStr"/>
      <c r="AM629" t="inlineStr"/>
    </row>
    <row r="630">
      <c r="A630" t="inlineStr">
        <is>
          <t>000677K</t>
        </is>
      </c>
      <c r="B630" t="inlineStr">
        <is>
          <t>Master of Urban and Regional Planning</t>
        </is>
      </c>
      <c r="C630" t="inlineStr">
        <is>
          <t>Masters Degree (Coursework)</t>
        </is>
      </c>
      <c r="D630" t="inlineStr">
        <is>
          <t>Postgraduate coursework</t>
        </is>
      </c>
      <c r="E630" t="inlineStr">
        <is>
          <t>Advertised: official page in place</t>
        </is>
      </c>
      <c r="F630" t="inlineStr">
        <is>
          <t>https://www.sydney.edu.au/courses/courses/pc/master-of-urban-and-regional-planning.html</t>
        </is>
      </c>
      <c r="G630" t="inlineStr">
        <is>
          <t>https://www.sydney.edu.au/courses/courses/pc/master-of-urban-and-regional-planning.html</t>
        </is>
      </c>
      <c r="H630" t="inlineStr">
        <is>
          <t>Read</t>
        </is>
      </c>
      <c r="I630" t="inlineStr">
        <is>
          <t>Exact title match</t>
        </is>
      </c>
      <c r="J630" t="inlineStr"/>
      <c r="K630" t="inlineStr">
        <is>
          <t>Not sent to re-link</t>
        </is>
      </c>
      <c r="L630" t="inlineStr">
        <is>
          <t>Filled</t>
        </is>
      </c>
      <c r="M630" t="inlineStr">
        <is>
          <t>Not stated on course page</t>
        </is>
      </c>
      <c r="N630" t="inlineStr"/>
      <c r="O630" t="n">
        <v>0</v>
      </c>
      <c r="P630" t="inlineStr"/>
      <c r="Q630" t="inlineStr">
        <is>
          <t>Filled</t>
        </is>
      </c>
      <c r="R630" t="n">
        <v>6.5</v>
      </c>
      <c r="S630" t="inlineStr">
        <is>
          <t>Central English policy</t>
        </is>
      </c>
      <c r="T630" t="inlineStr">
        <is>
          <t>Central rule applies (value agrees)</t>
        </is>
      </c>
      <c r="U630" t="inlineStr"/>
      <c r="V630" t="inlineStr">
        <is>
          <t>Not stated on course page</t>
        </is>
      </c>
      <c r="W630" t="inlineStr"/>
      <c r="X630" t="inlineStr"/>
      <c r="Y630" t="n">
        <v>0</v>
      </c>
      <c r="Z630" t="inlineStr">
        <is>
          <t>No</t>
        </is>
      </c>
      <c r="AA630" t="inlineStr">
        <is>
          <t>Filled</t>
        </is>
      </c>
      <c r="AB630" t="inlineStr">
        <is>
          <t>on campus</t>
        </is>
      </c>
      <c r="AC630" t="inlineStr"/>
      <c r="AD630" t="n">
        <v>0</v>
      </c>
      <c r="AE630" t="inlineStr"/>
      <c r="AF630" t="inlineStr"/>
      <c r="AG630" t="inlineStr"/>
      <c r="AH630" t="inlineStr"/>
      <c r="AI630" t="inlineStr">
        <is>
          <t>Yes</t>
        </is>
      </c>
      <c r="AJ630" t="inlineStr"/>
      <c r="AK630" t="inlineStr"/>
      <c r="AL630" t="inlineStr"/>
      <c r="AM630" t="inlineStr"/>
    </row>
    <row r="631">
      <c r="A631" t="inlineStr">
        <is>
          <t>000681C</t>
        </is>
      </c>
      <c r="B631" t="inlineStr">
        <is>
          <t>Master of Urban Design</t>
        </is>
      </c>
      <c r="C631" t="inlineStr">
        <is>
          <t>Masters Degree (Coursework)</t>
        </is>
      </c>
      <c r="D631" t="inlineStr">
        <is>
          <t>Postgraduate coursework</t>
        </is>
      </c>
      <c r="E631" t="inlineStr">
        <is>
          <t>Advertised: official page in place</t>
        </is>
      </c>
      <c r="F631" t="inlineStr">
        <is>
          <t>https://www.sydney.edu.au/courses/courses/pc/master-of-urban-design.html</t>
        </is>
      </c>
      <c r="G631" t="inlineStr">
        <is>
          <t>https://www.sydney.edu.au/courses/courses/pc/master-of-urban-design.html</t>
        </is>
      </c>
      <c r="H631" t="inlineStr">
        <is>
          <t>Read</t>
        </is>
      </c>
      <c r="I631" t="inlineStr">
        <is>
          <t>Exact title match</t>
        </is>
      </c>
      <c r="J631" t="inlineStr"/>
      <c r="K631" t="inlineStr">
        <is>
          <t>Not sent to re-link</t>
        </is>
      </c>
      <c r="L631" t="inlineStr">
        <is>
          <t>Filled</t>
        </is>
      </c>
      <c r="M631" t="inlineStr">
        <is>
          <t>Not stated on course page</t>
        </is>
      </c>
      <c r="N631" t="inlineStr"/>
      <c r="O631" t="n">
        <v>0</v>
      </c>
      <c r="P631" t="inlineStr"/>
      <c r="Q631" t="inlineStr">
        <is>
          <t>Filled</t>
        </is>
      </c>
      <c r="R631" t="n">
        <v>6.5</v>
      </c>
      <c r="S631" t="inlineStr">
        <is>
          <t>Central English policy</t>
        </is>
      </c>
      <c r="T631" t="inlineStr">
        <is>
          <t>Central rule applies (value agrees)</t>
        </is>
      </c>
      <c r="U631" t="inlineStr"/>
      <c r="V631" t="inlineStr">
        <is>
          <t>Not stated on course page</t>
        </is>
      </c>
      <c r="W631" t="inlineStr"/>
      <c r="X631" t="inlineStr"/>
      <c r="Y631" t="n">
        <v>0</v>
      </c>
      <c r="Z631" t="inlineStr">
        <is>
          <t>No</t>
        </is>
      </c>
      <c r="AA631" t="inlineStr">
        <is>
          <t>Filled</t>
        </is>
      </c>
      <c r="AB631" t="inlineStr">
        <is>
          <t>on campus</t>
        </is>
      </c>
      <c r="AC631" t="inlineStr"/>
      <c r="AD631" t="n">
        <v>0</v>
      </c>
      <c r="AE631" t="inlineStr"/>
      <c r="AF631" t="inlineStr"/>
      <c r="AG631" t="inlineStr"/>
      <c r="AH631" t="inlineStr"/>
      <c r="AI631" t="inlineStr">
        <is>
          <t>Yes</t>
        </is>
      </c>
      <c r="AJ631" t="inlineStr"/>
      <c r="AK631" t="inlineStr"/>
      <c r="AL631" t="inlineStr"/>
      <c r="AM631" t="inlineStr"/>
    </row>
    <row r="632">
      <c r="A632" t="inlineStr">
        <is>
          <t>060905F</t>
        </is>
      </c>
      <c r="B632" t="inlineStr">
        <is>
          <t>Master of Urban Design (Architectural and Urban Design)</t>
        </is>
      </c>
      <c r="C632" t="inlineStr">
        <is>
          <t>Masters Degree (Coursework)</t>
        </is>
      </c>
      <c r="D632" t="inlineStr">
        <is>
          <t>Postgraduate coursework</t>
        </is>
      </c>
      <c r="E632" t="inlineStr">
        <is>
          <t>Page address no longer works</t>
        </is>
      </c>
      <c r="F632" t="inlineStr"/>
      <c r="G632" t="inlineStr">
        <is>
          <t>https://www.sydney.edu.au/courses/courses/pc/master-of-urban-design-architectural-and-urban-design.html</t>
        </is>
      </c>
      <c r="H632" t="inlineStr">
        <is>
          <t>Address no longer works</t>
        </is>
      </c>
      <c r="I632" t="inlineStr"/>
      <c r="J632" t="inlineStr"/>
      <c r="K632" t="inlineStr">
        <is>
          <t>Finished, no page: every candidate address was refused by the reader or did not</t>
        </is>
      </c>
      <c r="L632" t="inlineStr">
        <is>
          <t>Page found, being read</t>
        </is>
      </c>
      <c r="M632" t="inlineStr">
        <is>
          <t>Page found, being read</t>
        </is>
      </c>
      <c r="N632" t="inlineStr"/>
      <c r="O632" t="n">
        <v>0</v>
      </c>
      <c r="P632" t="inlineStr"/>
      <c r="Q632" t="inlineStr">
        <is>
          <t>Filled</t>
        </is>
      </c>
      <c r="R632" t="n">
        <v>6.5</v>
      </c>
      <c r="S632" t="inlineStr">
        <is>
          <t>Central English policy</t>
        </is>
      </c>
      <c r="T632" t="inlineStr">
        <is>
          <t>Central rule applies (value agrees)</t>
        </is>
      </c>
      <c r="U632" t="inlineStr"/>
      <c r="V632" t="inlineStr">
        <is>
          <t>Page found, being read</t>
        </is>
      </c>
      <c r="W632" t="inlineStr"/>
      <c r="X632" t="inlineStr"/>
      <c r="Y632" t="n">
        <v>0</v>
      </c>
      <c r="Z632" t="inlineStr">
        <is>
          <t>No</t>
        </is>
      </c>
      <c r="AA632" t="inlineStr">
        <is>
          <t>Not stated on course page</t>
        </is>
      </c>
      <c r="AB632" t="inlineStr"/>
      <c r="AC632" t="inlineStr">
        <is>
          <t>Skipped: no allowed source had a value</t>
        </is>
      </c>
      <c r="AD632" t="n">
        <v>1</v>
      </c>
      <c r="AE632" t="inlineStr"/>
      <c r="AF632" t="inlineStr"/>
      <c r="AG632" t="inlineStr"/>
      <c r="AH632" t="inlineStr"/>
      <c r="AI632" t="inlineStr"/>
      <c r="AJ632" t="inlineStr"/>
      <c r="AK632" t="inlineStr"/>
      <c r="AL632" t="inlineStr"/>
      <c r="AM632" t="inlineStr"/>
    </row>
    <row r="633">
      <c r="A633" t="inlineStr">
        <is>
          <t>053653B</t>
        </is>
      </c>
      <c r="B633" t="inlineStr">
        <is>
          <t>Master of Urban Design (Urban Design and Planning)</t>
        </is>
      </c>
      <c r="C633" t="inlineStr">
        <is>
          <t>Masters Degree (Coursework)</t>
        </is>
      </c>
      <c r="D633" t="inlineStr">
        <is>
          <t>Postgraduate coursework</t>
        </is>
      </c>
      <c r="E633" t="inlineStr">
        <is>
          <t>Page address no longer works</t>
        </is>
      </c>
      <c r="F633" t="inlineStr"/>
      <c r="G633" t="inlineStr">
        <is>
          <t>https://www.sydney.edu.au/courses/courses/pc/master-of-urban-design-urban-design-and-planning.html</t>
        </is>
      </c>
      <c r="H633" t="inlineStr">
        <is>
          <t>Address no longer works</t>
        </is>
      </c>
      <c r="I633" t="inlineStr"/>
      <c r="J633" t="inlineStr"/>
      <c r="K633" t="inlineStr">
        <is>
          <t>Finished, no page: every candidate address was refused by the reader or did not</t>
        </is>
      </c>
      <c r="L633" t="inlineStr">
        <is>
          <t>Page found, being read</t>
        </is>
      </c>
      <c r="M633" t="inlineStr">
        <is>
          <t>Page found, being read</t>
        </is>
      </c>
      <c r="N633" t="inlineStr"/>
      <c r="O633" t="n">
        <v>0</v>
      </c>
      <c r="P633" t="inlineStr"/>
      <c r="Q633" t="inlineStr">
        <is>
          <t>Filled</t>
        </is>
      </c>
      <c r="R633" t="n">
        <v>6.5</v>
      </c>
      <c r="S633" t="inlineStr">
        <is>
          <t>Central English policy</t>
        </is>
      </c>
      <c r="T633" t="inlineStr">
        <is>
          <t>Central rule applies (value agrees)</t>
        </is>
      </c>
      <c r="U633" t="inlineStr"/>
      <c r="V633" t="inlineStr">
        <is>
          <t>Page found, being read</t>
        </is>
      </c>
      <c r="W633" t="inlineStr"/>
      <c r="X633" t="inlineStr"/>
      <c r="Y633" t="n">
        <v>0</v>
      </c>
      <c r="Z633" t="inlineStr">
        <is>
          <t>No</t>
        </is>
      </c>
      <c r="AA633" t="inlineStr">
        <is>
          <t>Not stated on course page</t>
        </is>
      </c>
      <c r="AB633" t="inlineStr"/>
      <c r="AC633" t="inlineStr">
        <is>
          <t>Skipped: the page does not state it</t>
        </is>
      </c>
      <c r="AD633" t="n">
        <v>0</v>
      </c>
      <c r="AE633" t="inlineStr"/>
      <c r="AF633" t="inlineStr"/>
      <c r="AG633" t="inlineStr"/>
      <c r="AH633" t="inlineStr"/>
      <c r="AI633" t="inlineStr"/>
      <c r="AJ633" t="inlineStr"/>
      <c r="AK633" t="inlineStr"/>
      <c r="AL633" t="inlineStr"/>
      <c r="AM633" t="inlineStr"/>
    </row>
    <row r="634">
      <c r="A634" t="inlineStr">
        <is>
          <t>082898G</t>
        </is>
      </c>
      <c r="B634" t="inlineStr">
        <is>
          <t>Master of Urbanism</t>
        </is>
      </c>
      <c r="C634" t="inlineStr">
        <is>
          <t>Masters Degree (Coursework)</t>
        </is>
      </c>
      <c r="D634" t="inlineStr">
        <is>
          <t>Postgraduate coursework</t>
        </is>
      </c>
      <c r="E634" t="inlineStr">
        <is>
          <t>Advertised: official page in place</t>
        </is>
      </c>
      <c r="F634" t="inlineStr">
        <is>
          <t>https://www.sydney.edu.au/handbooks/architecture/postgraduate/urbanism/overview.html</t>
        </is>
      </c>
      <c r="G634" t="inlineStr">
        <is>
          <t>https://www.sydney.edu.au/handbooks/architecture/postgraduate/urbanism/overview.html</t>
        </is>
      </c>
      <c r="H634" t="inlineStr">
        <is>
          <t>Read</t>
        </is>
      </c>
      <c r="I634" t="inlineStr">
        <is>
          <t>Exact title match</t>
        </is>
      </c>
      <c r="J634" t="inlineStr"/>
      <c r="K634" t="inlineStr">
        <is>
          <t>Not sent to re-link</t>
        </is>
      </c>
      <c r="L634" t="inlineStr">
        <is>
          <t>Filled</t>
        </is>
      </c>
      <c r="M634" t="inlineStr">
        <is>
          <t>Not stated on course page</t>
        </is>
      </c>
      <c r="N634" t="inlineStr"/>
      <c r="O634" t="n">
        <v>0</v>
      </c>
      <c r="P634" t="inlineStr"/>
      <c r="Q634" t="inlineStr">
        <is>
          <t>Filled</t>
        </is>
      </c>
      <c r="R634" t="n">
        <v>6.5</v>
      </c>
      <c r="S634" t="inlineStr">
        <is>
          <t>Central English policy</t>
        </is>
      </c>
      <c r="T634" t="inlineStr">
        <is>
          <t>Central rule applies (value agrees)</t>
        </is>
      </c>
      <c r="U634" t="inlineStr"/>
      <c r="V634" t="inlineStr">
        <is>
          <t>Not stated on course page</t>
        </is>
      </c>
      <c r="W634" t="inlineStr"/>
      <c r="X634" t="inlineStr"/>
      <c r="Y634" t="n">
        <v>0</v>
      </c>
      <c r="Z634" t="inlineStr">
        <is>
          <t>No</t>
        </is>
      </c>
      <c r="AA634" t="inlineStr">
        <is>
          <t>Not stated on course page</t>
        </is>
      </c>
      <c r="AB634" t="inlineStr"/>
      <c r="AC634" t="inlineStr">
        <is>
          <t>Skipped: the page does not state it</t>
        </is>
      </c>
      <c r="AD634" t="n">
        <v>0</v>
      </c>
      <c r="AE634" t="inlineStr"/>
      <c r="AF634" t="inlineStr"/>
      <c r="AG634" t="inlineStr"/>
      <c r="AH634" t="inlineStr"/>
      <c r="AI634" t="inlineStr">
        <is>
          <t>Yes</t>
        </is>
      </c>
      <c r="AJ634" t="inlineStr"/>
      <c r="AK634" t="inlineStr"/>
      <c r="AL634" t="inlineStr"/>
      <c r="AM634" t="inlineStr"/>
    </row>
    <row r="635">
      <c r="A635" t="inlineStr">
        <is>
          <t>060617C</t>
        </is>
      </c>
      <c r="B635" t="inlineStr">
        <is>
          <t>Master of US Studies</t>
        </is>
      </c>
      <c r="C635" t="inlineStr">
        <is>
          <t>Masters Degree (Coursework)</t>
        </is>
      </c>
      <c r="D635" t="inlineStr">
        <is>
          <t>Postgraduate coursework</t>
        </is>
      </c>
      <c r="E635" t="inlineStr">
        <is>
          <t>Page found, needs a rendered read</t>
        </is>
      </c>
      <c r="F635" t="inlineStr"/>
      <c r="G635" t="inlineStr">
        <is>
          <t>https://www.sydney.edu.au/courses/courses/pc/master-of-us-studies.html</t>
        </is>
      </c>
      <c r="H635" t="inlineStr">
        <is>
          <t>Needs a rendered read</t>
        </is>
      </c>
      <c r="I635" t="inlineStr"/>
      <c r="J635" t="inlineStr"/>
      <c r="K635" t="inlineStr">
        <is>
          <t>Finished, no page: every candidate address was refused by the reader or did not</t>
        </is>
      </c>
      <c r="L635" t="inlineStr">
        <is>
          <t>Page found, being read</t>
        </is>
      </c>
      <c r="M635" t="inlineStr">
        <is>
          <t>Page found, being read</t>
        </is>
      </c>
      <c r="N635" t="inlineStr"/>
      <c r="O635" t="n">
        <v>0</v>
      </c>
      <c r="P635" t="inlineStr"/>
      <c r="Q635" t="inlineStr">
        <is>
          <t>Filled</t>
        </is>
      </c>
      <c r="R635" t="n">
        <v>6.5</v>
      </c>
      <c r="S635" t="inlineStr">
        <is>
          <t>Central English policy</t>
        </is>
      </c>
      <c r="T635" t="inlineStr">
        <is>
          <t>Central rule applies (value agrees)</t>
        </is>
      </c>
      <c r="U635" t="inlineStr"/>
      <c r="V635" t="inlineStr">
        <is>
          <t>Page found, being read</t>
        </is>
      </c>
      <c r="W635" t="inlineStr"/>
      <c r="X635" t="inlineStr"/>
      <c r="Y635" t="n">
        <v>0</v>
      </c>
      <c r="Z635" t="inlineStr">
        <is>
          <t>No</t>
        </is>
      </c>
      <c r="AA635" t="inlineStr">
        <is>
          <t>Not stated on course page</t>
        </is>
      </c>
      <c r="AB635" t="inlineStr"/>
      <c r="AC635" t="inlineStr">
        <is>
          <t>Skipped: the page does not state it</t>
        </is>
      </c>
      <c r="AD635" t="n">
        <v>0</v>
      </c>
      <c r="AE635" t="inlineStr">
        <is>
          <t>Yes</t>
        </is>
      </c>
      <c r="AF635" t="inlineStr"/>
      <c r="AG635" t="inlineStr"/>
      <c r="AH635" t="inlineStr"/>
      <c r="AI635" t="inlineStr"/>
      <c r="AJ635" t="inlineStr"/>
      <c r="AK635" t="inlineStr"/>
      <c r="AL635" t="inlineStr"/>
      <c r="AM635" t="inlineStr"/>
    </row>
    <row r="636">
      <c r="A636" t="inlineStr">
        <is>
          <t>082910E</t>
        </is>
      </c>
      <c r="B636" t="inlineStr">
        <is>
          <t>Master of US Studies</t>
        </is>
      </c>
      <c r="C636" t="inlineStr">
        <is>
          <t>Masters Degree (Coursework)</t>
        </is>
      </c>
      <c r="D636" t="inlineStr">
        <is>
          <t>Postgraduate coursework</t>
        </is>
      </c>
      <c r="E636" t="inlineStr">
        <is>
          <t>Page found, needs a rendered read</t>
        </is>
      </c>
      <c r="F636" t="inlineStr"/>
      <c r="G636" t="inlineStr">
        <is>
          <t>https://www.sydney.edu.au/courses/courses/pc/master-of-us-studies.html</t>
        </is>
      </c>
      <c r="H636" t="inlineStr">
        <is>
          <t>Needs a rendered read</t>
        </is>
      </c>
      <c r="I636" t="inlineStr"/>
      <c r="J636" t="inlineStr"/>
      <c r="K636" t="inlineStr">
        <is>
          <t>Finished, no page: every candidate address was refused by the reader or did not</t>
        </is>
      </c>
      <c r="L636" t="inlineStr">
        <is>
          <t>Page found, being read</t>
        </is>
      </c>
      <c r="M636" t="inlineStr">
        <is>
          <t>Page found, being read</t>
        </is>
      </c>
      <c r="N636" t="inlineStr"/>
      <c r="O636" t="n">
        <v>0</v>
      </c>
      <c r="P636" t="inlineStr"/>
      <c r="Q636" t="inlineStr">
        <is>
          <t>Filled</t>
        </is>
      </c>
      <c r="R636" t="n">
        <v>6.5</v>
      </c>
      <c r="S636" t="inlineStr">
        <is>
          <t>Central English policy</t>
        </is>
      </c>
      <c r="T636" t="inlineStr">
        <is>
          <t>Central rule applies (value agrees)</t>
        </is>
      </c>
      <c r="U636" t="inlineStr"/>
      <c r="V636" t="inlineStr">
        <is>
          <t>Page found, being read</t>
        </is>
      </c>
      <c r="W636" t="inlineStr"/>
      <c r="X636" t="inlineStr"/>
      <c r="Y636" t="n">
        <v>0</v>
      </c>
      <c r="Z636" t="inlineStr">
        <is>
          <t>No</t>
        </is>
      </c>
      <c r="AA636" t="inlineStr">
        <is>
          <t>Not stated on course page</t>
        </is>
      </c>
      <c r="AB636" t="inlineStr"/>
      <c r="AC636" t="inlineStr">
        <is>
          <t>Skipped: no allowed source had a value</t>
        </is>
      </c>
      <c r="AD636" t="n">
        <v>1</v>
      </c>
      <c r="AE636" t="inlineStr">
        <is>
          <t>Yes</t>
        </is>
      </c>
      <c r="AF636" t="inlineStr"/>
      <c r="AG636" t="inlineStr"/>
      <c r="AH636" t="inlineStr"/>
      <c r="AI636" t="inlineStr"/>
      <c r="AJ636" t="inlineStr"/>
      <c r="AK636" t="inlineStr"/>
      <c r="AL636" t="inlineStr"/>
      <c r="AM636" t="inlineStr"/>
    </row>
    <row r="637">
      <c r="A637" t="inlineStr">
        <is>
          <t>008426J</t>
        </is>
      </c>
      <c r="B637" t="inlineStr">
        <is>
          <t>Master of Veterinary Clinical Studies</t>
        </is>
      </c>
      <c r="C637" t="inlineStr">
        <is>
          <t>Masters Degree (Research)</t>
        </is>
      </c>
      <c r="D637" t="inlineStr">
        <is>
          <t>Research degree</t>
        </is>
      </c>
      <c r="E637" t="inlineStr">
        <is>
          <t>Advertised: official page in place</t>
        </is>
      </c>
      <c r="F637" t="inlineStr">
        <is>
          <t>https://www.sydney.edu.au/courses/courses/pr/master-of-veterinary-clinical-studies.html</t>
        </is>
      </c>
      <c r="G637" t="inlineStr">
        <is>
          <t>https://www.sydney.edu.au/courses/courses/pr/master-of-veterinary-clinical-studies.html</t>
        </is>
      </c>
      <c r="H637" t="inlineStr">
        <is>
          <t>Read</t>
        </is>
      </c>
      <c r="I637" t="inlineStr">
        <is>
          <t>Exact title match</t>
        </is>
      </c>
      <c r="J637" t="inlineStr"/>
      <c r="K637" t="inlineStr">
        <is>
          <t>Not sent to re-link</t>
        </is>
      </c>
      <c r="L637" t="inlineStr">
        <is>
          <t>Filled</t>
        </is>
      </c>
      <c r="M637" t="inlineStr">
        <is>
          <t>Not stated on course page</t>
        </is>
      </c>
      <c r="N637" t="inlineStr"/>
      <c r="O637" t="n">
        <v>0</v>
      </c>
      <c r="P637" t="inlineStr"/>
      <c r="Q637" t="inlineStr">
        <is>
          <t>Filled</t>
        </is>
      </c>
      <c r="R637" t="n">
        <v>6.5</v>
      </c>
      <c r="S637" t="inlineStr">
        <is>
          <t>Central English policy</t>
        </is>
      </c>
      <c r="T637" t="inlineStr">
        <is>
          <t>Central rule applies (value agrees)</t>
        </is>
      </c>
      <c r="U637" t="inlineStr"/>
      <c r="V637" t="inlineStr">
        <is>
          <t>Filled</t>
        </is>
      </c>
      <c r="W637" t="inlineStr">
        <is>
          <t>February</t>
        </is>
      </c>
      <c r="X637" t="inlineStr">
        <is>
          <t>Page reader</t>
        </is>
      </c>
      <c r="Y637" t="n">
        <v>0</v>
      </c>
      <c r="Z637" t="inlineStr">
        <is>
          <t>No</t>
        </is>
      </c>
      <c r="AA637" t="inlineStr">
        <is>
          <t>Filled</t>
        </is>
      </c>
      <c r="AB637" t="inlineStr">
        <is>
          <t>on campus</t>
        </is>
      </c>
      <c r="AC637" t="inlineStr"/>
      <c r="AD637" t="n">
        <v>0</v>
      </c>
      <c r="AE637" t="inlineStr"/>
      <c r="AF637" t="inlineStr"/>
      <c r="AG637" t="inlineStr"/>
      <c r="AH637" t="inlineStr"/>
      <c r="AI637" t="inlineStr"/>
      <c r="AJ637" t="inlineStr"/>
      <c r="AK637" t="inlineStr"/>
      <c r="AL637" t="inlineStr"/>
      <c r="AM637" t="inlineStr"/>
    </row>
    <row r="638">
      <c r="A638" t="inlineStr">
        <is>
          <t>058374B</t>
        </is>
      </c>
      <c r="B638" t="inlineStr">
        <is>
          <t>Master of Veterinary Studies</t>
        </is>
      </c>
      <c r="C638" t="inlineStr">
        <is>
          <t>Masters Degree (Coursework)</t>
        </is>
      </c>
      <c r="D638" t="inlineStr">
        <is>
          <t>Postgraduate coursework</t>
        </is>
      </c>
      <c r="E638" t="inlineStr">
        <is>
          <t>Advertised: official page in place</t>
        </is>
      </c>
      <c r="F638" t="inlineStr">
        <is>
          <t>https://www.sydney.edu.au/courses/courses/pc/master-of-veterinary-studies-clinical-residency-program.html</t>
        </is>
      </c>
      <c r="G638" t="inlineStr">
        <is>
          <t>https://www.sydney.edu.au/courses/courses/pc/master-of-veterinary-studies-clinical-residency-program.html</t>
        </is>
      </c>
      <c r="H638" t="inlineStr">
        <is>
          <t>Read</t>
        </is>
      </c>
      <c r="I638" t="inlineStr">
        <is>
          <t>Exact title match</t>
        </is>
      </c>
      <c r="J638" t="inlineStr"/>
      <c r="K638" t="inlineStr">
        <is>
          <t>Not sent to re-link</t>
        </is>
      </c>
      <c r="L638" t="inlineStr">
        <is>
          <t>Filled</t>
        </is>
      </c>
      <c r="M638" t="inlineStr">
        <is>
          <t>Not stated on course page</t>
        </is>
      </c>
      <c r="N638" t="inlineStr"/>
      <c r="O638" t="n">
        <v>0</v>
      </c>
      <c r="P638" t="inlineStr"/>
      <c r="Q638" t="inlineStr">
        <is>
          <t>Filled</t>
        </is>
      </c>
      <c r="R638" t="n">
        <v>6.5</v>
      </c>
      <c r="S638" t="inlineStr">
        <is>
          <t>Central English policy</t>
        </is>
      </c>
      <c r="T638" t="inlineStr">
        <is>
          <t>Central rule applies (value agrees)</t>
        </is>
      </c>
      <c r="U638" t="inlineStr"/>
      <c r="V638" t="inlineStr">
        <is>
          <t>Not stated on course page</t>
        </is>
      </c>
      <c r="W638" t="inlineStr"/>
      <c r="X638" t="inlineStr"/>
      <c r="Y638" t="n">
        <v>0</v>
      </c>
      <c r="Z638" t="inlineStr">
        <is>
          <t>No</t>
        </is>
      </c>
      <c r="AA638" t="inlineStr">
        <is>
          <t>Filled</t>
        </is>
      </c>
      <c r="AB638" t="inlineStr">
        <is>
          <t>on campus</t>
        </is>
      </c>
      <c r="AC638" t="inlineStr"/>
      <c r="AD638" t="n">
        <v>0</v>
      </c>
      <c r="AE638" t="inlineStr"/>
      <c r="AF638" t="inlineStr"/>
      <c r="AG638" t="inlineStr"/>
      <c r="AH638" t="inlineStr"/>
      <c r="AI638" t="inlineStr">
        <is>
          <t>Yes</t>
        </is>
      </c>
      <c r="AJ638" t="inlineStr"/>
      <c r="AK638" t="inlineStr"/>
      <c r="AL638" t="inlineStr"/>
      <c r="AM638" t="inlineStr"/>
    </row>
    <row r="639">
      <c r="A639" t="inlineStr">
        <is>
          <t>084696A</t>
        </is>
      </c>
      <c r="B639" t="inlineStr">
        <is>
          <t>Master of Veterinary Studies</t>
        </is>
      </c>
      <c r="C639" t="inlineStr">
        <is>
          <t>Masters Degree (Coursework)</t>
        </is>
      </c>
      <c r="D639" t="inlineStr">
        <is>
          <t>Postgraduate coursework</t>
        </is>
      </c>
      <c r="E639" t="inlineStr">
        <is>
          <t>Advertised: official page in place</t>
        </is>
      </c>
      <c r="F639" t="inlineStr">
        <is>
          <t>https://www.sydney.edu.au/courses/courses/pc/master-of-veterinary-studies-clinical-residency-program.html</t>
        </is>
      </c>
      <c r="G639" t="inlineStr">
        <is>
          <t>https://www.sydney.edu.au/courses/courses/pc/master-of-veterinary-studies-clinical-residency-program.html</t>
        </is>
      </c>
      <c r="H639" t="inlineStr">
        <is>
          <t>Read</t>
        </is>
      </c>
      <c r="I639" t="inlineStr">
        <is>
          <t>Exact title match</t>
        </is>
      </c>
      <c r="J639" t="inlineStr"/>
      <c r="K639" t="inlineStr">
        <is>
          <t>Not sent to re-link</t>
        </is>
      </c>
      <c r="L639" t="inlineStr">
        <is>
          <t>Filled</t>
        </is>
      </c>
      <c r="M639" t="inlineStr">
        <is>
          <t>Not stated on course page</t>
        </is>
      </c>
      <c r="N639" t="inlineStr"/>
      <c r="O639" t="n">
        <v>0</v>
      </c>
      <c r="P639" t="inlineStr"/>
      <c r="Q639" t="inlineStr">
        <is>
          <t>Filled</t>
        </is>
      </c>
      <c r="R639" t="n">
        <v>6.5</v>
      </c>
      <c r="S639" t="inlineStr">
        <is>
          <t>Central English policy</t>
        </is>
      </c>
      <c r="T639" t="inlineStr">
        <is>
          <t>Central rule applies (value agrees)</t>
        </is>
      </c>
      <c r="U639" t="inlineStr"/>
      <c r="V639" t="inlineStr">
        <is>
          <t>Not stated on course page</t>
        </is>
      </c>
      <c r="W639" t="inlineStr"/>
      <c r="X639" t="inlineStr"/>
      <c r="Y639" t="n">
        <v>0</v>
      </c>
      <c r="Z639" t="inlineStr">
        <is>
          <t>No</t>
        </is>
      </c>
      <c r="AA639" t="inlineStr">
        <is>
          <t>Filled</t>
        </is>
      </c>
      <c r="AB639" t="inlineStr">
        <is>
          <t>on campus</t>
        </is>
      </c>
      <c r="AC639" t="inlineStr"/>
      <c r="AD639" t="n">
        <v>0</v>
      </c>
      <c r="AE639" t="inlineStr"/>
      <c r="AF639" t="inlineStr"/>
      <c r="AG639" t="inlineStr"/>
      <c r="AH639" t="inlineStr"/>
      <c r="AI639" t="inlineStr">
        <is>
          <t>Yes</t>
        </is>
      </c>
      <c r="AJ639" t="inlineStr"/>
      <c r="AK639" t="inlineStr"/>
      <c r="AL639" t="inlineStr"/>
      <c r="AM639" t="inlineStr"/>
    </row>
    <row r="640">
      <c r="A640" t="inlineStr">
        <is>
          <t>052874G</t>
        </is>
      </c>
      <c r="B640" t="inlineStr">
        <is>
          <t>Postgraduate Coursework Exchange Program</t>
        </is>
      </c>
      <c r="C640" t="inlineStr">
        <is>
          <t>Non AQF Award</t>
        </is>
      </c>
      <c r="D640" t="inlineStr">
        <is>
          <t>Non-award</t>
        </is>
      </c>
      <c r="E640" t="inlineStr">
        <is>
          <t>Page address no longer works</t>
        </is>
      </c>
      <c r="F640" t="inlineStr"/>
      <c r="G640" t="inlineStr">
        <is>
          <t>https://www.sydney.edu.au/courses/courses/pc/postgraduate-coursework-exchange-program.html</t>
        </is>
      </c>
      <c r="H640" t="inlineStr">
        <is>
          <t>Address no longer works</t>
        </is>
      </c>
      <c r="I640" t="inlineStr"/>
      <c r="J640" t="inlineStr"/>
      <c r="K640" t="inlineStr">
        <is>
          <t>Finished, no page: every candidate address was refused by the reader or did not</t>
        </is>
      </c>
      <c r="L640" t="inlineStr">
        <is>
          <t>Page found, being read</t>
        </is>
      </c>
      <c r="M640" t="inlineStr">
        <is>
          <t>Page found, being read</t>
        </is>
      </c>
      <c r="N640" t="inlineStr"/>
      <c r="O640" t="n">
        <v>0</v>
      </c>
      <c r="P640" t="inlineStr"/>
      <c r="Q640" t="inlineStr">
        <is>
          <t>Page found, being read</t>
        </is>
      </c>
      <c r="S640" t="inlineStr"/>
      <c r="T640" t="inlineStr">
        <is>
          <t>Held: level not covered by the policy default</t>
        </is>
      </c>
      <c r="U640" t="inlineStr"/>
      <c r="V640" t="inlineStr">
        <is>
          <t>Page found, being read</t>
        </is>
      </c>
      <c r="W640" t="inlineStr"/>
      <c r="X640" t="inlineStr"/>
      <c r="Y640" t="n">
        <v>0</v>
      </c>
      <c r="Z640" t="inlineStr">
        <is>
          <t>No</t>
        </is>
      </c>
      <c r="AA640" t="inlineStr">
        <is>
          <t>Not stated on course page</t>
        </is>
      </c>
      <c r="AB640" t="inlineStr"/>
      <c r="AC640" t="inlineStr">
        <is>
          <t>Skipped: the page does not state it</t>
        </is>
      </c>
      <c r="AD640" t="n">
        <v>0</v>
      </c>
      <c r="AE640" t="inlineStr"/>
      <c r="AF640" t="inlineStr"/>
      <c r="AG640" t="inlineStr"/>
      <c r="AH640" t="inlineStr"/>
      <c r="AI640" t="inlineStr"/>
      <c r="AJ640" t="inlineStr">
        <is>
          <t>Yes</t>
        </is>
      </c>
      <c r="AK640" t="inlineStr"/>
      <c r="AL640" t="inlineStr"/>
      <c r="AM640" t="inlineStr"/>
    </row>
    <row r="641">
      <c r="A641" t="inlineStr">
        <is>
          <t>053404G</t>
        </is>
      </c>
      <c r="B641" t="inlineStr">
        <is>
          <t>Postgraduate Coursework Exchange Program (2 Semesters)</t>
        </is>
      </c>
      <c r="C641" t="inlineStr">
        <is>
          <t>Non AQF Award</t>
        </is>
      </c>
      <c r="D641" t="inlineStr">
        <is>
          <t>Non-award</t>
        </is>
      </c>
      <c r="E641" t="inlineStr">
        <is>
          <t>Page address no longer works</t>
        </is>
      </c>
      <c r="F641" t="inlineStr"/>
      <c r="G641" t="inlineStr">
        <is>
          <t>https://www.sydney.edu.au/courses/courses/pc/postgraduate-coursework-exchange-program-2-semesters.html</t>
        </is>
      </c>
      <c r="H641" t="inlineStr">
        <is>
          <t>Address no longer works</t>
        </is>
      </c>
      <c r="I641" t="inlineStr"/>
      <c r="J641" t="inlineStr"/>
      <c r="K641" t="inlineStr">
        <is>
          <t>Finished, no page: every candidate address was refused by the reader or did not</t>
        </is>
      </c>
      <c r="L641" t="inlineStr">
        <is>
          <t>Page found, being read</t>
        </is>
      </c>
      <c r="M641" t="inlineStr">
        <is>
          <t>Page found, being read</t>
        </is>
      </c>
      <c r="N641" t="inlineStr"/>
      <c r="O641" t="n">
        <v>0</v>
      </c>
      <c r="P641" t="inlineStr"/>
      <c r="Q641" t="inlineStr">
        <is>
          <t>Page found, being read</t>
        </is>
      </c>
      <c r="S641" t="inlineStr"/>
      <c r="T641" t="inlineStr">
        <is>
          <t>Held: level not covered by the policy default</t>
        </is>
      </c>
      <c r="U641" t="inlineStr"/>
      <c r="V641" t="inlineStr">
        <is>
          <t>Page found, being read</t>
        </is>
      </c>
      <c r="W641" t="inlineStr"/>
      <c r="X641" t="inlineStr"/>
      <c r="Y641" t="n">
        <v>0</v>
      </c>
      <c r="Z641" t="inlineStr">
        <is>
          <t>No</t>
        </is>
      </c>
      <c r="AA641" t="inlineStr">
        <is>
          <t>Not stated on course page</t>
        </is>
      </c>
      <c r="AB641" t="inlineStr"/>
      <c r="AC641" t="inlineStr">
        <is>
          <t>Skipped: the page does not state it</t>
        </is>
      </c>
      <c r="AD641" t="n">
        <v>0</v>
      </c>
      <c r="AE641" t="inlineStr"/>
      <c r="AF641" t="inlineStr"/>
      <c r="AG641" t="inlineStr"/>
      <c r="AH641" t="inlineStr"/>
      <c r="AI641" t="inlineStr"/>
      <c r="AJ641" t="inlineStr">
        <is>
          <t>Yes</t>
        </is>
      </c>
      <c r="AK641" t="inlineStr"/>
      <c r="AL641" t="inlineStr"/>
      <c r="AM641" t="inlineStr"/>
    </row>
    <row r="642">
      <c r="A642" t="inlineStr">
        <is>
          <t>052753F</t>
        </is>
      </c>
      <c r="B642" t="inlineStr">
        <is>
          <t>Postgraduate Coursework Study Abroad Program</t>
        </is>
      </c>
      <c r="C642" t="inlineStr">
        <is>
          <t>Non AQF Award</t>
        </is>
      </c>
      <c r="D642" t="inlineStr">
        <is>
          <t>Non-award</t>
        </is>
      </c>
      <c r="E642" t="inlineStr">
        <is>
          <t>Page address no longer works</t>
        </is>
      </c>
      <c r="F642" t="inlineStr"/>
      <c r="G642" t="inlineStr">
        <is>
          <t>https://www.sydney.edu.au/courses/courses/pc/postgraduate-coursework-study-abroad-program.html</t>
        </is>
      </c>
      <c r="H642" t="inlineStr">
        <is>
          <t>Address no longer works</t>
        </is>
      </c>
      <c r="I642" t="inlineStr"/>
      <c r="J642" t="inlineStr"/>
      <c r="K642" t="inlineStr">
        <is>
          <t>Finished, no page: every candidate address was refused by the reader or did not</t>
        </is>
      </c>
      <c r="L642" t="inlineStr">
        <is>
          <t>Page found, being read</t>
        </is>
      </c>
      <c r="M642" t="inlineStr">
        <is>
          <t>Page found, being read</t>
        </is>
      </c>
      <c r="N642" t="inlineStr"/>
      <c r="O642" t="n">
        <v>0</v>
      </c>
      <c r="P642" t="inlineStr"/>
      <c r="Q642" t="inlineStr">
        <is>
          <t>Page found, being read</t>
        </is>
      </c>
      <c r="S642" t="inlineStr"/>
      <c r="T642" t="inlineStr">
        <is>
          <t>Held: level not covered by the policy default</t>
        </is>
      </c>
      <c r="U642" t="inlineStr"/>
      <c r="V642" t="inlineStr">
        <is>
          <t>Page found, being read</t>
        </is>
      </c>
      <c r="W642" t="inlineStr"/>
      <c r="X642" t="inlineStr"/>
      <c r="Y642" t="n">
        <v>0</v>
      </c>
      <c r="Z642" t="inlineStr">
        <is>
          <t>No</t>
        </is>
      </c>
      <c r="AA642" t="inlineStr">
        <is>
          <t>Not stated on course page</t>
        </is>
      </c>
      <c r="AB642" t="inlineStr"/>
      <c r="AC642" t="inlineStr">
        <is>
          <t>Skipped: the page does not state it</t>
        </is>
      </c>
      <c r="AD642" t="n">
        <v>0</v>
      </c>
      <c r="AE642" t="inlineStr"/>
      <c r="AF642" t="inlineStr"/>
      <c r="AG642" t="inlineStr"/>
      <c r="AH642" t="inlineStr"/>
      <c r="AI642" t="inlineStr"/>
      <c r="AJ642" t="inlineStr">
        <is>
          <t>Yes</t>
        </is>
      </c>
      <c r="AK642" t="inlineStr"/>
      <c r="AL642" t="inlineStr"/>
      <c r="AM642" t="inlineStr"/>
    </row>
    <row r="643">
      <c r="A643" t="inlineStr">
        <is>
          <t>053402K</t>
        </is>
      </c>
      <c r="B643" t="inlineStr">
        <is>
          <t>Postgraduate Coursework Study Abroad Program (2 Semesters)</t>
        </is>
      </c>
      <c r="C643" t="inlineStr">
        <is>
          <t>Non AQF Award</t>
        </is>
      </c>
      <c r="D643" t="inlineStr">
        <is>
          <t>Non-award</t>
        </is>
      </c>
      <c r="E643" t="inlineStr">
        <is>
          <t>Page address no longer works</t>
        </is>
      </c>
      <c r="F643" t="inlineStr"/>
      <c r="G643" t="inlineStr">
        <is>
          <t>https://www.sydney.edu.au/courses/courses/pc/postgraduate-coursework-study-abroad-program-2-semesters.html</t>
        </is>
      </c>
      <c r="H643" t="inlineStr">
        <is>
          <t>Address no longer works</t>
        </is>
      </c>
      <c r="I643" t="inlineStr"/>
      <c r="J643" t="inlineStr"/>
      <c r="K643" t="inlineStr">
        <is>
          <t>Finished, no page: every candidate address was refused by the reader or did not</t>
        </is>
      </c>
      <c r="L643" t="inlineStr">
        <is>
          <t>Page found, being read</t>
        </is>
      </c>
      <c r="M643" t="inlineStr">
        <is>
          <t>Page found, being read</t>
        </is>
      </c>
      <c r="N643" t="inlineStr"/>
      <c r="O643" t="n">
        <v>0</v>
      </c>
      <c r="P643" t="inlineStr"/>
      <c r="Q643" t="inlineStr">
        <is>
          <t>Page found, being read</t>
        </is>
      </c>
      <c r="S643" t="inlineStr"/>
      <c r="T643" t="inlineStr">
        <is>
          <t>Held: level not covered by the policy default</t>
        </is>
      </c>
      <c r="U643" t="inlineStr"/>
      <c r="V643" t="inlineStr">
        <is>
          <t>Page found, being read</t>
        </is>
      </c>
      <c r="W643" t="inlineStr"/>
      <c r="X643" t="inlineStr"/>
      <c r="Y643" t="n">
        <v>0</v>
      </c>
      <c r="Z643" t="inlineStr">
        <is>
          <t>No</t>
        </is>
      </c>
      <c r="AA643" t="inlineStr">
        <is>
          <t>Not stated on course page</t>
        </is>
      </c>
      <c r="AB643" t="inlineStr"/>
      <c r="AC643" t="inlineStr">
        <is>
          <t>Skipped: the page does not state it</t>
        </is>
      </c>
      <c r="AD643" t="n">
        <v>0</v>
      </c>
      <c r="AE643" t="inlineStr"/>
      <c r="AF643" t="inlineStr"/>
      <c r="AG643" t="inlineStr"/>
      <c r="AH643" t="inlineStr"/>
      <c r="AI643" t="inlineStr"/>
      <c r="AJ643" t="inlineStr">
        <is>
          <t>Yes</t>
        </is>
      </c>
      <c r="AK643" t="inlineStr"/>
      <c r="AL643" t="inlineStr"/>
      <c r="AM643" t="inlineStr"/>
    </row>
    <row r="644">
      <c r="A644" t="inlineStr">
        <is>
          <t>052875G</t>
        </is>
      </c>
      <c r="B644" t="inlineStr">
        <is>
          <t>Postgraduate Research Exchange Program</t>
        </is>
      </c>
      <c r="C644" t="inlineStr">
        <is>
          <t>Non AQF Award</t>
        </is>
      </c>
      <c r="D644" t="inlineStr">
        <is>
          <t>Non-award</t>
        </is>
      </c>
      <c r="E644" t="inlineStr">
        <is>
          <t>Page address no longer works</t>
        </is>
      </c>
      <c r="F644" t="inlineStr"/>
      <c r="G644" t="inlineStr">
        <is>
          <t>https://www.sydney.edu.au/courses/courses/pc/postgraduate-research-exchange-program.html</t>
        </is>
      </c>
      <c r="H644" t="inlineStr">
        <is>
          <t>Address no longer works</t>
        </is>
      </c>
      <c r="I644" t="inlineStr"/>
      <c r="J644" t="inlineStr"/>
      <c r="K644" t="inlineStr">
        <is>
          <t>Finished, no page: every candidate address was refused by the reader or did not</t>
        </is>
      </c>
      <c r="L644" t="inlineStr">
        <is>
          <t>Page found, being read</t>
        </is>
      </c>
      <c r="M644" t="inlineStr">
        <is>
          <t>Page found, being read</t>
        </is>
      </c>
      <c r="N644" t="inlineStr"/>
      <c r="O644" t="n">
        <v>0</v>
      </c>
      <c r="P644" t="inlineStr"/>
      <c r="Q644" t="inlineStr">
        <is>
          <t>Page found, being read</t>
        </is>
      </c>
      <c r="S644" t="inlineStr"/>
      <c r="T644" t="inlineStr">
        <is>
          <t>Held: level not covered by the policy default</t>
        </is>
      </c>
      <c r="U644" t="inlineStr"/>
      <c r="V644" t="inlineStr">
        <is>
          <t>Page found, being read</t>
        </is>
      </c>
      <c r="W644" t="inlineStr"/>
      <c r="X644" t="inlineStr"/>
      <c r="Y644" t="n">
        <v>0</v>
      </c>
      <c r="Z644" t="inlineStr">
        <is>
          <t>No</t>
        </is>
      </c>
      <c r="AA644" t="inlineStr">
        <is>
          <t>Not stated on course page</t>
        </is>
      </c>
      <c r="AB644" t="inlineStr"/>
      <c r="AC644" t="inlineStr">
        <is>
          <t>Skipped: the page does not state it</t>
        </is>
      </c>
      <c r="AD644" t="n">
        <v>0</v>
      </c>
      <c r="AE644" t="inlineStr"/>
      <c r="AF644" t="inlineStr"/>
      <c r="AG644" t="inlineStr"/>
      <c r="AH644" t="inlineStr"/>
      <c r="AI644" t="inlineStr"/>
      <c r="AJ644" t="inlineStr">
        <is>
          <t>Yes</t>
        </is>
      </c>
      <c r="AK644" t="inlineStr"/>
      <c r="AL644" t="inlineStr"/>
      <c r="AM644" t="inlineStr"/>
    </row>
    <row r="645">
      <c r="A645" t="inlineStr">
        <is>
          <t>053405G</t>
        </is>
      </c>
      <c r="B645" t="inlineStr">
        <is>
          <t>Postgraduate Research Exchange Program (2 Semesters)</t>
        </is>
      </c>
      <c r="C645" t="inlineStr">
        <is>
          <t>Non AQF Award</t>
        </is>
      </c>
      <c r="D645" t="inlineStr">
        <is>
          <t>Non-award</t>
        </is>
      </c>
      <c r="E645" t="inlineStr">
        <is>
          <t>Page address no longer works</t>
        </is>
      </c>
      <c r="F645" t="inlineStr"/>
      <c r="G645" t="inlineStr">
        <is>
          <t>https://www.sydney.edu.au/courses/courses/pc/postgraduate-research-exchange-program-2-semesters.html</t>
        </is>
      </c>
      <c r="H645" t="inlineStr">
        <is>
          <t>Address no longer works</t>
        </is>
      </c>
      <c r="I645" t="inlineStr"/>
      <c r="J645" t="inlineStr"/>
      <c r="K645" t="inlineStr">
        <is>
          <t>Finished, no page: every candidate address was refused by the reader or did not</t>
        </is>
      </c>
      <c r="L645" t="inlineStr">
        <is>
          <t>Page found, being read</t>
        </is>
      </c>
      <c r="M645" t="inlineStr">
        <is>
          <t>Page found, being read</t>
        </is>
      </c>
      <c r="N645" t="inlineStr"/>
      <c r="O645" t="n">
        <v>0</v>
      </c>
      <c r="P645" t="inlineStr"/>
      <c r="Q645" t="inlineStr">
        <is>
          <t>Page found, being read</t>
        </is>
      </c>
      <c r="S645" t="inlineStr"/>
      <c r="T645" t="inlineStr">
        <is>
          <t>Held: level not covered by the policy default</t>
        </is>
      </c>
      <c r="U645" t="inlineStr"/>
      <c r="V645" t="inlineStr">
        <is>
          <t>Page found, being read</t>
        </is>
      </c>
      <c r="W645" t="inlineStr"/>
      <c r="X645" t="inlineStr"/>
      <c r="Y645" t="n">
        <v>0</v>
      </c>
      <c r="Z645" t="inlineStr">
        <is>
          <t>No</t>
        </is>
      </c>
      <c r="AA645" t="inlineStr">
        <is>
          <t>Not stated on course page</t>
        </is>
      </c>
      <c r="AB645" t="inlineStr"/>
      <c r="AC645" t="inlineStr">
        <is>
          <t>Skipped: the page does not state it</t>
        </is>
      </c>
      <c r="AD645" t="n">
        <v>0</v>
      </c>
      <c r="AE645" t="inlineStr"/>
      <c r="AF645" t="inlineStr"/>
      <c r="AG645" t="inlineStr"/>
      <c r="AH645" t="inlineStr"/>
      <c r="AI645" t="inlineStr"/>
      <c r="AJ645" t="inlineStr">
        <is>
          <t>Yes</t>
        </is>
      </c>
      <c r="AK645" t="inlineStr"/>
      <c r="AL645" t="inlineStr"/>
      <c r="AM645" t="inlineStr"/>
    </row>
    <row r="646">
      <c r="A646" t="inlineStr">
        <is>
          <t>052754E</t>
        </is>
      </c>
      <c r="B646" t="inlineStr">
        <is>
          <t>Postgraduate Research Study Abroad Program</t>
        </is>
      </c>
      <c r="C646" t="inlineStr">
        <is>
          <t>Non AQF Award</t>
        </is>
      </c>
      <c r="D646" t="inlineStr">
        <is>
          <t>Non-award</t>
        </is>
      </c>
      <c r="E646" t="inlineStr">
        <is>
          <t>Page address no longer works</t>
        </is>
      </c>
      <c r="F646" t="inlineStr"/>
      <c r="G646" t="inlineStr">
        <is>
          <t>https://www.sydney.edu.au/courses/courses/pc/postgraduate-research-study-abroad-program.html</t>
        </is>
      </c>
      <c r="H646" t="inlineStr">
        <is>
          <t>Address no longer works</t>
        </is>
      </c>
      <c r="I646" t="inlineStr"/>
      <c r="J646" t="inlineStr"/>
      <c r="K646" t="inlineStr">
        <is>
          <t>Finished, no page: every candidate address was refused by the reader or did not</t>
        </is>
      </c>
      <c r="L646" t="inlineStr">
        <is>
          <t>Page found, being read</t>
        </is>
      </c>
      <c r="M646" t="inlineStr">
        <is>
          <t>Page found, being read</t>
        </is>
      </c>
      <c r="N646" t="inlineStr"/>
      <c r="O646" t="n">
        <v>0</v>
      </c>
      <c r="P646" t="inlineStr"/>
      <c r="Q646" t="inlineStr">
        <is>
          <t>Page found, being read</t>
        </is>
      </c>
      <c r="S646" t="inlineStr"/>
      <c r="T646" t="inlineStr">
        <is>
          <t>Held: level not covered by the policy default</t>
        </is>
      </c>
      <c r="U646" t="inlineStr"/>
      <c r="V646" t="inlineStr">
        <is>
          <t>Page found, being read</t>
        </is>
      </c>
      <c r="W646" t="inlineStr"/>
      <c r="X646" t="inlineStr"/>
      <c r="Y646" t="n">
        <v>0</v>
      </c>
      <c r="Z646" t="inlineStr">
        <is>
          <t>No</t>
        </is>
      </c>
      <c r="AA646" t="inlineStr">
        <is>
          <t>Not stated on course page</t>
        </is>
      </c>
      <c r="AB646" t="inlineStr"/>
      <c r="AC646" t="inlineStr">
        <is>
          <t>Skipped: the page does not state it</t>
        </is>
      </c>
      <c r="AD646" t="n">
        <v>0</v>
      </c>
      <c r="AE646" t="inlineStr"/>
      <c r="AF646" t="inlineStr"/>
      <c r="AG646" t="inlineStr"/>
      <c r="AH646" t="inlineStr"/>
      <c r="AI646" t="inlineStr"/>
      <c r="AJ646" t="inlineStr">
        <is>
          <t>Yes</t>
        </is>
      </c>
      <c r="AK646" t="inlineStr"/>
      <c r="AL646" t="inlineStr"/>
      <c r="AM646" t="inlineStr"/>
    </row>
    <row r="647">
      <c r="A647" t="inlineStr">
        <is>
          <t>053403J</t>
        </is>
      </c>
      <c r="B647" t="inlineStr">
        <is>
          <t>Postgraduate Research Study Abroad Program (2 Semesters)</t>
        </is>
      </c>
      <c r="C647" t="inlineStr">
        <is>
          <t>Non AQF Award</t>
        </is>
      </c>
      <c r="D647" t="inlineStr">
        <is>
          <t>Non-award</t>
        </is>
      </c>
      <c r="E647" t="inlineStr">
        <is>
          <t>Page address no longer works</t>
        </is>
      </c>
      <c r="F647" t="inlineStr"/>
      <c r="G647" t="inlineStr">
        <is>
          <t>https://www.sydney.edu.au/courses/courses/pc/postgraduate-research-study-abroad-program-2-semesters.html</t>
        </is>
      </c>
      <c r="H647" t="inlineStr">
        <is>
          <t>Address no longer works</t>
        </is>
      </c>
      <c r="I647" t="inlineStr"/>
      <c r="J647" t="inlineStr"/>
      <c r="K647" t="inlineStr">
        <is>
          <t>Finished, no page: every candidate address was refused by the reader or did not</t>
        </is>
      </c>
      <c r="L647" t="inlineStr">
        <is>
          <t>Page found, being read</t>
        </is>
      </c>
      <c r="M647" t="inlineStr">
        <is>
          <t>Page found, being read</t>
        </is>
      </c>
      <c r="N647" t="inlineStr"/>
      <c r="O647" t="n">
        <v>0</v>
      </c>
      <c r="P647" t="inlineStr"/>
      <c r="Q647" t="inlineStr">
        <is>
          <t>Page found, being read</t>
        </is>
      </c>
      <c r="S647" t="inlineStr"/>
      <c r="T647" t="inlineStr">
        <is>
          <t>Held: level not covered by the policy default</t>
        </is>
      </c>
      <c r="U647" t="inlineStr"/>
      <c r="V647" t="inlineStr">
        <is>
          <t>Page found, being read</t>
        </is>
      </c>
      <c r="W647" t="inlineStr"/>
      <c r="X647" t="inlineStr"/>
      <c r="Y647" t="n">
        <v>0</v>
      </c>
      <c r="Z647" t="inlineStr">
        <is>
          <t>No</t>
        </is>
      </c>
      <c r="AA647" t="inlineStr">
        <is>
          <t>Not stated on course page</t>
        </is>
      </c>
      <c r="AB647" t="inlineStr"/>
      <c r="AC647" t="inlineStr">
        <is>
          <t>Skipped: the page does not state it</t>
        </is>
      </c>
      <c r="AD647" t="n">
        <v>0</v>
      </c>
      <c r="AE647" t="inlineStr"/>
      <c r="AF647" t="inlineStr"/>
      <c r="AG647" t="inlineStr"/>
      <c r="AH647" t="inlineStr"/>
      <c r="AI647" t="inlineStr"/>
      <c r="AJ647" t="inlineStr">
        <is>
          <t>Yes</t>
        </is>
      </c>
      <c r="AK647" t="inlineStr"/>
      <c r="AL647" t="inlineStr"/>
      <c r="AM647" t="inlineStr"/>
    </row>
    <row r="648">
      <c r="A648" t="inlineStr">
        <is>
          <t>034616J</t>
        </is>
      </c>
      <c r="B648" t="inlineStr">
        <is>
          <t>Study Abroad (One Year)</t>
        </is>
      </c>
      <c r="C648" t="inlineStr">
        <is>
          <t>Non AQF Award</t>
        </is>
      </c>
      <c r="D648" t="inlineStr">
        <is>
          <t>Non-award</t>
        </is>
      </c>
      <c r="E648" t="inlineStr">
        <is>
          <t>Page address no longer works</t>
        </is>
      </c>
      <c r="F648" t="inlineStr"/>
      <c r="G648" t="inlineStr">
        <is>
          <t>https://www.sydney.edu.au/courses/courses/pc/study-abroad-one-year.html</t>
        </is>
      </c>
      <c r="H648" t="inlineStr">
        <is>
          <t>Address no longer works</t>
        </is>
      </c>
      <c r="I648" t="inlineStr"/>
      <c r="J648" t="inlineStr"/>
      <c r="K648" t="inlineStr">
        <is>
          <t>Finished, no page: every candidate address was refused by the reader or did not</t>
        </is>
      </c>
      <c r="L648" t="inlineStr">
        <is>
          <t>Page found, being read</t>
        </is>
      </c>
      <c r="M648" t="inlineStr">
        <is>
          <t>Page found, being read</t>
        </is>
      </c>
      <c r="N648" t="inlineStr"/>
      <c r="O648" t="n">
        <v>0</v>
      </c>
      <c r="P648" t="inlineStr"/>
      <c r="Q648" t="inlineStr">
        <is>
          <t>Page found, being read</t>
        </is>
      </c>
      <c r="S648" t="inlineStr"/>
      <c r="T648" t="inlineStr">
        <is>
          <t>Held: level not covered by the policy default</t>
        </is>
      </c>
      <c r="U648" t="inlineStr"/>
      <c r="V648" t="inlineStr">
        <is>
          <t>Page found, being read</t>
        </is>
      </c>
      <c r="W648" t="inlineStr"/>
      <c r="X648" t="inlineStr"/>
      <c r="Y648" t="n">
        <v>0</v>
      </c>
      <c r="Z648" t="inlineStr">
        <is>
          <t>No</t>
        </is>
      </c>
      <c r="AA648" t="inlineStr">
        <is>
          <t>Not stated on course page</t>
        </is>
      </c>
      <c r="AB648" t="inlineStr"/>
      <c r="AC648" t="inlineStr">
        <is>
          <t>Skipped: the page does not state it</t>
        </is>
      </c>
      <c r="AD648" t="n">
        <v>0</v>
      </c>
      <c r="AE648" t="inlineStr"/>
      <c r="AF648" t="inlineStr"/>
      <c r="AG648" t="inlineStr"/>
      <c r="AH648" t="inlineStr"/>
      <c r="AI648" t="inlineStr"/>
      <c r="AJ648" t="inlineStr">
        <is>
          <t>Yes</t>
        </is>
      </c>
      <c r="AK648" t="inlineStr"/>
      <c r="AL648" t="inlineStr"/>
      <c r="AM648" t="inlineStr"/>
    </row>
    <row r="649">
      <c r="A649" t="inlineStr">
        <is>
          <t>000708G</t>
        </is>
      </c>
      <c r="B649" t="inlineStr">
        <is>
          <t>Study Abroad Program (1 semester)</t>
        </is>
      </c>
      <c r="C649" t="inlineStr">
        <is>
          <t>Non AQF Award</t>
        </is>
      </c>
      <c r="D649" t="inlineStr">
        <is>
          <t>Non-award</t>
        </is>
      </c>
      <c r="E649" t="inlineStr">
        <is>
          <t>Page address no longer works</t>
        </is>
      </c>
      <c r="F649" t="inlineStr"/>
      <c r="G649" t="inlineStr">
        <is>
          <t>https://www.sydney.edu.au/courses/courses/pc/study-abroad-program-1-semester.html</t>
        </is>
      </c>
      <c r="H649" t="inlineStr">
        <is>
          <t>Address no longer works</t>
        </is>
      </c>
      <c r="I649" t="inlineStr"/>
      <c r="J649" t="inlineStr"/>
      <c r="K649" t="inlineStr">
        <is>
          <t>Finished, no page: every candidate address was refused by the reader or did not</t>
        </is>
      </c>
      <c r="L649" t="inlineStr">
        <is>
          <t>Page found, being read</t>
        </is>
      </c>
      <c r="M649" t="inlineStr">
        <is>
          <t>Page found, being read</t>
        </is>
      </c>
      <c r="N649" t="inlineStr"/>
      <c r="O649" t="n">
        <v>0</v>
      </c>
      <c r="P649" t="inlineStr"/>
      <c r="Q649" t="inlineStr">
        <is>
          <t>Page found, being read</t>
        </is>
      </c>
      <c r="S649" t="inlineStr"/>
      <c r="T649" t="inlineStr">
        <is>
          <t>Held: level not covered by the policy default</t>
        </is>
      </c>
      <c r="U649" t="inlineStr"/>
      <c r="V649" t="inlineStr">
        <is>
          <t>Page found, being read</t>
        </is>
      </c>
      <c r="W649" t="inlineStr"/>
      <c r="X649" t="inlineStr"/>
      <c r="Y649" t="n">
        <v>0</v>
      </c>
      <c r="Z649" t="inlineStr">
        <is>
          <t>No</t>
        </is>
      </c>
      <c r="AA649" t="inlineStr">
        <is>
          <t>Not stated on course page</t>
        </is>
      </c>
      <c r="AB649" t="inlineStr"/>
      <c r="AC649" t="inlineStr">
        <is>
          <t>Skipped: no allowed source had a value</t>
        </is>
      </c>
      <c r="AD649" t="n">
        <v>1</v>
      </c>
      <c r="AE649" t="inlineStr"/>
      <c r="AF649" t="inlineStr"/>
      <c r="AG649" t="inlineStr"/>
      <c r="AH649" t="inlineStr"/>
      <c r="AI649" t="inlineStr"/>
      <c r="AJ649" t="inlineStr">
        <is>
          <t>Yes</t>
        </is>
      </c>
      <c r="AK649" t="inlineStr"/>
      <c r="AL649" t="inlineStr"/>
      <c r="AM649" t="inlineStr"/>
    </row>
    <row r="650">
      <c r="A650" t="inlineStr">
        <is>
          <t>052873J</t>
        </is>
      </c>
      <c r="B650" t="inlineStr">
        <is>
          <t>Undergraduate Exchange Program</t>
        </is>
      </c>
      <c r="C650" t="inlineStr">
        <is>
          <t>Non AQF Award</t>
        </is>
      </c>
      <c r="D650" t="inlineStr">
        <is>
          <t>Non-award</t>
        </is>
      </c>
      <c r="E650" t="inlineStr">
        <is>
          <t>Page address no longer works</t>
        </is>
      </c>
      <c r="F650" t="inlineStr"/>
      <c r="G650" t="inlineStr">
        <is>
          <t>https://www.sydney.edu.au/courses/courses/pc/undergraduate-exchange-program.html</t>
        </is>
      </c>
      <c r="H650" t="inlineStr">
        <is>
          <t>Address no longer works</t>
        </is>
      </c>
      <c r="I650" t="inlineStr"/>
      <c r="J650" t="inlineStr"/>
      <c r="K650" t="inlineStr">
        <is>
          <t>Finished, no page: every candidate address was refused by the reader or did not</t>
        </is>
      </c>
      <c r="L650" t="inlineStr">
        <is>
          <t>Page found, being read</t>
        </is>
      </c>
      <c r="M650" t="inlineStr">
        <is>
          <t>Page found, being read</t>
        </is>
      </c>
      <c r="N650" t="inlineStr"/>
      <c r="O650" t="n">
        <v>0</v>
      </c>
      <c r="P650" t="inlineStr"/>
      <c r="Q650" t="inlineStr">
        <is>
          <t>Page found, being read</t>
        </is>
      </c>
      <c r="S650" t="inlineStr"/>
      <c r="T650" t="inlineStr">
        <is>
          <t>Held: level not covered by the policy default</t>
        </is>
      </c>
      <c r="U650" t="inlineStr"/>
      <c r="V650" t="inlineStr">
        <is>
          <t>Page found, being read</t>
        </is>
      </c>
      <c r="W650" t="inlineStr"/>
      <c r="X650" t="inlineStr"/>
      <c r="Y650" t="n">
        <v>0</v>
      </c>
      <c r="Z650" t="inlineStr">
        <is>
          <t>No</t>
        </is>
      </c>
      <c r="AA650" t="inlineStr">
        <is>
          <t>Not stated on course page</t>
        </is>
      </c>
      <c r="AB650" t="inlineStr"/>
      <c r="AC650" t="inlineStr">
        <is>
          <t>Skipped: the page does not state it</t>
        </is>
      </c>
      <c r="AD650" t="n">
        <v>0</v>
      </c>
      <c r="AE650" t="inlineStr"/>
      <c r="AF650" t="inlineStr"/>
      <c r="AG650" t="inlineStr"/>
      <c r="AH650" t="inlineStr"/>
      <c r="AI650" t="inlineStr"/>
      <c r="AJ650" t="inlineStr">
        <is>
          <t>Yes</t>
        </is>
      </c>
      <c r="AK650" t="inlineStr"/>
      <c r="AL650" t="inlineStr"/>
      <c r="AM650" t="inlineStr"/>
    </row>
    <row r="651">
      <c r="A651" t="inlineStr">
        <is>
          <t>052752G</t>
        </is>
      </c>
      <c r="B651" t="inlineStr">
        <is>
          <t>Undergraduate Study Abroad Program</t>
        </is>
      </c>
      <c r="C651" t="inlineStr">
        <is>
          <t>Non AQF Award</t>
        </is>
      </c>
      <c r="D651" t="inlineStr">
        <is>
          <t>Non-award</t>
        </is>
      </c>
      <c r="E651" t="inlineStr">
        <is>
          <t>Page address no longer works</t>
        </is>
      </c>
      <c r="F651" t="inlineStr"/>
      <c r="G651" t="inlineStr">
        <is>
          <t>https://www.sydney.edu.au/courses/courses/pc/undergraduate-study-abroad-program.html</t>
        </is>
      </c>
      <c r="H651" t="inlineStr">
        <is>
          <t>Address no longer works</t>
        </is>
      </c>
      <c r="I651" t="inlineStr"/>
      <c r="J651" t="inlineStr"/>
      <c r="K651" t="inlineStr">
        <is>
          <t>Finished, no page: every candidate address was refused by the reader or did not</t>
        </is>
      </c>
      <c r="L651" t="inlineStr">
        <is>
          <t>Page found, being read</t>
        </is>
      </c>
      <c r="M651" t="inlineStr">
        <is>
          <t>Page found, being read</t>
        </is>
      </c>
      <c r="N651" t="inlineStr"/>
      <c r="O651" t="n">
        <v>0</v>
      </c>
      <c r="P651" t="inlineStr"/>
      <c r="Q651" t="inlineStr">
        <is>
          <t>Page found, being read</t>
        </is>
      </c>
      <c r="S651" t="inlineStr"/>
      <c r="T651" t="inlineStr">
        <is>
          <t>Held: level not covered by the policy default</t>
        </is>
      </c>
      <c r="U651" t="inlineStr"/>
      <c r="V651" t="inlineStr">
        <is>
          <t>Page found, being read</t>
        </is>
      </c>
      <c r="W651" t="inlineStr"/>
      <c r="X651" t="inlineStr"/>
      <c r="Y651" t="n">
        <v>0</v>
      </c>
      <c r="Z651" t="inlineStr">
        <is>
          <t>No</t>
        </is>
      </c>
      <c r="AA651" t="inlineStr">
        <is>
          <t>Not stated on course page</t>
        </is>
      </c>
      <c r="AB651" t="inlineStr"/>
      <c r="AC651" t="inlineStr">
        <is>
          <t>Skipped: the page does not state it</t>
        </is>
      </c>
      <c r="AD651" t="n">
        <v>0</v>
      </c>
      <c r="AE651" t="inlineStr"/>
      <c r="AF651" t="inlineStr"/>
      <c r="AG651" t="inlineStr"/>
      <c r="AH651" t="inlineStr"/>
      <c r="AI651" t="inlineStr"/>
      <c r="AJ651" t="inlineStr">
        <is>
          <t>Yes</t>
        </is>
      </c>
      <c r="AK651" t="inlineStr"/>
      <c r="AL651" t="inlineStr"/>
      <c r="AM651" t="inlineStr"/>
    </row>
    <row r="652">
      <c r="A652" t="inlineStr">
        <is>
          <t>022310D</t>
        </is>
      </c>
      <c r="B652" t="inlineStr">
        <is>
          <t>University of Sydney Foundation Program - Standard Course</t>
        </is>
      </c>
      <c r="C652" t="inlineStr">
        <is>
          <t>Non AQF Award</t>
        </is>
      </c>
      <c r="D652" t="inlineStr">
        <is>
          <t>Non-award</t>
        </is>
      </c>
      <c r="E652" t="inlineStr">
        <is>
          <t>Page address no longer works</t>
        </is>
      </c>
      <c r="F652" t="inlineStr"/>
      <c r="G652" t="inlineStr">
        <is>
          <t>https://www.sydney.edu.au/courses/courses/pc/university-of-sydney-foundation-program-standard-course.html</t>
        </is>
      </c>
      <c r="H652" t="inlineStr">
        <is>
          <t>Address no longer works</t>
        </is>
      </c>
      <c r="I652" t="inlineStr"/>
      <c r="J652" t="inlineStr"/>
      <c r="K652" t="inlineStr">
        <is>
          <t>Re-link still trying</t>
        </is>
      </c>
      <c r="L652" t="inlineStr">
        <is>
          <t>Page found, being read</t>
        </is>
      </c>
      <c r="M652" t="inlineStr">
        <is>
          <t>Page found, being read</t>
        </is>
      </c>
      <c r="N652" t="inlineStr"/>
      <c r="O652" t="n">
        <v>0</v>
      </c>
      <c r="P652" t="inlineStr"/>
      <c r="Q652" t="inlineStr">
        <is>
          <t>Page found, being read</t>
        </is>
      </c>
      <c r="S652" t="inlineStr"/>
      <c r="T652" t="inlineStr">
        <is>
          <t>Held: level not covered by the policy default</t>
        </is>
      </c>
      <c r="U652" t="inlineStr"/>
      <c r="V652" t="inlineStr">
        <is>
          <t>Page found, being read</t>
        </is>
      </c>
      <c r="W652" t="inlineStr"/>
      <c r="X652" t="inlineStr"/>
      <c r="Y652" t="n">
        <v>0</v>
      </c>
      <c r="Z652" t="inlineStr">
        <is>
          <t>No</t>
        </is>
      </c>
      <c r="AA652" t="inlineStr">
        <is>
          <t>Not stated on course page</t>
        </is>
      </c>
      <c r="AB652" t="inlineStr"/>
      <c r="AC652" t="inlineStr">
        <is>
          <t>Skipped: no allowed source had a value</t>
        </is>
      </c>
      <c r="AD652" t="n">
        <v>0</v>
      </c>
      <c r="AE652" t="inlineStr"/>
      <c r="AF652" t="inlineStr"/>
      <c r="AG652" t="inlineStr"/>
      <c r="AH652" t="inlineStr"/>
      <c r="AI652" t="inlineStr"/>
      <c r="AJ652" t="inlineStr">
        <is>
          <t>Yes</t>
        </is>
      </c>
      <c r="AK652" t="inlineStr"/>
      <c r="AL652" t="inlineStr"/>
      <c r="AM652" t="inlineStr"/>
    </row>
    <row r="653">
      <c r="A653" t="inlineStr">
        <is>
          <t>036126M</t>
        </is>
      </c>
      <c r="B653" t="inlineStr">
        <is>
          <t>University of Sydney Foundation Program - Standard Intensive</t>
        </is>
      </c>
      <c r="C653" t="inlineStr">
        <is>
          <t>Non AQF Award</t>
        </is>
      </c>
      <c r="D653" t="inlineStr">
        <is>
          <t>Non-award</t>
        </is>
      </c>
      <c r="E653" t="inlineStr">
        <is>
          <t>Page address no longer works</t>
        </is>
      </c>
      <c r="F653" t="inlineStr"/>
      <c r="G653" t="inlineStr">
        <is>
          <t>https://www.sydney.edu.au/courses/courses/pc/university-of-sydney-foundation-program-standard-intensive.html</t>
        </is>
      </c>
      <c r="H653" t="inlineStr">
        <is>
          <t>Address no longer works</t>
        </is>
      </c>
      <c r="I653" t="inlineStr"/>
      <c r="J653" t="inlineStr"/>
      <c r="K653" t="inlineStr">
        <is>
          <t>Re-link still trying</t>
        </is>
      </c>
      <c r="L653" t="inlineStr">
        <is>
          <t>Page found, being read</t>
        </is>
      </c>
      <c r="M653" t="inlineStr">
        <is>
          <t>Page found, being read</t>
        </is>
      </c>
      <c r="N653" t="inlineStr"/>
      <c r="O653" t="n">
        <v>0</v>
      </c>
      <c r="P653" t="inlineStr"/>
      <c r="Q653" t="inlineStr">
        <is>
          <t>Page found, being read</t>
        </is>
      </c>
      <c r="S653" t="inlineStr"/>
      <c r="T653" t="inlineStr">
        <is>
          <t>Held: level not covered by the policy default</t>
        </is>
      </c>
      <c r="U653" t="inlineStr"/>
      <c r="V653" t="inlineStr">
        <is>
          <t>Page found, being read</t>
        </is>
      </c>
      <c r="W653" t="inlineStr"/>
      <c r="X653" t="inlineStr"/>
      <c r="Y653" t="n">
        <v>0</v>
      </c>
      <c r="Z653" t="inlineStr">
        <is>
          <t>No</t>
        </is>
      </c>
      <c r="AA653" t="inlineStr">
        <is>
          <t>Not stated on course page</t>
        </is>
      </c>
      <c r="AB653" t="inlineStr"/>
      <c r="AC653" t="inlineStr">
        <is>
          <t>Skipped: no allowed source had a value</t>
        </is>
      </c>
      <c r="AD653" t="n">
        <v>0</v>
      </c>
      <c r="AE653" t="inlineStr"/>
      <c r="AF653" t="inlineStr"/>
      <c r="AG653" t="inlineStr"/>
      <c r="AH653" t="inlineStr"/>
      <c r="AI653" t="inlineStr"/>
      <c r="AJ653" t="inlineStr">
        <is>
          <t>Yes</t>
        </is>
      </c>
      <c r="AK653" t="inlineStr"/>
      <c r="AL653" t="inlineStr"/>
      <c r="AM653" t="inlineStr"/>
    </row>
    <row r="654">
      <c r="A654" t="inlineStr">
        <is>
          <t>089556F</t>
        </is>
      </c>
      <c r="B654" t="inlineStr">
        <is>
          <t>University of Sydney High Achievers Preparation Program</t>
        </is>
      </c>
      <c r="C654" t="inlineStr">
        <is>
          <t>Non AQF Award</t>
        </is>
      </c>
      <c r="D654" t="inlineStr">
        <is>
          <t>Non-award</t>
        </is>
      </c>
      <c r="E654" t="inlineStr">
        <is>
          <t>Page address no longer works</t>
        </is>
      </c>
      <c r="F654" t="inlineStr"/>
      <c r="G654" t="inlineStr">
        <is>
          <t>https://www.sydney.edu.au/courses/courses/pc/university-of-sydney-high-achievers-preparation-program.html</t>
        </is>
      </c>
      <c r="H654" t="inlineStr">
        <is>
          <t>Address no longer works</t>
        </is>
      </c>
      <c r="I654" t="inlineStr"/>
      <c r="J654" t="inlineStr"/>
      <c r="K654" t="inlineStr">
        <is>
          <t>Finished, no page: every candidate address was refused by the reader or did not</t>
        </is>
      </c>
      <c r="L654" t="inlineStr">
        <is>
          <t>Page found, being read</t>
        </is>
      </c>
      <c r="M654" t="inlineStr">
        <is>
          <t>Page found, being read</t>
        </is>
      </c>
      <c r="N654" t="inlineStr"/>
      <c r="O654" t="n">
        <v>0</v>
      </c>
      <c r="P654" t="inlineStr"/>
      <c r="Q654" t="inlineStr">
        <is>
          <t>Page found, being read</t>
        </is>
      </c>
      <c r="S654" t="inlineStr"/>
      <c r="T654" t="inlineStr">
        <is>
          <t>Held: level not covered by the policy default</t>
        </is>
      </c>
      <c r="U654" t="inlineStr"/>
      <c r="V654" t="inlineStr">
        <is>
          <t>Page found, being read</t>
        </is>
      </c>
      <c r="W654" t="inlineStr"/>
      <c r="X654" t="inlineStr"/>
      <c r="Y654" t="n">
        <v>0</v>
      </c>
      <c r="Z654" t="inlineStr">
        <is>
          <t>No</t>
        </is>
      </c>
      <c r="AA654" t="inlineStr">
        <is>
          <t>Not stated on course page</t>
        </is>
      </c>
      <c r="AB654" t="inlineStr"/>
      <c r="AC654" t="inlineStr">
        <is>
          <t>Skipped: no allowed source had a value</t>
        </is>
      </c>
      <c r="AD654" t="n">
        <v>1</v>
      </c>
      <c r="AE654" t="inlineStr"/>
      <c r="AF654" t="inlineStr"/>
      <c r="AG654" t="inlineStr"/>
      <c r="AH654" t="inlineStr"/>
      <c r="AI654" t="inlineStr"/>
      <c r="AJ654" t="inlineStr">
        <is>
          <t>Yes</t>
        </is>
      </c>
      <c r="AK654" t="inlineStr"/>
      <c r="AL654" t="inlineStr"/>
      <c r="AM654" t="inlineStr"/>
    </row>
    <row r="655">
      <c r="A655" t="inlineStr">
        <is>
          <t>088555D</t>
        </is>
      </c>
      <c r="B655" t="inlineStr">
        <is>
          <t>Visiting Researcher Program (104 weeks)</t>
        </is>
      </c>
      <c r="C655" t="inlineStr">
        <is>
          <t>Non AQF Award</t>
        </is>
      </c>
      <c r="D655" t="inlineStr">
        <is>
          <t>Non-award</t>
        </is>
      </c>
      <c r="E655" t="inlineStr">
        <is>
          <t>No page found</t>
        </is>
      </c>
      <c r="F655" t="inlineStr"/>
      <c r="G655" t="inlineStr"/>
      <c r="H655" t="inlineStr"/>
      <c r="I655" t="inlineStr"/>
      <c r="J655" t="inlineStr"/>
      <c r="K655" t="inlineStr">
        <is>
          <t>Not sent to re-link</t>
        </is>
      </c>
      <c r="L655" t="inlineStr">
        <is>
          <t>Searching for course page</t>
        </is>
      </c>
      <c r="M655" t="inlineStr">
        <is>
          <t>Searching for course page</t>
        </is>
      </c>
      <c r="N655" t="inlineStr"/>
      <c r="O655" t="n">
        <v>0</v>
      </c>
      <c r="P655" t="inlineStr"/>
      <c r="Q655" t="inlineStr">
        <is>
          <t>Searching for course page</t>
        </is>
      </c>
      <c r="S655" t="inlineStr"/>
      <c r="T655" t="inlineStr">
        <is>
          <t>Held: level not covered by the policy default</t>
        </is>
      </c>
      <c r="U655" t="inlineStr"/>
      <c r="V655" t="inlineStr">
        <is>
          <t>Searching for course page</t>
        </is>
      </c>
      <c r="W655" t="inlineStr"/>
      <c r="X655" t="inlineStr"/>
      <c r="Y655" t="n">
        <v>0</v>
      </c>
      <c r="Z655" t="inlineStr">
        <is>
          <t>No</t>
        </is>
      </c>
      <c r="AA655" t="inlineStr">
        <is>
          <t>Not stated on course page</t>
        </is>
      </c>
      <c r="AB655" t="inlineStr"/>
      <c r="AC655" t="inlineStr">
        <is>
          <t>Skipped: no allowed source had a value</t>
        </is>
      </c>
      <c r="AD655" t="n">
        <v>0</v>
      </c>
      <c r="AE655" t="inlineStr"/>
      <c r="AF655" t="inlineStr"/>
      <c r="AG655" t="inlineStr"/>
      <c r="AH655" t="inlineStr"/>
      <c r="AI655" t="inlineStr"/>
      <c r="AJ655" t="inlineStr">
        <is>
          <t>Yes</t>
        </is>
      </c>
      <c r="AK655" t="inlineStr"/>
      <c r="AL655" t="inlineStr"/>
      <c r="AM655" t="inlineStr"/>
    </row>
    <row r="656">
      <c r="A656" t="inlineStr">
        <is>
          <t>088554E</t>
        </is>
      </c>
      <c r="B656" t="inlineStr">
        <is>
          <t>Visiting Researcher Program (52 weeks)</t>
        </is>
      </c>
      <c r="C656" t="inlineStr">
        <is>
          <t>Non AQF Award</t>
        </is>
      </c>
      <c r="D656" t="inlineStr">
        <is>
          <t>Non-award</t>
        </is>
      </c>
      <c r="E656" t="inlineStr">
        <is>
          <t>No page found</t>
        </is>
      </c>
      <c r="F656" t="inlineStr"/>
      <c r="G656" t="inlineStr"/>
      <c r="H656" t="inlineStr"/>
      <c r="I656" t="inlineStr"/>
      <c r="J656" t="inlineStr"/>
      <c r="K656" t="inlineStr">
        <is>
          <t>Not sent to re-link</t>
        </is>
      </c>
      <c r="L656" t="inlineStr">
        <is>
          <t>Searching for course page</t>
        </is>
      </c>
      <c r="M656" t="inlineStr">
        <is>
          <t>Searching for course page</t>
        </is>
      </c>
      <c r="N656" t="inlineStr"/>
      <c r="O656" t="n">
        <v>0</v>
      </c>
      <c r="P656" t="inlineStr"/>
      <c r="Q656" t="inlineStr">
        <is>
          <t>Searching for course page</t>
        </is>
      </c>
      <c r="S656" t="inlineStr"/>
      <c r="T656" t="inlineStr">
        <is>
          <t>Held: level not covered by the policy default</t>
        </is>
      </c>
      <c r="U656" t="inlineStr"/>
      <c r="V656" t="inlineStr">
        <is>
          <t>Searching for course page</t>
        </is>
      </c>
      <c r="W656" t="inlineStr"/>
      <c r="X656" t="inlineStr"/>
      <c r="Y656" t="n">
        <v>0</v>
      </c>
      <c r="Z656" t="inlineStr">
        <is>
          <t>No</t>
        </is>
      </c>
      <c r="AA656" t="inlineStr">
        <is>
          <t>Not stated on course page</t>
        </is>
      </c>
      <c r="AB656" t="inlineStr"/>
      <c r="AC656" t="inlineStr">
        <is>
          <t>Skipped: no allowed source had a value</t>
        </is>
      </c>
      <c r="AD656" t="n">
        <v>0</v>
      </c>
      <c r="AE656" t="inlineStr"/>
      <c r="AF656" t="inlineStr"/>
      <c r="AG656" t="inlineStr"/>
      <c r="AH656" t="inlineStr"/>
      <c r="AI656" t="inlineStr"/>
      <c r="AJ656" t="inlineStr">
        <is>
          <t>Yes</t>
        </is>
      </c>
      <c r="AK656" t="inlineStr"/>
      <c r="AL656" t="inlineStr"/>
      <c r="AM656" t="inlineStr"/>
    </row>
  </sheetData>
  <autoFilter ref="A1:AM6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6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22" customWidth="1" min="3" max="3"/>
    <col width="18" customWidth="1" min="4" max="4"/>
    <col width="34" customWidth="1" min="5" max="5"/>
    <col width="40" customWidth="1" min="6" max="6"/>
    <col width="40" customWidth="1" min="7" max="7"/>
    <col width="20" customWidth="1" min="8" max="8"/>
    <col width="18" customWidth="1" min="9" max="9"/>
    <col width="16" customWidth="1" min="10" max="10"/>
    <col width="40" customWidth="1" min="11" max="11"/>
    <col width="22" customWidth="1" min="12" max="12"/>
    <col width="22" customWidth="1" min="13" max="13"/>
    <col width="18" customWidth="1" min="14" max="14"/>
    <col width="12" customWidth="1" min="15" max="15"/>
    <col width="16" customWidth="1" min="16" max="16"/>
    <col width="22" customWidth="1" min="17" max="17"/>
    <col width="9" customWidth="1" min="18" max="18"/>
    <col width="20" customWidth="1" min="19" max="19"/>
    <col width="36" customWidth="1" min="20" max="20"/>
    <col width="34" customWidth="1" min="21" max="21"/>
    <col width="22" customWidth="1" min="22" max="22"/>
    <col width="20" customWidth="1" min="23" max="23"/>
    <col width="16" customWidth="1" min="24" max="24"/>
    <col width="10" customWidth="1" min="25" max="25"/>
    <col width="12" customWidth="1" min="26" max="26"/>
    <col width="22" customWidth="1" min="27" max="27"/>
    <col width="16" customWidth="1" min="28" max="28"/>
    <col width="40" customWidth="1" min="29" max="29"/>
    <col width="10"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s>
  <sheetData>
    <row r="1" ht="60" customHeight="1">
      <c r="A1" s="4" t="inlineStr">
        <is>
          <t>CRICOS code</t>
        </is>
      </c>
      <c r="B1" s="4" t="inlineStr">
        <is>
          <t>Course title</t>
        </is>
      </c>
      <c r="C1" s="4" t="inlineStr">
        <is>
          <t>Study level</t>
        </is>
      </c>
      <c r="D1" s="4" t="inlineStr">
        <is>
          <t>Study level group</t>
        </is>
      </c>
      <c r="E1" s="4" t="inlineStr">
        <is>
          <t>Advertised status</t>
        </is>
      </c>
      <c r="F1" s="4" t="inlineStr">
        <is>
          <t>Official course page (in place)</t>
        </is>
      </c>
      <c r="G1" s="4" t="inlineStr">
        <is>
          <t>Page found (address)</t>
        </is>
      </c>
      <c r="H1" s="4" t="inlineStr">
        <is>
          <t>Page read result</t>
        </is>
      </c>
      <c r="I1" s="4" t="inlineStr">
        <is>
          <t>Identity proof</t>
        </is>
      </c>
      <c r="J1" s="4" t="inlineStr">
        <is>
          <t>No-page record</t>
        </is>
      </c>
      <c r="K1" s="4" t="inlineStr">
        <is>
          <t>Re-link lane result</t>
        </is>
      </c>
      <c r="L1" s="4" t="inlineStr">
        <is>
          <t>Official course page (state)</t>
        </is>
      </c>
      <c r="M1" s="4" t="inlineStr">
        <is>
          <t>International tuition (state)</t>
        </is>
      </c>
      <c r="N1" s="4" t="inlineStr">
        <is>
          <t>International fee (amount, year)</t>
        </is>
      </c>
      <c r="O1" s="4" t="inlineStr">
        <is>
          <t>Rows in approved fee schedule (by CRICOS code)</t>
        </is>
      </c>
      <c r="P1" s="4" t="inlineStr">
        <is>
          <t>Fee source</t>
        </is>
      </c>
      <c r="Q1" s="4" t="inlineStr">
        <is>
          <t>English requirement (state)</t>
        </is>
      </c>
      <c r="R1" s="4" t="inlineStr">
        <is>
          <t>IELTS overall</t>
        </is>
      </c>
      <c r="S1" s="4" t="inlineStr">
        <is>
          <t>English source</t>
        </is>
      </c>
      <c r="T1" s="4" t="inlineStr">
        <is>
          <t>Central English rule for this course</t>
        </is>
      </c>
      <c r="U1" s="4" t="inlineStr">
        <is>
          <t>Course page disagrees with central English</t>
        </is>
      </c>
      <c r="V1" s="4" t="inlineStr">
        <is>
          <t>Intakes (state)</t>
        </is>
      </c>
      <c r="W1" s="4" t="inlineStr">
        <is>
          <t>Intake months</t>
        </is>
      </c>
      <c r="X1" s="4" t="inlineStr">
        <is>
          <t>Intakes source</t>
        </is>
      </c>
      <c r="Y1" s="4" t="inlineStr">
        <is>
          <t>Intake rows withdrawn earlier</t>
        </is>
      </c>
      <c r="Z1" s="4" t="inlineStr">
        <is>
          <t>Calendar months allowed at this level (19 Oct rule)</t>
        </is>
      </c>
      <c r="AA1" s="4" t="inlineStr">
        <is>
          <t>Delivery mode (state)</t>
        </is>
      </c>
      <c r="AB1" s="4" t="inlineStr">
        <is>
          <t>Delivery mode</t>
        </is>
      </c>
      <c r="AC1" s="4" t="inlineStr">
        <is>
          <t>Delivery: last reader result</t>
        </is>
      </c>
      <c r="AD1" s="4" t="inlineStr">
        <is>
          <t>Delivery values taken back (23 Oct)</t>
        </is>
      </c>
      <c r="AE1" s="4" t="inlineStr">
        <is>
          <t>Action: read the bound page again (rendered)</t>
        </is>
      </c>
      <c r="AF1" s="4" t="inlineStr">
        <is>
          <t>Action: Layer 4 review of a value read from the course page</t>
        </is>
      </c>
      <c r="AG1" s="4" t="inlineStr">
        <is>
          <t>Action: re-route item stuck in retired Layer 3</t>
        </is>
      </c>
      <c r="AH1" s="4" t="inlineStr">
        <is>
          <t>Action: calendar months, undergraduate (22 Oct rule)</t>
        </is>
      </c>
      <c r="AI1" s="4" t="inlineStr">
        <is>
          <t>Action: calendar months, postgraduate/research (19 + 22 Oct rules)</t>
        </is>
      </c>
      <c r="AJ1" s="4" t="inlineStr">
        <is>
          <t>Action: English rule for held course types</t>
        </is>
      </c>
      <c r="AK1" s="4" t="inlineStr">
        <is>
          <t>Action: delivery quote not found, re-run</t>
        </is>
      </c>
      <c r="AL1" s="4" t="inlineStr">
        <is>
          <t>Action: fee in approved schedule, not admitted</t>
        </is>
      </c>
      <c r="AM1" s="4" t="inlineStr">
        <is>
          <t>Action: confirm no-page record</t>
        </is>
      </c>
    </row>
    <row r="2">
      <c r="A2" t="inlineStr">
        <is>
          <t>077428B</t>
        </is>
      </c>
      <c r="B2" t="inlineStr">
        <is>
          <t>Bachelor of Actuarial Studies</t>
        </is>
      </c>
      <c r="C2" t="inlineStr">
        <is>
          <t>Bachelor</t>
        </is>
      </c>
      <c r="D2" t="inlineStr">
        <is>
          <t>Undergraduate</t>
        </is>
      </c>
      <c r="E2" t="inlineStr">
        <is>
          <t>Advertised: official page in place</t>
        </is>
      </c>
      <c r="F2" t="inlineStr">
        <is>
          <t>https://www.unsw.edu.au/study/undergraduate/bachelor-of-actuarial-studies</t>
        </is>
      </c>
      <c r="G2" t="inlineStr">
        <is>
          <t>https://www.unsw.edu.au/study/undergraduate/bachelor-of-actuarial-studies</t>
        </is>
      </c>
      <c r="H2" t="inlineStr">
        <is>
          <t>Read</t>
        </is>
      </c>
      <c r="I2" t="inlineStr">
        <is>
          <t>CRICOS code on page</t>
        </is>
      </c>
      <c r="J2" t="inlineStr"/>
      <c r="K2" t="inlineStr">
        <is>
          <t>Not sent to re-link</t>
        </is>
      </c>
      <c r="L2" t="inlineStr">
        <is>
          <t>Filled</t>
        </is>
      </c>
      <c r="M2" t="inlineStr">
        <is>
          <t>Filled</t>
        </is>
      </c>
      <c r="N2" t="inlineStr">
        <is>
          <t>58000.00 2026</t>
        </is>
      </c>
      <c r="O2" t="n">
        <v>0</v>
      </c>
      <c r="P2" t="inlineStr">
        <is>
          <t>University adapter</t>
        </is>
      </c>
      <c r="Q2" t="inlineStr">
        <is>
          <t>Filled</t>
        </is>
      </c>
      <c r="R2" t="n">
        <v>6</v>
      </c>
      <c r="S2" t="inlineStr">
        <is>
          <t>Central English policy</t>
        </is>
      </c>
      <c r="T2" t="inlineStr">
        <is>
          <t>Central rule applies (value agrees)</t>
        </is>
      </c>
      <c r="U2" t="inlineStr"/>
      <c r="V2" t="inlineStr">
        <is>
          <t>Filled</t>
        </is>
      </c>
      <c r="W2" t="inlineStr">
        <is>
          <t>February, May, September</t>
        </is>
      </c>
      <c r="X2" t="inlineStr">
        <is>
          <t>University adapter</t>
        </is>
      </c>
      <c r="Y2" t="n">
        <v>0</v>
      </c>
      <c r="Z2" t="inlineStr">
        <is>
          <t>Yes</t>
        </is>
      </c>
      <c r="AA2" t="inlineStr">
        <is>
          <t>Filled</t>
        </is>
      </c>
      <c r="AB2" t="inlineStr">
        <is>
          <t>on campus</t>
        </is>
      </c>
      <c r="AC2" t="inlineStr"/>
      <c r="AD2" t="n">
        <v>0</v>
      </c>
      <c r="AE2" t="inlineStr"/>
      <c r="AF2" t="inlineStr"/>
      <c r="AG2" t="inlineStr"/>
      <c r="AH2" t="inlineStr"/>
      <c r="AI2" t="inlineStr"/>
      <c r="AJ2" t="inlineStr"/>
      <c r="AK2" t="inlineStr"/>
      <c r="AL2" t="inlineStr"/>
      <c r="AM2" t="inlineStr"/>
    </row>
    <row r="3">
      <c r="A3" t="inlineStr">
        <is>
          <t>087814J</t>
        </is>
      </c>
      <c r="B3" t="inlineStr">
        <is>
          <t>Bachelor of Actuarial Studies (Honours)</t>
        </is>
      </c>
      <c r="C3" t="inlineStr">
        <is>
          <t>Bachelor Honours Degree</t>
        </is>
      </c>
      <c r="D3" t="inlineStr">
        <is>
          <t>Undergraduate</t>
        </is>
      </c>
      <c r="E3" t="inlineStr">
        <is>
          <t>Advertised: official page in place</t>
        </is>
      </c>
      <c r="F3" t="inlineStr">
        <is>
          <t>https://www.unsw.edu.au/study/undergraduate/bachelor-of-actuarial-studies-honours</t>
        </is>
      </c>
      <c r="G3" t="inlineStr">
        <is>
          <t>https://www.unsw.edu.au/study/undergraduate/bachelor-of-actuarial-studies-honours</t>
        </is>
      </c>
      <c r="H3" t="inlineStr">
        <is>
          <t>Read</t>
        </is>
      </c>
      <c r="I3" t="inlineStr">
        <is>
          <t>CRICOS code on page</t>
        </is>
      </c>
      <c r="J3" t="inlineStr"/>
      <c r="K3" t="inlineStr">
        <is>
          <t>Not sent to re-link</t>
        </is>
      </c>
      <c r="L3" t="inlineStr">
        <is>
          <t>Filled</t>
        </is>
      </c>
      <c r="M3" t="inlineStr">
        <is>
          <t>Filled</t>
        </is>
      </c>
      <c r="N3" t="inlineStr">
        <is>
          <t>57500.00 2026</t>
        </is>
      </c>
      <c r="O3" t="n">
        <v>0</v>
      </c>
      <c r="P3" t="inlineStr">
        <is>
          <t>University adapter</t>
        </is>
      </c>
      <c r="Q3" t="inlineStr">
        <is>
          <t>Filled</t>
        </is>
      </c>
      <c r="R3" t="n">
        <v>6</v>
      </c>
      <c r="S3" t="inlineStr">
        <is>
          <t>Central English policy</t>
        </is>
      </c>
      <c r="T3" t="inlineStr">
        <is>
          <t>Central rule applies (value agrees)</t>
        </is>
      </c>
      <c r="U3" t="inlineStr"/>
      <c r="V3" t="inlineStr">
        <is>
          <t>Filled</t>
        </is>
      </c>
      <c r="W3" t="inlineStr">
        <is>
          <t>February, September</t>
        </is>
      </c>
      <c r="X3" t="inlineStr">
        <is>
          <t>University adapter</t>
        </is>
      </c>
      <c r="Y3" t="n">
        <v>0</v>
      </c>
      <c r="Z3" t="inlineStr">
        <is>
          <t>Yes</t>
        </is>
      </c>
      <c r="AA3" t="inlineStr">
        <is>
          <t>Filled</t>
        </is>
      </c>
      <c r="AB3" t="inlineStr">
        <is>
          <t>on campus</t>
        </is>
      </c>
      <c r="AC3" t="inlineStr"/>
      <c r="AD3" t="n">
        <v>0</v>
      </c>
      <c r="AE3" t="inlineStr"/>
      <c r="AF3" t="inlineStr"/>
      <c r="AG3" t="inlineStr"/>
      <c r="AH3" t="inlineStr"/>
      <c r="AI3" t="inlineStr"/>
      <c r="AJ3" t="inlineStr"/>
      <c r="AK3" t="inlineStr"/>
      <c r="AL3" t="inlineStr"/>
      <c r="AM3" t="inlineStr"/>
    </row>
    <row r="4">
      <c r="A4" t="inlineStr">
        <is>
          <t>0101081</t>
        </is>
      </c>
      <c r="B4" t="inlineStr">
        <is>
          <t>Bachelor of Actuarial Studies / Bachelor of Information Systems</t>
        </is>
      </c>
      <c r="C4" t="inlineStr">
        <is>
          <t>Bachelor</t>
        </is>
      </c>
      <c r="D4" t="inlineStr">
        <is>
          <t>Undergraduate</t>
        </is>
      </c>
      <c r="E4" t="inlineStr">
        <is>
          <t>Advertised: official page in place</t>
        </is>
      </c>
      <c r="F4" t="inlineStr">
        <is>
          <t>https://www.unsw.edu.au/study/undergraduate/bachelor-of-actuarial-studies-information-systems</t>
        </is>
      </c>
      <c r="G4" t="inlineStr">
        <is>
          <t>https://www.unsw.edu.au/study/undergraduate/bachelor-of-actuarial-studies-information-systems</t>
        </is>
      </c>
      <c r="H4" t="inlineStr">
        <is>
          <t>Read</t>
        </is>
      </c>
      <c r="I4" t="inlineStr">
        <is>
          <t>CRICOS code on page</t>
        </is>
      </c>
      <c r="J4" t="inlineStr"/>
      <c r="K4" t="inlineStr">
        <is>
          <t>Not sent to re-link</t>
        </is>
      </c>
      <c r="L4" t="inlineStr">
        <is>
          <t>Filled</t>
        </is>
      </c>
      <c r="M4" t="inlineStr">
        <is>
          <t>Filled</t>
        </is>
      </c>
      <c r="N4" t="inlineStr">
        <is>
          <t>58500.00 2026</t>
        </is>
      </c>
      <c r="O4" t="n">
        <v>0</v>
      </c>
      <c r="P4" t="inlineStr">
        <is>
          <t>University adapter</t>
        </is>
      </c>
      <c r="Q4" t="inlineStr">
        <is>
          <t>Filled</t>
        </is>
      </c>
      <c r="R4" t="n">
        <v>6</v>
      </c>
      <c r="S4" t="inlineStr">
        <is>
          <t>Central English policy</t>
        </is>
      </c>
      <c r="T4" t="inlineStr">
        <is>
          <t>Central rule applies (value agrees)</t>
        </is>
      </c>
      <c r="U4" t="inlineStr"/>
      <c r="V4" t="inlineStr">
        <is>
          <t>Filled</t>
        </is>
      </c>
      <c r="W4" t="inlineStr">
        <is>
          <t>February, May, September</t>
        </is>
      </c>
      <c r="X4" t="inlineStr">
        <is>
          <t>University adapter</t>
        </is>
      </c>
      <c r="Y4" t="n">
        <v>0</v>
      </c>
      <c r="Z4" t="inlineStr">
        <is>
          <t>Yes</t>
        </is>
      </c>
      <c r="AA4" t="inlineStr">
        <is>
          <t>Filled</t>
        </is>
      </c>
      <c r="AB4" t="inlineStr">
        <is>
          <t>on campus</t>
        </is>
      </c>
      <c r="AC4" t="inlineStr"/>
      <c r="AD4" t="n">
        <v>0</v>
      </c>
      <c r="AE4" t="inlineStr"/>
      <c r="AF4" t="inlineStr"/>
      <c r="AG4" t="inlineStr"/>
      <c r="AH4" t="inlineStr"/>
      <c r="AI4" t="inlineStr"/>
      <c r="AJ4" t="inlineStr"/>
      <c r="AK4" t="inlineStr"/>
      <c r="AL4" t="inlineStr"/>
      <c r="AM4" t="inlineStr"/>
    </row>
    <row r="5">
      <c r="A5" t="inlineStr">
        <is>
          <t>0101083</t>
        </is>
      </c>
      <c r="B5" t="inlineStr">
        <is>
          <t>Bachelor of Actuarial Studies / Bachelor of Science (Computer Science)</t>
        </is>
      </c>
      <c r="C5" t="inlineStr">
        <is>
          <t>Bachelor</t>
        </is>
      </c>
      <c r="D5" t="inlineStr">
        <is>
          <t>Undergraduate</t>
        </is>
      </c>
      <c r="E5" t="inlineStr">
        <is>
          <t>Advertised: official page in place</t>
        </is>
      </c>
      <c r="F5" t="inlineStr">
        <is>
          <t>https://www.unsw.edu.au/study/undergraduate/bachelor-of-actuarial-studies-computer-science</t>
        </is>
      </c>
      <c r="G5" t="inlineStr">
        <is>
          <t>https://www.unsw.edu.au/study/undergraduate/bachelor-of-actuarial-studies-computer-science</t>
        </is>
      </c>
      <c r="H5" t="inlineStr">
        <is>
          <t>Read</t>
        </is>
      </c>
      <c r="I5" t="inlineStr">
        <is>
          <t>CRICOS code on page</t>
        </is>
      </c>
      <c r="J5" t="inlineStr"/>
      <c r="K5" t="inlineStr">
        <is>
          <t>Not sent to re-link</t>
        </is>
      </c>
      <c r="L5" t="inlineStr">
        <is>
          <t>Filled</t>
        </is>
      </c>
      <c r="M5" t="inlineStr">
        <is>
          <t>Filled</t>
        </is>
      </c>
      <c r="N5" t="inlineStr">
        <is>
          <t>59500.00 2026</t>
        </is>
      </c>
      <c r="O5" t="n">
        <v>0</v>
      </c>
      <c r="P5" t="inlineStr">
        <is>
          <t>University adapter</t>
        </is>
      </c>
      <c r="Q5" t="inlineStr">
        <is>
          <t>Filled</t>
        </is>
      </c>
      <c r="R5" t="n">
        <v>6</v>
      </c>
      <c r="S5" t="inlineStr">
        <is>
          <t>Central English policy</t>
        </is>
      </c>
      <c r="T5" t="inlineStr">
        <is>
          <t>Central rule applies (value agrees)</t>
        </is>
      </c>
      <c r="U5" t="inlineStr"/>
      <c r="V5" t="inlineStr">
        <is>
          <t>Filled</t>
        </is>
      </c>
      <c r="W5" t="inlineStr">
        <is>
          <t>February, May, September</t>
        </is>
      </c>
      <c r="X5" t="inlineStr">
        <is>
          <t>University adapter</t>
        </is>
      </c>
      <c r="Y5" t="n">
        <v>0</v>
      </c>
      <c r="Z5" t="inlineStr">
        <is>
          <t>Yes</t>
        </is>
      </c>
      <c r="AA5" t="inlineStr">
        <is>
          <t>Filled</t>
        </is>
      </c>
      <c r="AB5" t="inlineStr">
        <is>
          <t>on campus</t>
        </is>
      </c>
      <c r="AC5" t="inlineStr"/>
      <c r="AD5" t="n">
        <v>0</v>
      </c>
      <c r="AE5" t="inlineStr"/>
      <c r="AF5" t="inlineStr"/>
      <c r="AG5" t="inlineStr"/>
      <c r="AH5" t="inlineStr"/>
      <c r="AI5" t="inlineStr"/>
      <c r="AJ5" t="inlineStr"/>
      <c r="AK5" t="inlineStr"/>
      <c r="AL5" t="inlineStr"/>
      <c r="AM5" t="inlineStr"/>
    </row>
    <row r="6">
      <c r="A6" t="inlineStr">
        <is>
          <t>080469M</t>
        </is>
      </c>
      <c r="B6" t="inlineStr">
        <is>
          <t>Bachelor of Actuarial Studies/Bachelor of Commerce</t>
        </is>
      </c>
      <c r="C6" t="inlineStr">
        <is>
          <t>Bachelor</t>
        </is>
      </c>
      <c r="D6" t="inlineStr">
        <is>
          <t>Undergraduate</t>
        </is>
      </c>
      <c r="E6" t="inlineStr">
        <is>
          <t>Advertised: official page in place</t>
        </is>
      </c>
      <c r="F6" t="inlineStr">
        <is>
          <t>https://www.unsw.edu.au/study/undergraduate/bachelor-of-actuarial-studies-commerce</t>
        </is>
      </c>
      <c r="G6" t="inlineStr">
        <is>
          <t>https://www.unsw.edu.au/study/undergraduate/bachelor-of-actuarial-studies-commerce</t>
        </is>
      </c>
      <c r="H6" t="inlineStr">
        <is>
          <t>Read</t>
        </is>
      </c>
      <c r="I6" t="inlineStr">
        <is>
          <t>CRICOS code on page</t>
        </is>
      </c>
      <c r="J6" t="inlineStr"/>
      <c r="K6" t="inlineStr">
        <is>
          <t>Not sent to re-link</t>
        </is>
      </c>
      <c r="L6" t="inlineStr">
        <is>
          <t>Filled</t>
        </is>
      </c>
      <c r="M6" t="inlineStr">
        <is>
          <t>Filled</t>
        </is>
      </c>
      <c r="N6" t="inlineStr">
        <is>
          <t>57500.00 2026</t>
        </is>
      </c>
      <c r="O6" t="n">
        <v>0</v>
      </c>
      <c r="P6" t="inlineStr">
        <is>
          <t>University adapter</t>
        </is>
      </c>
      <c r="Q6" t="inlineStr">
        <is>
          <t>Filled</t>
        </is>
      </c>
      <c r="R6" t="n">
        <v>6</v>
      </c>
      <c r="S6" t="inlineStr">
        <is>
          <t>Central English policy</t>
        </is>
      </c>
      <c r="T6" t="inlineStr">
        <is>
          <t>Central rule applies (value agrees)</t>
        </is>
      </c>
      <c r="U6" t="inlineStr"/>
      <c r="V6" t="inlineStr">
        <is>
          <t>Filled</t>
        </is>
      </c>
      <c r="W6" t="inlineStr">
        <is>
          <t>February, May, September</t>
        </is>
      </c>
      <c r="X6" t="inlineStr">
        <is>
          <t>University adapter</t>
        </is>
      </c>
      <c r="Y6" t="n">
        <v>0</v>
      </c>
      <c r="Z6" t="inlineStr">
        <is>
          <t>Yes</t>
        </is>
      </c>
      <c r="AA6" t="inlineStr">
        <is>
          <t>Filled</t>
        </is>
      </c>
      <c r="AB6" t="inlineStr">
        <is>
          <t>on campus</t>
        </is>
      </c>
      <c r="AC6" t="inlineStr"/>
      <c r="AD6" t="n">
        <v>0</v>
      </c>
      <c r="AE6" t="inlineStr"/>
      <c r="AF6" t="inlineStr"/>
      <c r="AG6" t="inlineStr"/>
      <c r="AH6" t="inlineStr"/>
      <c r="AI6" t="inlineStr"/>
      <c r="AJ6" t="inlineStr"/>
      <c r="AK6" t="inlineStr"/>
      <c r="AL6" t="inlineStr"/>
      <c r="AM6" t="inlineStr"/>
    </row>
    <row r="7">
      <c r="A7" t="inlineStr">
        <is>
          <t>077867A</t>
        </is>
      </c>
      <c r="B7" t="inlineStr">
        <is>
          <t>Bachelor of Actuarial Studies/Bachelor of Economics</t>
        </is>
      </c>
      <c r="C7" t="inlineStr">
        <is>
          <t>Bachelor</t>
        </is>
      </c>
      <c r="D7" t="inlineStr">
        <is>
          <t>Undergraduate</t>
        </is>
      </c>
      <c r="E7" t="inlineStr">
        <is>
          <t>Advertised: official page in place</t>
        </is>
      </c>
      <c r="F7" t="inlineStr">
        <is>
          <t>https://www.unsw.edu.au/study/undergraduate/bachelor-of-actuarial-studies-economics</t>
        </is>
      </c>
      <c r="G7" t="inlineStr">
        <is>
          <t>https://www.unsw.edu.au/study/undergraduate/bachelor-of-actuarial-studies-economics</t>
        </is>
      </c>
      <c r="H7" t="inlineStr">
        <is>
          <t>Read</t>
        </is>
      </c>
      <c r="I7" t="inlineStr">
        <is>
          <t>CRICOS code on page</t>
        </is>
      </c>
      <c r="J7" t="inlineStr"/>
      <c r="K7" t="inlineStr">
        <is>
          <t>Not sent to re-link</t>
        </is>
      </c>
      <c r="L7" t="inlineStr">
        <is>
          <t>Filled</t>
        </is>
      </c>
      <c r="M7" t="inlineStr">
        <is>
          <t>Filled</t>
        </is>
      </c>
      <c r="N7" t="inlineStr">
        <is>
          <t>58000.00 2026</t>
        </is>
      </c>
      <c r="O7" t="n">
        <v>0</v>
      </c>
      <c r="P7" t="inlineStr">
        <is>
          <t>University adapter</t>
        </is>
      </c>
      <c r="Q7" t="inlineStr">
        <is>
          <t>Filled</t>
        </is>
      </c>
      <c r="R7" t="n">
        <v>6</v>
      </c>
      <c r="S7" t="inlineStr">
        <is>
          <t>Central English policy</t>
        </is>
      </c>
      <c r="T7" t="inlineStr">
        <is>
          <t>Central rule applies (value agrees)</t>
        </is>
      </c>
      <c r="U7" t="inlineStr"/>
      <c r="V7" t="inlineStr">
        <is>
          <t>Filled</t>
        </is>
      </c>
      <c r="W7" t="inlineStr">
        <is>
          <t>February, May, September</t>
        </is>
      </c>
      <c r="X7" t="inlineStr">
        <is>
          <t>University adapter</t>
        </is>
      </c>
      <c r="Y7" t="n">
        <v>0</v>
      </c>
      <c r="Z7" t="inlineStr">
        <is>
          <t>Yes</t>
        </is>
      </c>
      <c r="AA7" t="inlineStr">
        <is>
          <t>Filled</t>
        </is>
      </c>
      <c r="AB7" t="inlineStr">
        <is>
          <t>on campus</t>
        </is>
      </c>
      <c r="AC7" t="inlineStr"/>
      <c r="AD7" t="n">
        <v>0</v>
      </c>
      <c r="AE7" t="inlineStr"/>
      <c r="AF7" t="inlineStr"/>
      <c r="AG7" t="inlineStr"/>
      <c r="AH7" t="inlineStr"/>
      <c r="AI7" t="inlineStr"/>
      <c r="AJ7" t="inlineStr"/>
      <c r="AK7" t="inlineStr"/>
      <c r="AL7" t="inlineStr"/>
      <c r="AM7" t="inlineStr"/>
    </row>
    <row r="8">
      <c r="A8" t="inlineStr">
        <is>
          <t>082787C</t>
        </is>
      </c>
      <c r="B8" t="inlineStr">
        <is>
          <t>Bachelor of Actuarial Studies/Bachelor of Laws</t>
        </is>
      </c>
      <c r="C8" t="inlineStr">
        <is>
          <t>Bachelor</t>
        </is>
      </c>
      <c r="D8" t="inlineStr">
        <is>
          <t>Undergraduate</t>
        </is>
      </c>
      <c r="E8" t="inlineStr">
        <is>
          <t>Advertised: official page in place</t>
        </is>
      </c>
      <c r="F8" t="inlineStr">
        <is>
          <t>https://www.unsw.edu.au/study/undergraduate/bachelor-of-actuarial-studies-law</t>
        </is>
      </c>
      <c r="G8" t="inlineStr">
        <is>
          <t>https://www.unsw.edu.au/study/undergraduate/bachelor-of-actuarial-studies-law</t>
        </is>
      </c>
      <c r="H8" t="inlineStr">
        <is>
          <t>Read</t>
        </is>
      </c>
      <c r="I8" t="inlineStr">
        <is>
          <t>CRICOS code on page</t>
        </is>
      </c>
      <c r="J8" t="inlineStr"/>
      <c r="K8" t="inlineStr">
        <is>
          <t>Not sent to re-link</t>
        </is>
      </c>
      <c r="L8" t="inlineStr">
        <is>
          <t>Filled</t>
        </is>
      </c>
      <c r="M8" t="inlineStr">
        <is>
          <t>Filled</t>
        </is>
      </c>
      <c r="N8" t="inlineStr">
        <is>
          <t>57500.00 2026</t>
        </is>
      </c>
      <c r="O8" t="n">
        <v>0</v>
      </c>
      <c r="P8" t="inlineStr">
        <is>
          <t>University adapter</t>
        </is>
      </c>
      <c r="Q8" t="inlineStr">
        <is>
          <t>Filled</t>
        </is>
      </c>
      <c r="R8" t="n">
        <v>6</v>
      </c>
      <c r="S8" t="inlineStr">
        <is>
          <t>Central English policy</t>
        </is>
      </c>
      <c r="T8" t="inlineStr">
        <is>
          <t>Central rule applies (value agrees)</t>
        </is>
      </c>
      <c r="U8" t="inlineStr"/>
      <c r="V8" t="inlineStr">
        <is>
          <t>Filled</t>
        </is>
      </c>
      <c r="W8" t="inlineStr">
        <is>
          <t>February, September</t>
        </is>
      </c>
      <c r="X8" t="inlineStr">
        <is>
          <t>University adapter</t>
        </is>
      </c>
      <c r="Y8" t="n">
        <v>0</v>
      </c>
      <c r="Z8" t="inlineStr">
        <is>
          <t>Yes</t>
        </is>
      </c>
      <c r="AA8" t="inlineStr">
        <is>
          <t>Filled</t>
        </is>
      </c>
      <c r="AB8" t="inlineStr">
        <is>
          <t>on campus</t>
        </is>
      </c>
      <c r="AC8" t="inlineStr"/>
      <c r="AD8" t="n">
        <v>0</v>
      </c>
      <c r="AE8" t="inlineStr"/>
      <c r="AF8" t="inlineStr"/>
      <c r="AG8" t="inlineStr"/>
      <c r="AH8" t="inlineStr"/>
      <c r="AI8" t="inlineStr"/>
      <c r="AJ8" t="inlineStr"/>
      <c r="AK8" t="inlineStr"/>
      <c r="AL8" t="inlineStr"/>
      <c r="AM8" t="inlineStr"/>
    </row>
    <row r="9">
      <c r="A9" t="inlineStr">
        <is>
          <t>080474C</t>
        </is>
      </c>
      <c r="B9" t="inlineStr">
        <is>
          <t>Bachelor of Actuarial Studies/Bachelor of Science</t>
        </is>
      </c>
      <c r="C9" t="inlineStr">
        <is>
          <t>Bachelor</t>
        </is>
      </c>
      <c r="D9" t="inlineStr">
        <is>
          <t>Undergraduate</t>
        </is>
      </c>
      <c r="E9" t="inlineStr">
        <is>
          <t>Advertised: official page in place</t>
        </is>
      </c>
      <c r="F9" t="inlineStr">
        <is>
          <t>https://www.unsw.edu.au/study/undergraduate/bachelor-of-actuarial-studies-science</t>
        </is>
      </c>
      <c r="G9" t="inlineStr">
        <is>
          <t>https://www.unsw.edu.au/study/undergraduate/bachelor-of-actuarial-studies-science</t>
        </is>
      </c>
      <c r="H9" t="inlineStr">
        <is>
          <t>Read</t>
        </is>
      </c>
      <c r="I9" t="inlineStr">
        <is>
          <t>CRICOS code on page</t>
        </is>
      </c>
      <c r="J9" t="inlineStr"/>
      <c r="K9" t="inlineStr">
        <is>
          <t>Not sent to re-link</t>
        </is>
      </c>
      <c r="L9" t="inlineStr">
        <is>
          <t>Filled</t>
        </is>
      </c>
      <c r="M9" t="inlineStr">
        <is>
          <t>Filled</t>
        </is>
      </c>
      <c r="N9" t="inlineStr">
        <is>
          <t>58500.00 2026</t>
        </is>
      </c>
      <c r="O9" t="n">
        <v>0</v>
      </c>
      <c r="P9" t="inlineStr">
        <is>
          <t>University adapter</t>
        </is>
      </c>
      <c r="Q9" t="inlineStr">
        <is>
          <t>Filled</t>
        </is>
      </c>
      <c r="R9" t="n">
        <v>6</v>
      </c>
      <c r="S9" t="inlineStr">
        <is>
          <t>Central English policy</t>
        </is>
      </c>
      <c r="T9" t="inlineStr">
        <is>
          <t>Central rule applies (value agrees)</t>
        </is>
      </c>
      <c r="U9" t="inlineStr"/>
      <c r="V9" t="inlineStr">
        <is>
          <t>Filled</t>
        </is>
      </c>
      <c r="W9" t="inlineStr">
        <is>
          <t>February, May, September</t>
        </is>
      </c>
      <c r="X9" t="inlineStr">
        <is>
          <t>University adapter</t>
        </is>
      </c>
      <c r="Y9" t="n">
        <v>0</v>
      </c>
      <c r="Z9" t="inlineStr">
        <is>
          <t>Yes</t>
        </is>
      </c>
      <c r="AA9" t="inlineStr">
        <is>
          <t>Filled</t>
        </is>
      </c>
      <c r="AB9" t="inlineStr">
        <is>
          <t>on campus</t>
        </is>
      </c>
      <c r="AC9" t="inlineStr"/>
      <c r="AD9" t="n">
        <v>0</v>
      </c>
      <c r="AE9" t="inlineStr"/>
      <c r="AF9" t="inlineStr"/>
      <c r="AG9" t="inlineStr"/>
      <c r="AH9" t="inlineStr"/>
      <c r="AI9" t="inlineStr"/>
      <c r="AJ9" t="inlineStr"/>
      <c r="AK9" t="inlineStr"/>
      <c r="AL9" t="inlineStr"/>
      <c r="AM9" t="inlineStr"/>
    </row>
    <row r="10">
      <c r="A10" t="inlineStr">
        <is>
          <t>088858M</t>
        </is>
      </c>
      <c r="B10" t="inlineStr">
        <is>
          <t>Bachelor of Actuarial Studies/Bachelor of Science (Advanced Mathematics) (Honours)</t>
        </is>
      </c>
      <c r="C10" t="inlineStr">
        <is>
          <t>Bachelor Honours Degree</t>
        </is>
      </c>
      <c r="D10" t="inlineStr">
        <is>
          <t>Undergraduate</t>
        </is>
      </c>
      <c r="E10" t="inlineStr">
        <is>
          <t>Advertised: official page in place</t>
        </is>
      </c>
      <c r="F10" t="inlineStr">
        <is>
          <t>https://www.unsw.edu.au/study/undergraduate/bachelor-of-actuarial-studies-advanced-mathematics-honours</t>
        </is>
      </c>
      <c r="G10" t="inlineStr">
        <is>
          <t>https://www.unsw.edu.au/study/undergraduate/bachelor-of-actuarial-studies-advanced-mathematics-honours</t>
        </is>
      </c>
      <c r="H10" t="inlineStr">
        <is>
          <t>Read</t>
        </is>
      </c>
      <c r="I10" t="inlineStr">
        <is>
          <t>CRICOS code on page</t>
        </is>
      </c>
      <c r="J10" t="inlineStr"/>
      <c r="K10" t="inlineStr">
        <is>
          <t>Not sent to re-link</t>
        </is>
      </c>
      <c r="L10" t="inlineStr">
        <is>
          <t>Filled</t>
        </is>
      </c>
      <c r="M10" t="inlineStr">
        <is>
          <t>Filled</t>
        </is>
      </c>
      <c r="N10" t="inlineStr">
        <is>
          <t>59000.00 2026</t>
        </is>
      </c>
      <c r="O10" t="n">
        <v>0</v>
      </c>
      <c r="P10" t="inlineStr">
        <is>
          <t>University adapter</t>
        </is>
      </c>
      <c r="Q10" t="inlineStr">
        <is>
          <t>Filled</t>
        </is>
      </c>
      <c r="R10" t="n">
        <v>6</v>
      </c>
      <c r="S10" t="inlineStr">
        <is>
          <t>Central English policy</t>
        </is>
      </c>
      <c r="T10" t="inlineStr">
        <is>
          <t>Central rule applies (value agrees)</t>
        </is>
      </c>
      <c r="U10" t="inlineStr"/>
      <c r="V10" t="inlineStr">
        <is>
          <t>Filled</t>
        </is>
      </c>
      <c r="W10" t="inlineStr">
        <is>
          <t>February, May, September</t>
        </is>
      </c>
      <c r="X10" t="inlineStr">
        <is>
          <t>University adapter</t>
        </is>
      </c>
      <c r="Y10" t="n">
        <v>0</v>
      </c>
      <c r="Z10" t="inlineStr">
        <is>
          <t>Yes</t>
        </is>
      </c>
      <c r="AA10" t="inlineStr">
        <is>
          <t>Filled</t>
        </is>
      </c>
      <c r="AB10" t="inlineStr">
        <is>
          <t>on campus</t>
        </is>
      </c>
      <c r="AC10" t="inlineStr"/>
      <c r="AD10" t="n">
        <v>0</v>
      </c>
      <c r="AE10" t="inlineStr"/>
      <c r="AF10" t="inlineStr"/>
      <c r="AG10" t="inlineStr"/>
      <c r="AH10" t="inlineStr"/>
      <c r="AI10" t="inlineStr"/>
      <c r="AJ10" t="inlineStr"/>
      <c r="AK10" t="inlineStr"/>
      <c r="AL10" t="inlineStr"/>
      <c r="AM10" t="inlineStr"/>
    </row>
    <row r="11">
      <c r="A11" t="inlineStr">
        <is>
          <t>111284D</t>
        </is>
      </c>
      <c r="B11" t="inlineStr">
        <is>
          <t>Bachelor of Advanced Computer Science (Honours)</t>
        </is>
      </c>
      <c r="C11" t="inlineStr">
        <is>
          <t>Bachelor Honours Degree</t>
        </is>
      </c>
      <c r="D11" t="inlineStr">
        <is>
          <t>Undergraduate</t>
        </is>
      </c>
      <c r="E11" t="inlineStr">
        <is>
          <t>Advertised: official page in place</t>
        </is>
      </c>
      <c r="F11" t="inlineStr">
        <is>
          <t>https://www.unsw.edu.au/study/undergraduate/bachelor-of-advanced-computer-science-honours</t>
        </is>
      </c>
      <c r="G11" t="inlineStr">
        <is>
          <t>https://www.unsw.edu.au/study/undergraduate/bachelor-of-advanced-computer-science-honours</t>
        </is>
      </c>
      <c r="H11" t="inlineStr">
        <is>
          <t>Read</t>
        </is>
      </c>
      <c r="I11" t="inlineStr">
        <is>
          <t>CRICOS code on page</t>
        </is>
      </c>
      <c r="J11" t="inlineStr"/>
      <c r="K11" t="inlineStr">
        <is>
          <t>Not sent to re-link</t>
        </is>
      </c>
      <c r="L11" t="inlineStr">
        <is>
          <t>Filled</t>
        </is>
      </c>
      <c r="M11" t="inlineStr">
        <is>
          <t>Filled</t>
        </is>
      </c>
      <c r="N11" t="inlineStr">
        <is>
          <t>61000.00 2026</t>
        </is>
      </c>
      <c r="O11" t="n">
        <v>0</v>
      </c>
      <c r="P11" t="inlineStr">
        <is>
          <t>University adapter</t>
        </is>
      </c>
      <c r="Q11" t="inlineStr">
        <is>
          <t>Filled</t>
        </is>
      </c>
      <c r="R11" t="n">
        <v>6</v>
      </c>
      <c r="S11" t="inlineStr">
        <is>
          <t>Central English policy</t>
        </is>
      </c>
      <c r="T11" t="inlineStr">
        <is>
          <t>Central rule applies (value agrees)</t>
        </is>
      </c>
      <c r="U11" t="inlineStr"/>
      <c r="V11" t="inlineStr">
        <is>
          <t>Filled</t>
        </is>
      </c>
      <c r="W11" t="inlineStr">
        <is>
          <t>February, May, September</t>
        </is>
      </c>
      <c r="X11" t="inlineStr">
        <is>
          <t>University adapter</t>
        </is>
      </c>
      <c r="Y11" t="n">
        <v>0</v>
      </c>
      <c r="Z11" t="inlineStr">
        <is>
          <t>Yes</t>
        </is>
      </c>
      <c r="AA11" t="inlineStr">
        <is>
          <t>Filled</t>
        </is>
      </c>
      <c r="AB11" t="inlineStr">
        <is>
          <t>on campus</t>
        </is>
      </c>
      <c r="AC11" t="inlineStr"/>
      <c r="AD11" t="n">
        <v>0</v>
      </c>
      <c r="AE11" t="inlineStr"/>
      <c r="AF11" t="inlineStr"/>
      <c r="AG11" t="inlineStr"/>
      <c r="AH11" t="inlineStr"/>
      <c r="AI11" t="inlineStr"/>
      <c r="AJ11" t="inlineStr"/>
      <c r="AK11" t="inlineStr"/>
      <c r="AL11" t="inlineStr"/>
      <c r="AM11" t="inlineStr"/>
    </row>
    <row r="12">
      <c r="A12" t="inlineStr">
        <is>
          <t>088842G</t>
        </is>
      </c>
      <c r="B12" t="inlineStr">
        <is>
          <t>Bachelor of Advanced Science (Honours)</t>
        </is>
      </c>
      <c r="C12" t="inlineStr">
        <is>
          <t>Bachelor Honours Degree</t>
        </is>
      </c>
      <c r="D12" t="inlineStr">
        <is>
          <t>Undergraduate</t>
        </is>
      </c>
      <c r="E12" t="inlineStr">
        <is>
          <t>Advertised: official page in place</t>
        </is>
      </c>
      <c r="F12" t="inlineStr">
        <is>
          <t>https://www.unsw.edu.au/study/undergraduate/bachelor-of-advanced-science-honours</t>
        </is>
      </c>
      <c r="G12" t="inlineStr">
        <is>
          <t>https://www.unsw.edu.au/study/undergraduate/bachelor-of-advanced-science-honours</t>
        </is>
      </c>
      <c r="H12" t="inlineStr">
        <is>
          <t>Read</t>
        </is>
      </c>
      <c r="I12" t="inlineStr">
        <is>
          <t>CRICOS code on page</t>
        </is>
      </c>
      <c r="J12" t="inlineStr"/>
      <c r="K12" t="inlineStr">
        <is>
          <t>Not sent to re-link</t>
        </is>
      </c>
      <c r="L12" t="inlineStr">
        <is>
          <t>Filled</t>
        </is>
      </c>
      <c r="M12" t="inlineStr">
        <is>
          <t>Filled</t>
        </is>
      </c>
      <c r="N12" t="inlineStr">
        <is>
          <t>61500.00 2026</t>
        </is>
      </c>
      <c r="O12" t="n">
        <v>0</v>
      </c>
      <c r="P12" t="inlineStr">
        <is>
          <t>University adapter</t>
        </is>
      </c>
      <c r="Q12" t="inlineStr">
        <is>
          <t>Filled</t>
        </is>
      </c>
      <c r="R12" t="n">
        <v>6</v>
      </c>
      <c r="S12" t="inlineStr">
        <is>
          <t>Central English policy</t>
        </is>
      </c>
      <c r="T12" t="inlineStr">
        <is>
          <t>Central rule applies (value agrees)</t>
        </is>
      </c>
      <c r="U12" t="inlineStr"/>
      <c r="V12" t="inlineStr">
        <is>
          <t>Filled</t>
        </is>
      </c>
      <c r="W12" t="inlineStr">
        <is>
          <t>February, May, September</t>
        </is>
      </c>
      <c r="X12" t="inlineStr">
        <is>
          <t>University adapter</t>
        </is>
      </c>
      <c r="Y12" t="n">
        <v>0</v>
      </c>
      <c r="Z12" t="inlineStr">
        <is>
          <t>Yes</t>
        </is>
      </c>
      <c r="AA12" t="inlineStr">
        <is>
          <t>Filled</t>
        </is>
      </c>
      <c r="AB12" t="inlineStr">
        <is>
          <t>on campus</t>
        </is>
      </c>
      <c r="AC12" t="inlineStr"/>
      <c r="AD12" t="n">
        <v>0</v>
      </c>
      <c r="AE12" t="inlineStr"/>
      <c r="AF12" t="inlineStr"/>
      <c r="AG12" t="inlineStr"/>
      <c r="AH12" t="inlineStr"/>
      <c r="AI12" t="inlineStr"/>
      <c r="AJ12" t="inlineStr"/>
      <c r="AK12" t="inlineStr"/>
      <c r="AL12" t="inlineStr"/>
      <c r="AM12" t="inlineStr"/>
    </row>
    <row r="13">
      <c r="A13" t="inlineStr">
        <is>
          <t>088877G</t>
        </is>
      </c>
      <c r="B13" t="inlineStr">
        <is>
          <t>Bachelor of Advanced Science (Honours)/Bachelor of Arts</t>
        </is>
      </c>
      <c r="C13" t="inlineStr">
        <is>
          <t>Bachelor Honours Degree</t>
        </is>
      </c>
      <c r="D13" t="inlineStr">
        <is>
          <t>Undergraduate</t>
        </is>
      </c>
      <c r="E13" t="inlineStr">
        <is>
          <t>Advertised: official page in place</t>
        </is>
      </c>
      <c r="F13" t="inlineStr">
        <is>
          <t>https://www.unsw.edu.au/study/undergraduate/bachelor-of-advanced-science-honours-arts</t>
        </is>
      </c>
      <c r="G13" t="inlineStr">
        <is>
          <t>https://www.unsw.edu.au/study/undergraduate/bachelor-of-advanced-science-honours-arts</t>
        </is>
      </c>
      <c r="H13" t="inlineStr">
        <is>
          <t>Read</t>
        </is>
      </c>
      <c r="I13" t="inlineStr">
        <is>
          <t>CRICOS code on page</t>
        </is>
      </c>
      <c r="J13" t="inlineStr"/>
      <c r="K13" t="inlineStr">
        <is>
          <t>Not sent to re-link</t>
        </is>
      </c>
      <c r="L13" t="inlineStr">
        <is>
          <t>Filled</t>
        </is>
      </c>
      <c r="M13" t="inlineStr">
        <is>
          <t>Filled</t>
        </is>
      </c>
      <c r="N13" t="inlineStr">
        <is>
          <t>55000.00 2026</t>
        </is>
      </c>
      <c r="O13" t="n">
        <v>0</v>
      </c>
      <c r="P13" t="inlineStr">
        <is>
          <t>University adapter</t>
        </is>
      </c>
      <c r="Q13" t="inlineStr">
        <is>
          <t>Filled</t>
        </is>
      </c>
      <c r="R13" t="n">
        <v>6</v>
      </c>
      <c r="S13" t="inlineStr">
        <is>
          <t>Central English policy</t>
        </is>
      </c>
      <c r="T13" t="inlineStr">
        <is>
          <t>Central rule applies (value agrees)</t>
        </is>
      </c>
      <c r="U13" t="inlineStr"/>
      <c r="V13" t="inlineStr">
        <is>
          <t>Filled</t>
        </is>
      </c>
      <c r="W13" t="inlineStr">
        <is>
          <t>February, May, September</t>
        </is>
      </c>
      <c r="X13" t="inlineStr">
        <is>
          <t>University adapter</t>
        </is>
      </c>
      <c r="Y13" t="n">
        <v>0</v>
      </c>
      <c r="Z13" t="inlineStr">
        <is>
          <t>Yes</t>
        </is>
      </c>
      <c r="AA13" t="inlineStr">
        <is>
          <t>Filled</t>
        </is>
      </c>
      <c r="AB13" t="inlineStr">
        <is>
          <t>on campus</t>
        </is>
      </c>
      <c r="AC13" t="inlineStr"/>
      <c r="AD13" t="n">
        <v>0</v>
      </c>
      <c r="AE13" t="inlineStr"/>
      <c r="AF13" t="inlineStr"/>
      <c r="AG13" t="inlineStr"/>
      <c r="AH13" t="inlineStr"/>
      <c r="AI13" t="inlineStr"/>
      <c r="AJ13" t="inlineStr"/>
      <c r="AK13" t="inlineStr"/>
      <c r="AL13" t="inlineStr"/>
      <c r="AM13" t="inlineStr"/>
    </row>
    <row r="14">
      <c r="A14" t="inlineStr">
        <is>
          <t>088866M</t>
        </is>
      </c>
      <c r="B14" t="inlineStr">
        <is>
          <t>Bachelor of Advanced Science (Honours)/Bachelor of Engineering (Honours)</t>
        </is>
      </c>
      <c r="C14" t="inlineStr">
        <is>
          <t>Bachelor Honours Degree</t>
        </is>
      </c>
      <c r="D14" t="inlineStr">
        <is>
          <t>Undergraduate</t>
        </is>
      </c>
      <c r="E14" t="inlineStr">
        <is>
          <t>Advertised: official page in place</t>
        </is>
      </c>
      <c r="F14" t="inlineStr">
        <is>
          <t>https://www.unsw.edu.au/study/undergraduate/bachelor-of-advanced-science-honours-engineering-honours</t>
        </is>
      </c>
      <c r="G14" t="inlineStr">
        <is>
          <t>https://www.unsw.edu.au/study/undergraduate/bachelor-of-advanced-science-honours-engineering-honours</t>
        </is>
      </c>
      <c r="H14" t="inlineStr">
        <is>
          <t>Read</t>
        </is>
      </c>
      <c r="I14" t="inlineStr">
        <is>
          <t>CRICOS code on page</t>
        </is>
      </c>
      <c r="J14" t="inlineStr"/>
      <c r="K14" t="inlineStr">
        <is>
          <t>Not sent to re-link</t>
        </is>
      </c>
      <c r="L14" t="inlineStr">
        <is>
          <t>Filled</t>
        </is>
      </c>
      <c r="M14" t="inlineStr">
        <is>
          <t>Filled</t>
        </is>
      </c>
      <c r="N14" t="inlineStr">
        <is>
          <t>62000.00 2026</t>
        </is>
      </c>
      <c r="O14" t="n">
        <v>0</v>
      </c>
      <c r="P14" t="inlineStr">
        <is>
          <t>University adapter</t>
        </is>
      </c>
      <c r="Q14" t="inlineStr">
        <is>
          <t>Filled</t>
        </is>
      </c>
      <c r="R14" t="n">
        <v>6</v>
      </c>
      <c r="S14" t="inlineStr">
        <is>
          <t>Central English policy</t>
        </is>
      </c>
      <c r="T14" t="inlineStr">
        <is>
          <t>Central rule applies (value agrees)</t>
        </is>
      </c>
      <c r="U14" t="inlineStr"/>
      <c r="V14" t="inlineStr">
        <is>
          <t>Filled</t>
        </is>
      </c>
      <c r="W14" t="inlineStr">
        <is>
          <t>February, September</t>
        </is>
      </c>
      <c r="X14" t="inlineStr">
        <is>
          <t>University adapter</t>
        </is>
      </c>
      <c r="Y14" t="n">
        <v>0</v>
      </c>
      <c r="Z14" t="inlineStr">
        <is>
          <t>Yes</t>
        </is>
      </c>
      <c r="AA14" t="inlineStr">
        <is>
          <t>Filled</t>
        </is>
      </c>
      <c r="AB14" t="inlineStr">
        <is>
          <t>on campus</t>
        </is>
      </c>
      <c r="AC14" t="inlineStr"/>
      <c r="AD14" t="n">
        <v>0</v>
      </c>
      <c r="AE14" t="inlineStr"/>
      <c r="AF14" t="inlineStr"/>
      <c r="AG14" t="inlineStr"/>
      <c r="AH14" t="inlineStr"/>
      <c r="AI14" t="inlineStr"/>
      <c r="AJ14" t="inlineStr"/>
      <c r="AK14" t="inlineStr"/>
      <c r="AL14" t="inlineStr"/>
      <c r="AM14" t="inlineStr"/>
    </row>
    <row r="15">
      <c r="A15" t="inlineStr">
        <is>
          <t>110670B</t>
        </is>
      </c>
      <c r="B15" t="inlineStr">
        <is>
          <t>Bachelor of Advanced Science (Honours)/Bachelor of Fine Arts</t>
        </is>
      </c>
      <c r="C15" t="inlineStr">
        <is>
          <t>Bachelor Honours Degree</t>
        </is>
      </c>
      <c r="D15" t="inlineStr">
        <is>
          <t>Undergraduate</t>
        </is>
      </c>
      <c r="E15" t="inlineStr">
        <is>
          <t>Advertised: official page in place</t>
        </is>
      </c>
      <c r="F15" t="inlineStr">
        <is>
          <t>https://www.unsw.edu.au/study/undergraduate/bachelor-of-advanced-science-honours-fine-arts1</t>
        </is>
      </c>
      <c r="G15" t="inlineStr">
        <is>
          <t>https://www.unsw.edu.au/study/undergraduate/bachelor-of-advanced-science-honours-fine-arts1</t>
        </is>
      </c>
      <c r="H15" t="inlineStr">
        <is>
          <t>Read</t>
        </is>
      </c>
      <c r="I15" t="inlineStr">
        <is>
          <t>CRICOS code on page</t>
        </is>
      </c>
      <c r="J15" t="inlineStr"/>
      <c r="K15" t="inlineStr">
        <is>
          <t>Not sent to re-link</t>
        </is>
      </c>
      <c r="L15" t="inlineStr">
        <is>
          <t>Filled</t>
        </is>
      </c>
      <c r="M15" t="inlineStr">
        <is>
          <t>Filled</t>
        </is>
      </c>
      <c r="N15" t="inlineStr">
        <is>
          <t>60500.00 2026</t>
        </is>
      </c>
      <c r="O15" t="n">
        <v>0</v>
      </c>
      <c r="P15" t="inlineStr">
        <is>
          <t>University adapter</t>
        </is>
      </c>
      <c r="Q15" t="inlineStr">
        <is>
          <t>Filled</t>
        </is>
      </c>
      <c r="R15" t="n">
        <v>6</v>
      </c>
      <c r="S15" t="inlineStr">
        <is>
          <t>Central English policy</t>
        </is>
      </c>
      <c r="T15" t="inlineStr">
        <is>
          <t>Central rule applies (value agrees)</t>
        </is>
      </c>
      <c r="U15" t="inlineStr"/>
      <c r="V15" t="inlineStr">
        <is>
          <t>Filled</t>
        </is>
      </c>
      <c r="W15" t="inlineStr">
        <is>
          <t>February, May, September</t>
        </is>
      </c>
      <c r="X15" t="inlineStr">
        <is>
          <t>University adapter</t>
        </is>
      </c>
      <c r="Y15" t="n">
        <v>0</v>
      </c>
      <c r="Z15" t="inlineStr">
        <is>
          <t>Yes</t>
        </is>
      </c>
      <c r="AA15" t="inlineStr">
        <is>
          <t>Filled</t>
        </is>
      </c>
      <c r="AB15" t="inlineStr">
        <is>
          <t>on campus</t>
        </is>
      </c>
      <c r="AC15" t="inlineStr"/>
      <c r="AD15" t="n">
        <v>0</v>
      </c>
      <c r="AE15" t="inlineStr"/>
      <c r="AF15" t="inlineStr"/>
      <c r="AG15" t="inlineStr"/>
      <c r="AH15" t="inlineStr"/>
      <c r="AI15" t="inlineStr"/>
      <c r="AJ15" t="inlineStr"/>
      <c r="AK15" t="inlineStr"/>
      <c r="AL15" t="inlineStr"/>
      <c r="AM15" t="inlineStr"/>
    </row>
    <row r="16">
      <c r="A16" t="inlineStr">
        <is>
          <t>088869G</t>
        </is>
      </c>
      <c r="B16" t="inlineStr">
        <is>
          <t>Bachelor of Advanced Science (Honours)/Bachelor of Fine Arts</t>
        </is>
      </c>
      <c r="C16" t="inlineStr">
        <is>
          <t>Bachelor Honours Degree</t>
        </is>
      </c>
      <c r="D16" t="inlineStr">
        <is>
          <t>Undergraduate</t>
        </is>
      </c>
      <c r="E16" t="inlineStr">
        <is>
          <t>Page address no longer works</t>
        </is>
      </c>
      <c r="F16" t="inlineStr"/>
      <c r="G16" t="inlineStr">
        <is>
          <t>https://www.handbook.unsw.edu.au/undergraduate/programs/2026/3957</t>
        </is>
      </c>
      <c r="H16" t="inlineStr">
        <is>
          <t>Address no longer works</t>
        </is>
      </c>
      <c r="I16" t="inlineStr"/>
      <c r="J16" t="inlineStr"/>
      <c r="K16" t="inlineStr">
        <is>
          <t>Finished, no page: no address from the university's address forms or stored lis</t>
        </is>
      </c>
      <c r="L16" t="inlineStr">
        <is>
          <t>Page found, being read</t>
        </is>
      </c>
      <c r="M16" t="inlineStr">
        <is>
          <t>Page found, being read</t>
        </is>
      </c>
      <c r="N16" t="inlineStr"/>
      <c r="O16" t="n">
        <v>0</v>
      </c>
      <c r="P16" t="inlineStr"/>
      <c r="Q16" t="inlineStr">
        <is>
          <t>Filled</t>
        </is>
      </c>
      <c r="R16" t="n">
        <v>6</v>
      </c>
      <c r="S16" t="inlineStr">
        <is>
          <t>Central English policy</t>
        </is>
      </c>
      <c r="T16" t="inlineStr">
        <is>
          <t>Central rule applies (value agrees)</t>
        </is>
      </c>
      <c r="U16" t="inlineStr"/>
      <c r="V16" t="inlineStr">
        <is>
          <t>Page found, being read</t>
        </is>
      </c>
      <c r="W16" t="inlineStr"/>
      <c r="X16" t="inlineStr"/>
      <c r="Y16" t="n">
        <v>0</v>
      </c>
      <c r="Z16" t="inlineStr">
        <is>
          <t>Yes</t>
        </is>
      </c>
      <c r="AA16" t="inlineStr">
        <is>
          <t>Not stated on course page</t>
        </is>
      </c>
      <c r="AB16" t="inlineStr"/>
      <c r="AC16" t="inlineStr">
        <is>
          <t>Skipped: no allowed source had a value</t>
        </is>
      </c>
      <c r="AD16" t="n">
        <v>1</v>
      </c>
      <c r="AE16" t="inlineStr"/>
      <c r="AF16" t="inlineStr"/>
      <c r="AG16" t="inlineStr"/>
      <c r="AH16" t="inlineStr"/>
      <c r="AI16" t="inlineStr"/>
      <c r="AJ16" t="inlineStr"/>
      <c r="AK16" t="inlineStr"/>
      <c r="AL16" t="inlineStr"/>
      <c r="AM16" t="inlineStr"/>
    </row>
    <row r="17">
      <c r="A17" t="inlineStr">
        <is>
          <t>088861E</t>
        </is>
      </c>
      <c r="B17" t="inlineStr">
        <is>
          <t>Bachelor of Advanced Science (Honours)/Bachelor of Laws</t>
        </is>
      </c>
      <c r="C17" t="inlineStr">
        <is>
          <t>Bachelor Honours Degree</t>
        </is>
      </c>
      <c r="D17" t="inlineStr">
        <is>
          <t>Undergraduate</t>
        </is>
      </c>
      <c r="E17" t="inlineStr">
        <is>
          <t>Advertised: official page in place</t>
        </is>
      </c>
      <c r="F17" t="inlineStr">
        <is>
          <t>https://www.unsw.edu.au/study/undergraduate/bachelor-of-advanced-science-honours-law</t>
        </is>
      </c>
      <c r="G17" t="inlineStr">
        <is>
          <t>https://www.unsw.edu.au/study/undergraduate/bachelor-of-advanced-science-honours-law</t>
        </is>
      </c>
      <c r="H17" t="inlineStr">
        <is>
          <t>Read</t>
        </is>
      </c>
      <c r="I17" t="inlineStr">
        <is>
          <t>CRICOS code on page</t>
        </is>
      </c>
      <c r="J17" t="inlineStr"/>
      <c r="K17" t="inlineStr">
        <is>
          <t>Not sent to re-link</t>
        </is>
      </c>
      <c r="L17" t="inlineStr">
        <is>
          <t>Filled</t>
        </is>
      </c>
      <c r="M17" t="inlineStr">
        <is>
          <t>Filled</t>
        </is>
      </c>
      <c r="N17" t="inlineStr">
        <is>
          <t>57000.00 2026</t>
        </is>
      </c>
      <c r="O17" t="n">
        <v>0</v>
      </c>
      <c r="P17" t="inlineStr">
        <is>
          <t>University adapter</t>
        </is>
      </c>
      <c r="Q17" t="inlineStr">
        <is>
          <t>Filled</t>
        </is>
      </c>
      <c r="R17" t="n">
        <v>6</v>
      </c>
      <c r="S17" t="inlineStr">
        <is>
          <t>Central English policy</t>
        </is>
      </c>
      <c r="T17" t="inlineStr">
        <is>
          <t>Central rule applies (value agrees)</t>
        </is>
      </c>
      <c r="U17" t="inlineStr"/>
      <c r="V17" t="inlineStr">
        <is>
          <t>Filled</t>
        </is>
      </c>
      <c r="W17" t="inlineStr">
        <is>
          <t>February</t>
        </is>
      </c>
      <c r="X17" t="inlineStr">
        <is>
          <t>University adapter</t>
        </is>
      </c>
      <c r="Y17" t="n">
        <v>0</v>
      </c>
      <c r="Z17" t="inlineStr">
        <is>
          <t>Yes</t>
        </is>
      </c>
      <c r="AA17" t="inlineStr">
        <is>
          <t>Filled</t>
        </is>
      </c>
      <c r="AB17" t="inlineStr">
        <is>
          <t>on campus</t>
        </is>
      </c>
      <c r="AC17" t="inlineStr"/>
      <c r="AD17" t="n">
        <v>0</v>
      </c>
      <c r="AE17" t="inlineStr"/>
      <c r="AF17" t="inlineStr"/>
      <c r="AG17" t="inlineStr"/>
      <c r="AH17" t="inlineStr"/>
      <c r="AI17" t="inlineStr"/>
      <c r="AJ17" t="inlineStr"/>
      <c r="AK17" t="inlineStr"/>
      <c r="AL17" t="inlineStr"/>
      <c r="AM17" t="inlineStr"/>
    </row>
    <row r="18">
      <c r="A18" t="inlineStr">
        <is>
          <t>088867K</t>
        </is>
      </c>
      <c r="B18" t="inlineStr">
        <is>
          <t>Bachelor of Advanced Science (Honours)/Bachelor of Science (Computer Science)</t>
        </is>
      </c>
      <c r="C18" t="inlineStr">
        <is>
          <t>Bachelor Honours Degree</t>
        </is>
      </c>
      <c r="D18" t="inlineStr">
        <is>
          <t>Undergraduate</t>
        </is>
      </c>
      <c r="E18" t="inlineStr">
        <is>
          <t>Advertised: official page in place</t>
        </is>
      </c>
      <c r="F18" t="inlineStr">
        <is>
          <t>https://www.unsw.edu.au/study/undergraduate/bachelor-of-advanced-science-honours-computer-science</t>
        </is>
      </c>
      <c r="G18" t="inlineStr">
        <is>
          <t>https://www.unsw.edu.au/study/undergraduate/bachelor-of-advanced-science-honours-computer-science</t>
        </is>
      </c>
      <c r="H18" t="inlineStr">
        <is>
          <t>Read</t>
        </is>
      </c>
      <c r="I18" t="inlineStr">
        <is>
          <t>CRICOS code on page</t>
        </is>
      </c>
      <c r="J18" t="inlineStr"/>
      <c r="K18" t="inlineStr">
        <is>
          <t>Not sent to re-link</t>
        </is>
      </c>
      <c r="L18" t="inlineStr">
        <is>
          <t>Filled</t>
        </is>
      </c>
      <c r="M18" t="inlineStr">
        <is>
          <t>Filled</t>
        </is>
      </c>
      <c r="N18" t="inlineStr">
        <is>
          <t>62000.00 2026</t>
        </is>
      </c>
      <c r="O18" t="n">
        <v>0</v>
      </c>
      <c r="P18" t="inlineStr">
        <is>
          <t>University adapter</t>
        </is>
      </c>
      <c r="Q18" t="inlineStr">
        <is>
          <t>Filled</t>
        </is>
      </c>
      <c r="R18" t="n">
        <v>6</v>
      </c>
      <c r="S18" t="inlineStr">
        <is>
          <t>Central English policy</t>
        </is>
      </c>
      <c r="T18" t="inlineStr">
        <is>
          <t>Central rule applies (value agrees)</t>
        </is>
      </c>
      <c r="U18" t="inlineStr"/>
      <c r="V18" t="inlineStr">
        <is>
          <t>Filled</t>
        </is>
      </c>
      <c r="W18" t="inlineStr">
        <is>
          <t>February, May, September</t>
        </is>
      </c>
      <c r="X18" t="inlineStr">
        <is>
          <t>University adapter</t>
        </is>
      </c>
      <c r="Y18" t="n">
        <v>0</v>
      </c>
      <c r="Z18" t="inlineStr">
        <is>
          <t>Yes</t>
        </is>
      </c>
      <c r="AA18" t="inlineStr">
        <is>
          <t>Filled</t>
        </is>
      </c>
      <c r="AB18" t="inlineStr">
        <is>
          <t>on campus</t>
        </is>
      </c>
      <c r="AC18" t="inlineStr"/>
      <c r="AD18" t="n">
        <v>0</v>
      </c>
      <c r="AE18" t="inlineStr"/>
      <c r="AF18" t="inlineStr"/>
      <c r="AG18" t="inlineStr"/>
      <c r="AH18" t="inlineStr"/>
      <c r="AI18" t="inlineStr"/>
      <c r="AJ18" t="inlineStr"/>
      <c r="AK18" t="inlineStr"/>
      <c r="AL18" t="inlineStr"/>
      <c r="AM18" t="inlineStr"/>
    </row>
    <row r="19">
      <c r="A19" t="inlineStr">
        <is>
          <t>088868J</t>
        </is>
      </c>
      <c r="B19" t="inlineStr">
        <is>
          <t>Bachelor of Advanced Science (Honours)/Bachelor of Social Science</t>
        </is>
      </c>
      <c r="C19" t="inlineStr">
        <is>
          <t>Bachelor Honours Degree</t>
        </is>
      </c>
      <c r="D19" t="inlineStr">
        <is>
          <t>Undergraduate</t>
        </is>
      </c>
      <c r="E19" t="inlineStr">
        <is>
          <t>No-page record (conjoint), awaiting review</t>
        </is>
      </c>
      <c r="F19" t="inlineStr"/>
      <c r="G19" t="inlineStr">
        <is>
          <t>https://www.handbook.unsw.edu.au/undergraduate/programs/2026/3962</t>
        </is>
      </c>
      <c r="H19" t="inlineStr">
        <is>
          <t>Page is for another course</t>
        </is>
      </c>
      <c r="I19" t="inlineStr"/>
      <c r="J19" t="inlineStr">
        <is>
          <t>Conjoint (proposed)</t>
        </is>
      </c>
      <c r="K19" t="inlineStr">
        <is>
          <t>Finished, no page: no address from the university's address forms or stored lis</t>
        </is>
      </c>
      <c r="L19" t="inlineStr">
        <is>
          <t>Searching for course page</t>
        </is>
      </c>
      <c r="M19" t="inlineStr">
        <is>
          <t>Searching for course page</t>
        </is>
      </c>
      <c r="N19" t="inlineStr"/>
      <c r="O19" t="n">
        <v>0</v>
      </c>
      <c r="P19" t="inlineStr"/>
      <c r="Q19" t="inlineStr">
        <is>
          <t>Filled</t>
        </is>
      </c>
      <c r="R19" t="n">
        <v>6</v>
      </c>
      <c r="S19" t="inlineStr">
        <is>
          <t>Central English policy</t>
        </is>
      </c>
      <c r="T19" t="inlineStr">
        <is>
          <t>Central rule applies (value agrees)</t>
        </is>
      </c>
      <c r="U19" t="inlineStr"/>
      <c r="V19" t="inlineStr">
        <is>
          <t>Searching for course page</t>
        </is>
      </c>
      <c r="W19" t="inlineStr"/>
      <c r="X19" t="inlineStr"/>
      <c r="Y19" t="n">
        <v>0</v>
      </c>
      <c r="Z19" t="inlineStr">
        <is>
          <t>Yes</t>
        </is>
      </c>
      <c r="AA19" t="inlineStr">
        <is>
          <t>Not stated on course page</t>
        </is>
      </c>
      <c r="AB19" t="inlineStr"/>
      <c r="AC19" t="inlineStr">
        <is>
          <t>Skipped: no correct course page: the page found is for another course</t>
        </is>
      </c>
      <c r="AD19" t="n">
        <v>1</v>
      </c>
      <c r="AE19" t="inlineStr"/>
      <c r="AF19" t="inlineStr"/>
      <c r="AG19" t="inlineStr"/>
      <c r="AH19" t="inlineStr"/>
      <c r="AI19" t="inlineStr"/>
      <c r="AJ19" t="inlineStr"/>
      <c r="AK19" t="inlineStr"/>
      <c r="AL19" t="inlineStr"/>
      <c r="AM19" t="inlineStr">
        <is>
          <t>Yes</t>
        </is>
      </c>
    </row>
    <row r="20">
      <c r="A20" t="inlineStr">
        <is>
          <t>110671A</t>
        </is>
      </c>
      <c r="B20" t="inlineStr">
        <is>
          <t>Bachelor of Advanced Science (Honours)/Bachelor of Social Sciences</t>
        </is>
      </c>
      <c r="C20" t="inlineStr">
        <is>
          <t>Bachelor Honours Degree</t>
        </is>
      </c>
      <c r="D20" t="inlineStr">
        <is>
          <t>Undergraduate</t>
        </is>
      </c>
      <c r="E20" t="inlineStr">
        <is>
          <t>Advertised: official page in place</t>
        </is>
      </c>
      <c r="F20" t="inlineStr">
        <is>
          <t>https://www.unsw.edu.au/study/undergraduate/bachelor-of-advanced-science-honours-social-science1</t>
        </is>
      </c>
      <c r="G20" t="inlineStr">
        <is>
          <t>https://www.unsw.edu.au/study/undergraduate/bachelor-of-advanced-science-honours-social-science1</t>
        </is>
      </c>
      <c r="H20" t="inlineStr">
        <is>
          <t>Read</t>
        </is>
      </c>
      <c r="I20" t="inlineStr">
        <is>
          <t>CRICOS code on page</t>
        </is>
      </c>
      <c r="J20" t="inlineStr"/>
      <c r="K20" t="inlineStr">
        <is>
          <t>Not sent to re-link</t>
        </is>
      </c>
      <c r="L20" t="inlineStr">
        <is>
          <t>Filled</t>
        </is>
      </c>
      <c r="M20" t="inlineStr">
        <is>
          <t>Filled</t>
        </is>
      </c>
      <c r="N20" t="inlineStr">
        <is>
          <t>60500.00 2026</t>
        </is>
      </c>
      <c r="O20" t="n">
        <v>0</v>
      </c>
      <c r="P20" t="inlineStr">
        <is>
          <t>University adapter</t>
        </is>
      </c>
      <c r="Q20" t="inlineStr">
        <is>
          <t>Filled</t>
        </is>
      </c>
      <c r="R20" t="n">
        <v>6</v>
      </c>
      <c r="S20" t="inlineStr">
        <is>
          <t>Central English policy</t>
        </is>
      </c>
      <c r="T20" t="inlineStr">
        <is>
          <t>Central rule applies (value agrees)</t>
        </is>
      </c>
      <c r="U20" t="inlineStr"/>
      <c r="V20" t="inlineStr">
        <is>
          <t>Filled</t>
        </is>
      </c>
      <c r="W20" t="inlineStr">
        <is>
          <t>February, May, September</t>
        </is>
      </c>
      <c r="X20" t="inlineStr">
        <is>
          <t>University adapter</t>
        </is>
      </c>
      <c r="Y20" t="n">
        <v>0</v>
      </c>
      <c r="Z20" t="inlineStr">
        <is>
          <t>Yes</t>
        </is>
      </c>
      <c r="AA20" t="inlineStr">
        <is>
          <t>Filled</t>
        </is>
      </c>
      <c r="AB20" t="inlineStr">
        <is>
          <t>on campus</t>
        </is>
      </c>
      <c r="AC20" t="inlineStr"/>
      <c r="AD20" t="n">
        <v>0</v>
      </c>
      <c r="AE20" t="inlineStr"/>
      <c r="AF20" t="inlineStr"/>
      <c r="AG20" t="inlineStr"/>
      <c r="AH20" t="inlineStr"/>
      <c r="AI20" t="inlineStr"/>
      <c r="AJ20" t="inlineStr"/>
      <c r="AK20" t="inlineStr"/>
      <c r="AL20" t="inlineStr"/>
      <c r="AM20" t="inlineStr"/>
    </row>
    <row r="21">
      <c r="A21" t="inlineStr">
        <is>
          <t>110656M</t>
        </is>
      </c>
      <c r="B21" t="inlineStr">
        <is>
          <t>Bachelor of Applied Exercise Science / Master of Clinical Exercise Physiology</t>
        </is>
      </c>
      <c r="C21" t="inlineStr">
        <is>
          <t>Masters Degree (Coursework)</t>
        </is>
      </c>
      <c r="D21" t="inlineStr">
        <is>
          <t>Postgraduate coursework</t>
        </is>
      </c>
      <c r="E21" t="inlineStr">
        <is>
          <t>Advertised: official page in place</t>
        </is>
      </c>
      <c r="F21" t="inlineStr">
        <is>
          <t>https://www.unsw.edu.au/study/undergraduate/bachelor-of-applied-exercise-science-master-of-clinical-exercise-physiology</t>
        </is>
      </c>
      <c r="G21" t="inlineStr">
        <is>
          <t>https://www.unsw.edu.au/study/undergraduate/bachelor-of-applied-exercise-science-master-of-clinical-exercise-physiology</t>
        </is>
      </c>
      <c r="H21" t="inlineStr">
        <is>
          <t>Read</t>
        </is>
      </c>
      <c r="I21" t="inlineStr">
        <is>
          <t>CRICOS code on page</t>
        </is>
      </c>
      <c r="J21" t="inlineStr"/>
      <c r="K21" t="inlineStr">
        <is>
          <t>Not sent to re-link</t>
        </is>
      </c>
      <c r="L21" t="inlineStr">
        <is>
          <t>Filled</t>
        </is>
      </c>
      <c r="M21" t="inlineStr">
        <is>
          <t>Filled</t>
        </is>
      </c>
      <c r="N21" t="inlineStr">
        <is>
          <t>63500.00 2026</t>
        </is>
      </c>
      <c r="O21" t="n">
        <v>0</v>
      </c>
      <c r="P21" t="inlineStr">
        <is>
          <t>University adapter</t>
        </is>
      </c>
      <c r="Q21" t="inlineStr">
        <is>
          <t>Waiting for AI reading (Layer 3, now retired)</t>
        </is>
      </c>
      <c r="S21" t="inlineStr"/>
      <c r="T21" t="inlineStr">
        <is>
          <t>Held: double degree (its parts are at different levels)</t>
        </is>
      </c>
      <c r="U21" t="inlineStr"/>
      <c r="V21" t="inlineStr">
        <is>
          <t>Filled</t>
        </is>
      </c>
      <c r="W21" t="inlineStr">
        <is>
          <t>February</t>
        </is>
      </c>
      <c r="X21" t="inlineStr">
        <is>
          <t>University adapter</t>
        </is>
      </c>
      <c r="Y21" t="n">
        <v>0</v>
      </c>
      <c r="Z21" t="inlineStr">
        <is>
          <t>No</t>
        </is>
      </c>
      <c r="AA21" t="inlineStr">
        <is>
          <t>Filled</t>
        </is>
      </c>
      <c r="AB21" t="inlineStr">
        <is>
          <t>on campus</t>
        </is>
      </c>
      <c r="AC21" t="inlineStr"/>
      <c r="AD21" t="n">
        <v>0</v>
      </c>
      <c r="AE21" t="inlineStr"/>
      <c r="AF21" t="inlineStr"/>
      <c r="AG21" t="inlineStr">
        <is>
          <t>Yes</t>
        </is>
      </c>
      <c r="AH21" t="inlineStr"/>
      <c r="AI21" t="inlineStr"/>
      <c r="AJ21" t="inlineStr">
        <is>
          <t>Yes</t>
        </is>
      </c>
      <c r="AK21" t="inlineStr"/>
      <c r="AL21" t="inlineStr"/>
      <c r="AM21" t="inlineStr"/>
    </row>
    <row r="22">
      <c r="A22" t="inlineStr">
        <is>
          <t>061903M</t>
        </is>
      </c>
      <c r="B22" t="inlineStr">
        <is>
          <t>Bachelor of Architectural Studies</t>
        </is>
      </c>
      <c r="C22" t="inlineStr">
        <is>
          <t>Bachelor</t>
        </is>
      </c>
      <c r="D22" t="inlineStr">
        <is>
          <t>Undergraduate</t>
        </is>
      </c>
      <c r="E22" t="inlineStr">
        <is>
          <t>Advertised: official page in place</t>
        </is>
      </c>
      <c r="F22" t="inlineStr">
        <is>
          <t>https://www.unsw.edu.au/study/undergraduate/bachelor-of-architectural-studies</t>
        </is>
      </c>
      <c r="G22" t="inlineStr">
        <is>
          <t>https://www.unsw.edu.au/study/undergraduate/bachelor-of-architectural-studies</t>
        </is>
      </c>
      <c r="H22" t="inlineStr">
        <is>
          <t>Read</t>
        </is>
      </c>
      <c r="I22" t="inlineStr">
        <is>
          <t>CRICOS code on page</t>
        </is>
      </c>
      <c r="J22" t="inlineStr"/>
      <c r="K22" t="inlineStr">
        <is>
          <t>Not sent to re-link</t>
        </is>
      </c>
      <c r="L22" t="inlineStr">
        <is>
          <t>Filled</t>
        </is>
      </c>
      <c r="M22" t="inlineStr">
        <is>
          <t>Filled</t>
        </is>
      </c>
      <c r="N22" t="inlineStr">
        <is>
          <t>52000.00 2026</t>
        </is>
      </c>
      <c r="O22" t="n">
        <v>0</v>
      </c>
      <c r="P22" t="inlineStr">
        <is>
          <t>University adapter</t>
        </is>
      </c>
      <c r="Q22" t="inlineStr">
        <is>
          <t>Filled</t>
        </is>
      </c>
      <c r="R22" t="n">
        <v>6</v>
      </c>
      <c r="S22" t="inlineStr">
        <is>
          <t>Central English policy</t>
        </is>
      </c>
      <c r="T22" t="inlineStr">
        <is>
          <t>Central rule applies (value agrees)</t>
        </is>
      </c>
      <c r="U22" t="inlineStr"/>
      <c r="V22" t="inlineStr">
        <is>
          <t>Filled</t>
        </is>
      </c>
      <c r="W22" t="inlineStr">
        <is>
          <t>February, September</t>
        </is>
      </c>
      <c r="X22" t="inlineStr">
        <is>
          <t>University adapter</t>
        </is>
      </c>
      <c r="Y22" t="n">
        <v>0</v>
      </c>
      <c r="Z22" t="inlineStr">
        <is>
          <t>Yes</t>
        </is>
      </c>
      <c r="AA22" t="inlineStr">
        <is>
          <t>Filled</t>
        </is>
      </c>
      <c r="AB22" t="inlineStr">
        <is>
          <t>on campus</t>
        </is>
      </c>
      <c r="AC22" t="inlineStr"/>
      <c r="AD22" t="n">
        <v>0</v>
      </c>
      <c r="AE22" t="inlineStr"/>
      <c r="AF22" t="inlineStr"/>
      <c r="AG22" t="inlineStr"/>
      <c r="AH22" t="inlineStr"/>
      <c r="AI22" t="inlineStr"/>
      <c r="AJ22" t="inlineStr"/>
      <c r="AK22" t="inlineStr"/>
      <c r="AL22" t="inlineStr"/>
      <c r="AM22" t="inlineStr"/>
    </row>
    <row r="23">
      <c r="A23" t="inlineStr">
        <is>
          <t>088836F</t>
        </is>
      </c>
      <c r="B23" t="inlineStr">
        <is>
          <t>Bachelor of Architectural Studies (Honours)</t>
        </is>
      </c>
      <c r="C23" t="inlineStr">
        <is>
          <t>Bachelor Honours Degree</t>
        </is>
      </c>
      <c r="D23" t="inlineStr">
        <is>
          <t>Undergraduate</t>
        </is>
      </c>
      <c r="E23" t="inlineStr">
        <is>
          <t>Advertised: official page in place</t>
        </is>
      </c>
      <c r="F23" t="inlineStr">
        <is>
          <t>https://www.unsw.edu.au/study/undergraduate/bachelor-of-architectural-studies-honours</t>
        </is>
      </c>
      <c r="G23" t="inlineStr">
        <is>
          <t>https://www.unsw.edu.au/study/undergraduate/bachelor-of-architectural-studies-honours</t>
        </is>
      </c>
      <c r="H23" t="inlineStr">
        <is>
          <t>Read</t>
        </is>
      </c>
      <c r="I23" t="inlineStr">
        <is>
          <t>CRICOS code on page</t>
        </is>
      </c>
      <c r="J23" t="inlineStr"/>
      <c r="K23" t="inlineStr">
        <is>
          <t>Not sent to re-link</t>
        </is>
      </c>
      <c r="L23" t="inlineStr">
        <is>
          <t>Filled</t>
        </is>
      </c>
      <c r="M23" t="inlineStr">
        <is>
          <t>Filled</t>
        </is>
      </c>
      <c r="N23" t="inlineStr">
        <is>
          <t>52000.00 2026</t>
        </is>
      </c>
      <c r="O23" t="n">
        <v>0</v>
      </c>
      <c r="P23" t="inlineStr">
        <is>
          <t>University adapter</t>
        </is>
      </c>
      <c r="Q23" t="inlineStr">
        <is>
          <t>Filled</t>
        </is>
      </c>
      <c r="R23" t="n">
        <v>6</v>
      </c>
      <c r="S23" t="inlineStr">
        <is>
          <t>Central English policy</t>
        </is>
      </c>
      <c r="T23" t="inlineStr">
        <is>
          <t>Central rule applies (value agrees)</t>
        </is>
      </c>
      <c r="U23" t="inlineStr"/>
      <c r="V23" t="inlineStr">
        <is>
          <t>Filled</t>
        </is>
      </c>
      <c r="W23" t="inlineStr">
        <is>
          <t>February</t>
        </is>
      </c>
      <c r="X23" t="inlineStr">
        <is>
          <t>University adapter</t>
        </is>
      </c>
      <c r="Y23" t="n">
        <v>0</v>
      </c>
      <c r="Z23" t="inlineStr">
        <is>
          <t>Yes</t>
        </is>
      </c>
      <c r="AA23" t="inlineStr">
        <is>
          <t>Filled</t>
        </is>
      </c>
      <c r="AB23" t="inlineStr">
        <is>
          <t>on campus</t>
        </is>
      </c>
      <c r="AC23" t="inlineStr"/>
      <c r="AD23" t="n">
        <v>0</v>
      </c>
      <c r="AE23" t="inlineStr"/>
      <c r="AF23" t="inlineStr"/>
      <c r="AG23" t="inlineStr"/>
      <c r="AH23" t="inlineStr"/>
      <c r="AI23" t="inlineStr"/>
      <c r="AJ23" t="inlineStr"/>
      <c r="AK23" t="inlineStr"/>
      <c r="AL23" t="inlineStr"/>
      <c r="AM23" t="inlineStr"/>
    </row>
    <row r="24">
      <c r="A24" t="inlineStr">
        <is>
          <t>083509F</t>
        </is>
      </c>
      <c r="B24" t="inlineStr">
        <is>
          <t>Bachelor of Architectural Studies (UNSW-Tongji)</t>
        </is>
      </c>
      <c r="C24" t="inlineStr">
        <is>
          <t>Bachelor</t>
        </is>
      </c>
      <c r="D24" t="inlineStr">
        <is>
          <t>Undergraduate</t>
        </is>
      </c>
      <c r="E24" t="inlineStr">
        <is>
          <t>Page address no longer works</t>
        </is>
      </c>
      <c r="F24" t="inlineStr"/>
      <c r="G24" t="inlineStr">
        <is>
          <t>https://www.handbook.unsw.edu.au/undergraduate/programs/2026/3264</t>
        </is>
      </c>
      <c r="H24" t="inlineStr">
        <is>
          <t>Address no longer works</t>
        </is>
      </c>
      <c r="I24" t="inlineStr"/>
      <c r="J24" t="inlineStr"/>
      <c r="K24" t="inlineStr">
        <is>
          <t>Finished, no page: no address from the university's address forms or stored lis</t>
        </is>
      </c>
      <c r="L24" t="inlineStr">
        <is>
          <t>Page found, being read</t>
        </is>
      </c>
      <c r="M24" t="inlineStr">
        <is>
          <t>Page found, being read</t>
        </is>
      </c>
      <c r="N24" t="inlineStr"/>
      <c r="O24" t="n">
        <v>0</v>
      </c>
      <c r="P24" t="inlineStr"/>
      <c r="Q24" t="inlineStr">
        <is>
          <t>Filled</t>
        </is>
      </c>
      <c r="R24" t="n">
        <v>6</v>
      </c>
      <c r="S24" t="inlineStr">
        <is>
          <t>Central English policy</t>
        </is>
      </c>
      <c r="T24" t="inlineStr">
        <is>
          <t>Central rule applies (value agrees)</t>
        </is>
      </c>
      <c r="U24" t="inlineStr"/>
      <c r="V24" t="inlineStr">
        <is>
          <t>Page found, being read</t>
        </is>
      </c>
      <c r="W24" t="inlineStr"/>
      <c r="X24" t="inlineStr"/>
      <c r="Y24" t="n">
        <v>0</v>
      </c>
      <c r="Z24" t="inlineStr">
        <is>
          <t>Yes</t>
        </is>
      </c>
      <c r="AA24" t="inlineStr">
        <is>
          <t>Not stated on course page</t>
        </is>
      </c>
      <c r="AB24" t="inlineStr"/>
      <c r="AC24" t="inlineStr">
        <is>
          <t>Skipped: no allowed source had a value</t>
        </is>
      </c>
      <c r="AD24" t="n">
        <v>1</v>
      </c>
      <c r="AE24" t="inlineStr"/>
      <c r="AF24" t="inlineStr"/>
      <c r="AG24" t="inlineStr"/>
      <c r="AH24" t="inlineStr"/>
      <c r="AI24" t="inlineStr"/>
      <c r="AJ24" t="inlineStr"/>
      <c r="AK24" t="inlineStr"/>
      <c r="AL24" t="inlineStr"/>
      <c r="AM24" t="inlineStr"/>
    </row>
    <row r="25">
      <c r="A25" t="inlineStr">
        <is>
          <t>009535G</t>
        </is>
      </c>
      <c r="B25" t="inlineStr">
        <is>
          <t>Bachelor of Art Theory</t>
        </is>
      </c>
      <c r="C25" t="inlineStr">
        <is>
          <t>Bachelor</t>
        </is>
      </c>
      <c r="D25" t="inlineStr">
        <is>
          <t>Undergraduate</t>
        </is>
      </c>
      <c r="E25" t="inlineStr">
        <is>
          <t>Advertised: official page in place</t>
        </is>
      </c>
      <c r="F25" t="inlineStr">
        <is>
          <t>https://www.unsw.edu.au/study/undergraduate/bachelor-of-art-theory-honours</t>
        </is>
      </c>
      <c r="G25" t="inlineStr">
        <is>
          <t>https://www.unsw.edu.au/study/undergraduate/bachelor-of-art-theory-honours</t>
        </is>
      </c>
      <c r="H25" t="inlineStr">
        <is>
          <t>Read</t>
        </is>
      </c>
      <c r="I25" t="inlineStr">
        <is>
          <t>Exact title match</t>
        </is>
      </c>
      <c r="J25" t="inlineStr"/>
      <c r="K25" t="inlineStr">
        <is>
          <t>Not sent to re-link</t>
        </is>
      </c>
      <c r="L25" t="inlineStr">
        <is>
          <t>Filled</t>
        </is>
      </c>
      <c r="M25" t="inlineStr">
        <is>
          <t>Not stated on course page</t>
        </is>
      </c>
      <c r="N25" t="inlineStr"/>
      <c r="O25" t="n">
        <v>0</v>
      </c>
      <c r="P25" t="inlineStr"/>
      <c r="Q25" t="inlineStr">
        <is>
          <t>Filled</t>
        </is>
      </c>
      <c r="R25" t="n">
        <v>6</v>
      </c>
      <c r="S25" t="inlineStr">
        <is>
          <t>Central English policy</t>
        </is>
      </c>
      <c r="T25" t="inlineStr">
        <is>
          <t>Central rule applies (value agrees)</t>
        </is>
      </c>
      <c r="U25" t="inlineStr"/>
      <c r="V25" t="inlineStr">
        <is>
          <t>Filled</t>
        </is>
      </c>
      <c r="W25" t="inlineStr">
        <is>
          <t>March</t>
        </is>
      </c>
      <c r="X25" t="inlineStr">
        <is>
          <t>Page reader</t>
        </is>
      </c>
      <c r="Y25" t="n">
        <v>2</v>
      </c>
      <c r="Z25" t="inlineStr">
        <is>
          <t>Yes</t>
        </is>
      </c>
      <c r="AA25" t="inlineStr">
        <is>
          <t>Filled</t>
        </is>
      </c>
      <c r="AB25" t="inlineStr">
        <is>
          <t>on campus</t>
        </is>
      </c>
      <c r="AC25" t="inlineStr"/>
      <c r="AD25" t="n">
        <v>0</v>
      </c>
      <c r="AE25" t="inlineStr"/>
      <c r="AF25" t="inlineStr"/>
      <c r="AG25" t="inlineStr"/>
      <c r="AH25" t="inlineStr"/>
      <c r="AI25" t="inlineStr"/>
      <c r="AJ25" t="inlineStr"/>
      <c r="AK25" t="inlineStr"/>
      <c r="AL25" t="inlineStr"/>
      <c r="AM25" t="inlineStr"/>
    </row>
    <row r="26">
      <c r="A26" t="inlineStr">
        <is>
          <t>082204J</t>
        </is>
      </c>
      <c r="B26" t="inlineStr">
        <is>
          <t>Bachelor of Art Theory (Honours)</t>
        </is>
      </c>
      <c r="C26" t="inlineStr">
        <is>
          <t>Bachelor Honours Degree</t>
        </is>
      </c>
      <c r="D26" t="inlineStr">
        <is>
          <t>Undergraduate</t>
        </is>
      </c>
      <c r="E26" t="inlineStr">
        <is>
          <t>Advertised: official page in place</t>
        </is>
      </c>
      <c r="F26" t="inlineStr">
        <is>
          <t>https://www.unsw.edu.au/study/undergraduate/bachelor-of-art-theory-honours</t>
        </is>
      </c>
      <c r="G26" t="inlineStr">
        <is>
          <t>https://www.unsw.edu.au/study/undergraduate/bachelor-of-art-theory-honours</t>
        </is>
      </c>
      <c r="H26" t="inlineStr">
        <is>
          <t>Read</t>
        </is>
      </c>
      <c r="I26" t="inlineStr">
        <is>
          <t>CRICOS code on page</t>
        </is>
      </c>
      <c r="J26" t="inlineStr"/>
      <c r="K26" t="inlineStr">
        <is>
          <t>Not sent to re-link</t>
        </is>
      </c>
      <c r="L26" t="inlineStr">
        <is>
          <t>Filled</t>
        </is>
      </c>
      <c r="M26" t="inlineStr">
        <is>
          <t>Filled</t>
        </is>
      </c>
      <c r="N26" t="inlineStr">
        <is>
          <t>49500.00 2026</t>
        </is>
      </c>
      <c r="O26" t="n">
        <v>0</v>
      </c>
      <c r="P26" t="inlineStr">
        <is>
          <t>University adapter</t>
        </is>
      </c>
      <c r="Q26" t="inlineStr">
        <is>
          <t>Filled</t>
        </is>
      </c>
      <c r="R26" t="n">
        <v>6</v>
      </c>
      <c r="S26" t="inlineStr">
        <is>
          <t>Central English policy</t>
        </is>
      </c>
      <c r="T26" t="inlineStr">
        <is>
          <t>Central rule applies (value agrees)</t>
        </is>
      </c>
      <c r="U26" t="inlineStr"/>
      <c r="V26" t="inlineStr">
        <is>
          <t>Filled</t>
        </is>
      </c>
      <c r="W26" t="inlineStr">
        <is>
          <t>February</t>
        </is>
      </c>
      <c r="X26" t="inlineStr">
        <is>
          <t>University adapter</t>
        </is>
      </c>
      <c r="Y26" t="n">
        <v>0</v>
      </c>
      <c r="Z26" t="inlineStr">
        <is>
          <t>Yes</t>
        </is>
      </c>
      <c r="AA26" t="inlineStr">
        <is>
          <t>Filled</t>
        </is>
      </c>
      <c r="AB26" t="inlineStr">
        <is>
          <t>on campus</t>
        </is>
      </c>
      <c r="AC26" t="inlineStr"/>
      <c r="AD26" t="n">
        <v>0</v>
      </c>
      <c r="AE26" t="inlineStr"/>
      <c r="AF26" t="inlineStr"/>
      <c r="AG26" t="inlineStr"/>
      <c r="AH26" t="inlineStr"/>
      <c r="AI26" t="inlineStr"/>
      <c r="AJ26" t="inlineStr"/>
      <c r="AK26" t="inlineStr"/>
      <c r="AL26" t="inlineStr"/>
      <c r="AM26" t="inlineStr"/>
    </row>
    <row r="27">
      <c r="A27" t="inlineStr">
        <is>
          <t>078551B</t>
        </is>
      </c>
      <c r="B27" t="inlineStr">
        <is>
          <t>Bachelor of Art Theory/Bachelor of Social Research and Policy</t>
        </is>
      </c>
      <c r="C27" t="inlineStr">
        <is>
          <t>Bachelor</t>
        </is>
      </c>
      <c r="D27" t="inlineStr">
        <is>
          <t>Undergraduate</t>
        </is>
      </c>
      <c r="E27" t="inlineStr">
        <is>
          <t>Page address no longer works</t>
        </is>
      </c>
      <c r="F27" t="inlineStr"/>
      <c r="G27" t="inlineStr">
        <is>
          <t>https://www.handbook.unsw.edu.au/undergraduate/programs/2026/4815</t>
        </is>
      </c>
      <c r="H27" t="inlineStr">
        <is>
          <t>Address no longer works</t>
        </is>
      </c>
      <c r="I27" t="inlineStr"/>
      <c r="J27" t="inlineStr"/>
      <c r="K27" t="inlineStr">
        <is>
          <t>Finished, no page: no address from the university's address forms or stored lis</t>
        </is>
      </c>
      <c r="L27" t="inlineStr">
        <is>
          <t>Page found, being read</t>
        </is>
      </c>
      <c r="M27" t="inlineStr">
        <is>
          <t>Page found, being read</t>
        </is>
      </c>
      <c r="N27" t="inlineStr"/>
      <c r="O27" t="n">
        <v>0</v>
      </c>
      <c r="P27" t="inlineStr"/>
      <c r="Q27" t="inlineStr">
        <is>
          <t>Filled</t>
        </is>
      </c>
      <c r="R27" t="n">
        <v>6</v>
      </c>
      <c r="S27" t="inlineStr">
        <is>
          <t>Central English policy</t>
        </is>
      </c>
      <c r="T27" t="inlineStr">
        <is>
          <t>Central rule applies (value agrees)</t>
        </is>
      </c>
      <c r="U27" t="inlineStr"/>
      <c r="V27" t="inlineStr">
        <is>
          <t>Page found, being read</t>
        </is>
      </c>
      <c r="W27" t="inlineStr"/>
      <c r="X27" t="inlineStr"/>
      <c r="Y27" t="n">
        <v>0</v>
      </c>
      <c r="Z27" t="inlineStr">
        <is>
          <t>Yes</t>
        </is>
      </c>
      <c r="AA27" t="inlineStr">
        <is>
          <t>Not stated on course page</t>
        </is>
      </c>
      <c r="AB27" t="inlineStr"/>
      <c r="AC27" t="inlineStr">
        <is>
          <t>Skipped: the page does not state it</t>
        </is>
      </c>
      <c r="AD27" t="n">
        <v>0</v>
      </c>
      <c r="AE27" t="inlineStr"/>
      <c r="AF27" t="inlineStr"/>
      <c r="AG27" t="inlineStr"/>
      <c r="AH27" t="inlineStr"/>
      <c r="AI27" t="inlineStr"/>
      <c r="AJ27" t="inlineStr"/>
      <c r="AK27" t="inlineStr"/>
      <c r="AL27" t="inlineStr"/>
      <c r="AM27" t="inlineStr"/>
    </row>
    <row r="28">
      <c r="A28" t="inlineStr">
        <is>
          <t>001916C</t>
        </is>
      </c>
      <c r="B28" t="inlineStr">
        <is>
          <t>Bachelor of Arts</t>
        </is>
      </c>
      <c r="C28" t="inlineStr">
        <is>
          <t>Bachelor</t>
        </is>
      </c>
      <c r="D28" t="inlineStr">
        <is>
          <t>Undergraduate</t>
        </is>
      </c>
      <c r="E28" t="inlineStr">
        <is>
          <t>Advertised: official page in place</t>
        </is>
      </c>
      <c r="F28" t="inlineStr">
        <is>
          <t>https://www.unsw.edu.au/study/undergraduate/bachelor-of-arts</t>
        </is>
      </c>
      <c r="G28" t="inlineStr">
        <is>
          <t>https://www.unsw.edu.au/study/undergraduate/bachelor-of-arts</t>
        </is>
      </c>
      <c r="H28" t="inlineStr">
        <is>
          <t>Read</t>
        </is>
      </c>
      <c r="I28" t="inlineStr">
        <is>
          <t>CRICOS code on page</t>
        </is>
      </c>
      <c r="J28" t="inlineStr"/>
      <c r="K28" t="inlineStr">
        <is>
          <t>Not sent to re-link</t>
        </is>
      </c>
      <c r="L28" t="inlineStr">
        <is>
          <t>Filled</t>
        </is>
      </c>
      <c r="M28" t="inlineStr">
        <is>
          <t>Filled</t>
        </is>
      </c>
      <c r="N28" t="inlineStr">
        <is>
          <t>51000.00 2026</t>
        </is>
      </c>
      <c r="O28" t="n">
        <v>0</v>
      </c>
      <c r="P28" t="inlineStr">
        <is>
          <t>University adapter</t>
        </is>
      </c>
      <c r="Q28" t="inlineStr">
        <is>
          <t>Filled</t>
        </is>
      </c>
      <c r="R28" t="n">
        <v>6</v>
      </c>
      <c r="S28" t="inlineStr">
        <is>
          <t>Central English policy</t>
        </is>
      </c>
      <c r="T28" t="inlineStr">
        <is>
          <t>Central rule applies (value agrees)</t>
        </is>
      </c>
      <c r="U28" t="inlineStr"/>
      <c r="V28" t="inlineStr">
        <is>
          <t>Filled</t>
        </is>
      </c>
      <c r="W28" t="inlineStr">
        <is>
          <t>February, May, September</t>
        </is>
      </c>
      <c r="X28" t="inlineStr">
        <is>
          <t>University adapter</t>
        </is>
      </c>
      <c r="Y28" t="n">
        <v>0</v>
      </c>
      <c r="Z28" t="inlineStr">
        <is>
          <t>Yes</t>
        </is>
      </c>
      <c r="AA28" t="inlineStr">
        <is>
          <t>Filled</t>
        </is>
      </c>
      <c r="AB28" t="inlineStr">
        <is>
          <t>on campus</t>
        </is>
      </c>
      <c r="AC28" t="inlineStr"/>
      <c r="AD28" t="n">
        <v>0</v>
      </c>
      <c r="AE28" t="inlineStr"/>
      <c r="AF28" t="inlineStr"/>
      <c r="AG28" t="inlineStr"/>
      <c r="AH28" t="inlineStr"/>
      <c r="AI28" t="inlineStr"/>
      <c r="AJ28" t="inlineStr"/>
      <c r="AK28" t="inlineStr"/>
      <c r="AL28" t="inlineStr"/>
      <c r="AM28" t="inlineStr"/>
    </row>
    <row r="29">
      <c r="A29" t="inlineStr">
        <is>
          <t>096380M</t>
        </is>
      </c>
      <c r="B29" t="inlineStr">
        <is>
          <t>Bachelor of Arts (Honours)</t>
        </is>
      </c>
      <c r="C29" t="inlineStr">
        <is>
          <t>Bachelor Honours Degree</t>
        </is>
      </c>
      <c r="D29" t="inlineStr">
        <is>
          <t>Undergraduate</t>
        </is>
      </c>
      <c r="E29" t="inlineStr">
        <is>
          <t>Advertised: official page in place</t>
        </is>
      </c>
      <c r="F29" t="inlineStr">
        <is>
          <t>https://www.unsw.edu.au/study/undergraduate/bachelor-of-arts-honours-canberra</t>
        </is>
      </c>
      <c r="G29" t="inlineStr">
        <is>
          <t>https://www.unsw.edu.au/canberra/study-with-us/undergraduate/degrees/non-technical/bachelor-arts-honours</t>
        </is>
      </c>
      <c r="H29" t="inlineStr">
        <is>
          <t>Read</t>
        </is>
      </c>
      <c r="I29" t="inlineStr">
        <is>
          <t>Exact title match</t>
        </is>
      </c>
      <c r="J29" t="inlineStr"/>
      <c r="K29" t="inlineStr">
        <is>
          <t>Not sent to re-link</t>
        </is>
      </c>
      <c r="L29" t="inlineStr">
        <is>
          <t>Filled</t>
        </is>
      </c>
      <c r="M29" t="inlineStr">
        <is>
          <t>Not stated on course page</t>
        </is>
      </c>
      <c r="N29" t="inlineStr"/>
      <c r="O29" t="n">
        <v>0</v>
      </c>
      <c r="P29" t="inlineStr"/>
      <c r="Q29" t="inlineStr">
        <is>
          <t>Filled</t>
        </is>
      </c>
      <c r="R29" t="n">
        <v>6</v>
      </c>
      <c r="S29" t="inlineStr">
        <is>
          <t>Central English policy</t>
        </is>
      </c>
      <c r="T29" t="inlineStr">
        <is>
          <t>Central rule applies (value agrees)</t>
        </is>
      </c>
      <c r="U29" t="inlineStr"/>
      <c r="V29" t="inlineStr">
        <is>
          <t>Not stated on course page</t>
        </is>
      </c>
      <c r="W29" t="inlineStr"/>
      <c r="X29" t="inlineStr"/>
      <c r="Y29" t="n">
        <v>2</v>
      </c>
      <c r="Z29" t="inlineStr">
        <is>
          <t>Yes</t>
        </is>
      </c>
      <c r="AA29" t="inlineStr">
        <is>
          <t>Filled</t>
        </is>
      </c>
      <c r="AB29" t="inlineStr">
        <is>
          <t>on campus</t>
        </is>
      </c>
      <c r="AC29" t="inlineStr"/>
      <c r="AD29" t="n">
        <v>0</v>
      </c>
      <c r="AE29" t="inlineStr"/>
      <c r="AF29" t="inlineStr"/>
      <c r="AG29" t="inlineStr"/>
      <c r="AH29" t="inlineStr">
        <is>
          <t>Yes</t>
        </is>
      </c>
      <c r="AI29" t="inlineStr"/>
      <c r="AJ29" t="inlineStr"/>
      <c r="AK29" t="inlineStr"/>
      <c r="AL29" t="inlineStr"/>
      <c r="AM29" t="inlineStr"/>
    </row>
    <row r="30">
      <c r="A30" t="inlineStr">
        <is>
          <t>120139E</t>
        </is>
      </c>
      <c r="B30" t="inlineStr">
        <is>
          <t>Bachelor of Arts / Bachelor of Laws (Honours)</t>
        </is>
      </c>
      <c r="C30" t="inlineStr">
        <is>
          <t>Bachelor Honours Degree</t>
        </is>
      </c>
      <c r="D30" t="inlineStr">
        <is>
          <t>Undergraduate</t>
        </is>
      </c>
      <c r="E30" t="inlineStr">
        <is>
          <t>No-page record (conjoint), awaiting review</t>
        </is>
      </c>
      <c r="F30" t="inlineStr"/>
      <c r="G30" t="inlineStr">
        <is>
          <t>https://www.unsw.edu.au/law-justice/study/undergraduate/bachelor-laws</t>
        </is>
      </c>
      <c r="H30" t="inlineStr">
        <is>
          <t>Page is for another course</t>
        </is>
      </c>
      <c r="I30" t="inlineStr"/>
      <c r="J30" t="inlineStr">
        <is>
          <t>Conjoint (proposed)</t>
        </is>
      </c>
      <c r="K30" t="inlineStr">
        <is>
          <t>Finished, no page: no address from the university's address forms or stored lis</t>
        </is>
      </c>
      <c r="L30" t="inlineStr">
        <is>
          <t>Searching for course page</t>
        </is>
      </c>
      <c r="M30" t="inlineStr">
        <is>
          <t>Searching for course page</t>
        </is>
      </c>
      <c r="N30" t="inlineStr"/>
      <c r="O30" t="n">
        <v>0</v>
      </c>
      <c r="P30" t="inlineStr"/>
      <c r="Q30" t="inlineStr">
        <is>
          <t>Filled</t>
        </is>
      </c>
      <c r="R30" t="n">
        <v>6</v>
      </c>
      <c r="S30" t="inlineStr">
        <is>
          <t>Central English policy</t>
        </is>
      </c>
      <c r="T30" t="inlineStr">
        <is>
          <t>Central rule applies (value agrees)</t>
        </is>
      </c>
      <c r="U30" t="inlineStr"/>
      <c r="V30" t="inlineStr">
        <is>
          <t>Searching for course page</t>
        </is>
      </c>
      <c r="W30" t="inlineStr"/>
      <c r="X30" t="inlineStr"/>
      <c r="Y30" t="n">
        <v>0</v>
      </c>
      <c r="Z30" t="inlineStr">
        <is>
          <t>Yes</t>
        </is>
      </c>
      <c r="AA30" t="inlineStr">
        <is>
          <t>Not stated on course page</t>
        </is>
      </c>
      <c r="AB30" t="inlineStr"/>
      <c r="AC30" t="inlineStr">
        <is>
          <t>Skipped: no correct course page: the page found is for another course</t>
        </is>
      </c>
      <c r="AD30" t="n">
        <v>1</v>
      </c>
      <c r="AE30" t="inlineStr"/>
      <c r="AF30" t="inlineStr"/>
      <c r="AG30" t="inlineStr"/>
      <c r="AH30" t="inlineStr"/>
      <c r="AI30" t="inlineStr"/>
      <c r="AJ30" t="inlineStr"/>
      <c r="AK30" t="inlineStr"/>
      <c r="AL30" t="inlineStr"/>
      <c r="AM30" t="inlineStr">
        <is>
          <t>Yes</t>
        </is>
      </c>
    </row>
    <row r="31">
      <c r="A31" t="inlineStr">
        <is>
          <t>077868M</t>
        </is>
      </c>
      <c r="B31" t="inlineStr">
        <is>
          <t>Bachelor of Arts and Business</t>
        </is>
      </c>
      <c r="C31" t="inlineStr">
        <is>
          <t>Bachelor</t>
        </is>
      </c>
      <c r="D31" t="inlineStr">
        <is>
          <t>Undergraduate</t>
        </is>
      </c>
      <c r="E31" t="inlineStr">
        <is>
          <t>Page address no longer works</t>
        </is>
      </c>
      <c r="F31" t="inlineStr"/>
      <c r="G31" t="inlineStr">
        <is>
          <t>https://www.handbook.unsw.edu.au/undergraduate/programs/2026/4783</t>
        </is>
      </c>
      <c r="H31" t="inlineStr">
        <is>
          <t>Address no longer works</t>
        </is>
      </c>
      <c r="I31" t="inlineStr"/>
      <c r="J31" t="inlineStr"/>
      <c r="K31" t="inlineStr">
        <is>
          <t>Not sent to re-link</t>
        </is>
      </c>
      <c r="L31" t="inlineStr">
        <is>
          <t>Page found, being read</t>
        </is>
      </c>
      <c r="M31" t="inlineStr">
        <is>
          <t>Page found, being read</t>
        </is>
      </c>
      <c r="N31" t="inlineStr"/>
      <c r="O31" t="n">
        <v>0</v>
      </c>
      <c r="P31" t="inlineStr"/>
      <c r="Q31" t="inlineStr">
        <is>
          <t>Filled</t>
        </is>
      </c>
      <c r="R31" t="n">
        <v>6</v>
      </c>
      <c r="S31" t="inlineStr">
        <is>
          <t>Central English policy</t>
        </is>
      </c>
      <c r="T31" t="inlineStr">
        <is>
          <t>Central rule applies (value agrees)</t>
        </is>
      </c>
      <c r="U31" t="inlineStr"/>
      <c r="V31" t="inlineStr">
        <is>
          <t>Page found, being read</t>
        </is>
      </c>
      <c r="W31" t="inlineStr"/>
      <c r="X31" t="inlineStr"/>
      <c r="Y31" t="n">
        <v>0</v>
      </c>
      <c r="Z31" t="inlineStr">
        <is>
          <t>Yes</t>
        </is>
      </c>
      <c r="AA31" t="inlineStr">
        <is>
          <t>Not stated on course page</t>
        </is>
      </c>
      <c r="AB31" t="inlineStr"/>
      <c r="AC31" t="inlineStr">
        <is>
          <t>Skipped: no allowed source had a value</t>
        </is>
      </c>
      <c r="AD31" t="n">
        <v>0</v>
      </c>
      <c r="AE31" t="inlineStr"/>
      <c r="AF31" t="inlineStr"/>
      <c r="AG31" t="inlineStr"/>
      <c r="AH31" t="inlineStr"/>
      <c r="AI31" t="inlineStr"/>
      <c r="AJ31" t="inlineStr"/>
      <c r="AK31" t="inlineStr"/>
      <c r="AL31" t="inlineStr"/>
      <c r="AM31" t="inlineStr"/>
    </row>
    <row r="32">
      <c r="A32" t="inlineStr">
        <is>
          <t>082788B</t>
        </is>
      </c>
      <c r="B32" t="inlineStr">
        <is>
          <t>Bachelor of Arts and Business/Bachelor of Laws</t>
        </is>
      </c>
      <c r="C32" t="inlineStr">
        <is>
          <t>Bachelor</t>
        </is>
      </c>
      <c r="D32" t="inlineStr">
        <is>
          <t>Undergraduate</t>
        </is>
      </c>
      <c r="E32" t="inlineStr">
        <is>
          <t>Page address no longer works</t>
        </is>
      </c>
      <c r="F32" t="inlineStr"/>
      <c r="G32" t="inlineStr">
        <is>
          <t>https://www.handbook.unsw.edu.au/undergraduate/programs/2026/4783</t>
        </is>
      </c>
      <c r="H32" t="inlineStr">
        <is>
          <t>Address no longer works</t>
        </is>
      </c>
      <c r="I32" t="inlineStr"/>
      <c r="J32" t="inlineStr"/>
      <c r="K32" t="inlineStr">
        <is>
          <t>Not sent to re-link</t>
        </is>
      </c>
      <c r="L32" t="inlineStr">
        <is>
          <t>Page found, being read</t>
        </is>
      </c>
      <c r="M32" t="inlineStr">
        <is>
          <t>Page found, being read</t>
        </is>
      </c>
      <c r="N32" t="inlineStr"/>
      <c r="O32" t="n">
        <v>0</v>
      </c>
      <c r="P32" t="inlineStr"/>
      <c r="Q32" t="inlineStr">
        <is>
          <t>Filled</t>
        </is>
      </c>
      <c r="R32" t="n">
        <v>6</v>
      </c>
      <c r="S32" t="inlineStr">
        <is>
          <t>Central English policy</t>
        </is>
      </c>
      <c r="T32" t="inlineStr">
        <is>
          <t>Central rule applies (value agrees)</t>
        </is>
      </c>
      <c r="U32" t="inlineStr"/>
      <c r="V32" t="inlineStr">
        <is>
          <t>Page found, being read</t>
        </is>
      </c>
      <c r="W32" t="inlineStr"/>
      <c r="X32" t="inlineStr"/>
      <c r="Y32" t="n">
        <v>0</v>
      </c>
      <c r="Z32" t="inlineStr">
        <is>
          <t>Yes</t>
        </is>
      </c>
      <c r="AA32" t="inlineStr">
        <is>
          <t>Not stated on course page</t>
        </is>
      </c>
      <c r="AB32" t="inlineStr"/>
      <c r="AC32" t="inlineStr">
        <is>
          <t>Skipped: no allowed source had a value</t>
        </is>
      </c>
      <c r="AD32" t="n">
        <v>0</v>
      </c>
      <c r="AE32" t="inlineStr"/>
      <c r="AF32" t="inlineStr"/>
      <c r="AG32" t="inlineStr"/>
      <c r="AH32" t="inlineStr"/>
      <c r="AI32" t="inlineStr"/>
      <c r="AJ32" t="inlineStr"/>
      <c r="AK32" t="inlineStr"/>
      <c r="AL32" t="inlineStr"/>
      <c r="AM32" t="inlineStr"/>
    </row>
    <row r="33">
      <c r="A33" t="inlineStr">
        <is>
          <t>082196D</t>
        </is>
      </c>
      <c r="B33" t="inlineStr">
        <is>
          <t>Bachelor of Arts and Social Sciences (Honours)</t>
        </is>
      </c>
      <c r="C33" t="inlineStr">
        <is>
          <t>Bachelor Honours Degree</t>
        </is>
      </c>
      <c r="D33" t="inlineStr">
        <is>
          <t>Undergraduate</t>
        </is>
      </c>
      <c r="E33" t="inlineStr">
        <is>
          <t>Advertised: official page in place</t>
        </is>
      </c>
      <c r="F33" t="inlineStr">
        <is>
          <t>https://www.unsw.edu.au/study/undergraduate/bachelor-of-arts-and-social-sciences-honours</t>
        </is>
      </c>
      <c r="G33" t="inlineStr">
        <is>
          <t>https://www.unsw.edu.au/study/undergraduate/bachelor-of-arts-and-social-sciences-honours</t>
        </is>
      </c>
      <c r="H33" t="inlineStr">
        <is>
          <t>Read</t>
        </is>
      </c>
      <c r="I33" t="inlineStr">
        <is>
          <t>CRICOS code on page</t>
        </is>
      </c>
      <c r="J33" t="inlineStr"/>
      <c r="K33" t="inlineStr">
        <is>
          <t>Not sent to re-link</t>
        </is>
      </c>
      <c r="L33" t="inlineStr">
        <is>
          <t>Filled</t>
        </is>
      </c>
      <c r="M33" t="inlineStr">
        <is>
          <t>Filled</t>
        </is>
      </c>
      <c r="N33" t="inlineStr">
        <is>
          <t>47500.00 2026</t>
        </is>
      </c>
      <c r="O33" t="n">
        <v>0</v>
      </c>
      <c r="P33" t="inlineStr">
        <is>
          <t>University adapter</t>
        </is>
      </c>
      <c r="Q33" t="inlineStr">
        <is>
          <t>Filled</t>
        </is>
      </c>
      <c r="R33" t="n">
        <v>6</v>
      </c>
      <c r="S33" t="inlineStr">
        <is>
          <t>Central English policy</t>
        </is>
      </c>
      <c r="T33" t="inlineStr">
        <is>
          <t>Central rule applies (value agrees)</t>
        </is>
      </c>
      <c r="U33" t="inlineStr"/>
      <c r="V33" t="inlineStr">
        <is>
          <t>Filled</t>
        </is>
      </c>
      <c r="W33" t="inlineStr">
        <is>
          <t>February</t>
        </is>
      </c>
      <c r="X33" t="inlineStr">
        <is>
          <t>University adapter</t>
        </is>
      </c>
      <c r="Y33" t="n">
        <v>0</v>
      </c>
      <c r="Z33" t="inlineStr">
        <is>
          <t>Yes</t>
        </is>
      </c>
      <c r="AA33" t="inlineStr">
        <is>
          <t>Filled</t>
        </is>
      </c>
      <c r="AB33" t="inlineStr">
        <is>
          <t>on campus</t>
        </is>
      </c>
      <c r="AC33" t="inlineStr"/>
      <c r="AD33" t="n">
        <v>0</v>
      </c>
      <c r="AE33" t="inlineStr"/>
      <c r="AF33" t="inlineStr"/>
      <c r="AG33" t="inlineStr"/>
      <c r="AH33" t="inlineStr"/>
      <c r="AI33" t="inlineStr"/>
      <c r="AJ33" t="inlineStr"/>
      <c r="AK33" t="inlineStr"/>
      <c r="AL33" t="inlineStr"/>
      <c r="AM33" t="inlineStr"/>
    </row>
    <row r="34">
      <c r="A34" t="inlineStr">
        <is>
          <t>075262B</t>
        </is>
      </c>
      <c r="B34" t="inlineStr">
        <is>
          <t>Bachelor of Arts/ Bachelor of Education (Secondary)</t>
        </is>
      </c>
      <c r="C34" t="inlineStr">
        <is>
          <t>Bachelor</t>
        </is>
      </c>
      <c r="D34" t="inlineStr">
        <is>
          <t>Undergraduate</t>
        </is>
      </c>
      <c r="E34" t="inlineStr">
        <is>
          <t>Advertised: official page in place</t>
        </is>
      </c>
      <c r="F34" t="inlineStr">
        <is>
          <t>https://www.unsw.edu.au/study/undergraduate/bachelor-of-arts-education-secondary</t>
        </is>
      </c>
      <c r="G34" t="inlineStr">
        <is>
          <t>https://www.unsw.edu.au/study/undergraduate/bachelor-of-arts-education-secondary</t>
        </is>
      </c>
      <c r="H34" t="inlineStr">
        <is>
          <t>Read</t>
        </is>
      </c>
      <c r="I34" t="inlineStr">
        <is>
          <t>CRICOS code on page</t>
        </is>
      </c>
      <c r="J34" t="inlineStr"/>
      <c r="K34" t="inlineStr">
        <is>
          <t>Not sent to re-link</t>
        </is>
      </c>
      <c r="L34" t="inlineStr">
        <is>
          <t>Filled</t>
        </is>
      </c>
      <c r="M34" t="inlineStr">
        <is>
          <t>Filled</t>
        </is>
      </c>
      <c r="N34" t="inlineStr">
        <is>
          <t>49000.00 2026</t>
        </is>
      </c>
      <c r="O34" t="n">
        <v>0</v>
      </c>
      <c r="P34" t="inlineStr">
        <is>
          <t>University adapter</t>
        </is>
      </c>
      <c r="Q34" t="inlineStr">
        <is>
          <t>Filled</t>
        </is>
      </c>
      <c r="R34" t="n">
        <v>6</v>
      </c>
      <c r="S34" t="inlineStr">
        <is>
          <t>Central English policy</t>
        </is>
      </c>
      <c r="T34" t="inlineStr">
        <is>
          <t>Central rule applies (value agrees)</t>
        </is>
      </c>
      <c r="U34" t="inlineStr"/>
      <c r="V34" t="inlineStr">
        <is>
          <t>Filled</t>
        </is>
      </c>
      <c r="W34" t="inlineStr">
        <is>
          <t>February, September</t>
        </is>
      </c>
      <c r="X34" t="inlineStr">
        <is>
          <t>University adapter</t>
        </is>
      </c>
      <c r="Y34" t="n">
        <v>0</v>
      </c>
      <c r="Z34" t="inlineStr">
        <is>
          <t>Yes</t>
        </is>
      </c>
      <c r="AA34" t="inlineStr">
        <is>
          <t>Filled</t>
        </is>
      </c>
      <c r="AB34" t="inlineStr">
        <is>
          <t>on campus</t>
        </is>
      </c>
      <c r="AC34" t="inlineStr"/>
      <c r="AD34" t="n">
        <v>0</v>
      </c>
      <c r="AE34" t="inlineStr"/>
      <c r="AF34" t="inlineStr"/>
      <c r="AG34" t="inlineStr"/>
      <c r="AH34" t="inlineStr"/>
      <c r="AI34" t="inlineStr"/>
      <c r="AJ34" t="inlineStr"/>
      <c r="AK34" t="inlineStr"/>
      <c r="AL34" t="inlineStr"/>
      <c r="AM34" t="inlineStr"/>
    </row>
    <row r="35">
      <c r="A35" t="inlineStr">
        <is>
          <t>005947G</t>
        </is>
      </c>
      <c r="B35" t="inlineStr">
        <is>
          <t>Bachelor of Arts/Bachelor of Laws</t>
        </is>
      </c>
      <c r="C35" t="inlineStr">
        <is>
          <t>Bachelor</t>
        </is>
      </c>
      <c r="D35" t="inlineStr">
        <is>
          <t>Undergraduate</t>
        </is>
      </c>
      <c r="E35" t="inlineStr">
        <is>
          <t>Advertised: official page in place</t>
        </is>
      </c>
      <c r="F35" t="inlineStr">
        <is>
          <t>https://www.unsw.edu.au/study/undergraduate/bachelor-of-arts-law</t>
        </is>
      </c>
      <c r="G35" t="inlineStr">
        <is>
          <t>https://www.unsw.edu.au/study/undergraduate/bachelor-of-arts-law</t>
        </is>
      </c>
      <c r="H35" t="inlineStr">
        <is>
          <t>Read</t>
        </is>
      </c>
      <c r="I35" t="inlineStr">
        <is>
          <t>CRICOS code on page</t>
        </is>
      </c>
      <c r="J35" t="inlineStr"/>
      <c r="K35" t="inlineStr">
        <is>
          <t>Not sent to re-link</t>
        </is>
      </c>
      <c r="L35" t="inlineStr">
        <is>
          <t>Filled</t>
        </is>
      </c>
      <c r="M35" t="inlineStr">
        <is>
          <t>Filled</t>
        </is>
      </c>
      <c r="N35" t="inlineStr">
        <is>
          <t>52500.00 2026</t>
        </is>
      </c>
      <c r="O35" t="n">
        <v>0</v>
      </c>
      <c r="P35" t="inlineStr">
        <is>
          <t>University adapter</t>
        </is>
      </c>
      <c r="Q35" t="inlineStr">
        <is>
          <t>Filled</t>
        </is>
      </c>
      <c r="R35" t="n">
        <v>6</v>
      </c>
      <c r="S35" t="inlineStr">
        <is>
          <t>Central English policy</t>
        </is>
      </c>
      <c r="T35" t="inlineStr">
        <is>
          <t>Central rule applies (value agrees)</t>
        </is>
      </c>
      <c r="U35" t="inlineStr"/>
      <c r="V35" t="inlineStr">
        <is>
          <t>Filled</t>
        </is>
      </c>
      <c r="W35" t="inlineStr">
        <is>
          <t>February</t>
        </is>
      </c>
      <c r="X35" t="inlineStr">
        <is>
          <t>University adapter</t>
        </is>
      </c>
      <c r="Y35" t="n">
        <v>0</v>
      </c>
      <c r="Z35" t="inlineStr">
        <is>
          <t>Yes</t>
        </is>
      </c>
      <c r="AA35" t="inlineStr">
        <is>
          <t>Filled</t>
        </is>
      </c>
      <c r="AB35" t="inlineStr">
        <is>
          <t>on campus</t>
        </is>
      </c>
      <c r="AC35" t="inlineStr"/>
      <c r="AD35" t="n">
        <v>0</v>
      </c>
      <c r="AE35" t="inlineStr"/>
      <c r="AF35" t="inlineStr"/>
      <c r="AG35" t="inlineStr"/>
      <c r="AH35" t="inlineStr"/>
      <c r="AI35" t="inlineStr"/>
      <c r="AJ35" t="inlineStr"/>
      <c r="AK35" t="inlineStr"/>
      <c r="AL35" t="inlineStr"/>
      <c r="AM35" t="inlineStr"/>
    </row>
    <row r="36">
      <c r="A36" t="inlineStr">
        <is>
          <t>017227G</t>
        </is>
      </c>
      <c r="B36" t="inlineStr">
        <is>
          <t>Bachelor of Aviation (Flying)</t>
        </is>
      </c>
      <c r="C36" t="inlineStr">
        <is>
          <t>Bachelor</t>
        </is>
      </c>
      <c r="D36" t="inlineStr">
        <is>
          <t>Undergraduate</t>
        </is>
      </c>
      <c r="E36" t="inlineStr">
        <is>
          <t>Advertised: official page in place</t>
        </is>
      </c>
      <c r="F36" t="inlineStr">
        <is>
          <t>https://www.unsw.edu.au/study/undergraduate/bachelor-of-aviation-flying</t>
        </is>
      </c>
      <c r="G36" t="inlineStr">
        <is>
          <t>https://www.unsw.edu.au/study/undergraduate/bachelor-of-aviation-flying</t>
        </is>
      </c>
      <c r="H36" t="inlineStr">
        <is>
          <t>Read</t>
        </is>
      </c>
      <c r="I36" t="inlineStr">
        <is>
          <t>CRICOS code on page</t>
        </is>
      </c>
      <c r="J36" t="inlineStr"/>
      <c r="K36" t="inlineStr">
        <is>
          <t>Not sent to re-link</t>
        </is>
      </c>
      <c r="L36" t="inlineStr">
        <is>
          <t>Filled</t>
        </is>
      </c>
      <c r="M36" t="inlineStr">
        <is>
          <t>Filled</t>
        </is>
      </c>
      <c r="N36" t="inlineStr">
        <is>
          <t>62500.00 2026</t>
        </is>
      </c>
      <c r="O36" t="n">
        <v>0</v>
      </c>
      <c r="P36" t="inlineStr">
        <is>
          <t>University adapter</t>
        </is>
      </c>
      <c r="Q36" t="inlineStr">
        <is>
          <t>Filled</t>
        </is>
      </c>
      <c r="R36" t="n">
        <v>6</v>
      </c>
      <c r="S36" t="inlineStr">
        <is>
          <t>Central English policy</t>
        </is>
      </c>
      <c r="T36" t="inlineStr">
        <is>
          <t>Central rule applies (value agrees)</t>
        </is>
      </c>
      <c r="U36" t="inlineStr"/>
      <c r="V36" t="inlineStr">
        <is>
          <t>Filled</t>
        </is>
      </c>
      <c r="W36" t="inlineStr">
        <is>
          <t>February</t>
        </is>
      </c>
      <c r="X36" t="inlineStr">
        <is>
          <t>University adapter</t>
        </is>
      </c>
      <c r="Y36" t="n">
        <v>0</v>
      </c>
      <c r="Z36" t="inlineStr">
        <is>
          <t>Yes</t>
        </is>
      </c>
      <c r="AA36" t="inlineStr">
        <is>
          <t>Filled</t>
        </is>
      </c>
      <c r="AB36" t="inlineStr">
        <is>
          <t>on campus</t>
        </is>
      </c>
      <c r="AC36" t="inlineStr"/>
      <c r="AD36" t="n">
        <v>0</v>
      </c>
      <c r="AE36" t="inlineStr"/>
      <c r="AF36" t="inlineStr"/>
      <c r="AG36" t="inlineStr"/>
      <c r="AH36" t="inlineStr"/>
      <c r="AI36" t="inlineStr"/>
      <c r="AJ36" t="inlineStr"/>
      <c r="AK36" t="inlineStr"/>
      <c r="AL36" t="inlineStr"/>
      <c r="AM36" t="inlineStr"/>
    </row>
    <row r="37">
      <c r="A37" t="inlineStr">
        <is>
          <t>018567B</t>
        </is>
      </c>
      <c r="B37" t="inlineStr">
        <is>
          <t>Bachelor of Aviation (Management)</t>
        </is>
      </c>
      <c r="C37" t="inlineStr">
        <is>
          <t>Bachelor</t>
        </is>
      </c>
      <c r="D37" t="inlineStr">
        <is>
          <t>Undergraduate</t>
        </is>
      </c>
      <c r="E37" t="inlineStr">
        <is>
          <t>Advertised: official page in place</t>
        </is>
      </c>
      <c r="F37" t="inlineStr">
        <is>
          <t>https://www.unsw.edu.au/study/undergraduate/bachelor-of-aviation-management</t>
        </is>
      </c>
      <c r="G37" t="inlineStr">
        <is>
          <t>https://www.unsw.edu.au/study/undergraduate/bachelor-of-aviation-management</t>
        </is>
      </c>
      <c r="H37" t="inlineStr">
        <is>
          <t>Read</t>
        </is>
      </c>
      <c r="I37" t="inlineStr">
        <is>
          <t>CRICOS code on page</t>
        </is>
      </c>
      <c r="J37" t="inlineStr"/>
      <c r="K37" t="inlineStr">
        <is>
          <t>Not sent to re-link</t>
        </is>
      </c>
      <c r="L37" t="inlineStr">
        <is>
          <t>Filled</t>
        </is>
      </c>
      <c r="M37" t="inlineStr">
        <is>
          <t>Filled</t>
        </is>
      </c>
      <c r="N37" t="inlineStr">
        <is>
          <t>61000.00 2026</t>
        </is>
      </c>
      <c r="O37" t="n">
        <v>0</v>
      </c>
      <c r="P37" t="inlineStr">
        <is>
          <t>University adapter</t>
        </is>
      </c>
      <c r="Q37" t="inlineStr">
        <is>
          <t>Filled</t>
        </is>
      </c>
      <c r="R37" t="n">
        <v>6</v>
      </c>
      <c r="S37" t="inlineStr">
        <is>
          <t>Central English policy</t>
        </is>
      </c>
      <c r="T37" t="inlineStr">
        <is>
          <t>Central rule applies (value agrees)</t>
        </is>
      </c>
      <c r="U37" t="inlineStr"/>
      <c r="V37" t="inlineStr">
        <is>
          <t>Filled</t>
        </is>
      </c>
      <c r="W37" t="inlineStr">
        <is>
          <t>February, May, September</t>
        </is>
      </c>
      <c r="X37" t="inlineStr">
        <is>
          <t>University adapter</t>
        </is>
      </c>
      <c r="Y37" t="n">
        <v>0</v>
      </c>
      <c r="Z37" t="inlineStr">
        <is>
          <t>Yes</t>
        </is>
      </c>
      <c r="AA37" t="inlineStr">
        <is>
          <t>Filled</t>
        </is>
      </c>
      <c r="AB37" t="inlineStr">
        <is>
          <t>on campus</t>
        </is>
      </c>
      <c r="AC37" t="inlineStr"/>
      <c r="AD37" t="n">
        <v>0</v>
      </c>
      <c r="AE37" t="inlineStr"/>
      <c r="AF37" t="inlineStr"/>
      <c r="AG37" t="inlineStr"/>
      <c r="AH37" t="inlineStr"/>
      <c r="AI37" t="inlineStr"/>
      <c r="AJ37" t="inlineStr"/>
      <c r="AK37" t="inlineStr"/>
      <c r="AL37" t="inlineStr"/>
      <c r="AM37" t="inlineStr"/>
    </row>
    <row r="38">
      <c r="A38" t="inlineStr">
        <is>
          <t>114591B</t>
        </is>
      </c>
      <c r="B38" t="inlineStr">
        <is>
          <t>Bachelor of Aviation (Remotely Piloted Aircraft Systems)</t>
        </is>
      </c>
      <c r="C38" t="inlineStr">
        <is>
          <t>Bachelor</t>
        </is>
      </c>
      <c r="D38" t="inlineStr">
        <is>
          <t>Undergraduate</t>
        </is>
      </c>
      <c r="E38" t="inlineStr">
        <is>
          <t>Advertised: official page in place</t>
        </is>
      </c>
      <c r="F38" t="inlineStr">
        <is>
          <t>https://www.unsw.edu.au/study/undergraduate/bachelor-of-aviation-remotely-piloted-aircraft-systems</t>
        </is>
      </c>
      <c r="G38" t="inlineStr">
        <is>
          <t>https://www.unsw.edu.au/study/undergraduate/bachelor-of-aviation-remotely-piloted-aircraft-systems</t>
        </is>
      </c>
      <c r="H38" t="inlineStr">
        <is>
          <t>Read</t>
        </is>
      </c>
      <c r="I38" t="inlineStr">
        <is>
          <t>CRICOS code on page</t>
        </is>
      </c>
      <c r="J38" t="inlineStr"/>
      <c r="K38" t="inlineStr">
        <is>
          <t>Not sent to re-link</t>
        </is>
      </c>
      <c r="L38" t="inlineStr">
        <is>
          <t>Filled</t>
        </is>
      </c>
      <c r="M38" t="inlineStr">
        <is>
          <t>Filled</t>
        </is>
      </c>
      <c r="N38" t="inlineStr">
        <is>
          <t>62500.00 2026</t>
        </is>
      </c>
      <c r="O38" t="n">
        <v>0</v>
      </c>
      <c r="P38" t="inlineStr">
        <is>
          <t>University adapter</t>
        </is>
      </c>
      <c r="Q38" t="inlineStr">
        <is>
          <t>Filled</t>
        </is>
      </c>
      <c r="R38" t="n">
        <v>6</v>
      </c>
      <c r="S38" t="inlineStr">
        <is>
          <t>Central English policy</t>
        </is>
      </c>
      <c r="T38" t="inlineStr">
        <is>
          <t>Central rule applies (value agrees)</t>
        </is>
      </c>
      <c r="U38" t="inlineStr"/>
      <c r="V38" t="inlineStr">
        <is>
          <t>Filled</t>
        </is>
      </c>
      <c r="W38" t="inlineStr">
        <is>
          <t>February</t>
        </is>
      </c>
      <c r="X38" t="inlineStr">
        <is>
          <t>University adapter</t>
        </is>
      </c>
      <c r="Y38" t="n">
        <v>0</v>
      </c>
      <c r="Z38" t="inlineStr">
        <is>
          <t>Yes</t>
        </is>
      </c>
      <c r="AA38" t="inlineStr">
        <is>
          <t>Filled</t>
        </is>
      </c>
      <c r="AB38" t="inlineStr">
        <is>
          <t>on campus</t>
        </is>
      </c>
      <c r="AC38" t="inlineStr"/>
      <c r="AD38" t="n">
        <v>0</v>
      </c>
      <c r="AE38" t="inlineStr"/>
      <c r="AF38" t="inlineStr"/>
      <c r="AG38" t="inlineStr"/>
      <c r="AH38" t="inlineStr"/>
      <c r="AI38" t="inlineStr"/>
      <c r="AJ38" t="inlineStr"/>
      <c r="AK38" t="inlineStr"/>
      <c r="AL38" t="inlineStr"/>
      <c r="AM38" t="inlineStr"/>
    </row>
    <row r="39">
      <c r="A39" t="inlineStr">
        <is>
          <t>088871C</t>
        </is>
      </c>
      <c r="B39" t="inlineStr">
        <is>
          <t>Bachelor of Biotechnology (Honours)</t>
        </is>
      </c>
      <c r="C39" t="inlineStr">
        <is>
          <t>Bachelor Honours Degree</t>
        </is>
      </c>
      <c r="D39" t="inlineStr">
        <is>
          <t>Undergraduate</t>
        </is>
      </c>
      <c r="E39" t="inlineStr">
        <is>
          <t>Advertised: official page in place</t>
        </is>
      </c>
      <c r="F39" t="inlineStr">
        <is>
          <t>https://www.unsw.edu.au/study/undergraduate/bachelor-of-biotechnology-honours</t>
        </is>
      </c>
      <c r="G39" t="inlineStr">
        <is>
          <t>https://www.unsw.edu.au/study/undergraduate/bachelor-of-biotechnology-honours</t>
        </is>
      </c>
      <c r="H39" t="inlineStr">
        <is>
          <t>Read</t>
        </is>
      </c>
      <c r="I39" t="inlineStr">
        <is>
          <t>CRICOS code on page</t>
        </is>
      </c>
      <c r="J39" t="inlineStr"/>
      <c r="K39" t="inlineStr">
        <is>
          <t>Not sent to re-link</t>
        </is>
      </c>
      <c r="L39" t="inlineStr">
        <is>
          <t>Filled</t>
        </is>
      </c>
      <c r="M39" t="inlineStr">
        <is>
          <t>Filled</t>
        </is>
      </c>
      <c r="N39" t="inlineStr">
        <is>
          <t>61500.00 2026</t>
        </is>
      </c>
      <c r="O39" t="n">
        <v>0</v>
      </c>
      <c r="P39" t="inlineStr">
        <is>
          <t>University adapter</t>
        </is>
      </c>
      <c r="Q39" t="inlineStr">
        <is>
          <t>Filled</t>
        </is>
      </c>
      <c r="R39" t="n">
        <v>6</v>
      </c>
      <c r="S39" t="inlineStr">
        <is>
          <t>Central English policy</t>
        </is>
      </c>
      <c r="T39" t="inlineStr">
        <is>
          <t>Central rule applies (value agrees)</t>
        </is>
      </c>
      <c r="U39" t="inlineStr"/>
      <c r="V39" t="inlineStr">
        <is>
          <t>Filled</t>
        </is>
      </c>
      <c r="W39" t="inlineStr">
        <is>
          <t>February, May, September</t>
        </is>
      </c>
      <c r="X39" t="inlineStr">
        <is>
          <t>University adapter</t>
        </is>
      </c>
      <c r="Y39" t="n">
        <v>0</v>
      </c>
      <c r="Z39" t="inlineStr">
        <is>
          <t>Yes</t>
        </is>
      </c>
      <c r="AA39" t="inlineStr">
        <is>
          <t>Filled</t>
        </is>
      </c>
      <c r="AB39" t="inlineStr">
        <is>
          <t>on campus</t>
        </is>
      </c>
      <c r="AC39" t="inlineStr"/>
      <c r="AD39" t="n">
        <v>0</v>
      </c>
      <c r="AE39" t="inlineStr"/>
      <c r="AF39" t="inlineStr"/>
      <c r="AG39" t="inlineStr"/>
      <c r="AH39" t="inlineStr"/>
      <c r="AI39" t="inlineStr"/>
      <c r="AJ39" t="inlineStr"/>
      <c r="AK39" t="inlineStr"/>
      <c r="AL39" t="inlineStr"/>
      <c r="AM39" t="inlineStr"/>
    </row>
    <row r="40">
      <c r="A40" t="inlineStr">
        <is>
          <t>088837E</t>
        </is>
      </c>
      <c r="B40" t="inlineStr">
        <is>
          <t>Bachelor of City Planning (Honours)</t>
        </is>
      </c>
      <c r="C40" t="inlineStr">
        <is>
          <t>Bachelor Honours Degree</t>
        </is>
      </c>
      <c r="D40" t="inlineStr">
        <is>
          <t>Undergraduate</t>
        </is>
      </c>
      <c r="E40" t="inlineStr">
        <is>
          <t>Advertised: official page in place</t>
        </is>
      </c>
      <c r="F40" t="inlineStr">
        <is>
          <t>https://www.unsw.edu.au/study/undergraduate/bachelor-of-city-planning-honours</t>
        </is>
      </c>
      <c r="G40" t="inlineStr">
        <is>
          <t>https://www.unsw.edu.au/study/undergraduate/bachelor-of-city-planning-honours</t>
        </is>
      </c>
      <c r="H40" t="inlineStr">
        <is>
          <t>Read</t>
        </is>
      </c>
      <c r="I40" t="inlineStr">
        <is>
          <t>CRICOS code on page</t>
        </is>
      </c>
      <c r="J40" t="inlineStr"/>
      <c r="K40" t="inlineStr">
        <is>
          <t>Not sent to re-link</t>
        </is>
      </c>
      <c r="L40" t="inlineStr">
        <is>
          <t>Filled</t>
        </is>
      </c>
      <c r="M40" t="inlineStr">
        <is>
          <t>Filled</t>
        </is>
      </c>
      <c r="N40" t="inlineStr">
        <is>
          <t>51000.00 2026</t>
        </is>
      </c>
      <c r="O40" t="n">
        <v>0</v>
      </c>
      <c r="P40" t="inlineStr">
        <is>
          <t>University adapter</t>
        </is>
      </c>
      <c r="Q40" t="inlineStr">
        <is>
          <t>Filled</t>
        </is>
      </c>
      <c r="R40" t="n">
        <v>6</v>
      </c>
      <c r="S40" t="inlineStr">
        <is>
          <t>Central English policy</t>
        </is>
      </c>
      <c r="T40" t="inlineStr">
        <is>
          <t>Central rule applies (value agrees)</t>
        </is>
      </c>
      <c r="U40" t="inlineStr"/>
      <c r="V40" t="inlineStr">
        <is>
          <t>Filled</t>
        </is>
      </c>
      <c r="W40" t="inlineStr">
        <is>
          <t>February</t>
        </is>
      </c>
      <c r="X40" t="inlineStr">
        <is>
          <t>University adapter</t>
        </is>
      </c>
      <c r="Y40" t="n">
        <v>0</v>
      </c>
      <c r="Z40" t="inlineStr">
        <is>
          <t>Yes</t>
        </is>
      </c>
      <c r="AA40" t="inlineStr">
        <is>
          <t>Filled</t>
        </is>
      </c>
      <c r="AB40" t="inlineStr">
        <is>
          <t>on campus</t>
        </is>
      </c>
      <c r="AC40" t="inlineStr"/>
      <c r="AD40" t="n">
        <v>0</v>
      </c>
      <c r="AE40" t="inlineStr"/>
      <c r="AF40" t="inlineStr"/>
      <c r="AG40" t="inlineStr"/>
      <c r="AH40" t="inlineStr"/>
      <c r="AI40" t="inlineStr"/>
      <c r="AJ40" t="inlineStr"/>
      <c r="AK40" t="inlineStr"/>
      <c r="AL40" t="inlineStr"/>
      <c r="AM40" t="inlineStr"/>
    </row>
    <row r="41">
      <c r="A41" t="inlineStr">
        <is>
          <t>090701C</t>
        </is>
      </c>
      <c r="B41" t="inlineStr">
        <is>
          <t>Bachelor of City Planning (Honours)/Bachelor of Laws</t>
        </is>
      </c>
      <c r="C41" t="inlineStr">
        <is>
          <t>Bachelor Honours Degree</t>
        </is>
      </c>
      <c r="D41" t="inlineStr">
        <is>
          <t>Undergraduate</t>
        </is>
      </c>
      <c r="E41" t="inlineStr">
        <is>
          <t>Advertised: official page in place</t>
        </is>
      </c>
      <c r="F41" t="inlineStr">
        <is>
          <t>https://www.unsw.edu.au/study/undergraduate/bachelor-of-city-planning-honours-law</t>
        </is>
      </c>
      <c r="G41" t="inlineStr">
        <is>
          <t>https://www.unsw.edu.au/study/undergraduate/bachelor-of-city-planning-honours-law</t>
        </is>
      </c>
      <c r="H41" t="inlineStr">
        <is>
          <t>Read</t>
        </is>
      </c>
      <c r="I41" t="inlineStr">
        <is>
          <t>CRICOS code on page</t>
        </is>
      </c>
      <c r="J41" t="inlineStr"/>
      <c r="K41" t="inlineStr">
        <is>
          <t>Not sent to re-link</t>
        </is>
      </c>
      <c r="L41" t="inlineStr">
        <is>
          <t>Filled</t>
        </is>
      </c>
      <c r="M41" t="inlineStr">
        <is>
          <t>Filled</t>
        </is>
      </c>
      <c r="N41" t="inlineStr">
        <is>
          <t>53000.00 2026</t>
        </is>
      </c>
      <c r="O41" t="n">
        <v>0</v>
      </c>
      <c r="P41" t="inlineStr">
        <is>
          <t>University adapter</t>
        </is>
      </c>
      <c r="Q41" t="inlineStr">
        <is>
          <t>Filled</t>
        </is>
      </c>
      <c r="R41" t="n">
        <v>6</v>
      </c>
      <c r="S41" t="inlineStr">
        <is>
          <t>Central English policy</t>
        </is>
      </c>
      <c r="T41" t="inlineStr">
        <is>
          <t>Central rule applies (value agrees)</t>
        </is>
      </c>
      <c r="U41" t="inlineStr"/>
      <c r="V41" t="inlineStr">
        <is>
          <t>Filled</t>
        </is>
      </c>
      <c r="W41" t="inlineStr">
        <is>
          <t>February</t>
        </is>
      </c>
      <c r="X41" t="inlineStr">
        <is>
          <t>University adapter</t>
        </is>
      </c>
      <c r="Y41" t="n">
        <v>0</v>
      </c>
      <c r="Z41" t="inlineStr">
        <is>
          <t>Yes</t>
        </is>
      </c>
      <c r="AA41" t="inlineStr">
        <is>
          <t>Filled</t>
        </is>
      </c>
      <c r="AB41" t="inlineStr">
        <is>
          <t>on campus</t>
        </is>
      </c>
      <c r="AC41" t="inlineStr"/>
      <c r="AD41" t="n">
        <v>0</v>
      </c>
      <c r="AE41" t="inlineStr"/>
      <c r="AF41" t="inlineStr"/>
      <c r="AG41" t="inlineStr"/>
      <c r="AH41" t="inlineStr"/>
      <c r="AI41" t="inlineStr"/>
      <c r="AJ41" t="inlineStr"/>
      <c r="AK41" t="inlineStr"/>
      <c r="AL41" t="inlineStr"/>
      <c r="AM41" t="inlineStr"/>
    </row>
    <row r="42">
      <c r="A42" t="inlineStr">
        <is>
          <t>005946J</t>
        </is>
      </c>
      <c r="B42" t="inlineStr">
        <is>
          <t>Bachelor of Commerce (All Majors) / Bachelor of Laws</t>
        </is>
      </c>
      <c r="C42" t="inlineStr">
        <is>
          <t>Bachelor</t>
        </is>
      </c>
      <c r="D42" t="inlineStr">
        <is>
          <t>Undergraduate</t>
        </is>
      </c>
      <c r="E42" t="inlineStr">
        <is>
          <t>Advertised: official page in place</t>
        </is>
      </c>
      <c r="F42" t="inlineStr">
        <is>
          <t>https://www.unsw.edu.au/study/undergraduate/bachelor-of-commerce-law</t>
        </is>
      </c>
      <c r="G42" t="inlineStr">
        <is>
          <t>https://www.unsw.edu.au/study/undergraduate/bachelor-of-commerce-law</t>
        </is>
      </c>
      <c r="H42" t="inlineStr">
        <is>
          <t>Read</t>
        </is>
      </c>
      <c r="I42" t="inlineStr">
        <is>
          <t>CRICOS code on page</t>
        </is>
      </c>
      <c r="J42" t="inlineStr"/>
      <c r="K42" t="inlineStr">
        <is>
          <t>Not sent to re-link</t>
        </is>
      </c>
      <c r="L42" t="inlineStr">
        <is>
          <t>Filled</t>
        </is>
      </c>
      <c r="M42" t="inlineStr">
        <is>
          <t>Filled</t>
        </is>
      </c>
      <c r="N42" t="inlineStr">
        <is>
          <t>56500.00 2026</t>
        </is>
      </c>
      <c r="O42" t="n">
        <v>0</v>
      </c>
      <c r="P42" t="inlineStr">
        <is>
          <t>University adapter</t>
        </is>
      </c>
      <c r="Q42" t="inlineStr">
        <is>
          <t>Filled</t>
        </is>
      </c>
      <c r="R42" t="n">
        <v>6</v>
      </c>
      <c r="S42" t="inlineStr">
        <is>
          <t>Central English policy</t>
        </is>
      </c>
      <c r="T42" t="inlineStr">
        <is>
          <t>Central rule applies (value agrees)</t>
        </is>
      </c>
      <c r="U42" t="inlineStr"/>
      <c r="V42" t="inlineStr">
        <is>
          <t>Filled</t>
        </is>
      </c>
      <c r="W42" t="inlineStr">
        <is>
          <t>February, September</t>
        </is>
      </c>
      <c r="X42" t="inlineStr">
        <is>
          <t>University adapter</t>
        </is>
      </c>
      <c r="Y42" t="n">
        <v>0</v>
      </c>
      <c r="Z42" t="inlineStr">
        <is>
          <t>Yes</t>
        </is>
      </c>
      <c r="AA42" t="inlineStr">
        <is>
          <t>Filled</t>
        </is>
      </c>
      <c r="AB42" t="inlineStr">
        <is>
          <t>on campus</t>
        </is>
      </c>
      <c r="AC42" t="inlineStr"/>
      <c r="AD42" t="n">
        <v>0</v>
      </c>
      <c r="AE42" t="inlineStr"/>
      <c r="AF42" t="inlineStr"/>
      <c r="AG42" t="inlineStr"/>
      <c r="AH42" t="inlineStr"/>
      <c r="AI42" t="inlineStr"/>
      <c r="AJ42" t="inlineStr"/>
      <c r="AK42" t="inlineStr"/>
      <c r="AL42" t="inlineStr"/>
      <c r="AM42" t="inlineStr"/>
    </row>
    <row r="43">
      <c r="A43" t="inlineStr">
        <is>
          <t>001919M</t>
        </is>
      </c>
      <c r="B43" t="inlineStr">
        <is>
          <t>Bachelor of Commerce (all specialisations)</t>
        </is>
      </c>
      <c r="C43" t="inlineStr">
        <is>
          <t>Bachelor</t>
        </is>
      </c>
      <c r="D43" t="inlineStr">
        <is>
          <t>Undergraduate</t>
        </is>
      </c>
      <c r="E43" t="inlineStr">
        <is>
          <t>Advertised: official page in place</t>
        </is>
      </c>
      <c r="F43" t="inlineStr">
        <is>
          <t>https://www.unsw.edu.au/study/undergraduate/bachelor-of-commerce</t>
        </is>
      </c>
      <c r="G43" t="inlineStr">
        <is>
          <t>https://www.unsw.edu.au/study/undergraduate/bachelor-of-commerce</t>
        </is>
      </c>
      <c r="H43" t="inlineStr">
        <is>
          <t>Read</t>
        </is>
      </c>
      <c r="I43" t="inlineStr">
        <is>
          <t>CRICOS code on page</t>
        </is>
      </c>
      <c r="J43" t="inlineStr"/>
      <c r="K43" t="inlineStr">
        <is>
          <t>Not sent to re-link</t>
        </is>
      </c>
      <c r="L43" t="inlineStr">
        <is>
          <t>Filled</t>
        </is>
      </c>
      <c r="M43" t="inlineStr">
        <is>
          <t>Filled</t>
        </is>
      </c>
      <c r="N43" t="inlineStr">
        <is>
          <t>56500.00 2026</t>
        </is>
      </c>
      <c r="O43" t="n">
        <v>0</v>
      </c>
      <c r="P43" t="inlineStr">
        <is>
          <t>University adapter</t>
        </is>
      </c>
      <c r="Q43" t="inlineStr">
        <is>
          <t>Filled</t>
        </is>
      </c>
      <c r="R43" t="n">
        <v>6</v>
      </c>
      <c r="S43" t="inlineStr">
        <is>
          <t>Central English policy</t>
        </is>
      </c>
      <c r="T43" t="inlineStr">
        <is>
          <t>Central rule applies (value agrees)</t>
        </is>
      </c>
      <c r="U43" t="inlineStr"/>
      <c r="V43" t="inlineStr">
        <is>
          <t>Filled</t>
        </is>
      </c>
      <c r="W43" t="inlineStr">
        <is>
          <t>February, May, September</t>
        </is>
      </c>
      <c r="X43" t="inlineStr">
        <is>
          <t>University adapter</t>
        </is>
      </c>
      <c r="Y43" t="n">
        <v>0</v>
      </c>
      <c r="Z43" t="inlineStr">
        <is>
          <t>Yes</t>
        </is>
      </c>
      <c r="AA43" t="inlineStr">
        <is>
          <t>Filled</t>
        </is>
      </c>
      <c r="AB43" t="inlineStr">
        <is>
          <t>on campus</t>
        </is>
      </c>
      <c r="AC43" t="inlineStr"/>
      <c r="AD43" t="n">
        <v>0</v>
      </c>
      <c r="AE43" t="inlineStr"/>
      <c r="AF43" t="inlineStr"/>
      <c r="AG43" t="inlineStr"/>
      <c r="AH43" t="inlineStr"/>
      <c r="AI43" t="inlineStr"/>
      <c r="AJ43" t="inlineStr"/>
      <c r="AK43" t="inlineStr"/>
      <c r="AL43" t="inlineStr"/>
      <c r="AM43" t="inlineStr"/>
    </row>
    <row r="44">
      <c r="A44" t="inlineStr">
        <is>
          <t>080466C</t>
        </is>
      </c>
      <c r="B44" t="inlineStr">
        <is>
          <t>Bachelor of Commerce (Honours)</t>
        </is>
      </c>
      <c r="C44" t="inlineStr">
        <is>
          <t>Bachelor Honours Degree</t>
        </is>
      </c>
      <c r="D44" t="inlineStr">
        <is>
          <t>Undergraduate</t>
        </is>
      </c>
      <c r="E44" t="inlineStr">
        <is>
          <t>Advertised: official page in place</t>
        </is>
      </c>
      <c r="F44" t="inlineStr">
        <is>
          <t>https://www.unsw.edu.au/study/undergraduate/bachelor-of-commerce-honours</t>
        </is>
      </c>
      <c r="G44" t="inlineStr">
        <is>
          <t>https://www.unsw.edu.au/study/undergraduate/bachelor-of-commerce-honours</t>
        </is>
      </c>
      <c r="H44" t="inlineStr">
        <is>
          <t>Read</t>
        </is>
      </c>
      <c r="I44" t="inlineStr">
        <is>
          <t>CRICOS code on page</t>
        </is>
      </c>
      <c r="J44" t="inlineStr"/>
      <c r="K44" t="inlineStr">
        <is>
          <t>Not sent to re-link</t>
        </is>
      </c>
      <c r="L44" t="inlineStr">
        <is>
          <t>Filled</t>
        </is>
      </c>
      <c r="M44" t="inlineStr">
        <is>
          <t>Filled</t>
        </is>
      </c>
      <c r="N44" t="inlineStr">
        <is>
          <t>56500.00 2026</t>
        </is>
      </c>
      <c r="O44" t="n">
        <v>0</v>
      </c>
      <c r="P44" t="inlineStr">
        <is>
          <t>University adapter</t>
        </is>
      </c>
      <c r="Q44" t="inlineStr">
        <is>
          <t>Filled</t>
        </is>
      </c>
      <c r="R44" t="n">
        <v>6</v>
      </c>
      <c r="S44" t="inlineStr">
        <is>
          <t>Central English policy</t>
        </is>
      </c>
      <c r="T44" t="inlineStr">
        <is>
          <t>Central rule applies (value agrees)</t>
        </is>
      </c>
      <c r="U44" t="inlineStr"/>
      <c r="V44" t="inlineStr">
        <is>
          <t>Filled</t>
        </is>
      </c>
      <c r="W44" t="inlineStr">
        <is>
          <t>February, May, September</t>
        </is>
      </c>
      <c r="X44" t="inlineStr">
        <is>
          <t>University adapter</t>
        </is>
      </c>
      <c r="Y44" t="n">
        <v>0</v>
      </c>
      <c r="Z44" t="inlineStr">
        <is>
          <t>Yes</t>
        </is>
      </c>
      <c r="AA44" t="inlineStr">
        <is>
          <t>Filled</t>
        </is>
      </c>
      <c r="AB44" t="inlineStr">
        <is>
          <t>on campus</t>
        </is>
      </c>
      <c r="AC44" t="inlineStr"/>
      <c r="AD44" t="n">
        <v>0</v>
      </c>
      <c r="AE44" t="inlineStr"/>
      <c r="AF44" t="inlineStr"/>
      <c r="AG44" t="inlineStr"/>
      <c r="AH44" t="inlineStr"/>
      <c r="AI44" t="inlineStr"/>
      <c r="AJ44" t="inlineStr"/>
      <c r="AK44" t="inlineStr"/>
      <c r="AL44" t="inlineStr"/>
      <c r="AM44" t="inlineStr"/>
    </row>
    <row r="45">
      <c r="A45" t="inlineStr">
        <is>
          <t>058736C</t>
        </is>
      </c>
      <c r="B45" t="inlineStr">
        <is>
          <t>Bachelor of Commerce (International)</t>
        </is>
      </c>
      <c r="C45" t="inlineStr">
        <is>
          <t>Bachelor</t>
        </is>
      </c>
      <c r="D45" t="inlineStr">
        <is>
          <t>Undergraduate</t>
        </is>
      </c>
      <c r="E45" t="inlineStr">
        <is>
          <t>Advertised: official page in place</t>
        </is>
      </c>
      <c r="F45" t="inlineStr">
        <is>
          <t>https://www.unsw.edu.au/study/undergraduate/bachelor-of-commerce-international</t>
        </is>
      </c>
      <c r="G45" t="inlineStr">
        <is>
          <t>https://www.unsw.edu.au/study/undergraduate/bachelor-of-commerce-international</t>
        </is>
      </c>
      <c r="H45" t="inlineStr">
        <is>
          <t>Read</t>
        </is>
      </c>
      <c r="I45" t="inlineStr">
        <is>
          <t>CRICOS code on page</t>
        </is>
      </c>
      <c r="J45" t="inlineStr"/>
      <c r="K45" t="inlineStr">
        <is>
          <t>Not sent to re-link</t>
        </is>
      </c>
      <c r="L45" t="inlineStr">
        <is>
          <t>Filled</t>
        </is>
      </c>
      <c r="M45" t="inlineStr">
        <is>
          <t>Filled</t>
        </is>
      </c>
      <c r="N45" t="inlineStr">
        <is>
          <t>56500.00 2026</t>
        </is>
      </c>
      <c r="O45" t="n">
        <v>0</v>
      </c>
      <c r="P45" t="inlineStr">
        <is>
          <t>University adapter</t>
        </is>
      </c>
      <c r="Q45" t="inlineStr">
        <is>
          <t>Filled</t>
        </is>
      </c>
      <c r="R45" t="n">
        <v>6</v>
      </c>
      <c r="S45" t="inlineStr">
        <is>
          <t>Central English policy</t>
        </is>
      </c>
      <c r="T45" t="inlineStr">
        <is>
          <t>Central rule applies (value agrees)</t>
        </is>
      </c>
      <c r="U45" t="inlineStr"/>
      <c r="V45" t="inlineStr">
        <is>
          <t>Filled</t>
        </is>
      </c>
      <c r="W45" t="inlineStr">
        <is>
          <t>February, May, September</t>
        </is>
      </c>
      <c r="X45" t="inlineStr">
        <is>
          <t>University adapter</t>
        </is>
      </c>
      <c r="Y45" t="n">
        <v>0</v>
      </c>
      <c r="Z45" t="inlineStr">
        <is>
          <t>Yes</t>
        </is>
      </c>
      <c r="AA45" t="inlineStr">
        <is>
          <t>Filled</t>
        </is>
      </c>
      <c r="AB45" t="inlineStr">
        <is>
          <t>on campus and online</t>
        </is>
      </c>
      <c r="AC45" t="inlineStr"/>
      <c r="AD45" t="n">
        <v>0</v>
      </c>
      <c r="AE45" t="inlineStr"/>
      <c r="AF45" t="inlineStr"/>
      <c r="AG45" t="inlineStr"/>
      <c r="AH45" t="inlineStr"/>
      <c r="AI45" t="inlineStr"/>
      <c r="AJ45" t="inlineStr"/>
      <c r="AK45" t="inlineStr"/>
      <c r="AL45" t="inlineStr"/>
      <c r="AM45" t="inlineStr"/>
    </row>
    <row r="46">
      <c r="A46" t="inlineStr">
        <is>
          <t>088854D</t>
        </is>
      </c>
      <c r="B46" t="inlineStr">
        <is>
          <t>Bachelor of Commerce /Bachelor of Advanced Science (Honours)</t>
        </is>
      </c>
      <c r="C46" t="inlineStr">
        <is>
          <t>Bachelor Honours Degree</t>
        </is>
      </c>
      <c r="D46" t="inlineStr">
        <is>
          <t>Undergraduate</t>
        </is>
      </c>
      <c r="E46" t="inlineStr">
        <is>
          <t>Advertised: official page in place</t>
        </is>
      </c>
      <c r="F46" t="inlineStr">
        <is>
          <t>https://www.unsw.edu.au/study/undergraduate/bachelor-of-commerce-advanced-science-honours</t>
        </is>
      </c>
      <c r="G46" t="inlineStr">
        <is>
          <t>https://www.unsw.edu.au/study/undergraduate/bachelor-of-commerce-advanced-science-honours</t>
        </is>
      </c>
      <c r="H46" t="inlineStr">
        <is>
          <t>Read</t>
        </is>
      </c>
      <c r="I46" t="inlineStr">
        <is>
          <t>CRICOS code on page</t>
        </is>
      </c>
      <c r="J46" t="inlineStr"/>
      <c r="K46" t="inlineStr">
        <is>
          <t>Not sent to re-link</t>
        </is>
      </c>
      <c r="L46" t="inlineStr">
        <is>
          <t>Filled</t>
        </is>
      </c>
      <c r="M46" t="inlineStr">
        <is>
          <t>Filled</t>
        </is>
      </c>
      <c r="N46" t="inlineStr">
        <is>
          <t>60000.00 2026</t>
        </is>
      </c>
      <c r="O46" t="n">
        <v>0</v>
      </c>
      <c r="P46" t="inlineStr">
        <is>
          <t>University adapter</t>
        </is>
      </c>
      <c r="Q46" t="inlineStr">
        <is>
          <t>Filled</t>
        </is>
      </c>
      <c r="R46" t="n">
        <v>6</v>
      </c>
      <c r="S46" t="inlineStr">
        <is>
          <t>Central English policy</t>
        </is>
      </c>
      <c r="T46" t="inlineStr">
        <is>
          <t>Central rule applies (value agrees)</t>
        </is>
      </c>
      <c r="U46" t="inlineStr"/>
      <c r="V46" t="inlineStr">
        <is>
          <t>Filled</t>
        </is>
      </c>
      <c r="W46" t="inlineStr">
        <is>
          <t>February, May, September</t>
        </is>
      </c>
      <c r="X46" t="inlineStr">
        <is>
          <t>University adapter</t>
        </is>
      </c>
      <c r="Y46" t="n">
        <v>0</v>
      </c>
      <c r="Z46" t="inlineStr">
        <is>
          <t>Yes</t>
        </is>
      </c>
      <c r="AA46" t="inlineStr">
        <is>
          <t>Filled</t>
        </is>
      </c>
      <c r="AB46" t="inlineStr">
        <is>
          <t>on campus</t>
        </is>
      </c>
      <c r="AC46" t="inlineStr"/>
      <c r="AD46" t="n">
        <v>0</v>
      </c>
      <c r="AE46" t="inlineStr"/>
      <c r="AF46" t="inlineStr"/>
      <c r="AG46" t="inlineStr"/>
      <c r="AH46" t="inlineStr"/>
      <c r="AI46" t="inlineStr"/>
      <c r="AJ46" t="inlineStr"/>
      <c r="AK46" t="inlineStr"/>
      <c r="AL46" t="inlineStr"/>
      <c r="AM46" t="inlineStr"/>
    </row>
    <row r="47">
      <c r="A47" t="inlineStr">
        <is>
          <t>074885A</t>
        </is>
      </c>
      <c r="B47" t="inlineStr">
        <is>
          <t>Bachelor of Commerce/Bachelor of Arts</t>
        </is>
      </c>
      <c r="C47" t="inlineStr">
        <is>
          <t>Bachelor</t>
        </is>
      </c>
      <c r="D47" t="inlineStr">
        <is>
          <t>Undergraduate</t>
        </is>
      </c>
      <c r="E47" t="inlineStr">
        <is>
          <t>Advertised: official page in place</t>
        </is>
      </c>
      <c r="F47" t="inlineStr">
        <is>
          <t>https://www.unsw.edu.au/study/undergraduate/bachelor-of-commerce-arts</t>
        </is>
      </c>
      <c r="G47" t="inlineStr">
        <is>
          <t>https://www.unsw.edu.au/study/undergraduate/bachelor-of-commerce-arts</t>
        </is>
      </c>
      <c r="H47" t="inlineStr">
        <is>
          <t>Read</t>
        </is>
      </c>
      <c r="I47" t="inlineStr">
        <is>
          <t>CRICOS code on page</t>
        </is>
      </c>
      <c r="J47" t="inlineStr"/>
      <c r="K47" t="inlineStr">
        <is>
          <t>Not sent to re-link</t>
        </is>
      </c>
      <c r="L47" t="inlineStr">
        <is>
          <t>Filled</t>
        </is>
      </c>
      <c r="M47" t="inlineStr">
        <is>
          <t>Filled</t>
        </is>
      </c>
      <c r="N47" t="inlineStr">
        <is>
          <t>56000.00 2026</t>
        </is>
      </c>
      <c r="O47" t="n">
        <v>0</v>
      </c>
      <c r="P47" t="inlineStr">
        <is>
          <t>University adapter</t>
        </is>
      </c>
      <c r="Q47" t="inlineStr">
        <is>
          <t>Filled</t>
        </is>
      </c>
      <c r="R47" t="n">
        <v>6</v>
      </c>
      <c r="S47" t="inlineStr">
        <is>
          <t>Central English policy</t>
        </is>
      </c>
      <c r="T47" t="inlineStr">
        <is>
          <t>Central rule applies (value agrees)</t>
        </is>
      </c>
      <c r="U47" t="inlineStr"/>
      <c r="V47" t="inlineStr">
        <is>
          <t>Filled</t>
        </is>
      </c>
      <c r="W47" t="inlineStr">
        <is>
          <t>February, May, September</t>
        </is>
      </c>
      <c r="X47" t="inlineStr">
        <is>
          <t>University adapter</t>
        </is>
      </c>
      <c r="Y47" t="n">
        <v>0</v>
      </c>
      <c r="Z47" t="inlineStr">
        <is>
          <t>Yes</t>
        </is>
      </c>
      <c r="AA47" t="inlineStr">
        <is>
          <t>Filled</t>
        </is>
      </c>
      <c r="AB47" t="inlineStr">
        <is>
          <t>on campus</t>
        </is>
      </c>
      <c r="AC47" t="inlineStr"/>
      <c r="AD47" t="n">
        <v>0</v>
      </c>
      <c r="AE47" t="inlineStr"/>
      <c r="AF47" t="inlineStr"/>
      <c r="AG47" t="inlineStr"/>
      <c r="AH47" t="inlineStr"/>
      <c r="AI47" t="inlineStr"/>
      <c r="AJ47" t="inlineStr"/>
      <c r="AK47" t="inlineStr"/>
      <c r="AL47" t="inlineStr"/>
      <c r="AM47" t="inlineStr"/>
    </row>
    <row r="48">
      <c r="A48" t="inlineStr">
        <is>
          <t>080470G</t>
        </is>
      </c>
      <c r="B48" t="inlineStr">
        <is>
          <t>Bachelor of Commerce/Bachelor of Aviation (Management)</t>
        </is>
      </c>
      <c r="C48" t="inlineStr">
        <is>
          <t>Bachelor</t>
        </is>
      </c>
      <c r="D48" t="inlineStr">
        <is>
          <t>Undergraduate</t>
        </is>
      </c>
      <c r="E48" t="inlineStr">
        <is>
          <t>Advertised: official page in place</t>
        </is>
      </c>
      <c r="F48" t="inlineStr">
        <is>
          <t>https://www.unsw.edu.au/study/undergraduate/bachelor-of-commerce-aviation-management</t>
        </is>
      </c>
      <c r="G48" t="inlineStr">
        <is>
          <t>https://www.unsw.edu.au/study/undergraduate/bachelor-of-commerce-aviation-management</t>
        </is>
      </c>
      <c r="H48" t="inlineStr">
        <is>
          <t>Read</t>
        </is>
      </c>
      <c r="I48" t="inlineStr">
        <is>
          <t>CRICOS code on page</t>
        </is>
      </c>
      <c r="J48" t="inlineStr"/>
      <c r="K48" t="inlineStr">
        <is>
          <t>Not sent to re-link</t>
        </is>
      </c>
      <c r="L48" t="inlineStr">
        <is>
          <t>Filled</t>
        </is>
      </c>
      <c r="M48" t="inlineStr">
        <is>
          <t>Filled</t>
        </is>
      </c>
      <c r="N48" t="inlineStr">
        <is>
          <t>58500.00 2026</t>
        </is>
      </c>
      <c r="O48" t="n">
        <v>0</v>
      </c>
      <c r="P48" t="inlineStr">
        <is>
          <t>University adapter</t>
        </is>
      </c>
      <c r="Q48" t="inlineStr">
        <is>
          <t>Filled</t>
        </is>
      </c>
      <c r="R48" t="n">
        <v>6</v>
      </c>
      <c r="S48" t="inlineStr">
        <is>
          <t>Central English policy</t>
        </is>
      </c>
      <c r="T48" t="inlineStr">
        <is>
          <t>Central rule applies (value agrees)</t>
        </is>
      </c>
      <c r="U48" t="inlineStr"/>
      <c r="V48" t="inlineStr">
        <is>
          <t>Filled</t>
        </is>
      </c>
      <c r="W48" t="inlineStr">
        <is>
          <t>February, May, September</t>
        </is>
      </c>
      <c r="X48" t="inlineStr">
        <is>
          <t>University adapter</t>
        </is>
      </c>
      <c r="Y48" t="n">
        <v>0</v>
      </c>
      <c r="Z48" t="inlineStr">
        <is>
          <t>Yes</t>
        </is>
      </c>
      <c r="AA48" t="inlineStr">
        <is>
          <t>Filled</t>
        </is>
      </c>
      <c r="AB48" t="inlineStr">
        <is>
          <t>on campus</t>
        </is>
      </c>
      <c r="AC48" t="inlineStr"/>
      <c r="AD48" t="n">
        <v>0</v>
      </c>
      <c r="AE48" t="inlineStr"/>
      <c r="AF48" t="inlineStr"/>
      <c r="AG48" t="inlineStr"/>
      <c r="AH48" t="inlineStr"/>
      <c r="AI48" t="inlineStr"/>
      <c r="AJ48" t="inlineStr"/>
      <c r="AK48" t="inlineStr"/>
      <c r="AL48" t="inlineStr"/>
      <c r="AM48" t="inlineStr"/>
    </row>
    <row r="49">
      <c r="A49" t="inlineStr">
        <is>
          <t>110679D</t>
        </is>
      </c>
      <c r="B49" t="inlineStr">
        <is>
          <t>Bachelor of Commerce/Bachelor of Design</t>
        </is>
      </c>
      <c r="C49" t="inlineStr">
        <is>
          <t>Bachelor</t>
        </is>
      </c>
      <c r="D49" t="inlineStr">
        <is>
          <t>Undergraduate</t>
        </is>
      </c>
      <c r="E49" t="inlineStr">
        <is>
          <t>Advertised: official page in place</t>
        </is>
      </c>
      <c r="F49" t="inlineStr">
        <is>
          <t>https://www.unsw.edu.au/study/undergraduate/bachelor-of-commerce-design1</t>
        </is>
      </c>
      <c r="G49" t="inlineStr">
        <is>
          <t>https://www.unsw.edu.au/study/undergraduate/bachelor-of-commerce-design1</t>
        </is>
      </c>
      <c r="H49" t="inlineStr">
        <is>
          <t>Read</t>
        </is>
      </c>
      <c r="I49" t="inlineStr">
        <is>
          <t>CRICOS code on page</t>
        </is>
      </c>
      <c r="J49" t="inlineStr"/>
      <c r="K49" t="inlineStr">
        <is>
          <t>Not sent to re-link</t>
        </is>
      </c>
      <c r="L49" t="inlineStr">
        <is>
          <t>Filled</t>
        </is>
      </c>
      <c r="M49" t="inlineStr">
        <is>
          <t>Filled</t>
        </is>
      </c>
      <c r="N49" t="inlineStr">
        <is>
          <t>52500.00 2026</t>
        </is>
      </c>
      <c r="O49" t="n">
        <v>0</v>
      </c>
      <c r="P49" t="inlineStr">
        <is>
          <t>University adapter</t>
        </is>
      </c>
      <c r="Q49" t="inlineStr">
        <is>
          <t>Filled</t>
        </is>
      </c>
      <c r="R49" t="n">
        <v>6</v>
      </c>
      <c r="S49" t="inlineStr">
        <is>
          <t>Central English policy</t>
        </is>
      </c>
      <c r="T49" t="inlineStr">
        <is>
          <t>Central rule applies (value agrees)</t>
        </is>
      </c>
      <c r="U49" t="inlineStr"/>
      <c r="V49" t="inlineStr">
        <is>
          <t>Filled</t>
        </is>
      </c>
      <c r="W49" t="inlineStr">
        <is>
          <t>February, May, September</t>
        </is>
      </c>
      <c r="X49" t="inlineStr">
        <is>
          <t>University adapter</t>
        </is>
      </c>
      <c r="Y49" t="n">
        <v>0</v>
      </c>
      <c r="Z49" t="inlineStr">
        <is>
          <t>Yes</t>
        </is>
      </c>
      <c r="AA49" t="inlineStr">
        <is>
          <t>Filled</t>
        </is>
      </c>
      <c r="AB49" t="inlineStr">
        <is>
          <t>on campus</t>
        </is>
      </c>
      <c r="AC49" t="inlineStr"/>
      <c r="AD49" t="n">
        <v>0</v>
      </c>
      <c r="AE49" t="inlineStr"/>
      <c r="AF49" t="inlineStr"/>
      <c r="AG49" t="inlineStr"/>
      <c r="AH49" t="inlineStr"/>
      <c r="AI49" t="inlineStr"/>
      <c r="AJ49" t="inlineStr"/>
      <c r="AK49" t="inlineStr"/>
      <c r="AL49" t="inlineStr"/>
      <c r="AM49" t="inlineStr"/>
    </row>
    <row r="50">
      <c r="A50" t="inlineStr">
        <is>
          <t>085135D</t>
        </is>
      </c>
      <c r="B50" t="inlineStr">
        <is>
          <t>Bachelor of Commerce/Bachelor of Design (Honours)</t>
        </is>
      </c>
      <c r="C50" t="inlineStr">
        <is>
          <t>Bachelor Honours Degree</t>
        </is>
      </c>
      <c r="D50" t="inlineStr">
        <is>
          <t>Undergraduate</t>
        </is>
      </c>
      <c r="E50" t="inlineStr">
        <is>
          <t>No-page record (conjoint), awaiting review</t>
        </is>
      </c>
      <c r="F50" t="inlineStr"/>
      <c r="G50" t="inlineStr">
        <is>
          <t>https://www.unsw.edu.au/study/undergraduate/bachelor-of-design-honours</t>
        </is>
      </c>
      <c r="H50" t="inlineStr">
        <is>
          <t>Page is for another course</t>
        </is>
      </c>
      <c r="I50" t="inlineStr"/>
      <c r="J50" t="inlineStr">
        <is>
          <t>Conjoint (proposed)</t>
        </is>
      </c>
      <c r="K50" t="inlineStr">
        <is>
          <t>Finished, no page: no address from the university's address forms or stored lis</t>
        </is>
      </c>
      <c r="L50" t="inlineStr">
        <is>
          <t>Searching for course page</t>
        </is>
      </c>
      <c r="M50" t="inlineStr">
        <is>
          <t>Searching for course page</t>
        </is>
      </c>
      <c r="N50" t="inlineStr"/>
      <c r="O50" t="n">
        <v>0</v>
      </c>
      <c r="P50" t="inlineStr"/>
      <c r="Q50" t="inlineStr">
        <is>
          <t>Filled</t>
        </is>
      </c>
      <c r="R50" t="n">
        <v>6</v>
      </c>
      <c r="S50" t="inlineStr">
        <is>
          <t>Central English policy</t>
        </is>
      </c>
      <c r="T50" t="inlineStr">
        <is>
          <t>Central rule applies (value agrees)</t>
        </is>
      </c>
      <c r="U50" t="inlineStr"/>
      <c r="V50" t="inlineStr">
        <is>
          <t>Searching for course page</t>
        </is>
      </c>
      <c r="W50" t="inlineStr"/>
      <c r="X50" t="inlineStr"/>
      <c r="Y50" t="n">
        <v>0</v>
      </c>
      <c r="Z50" t="inlineStr">
        <is>
          <t>Yes</t>
        </is>
      </c>
      <c r="AA50" t="inlineStr">
        <is>
          <t>Not stated on course page</t>
        </is>
      </c>
      <c r="AB50" t="inlineStr"/>
      <c r="AC50" t="inlineStr">
        <is>
          <t>Skipped: no correct course page: the page found is for another course</t>
        </is>
      </c>
      <c r="AD50" t="n">
        <v>1</v>
      </c>
      <c r="AE50" t="inlineStr"/>
      <c r="AF50" t="inlineStr"/>
      <c r="AG50" t="inlineStr"/>
      <c r="AH50" t="inlineStr"/>
      <c r="AI50" t="inlineStr"/>
      <c r="AJ50" t="inlineStr"/>
      <c r="AK50" t="inlineStr"/>
      <c r="AL50" t="inlineStr"/>
      <c r="AM50" t="inlineStr">
        <is>
          <t>Yes</t>
        </is>
      </c>
    </row>
    <row r="51">
      <c r="A51" t="inlineStr">
        <is>
          <t>056687A</t>
        </is>
      </c>
      <c r="B51" t="inlineStr">
        <is>
          <t>Bachelor of Commerce/Bachelor of Economics</t>
        </is>
      </c>
      <c r="C51" t="inlineStr">
        <is>
          <t>Bachelor</t>
        </is>
      </c>
      <c r="D51" t="inlineStr">
        <is>
          <t>Undergraduate</t>
        </is>
      </c>
      <c r="E51" t="inlineStr">
        <is>
          <t>Advertised: official page in place</t>
        </is>
      </c>
      <c r="F51" t="inlineStr">
        <is>
          <t>https://www.unsw.edu.au/study/undergraduate/bachelor-of-commerce-economics</t>
        </is>
      </c>
      <c r="G51" t="inlineStr">
        <is>
          <t>https://www.unsw.edu.au/study/undergraduate/bachelor-of-commerce-economics</t>
        </is>
      </c>
      <c r="H51" t="inlineStr">
        <is>
          <t>Read</t>
        </is>
      </c>
      <c r="I51" t="inlineStr">
        <is>
          <t>CRICOS code on page</t>
        </is>
      </c>
      <c r="J51" t="inlineStr"/>
      <c r="K51" t="inlineStr">
        <is>
          <t>Not sent to re-link</t>
        </is>
      </c>
      <c r="L51" t="inlineStr">
        <is>
          <t>Filled</t>
        </is>
      </c>
      <c r="M51" t="inlineStr">
        <is>
          <t>Filled</t>
        </is>
      </c>
      <c r="N51" t="inlineStr">
        <is>
          <t>56500.00 2026</t>
        </is>
      </c>
      <c r="O51" t="n">
        <v>0</v>
      </c>
      <c r="P51" t="inlineStr">
        <is>
          <t>University adapter</t>
        </is>
      </c>
      <c r="Q51" t="inlineStr">
        <is>
          <t>Filled</t>
        </is>
      </c>
      <c r="R51" t="n">
        <v>6</v>
      </c>
      <c r="S51" t="inlineStr">
        <is>
          <t>Central English policy</t>
        </is>
      </c>
      <c r="T51" t="inlineStr">
        <is>
          <t>Central rule applies (value agrees)</t>
        </is>
      </c>
      <c r="U51" t="inlineStr"/>
      <c r="V51" t="inlineStr">
        <is>
          <t>Filled</t>
        </is>
      </c>
      <c r="W51" t="inlineStr">
        <is>
          <t>February, May, September</t>
        </is>
      </c>
      <c r="X51" t="inlineStr">
        <is>
          <t>University adapter</t>
        </is>
      </c>
      <c r="Y51" t="n">
        <v>0</v>
      </c>
      <c r="Z51" t="inlineStr">
        <is>
          <t>Yes</t>
        </is>
      </c>
      <c r="AA51" t="inlineStr">
        <is>
          <t>Filled</t>
        </is>
      </c>
      <c r="AB51" t="inlineStr">
        <is>
          <t>on campus</t>
        </is>
      </c>
      <c r="AC51" t="inlineStr"/>
      <c r="AD51" t="n">
        <v>0</v>
      </c>
      <c r="AE51" t="inlineStr"/>
      <c r="AF51" t="inlineStr"/>
      <c r="AG51" t="inlineStr"/>
      <c r="AH51" t="inlineStr"/>
      <c r="AI51" t="inlineStr"/>
      <c r="AJ51" t="inlineStr"/>
      <c r="AK51" t="inlineStr"/>
      <c r="AL51" t="inlineStr"/>
      <c r="AM51" t="inlineStr"/>
    </row>
    <row r="52">
      <c r="A52" t="inlineStr">
        <is>
          <t>077869K</t>
        </is>
      </c>
      <c r="B52" t="inlineStr">
        <is>
          <t>Bachelor of Commerce/Bachelor of Education (Secondary)</t>
        </is>
      </c>
      <c r="C52" t="inlineStr">
        <is>
          <t>Bachelor</t>
        </is>
      </c>
      <c r="D52" t="inlineStr">
        <is>
          <t>Undergraduate</t>
        </is>
      </c>
      <c r="E52" t="inlineStr">
        <is>
          <t>Advertised: official page in place</t>
        </is>
      </c>
      <c r="F52" t="inlineStr">
        <is>
          <t>https://www.unsw.edu.au/study/undergraduate/bachelor-of-commerce-education-secondary</t>
        </is>
      </c>
      <c r="G52" t="inlineStr">
        <is>
          <t>https://www.unsw.edu.au/study/undergraduate/bachelor-of-commerce-education-secondary</t>
        </is>
      </c>
      <c r="H52" t="inlineStr">
        <is>
          <t>Read</t>
        </is>
      </c>
      <c r="I52" t="inlineStr">
        <is>
          <t>CRICOS code on page</t>
        </is>
      </c>
      <c r="J52" t="inlineStr"/>
      <c r="K52" t="inlineStr">
        <is>
          <t>Not sent to re-link</t>
        </is>
      </c>
      <c r="L52" t="inlineStr">
        <is>
          <t>Filled</t>
        </is>
      </c>
      <c r="M52" t="inlineStr">
        <is>
          <t>Filled</t>
        </is>
      </c>
      <c r="N52" t="inlineStr">
        <is>
          <t>55000.00 2026</t>
        </is>
      </c>
      <c r="O52" t="n">
        <v>0</v>
      </c>
      <c r="P52" t="inlineStr">
        <is>
          <t>University adapter</t>
        </is>
      </c>
      <c r="Q52" t="inlineStr">
        <is>
          <t>Filled</t>
        </is>
      </c>
      <c r="R52" t="n">
        <v>6</v>
      </c>
      <c r="S52" t="inlineStr">
        <is>
          <t>Central English policy</t>
        </is>
      </c>
      <c r="T52" t="inlineStr">
        <is>
          <t>Central rule applies (value agrees)</t>
        </is>
      </c>
      <c r="U52" t="inlineStr"/>
      <c r="V52" t="inlineStr">
        <is>
          <t>Filled</t>
        </is>
      </c>
      <c r="W52" t="inlineStr">
        <is>
          <t>February, September</t>
        </is>
      </c>
      <c r="X52" t="inlineStr">
        <is>
          <t>University adapter</t>
        </is>
      </c>
      <c r="Y52" t="n">
        <v>0</v>
      </c>
      <c r="Z52" t="inlineStr">
        <is>
          <t>Yes</t>
        </is>
      </c>
      <c r="AA52" t="inlineStr">
        <is>
          <t>Filled</t>
        </is>
      </c>
      <c r="AB52" t="inlineStr">
        <is>
          <t>on campus</t>
        </is>
      </c>
      <c r="AC52" t="inlineStr"/>
      <c r="AD52" t="n">
        <v>0</v>
      </c>
      <c r="AE52" t="inlineStr"/>
      <c r="AF52" t="inlineStr"/>
      <c r="AG52" t="inlineStr"/>
      <c r="AH52" t="inlineStr"/>
      <c r="AI52" t="inlineStr"/>
      <c r="AJ52" t="inlineStr"/>
      <c r="AK52" t="inlineStr"/>
      <c r="AL52" t="inlineStr"/>
      <c r="AM52" t="inlineStr"/>
    </row>
    <row r="53">
      <c r="A53" t="inlineStr">
        <is>
          <t>110682J</t>
        </is>
      </c>
      <c r="B53" t="inlineStr">
        <is>
          <t>Bachelor of Commerce/Bachelor of Fine Arts</t>
        </is>
      </c>
      <c r="C53" t="inlineStr">
        <is>
          <t>Bachelor</t>
        </is>
      </c>
      <c r="D53" t="inlineStr">
        <is>
          <t>Undergraduate</t>
        </is>
      </c>
      <c r="E53" t="inlineStr">
        <is>
          <t>Advertised: official page in place</t>
        </is>
      </c>
      <c r="F53" t="inlineStr">
        <is>
          <t>https://www.unsw.edu.au/study/undergraduate/bachelor-of-commerce-fine-arts1</t>
        </is>
      </c>
      <c r="G53" t="inlineStr">
        <is>
          <t>https://www.unsw.edu.au/study/undergraduate/bachelor-of-commerce-fine-arts</t>
        </is>
      </c>
      <c r="H53" t="inlineStr">
        <is>
          <t>Read</t>
        </is>
      </c>
      <c r="I53" t="inlineStr">
        <is>
          <t>CRICOS code on page</t>
        </is>
      </c>
      <c r="J53" t="inlineStr"/>
      <c r="K53" t="inlineStr">
        <is>
          <t>Not sent to re-link</t>
        </is>
      </c>
      <c r="L53" t="inlineStr">
        <is>
          <t>Filled</t>
        </is>
      </c>
      <c r="M53" t="inlineStr">
        <is>
          <t>Filled</t>
        </is>
      </c>
      <c r="N53" t="inlineStr">
        <is>
          <t>53000.00 2026</t>
        </is>
      </c>
      <c r="O53" t="n">
        <v>0</v>
      </c>
      <c r="P53" t="inlineStr">
        <is>
          <t>University adapter</t>
        </is>
      </c>
      <c r="Q53" t="inlineStr">
        <is>
          <t>Filled</t>
        </is>
      </c>
      <c r="R53" t="n">
        <v>6</v>
      </c>
      <c r="S53" t="inlineStr">
        <is>
          <t>Central English policy</t>
        </is>
      </c>
      <c r="T53" t="inlineStr">
        <is>
          <t>Central rule applies (value agrees)</t>
        </is>
      </c>
      <c r="U53" t="inlineStr"/>
      <c r="V53" t="inlineStr">
        <is>
          <t>Filled</t>
        </is>
      </c>
      <c r="W53" t="inlineStr">
        <is>
          <t>February, May, September</t>
        </is>
      </c>
      <c r="X53" t="inlineStr">
        <is>
          <t>University adapter</t>
        </is>
      </c>
      <c r="Y53" t="n">
        <v>0</v>
      </c>
      <c r="Z53" t="inlineStr">
        <is>
          <t>Yes</t>
        </is>
      </c>
      <c r="AA53" t="inlineStr">
        <is>
          <t>Filled</t>
        </is>
      </c>
      <c r="AB53" t="inlineStr">
        <is>
          <t>on campus</t>
        </is>
      </c>
      <c r="AC53" t="inlineStr"/>
      <c r="AD53" t="n">
        <v>0</v>
      </c>
      <c r="AE53" t="inlineStr"/>
      <c r="AF53" t="inlineStr"/>
      <c r="AG53" t="inlineStr"/>
      <c r="AH53" t="inlineStr"/>
      <c r="AI53" t="inlineStr"/>
      <c r="AJ53" t="inlineStr"/>
      <c r="AK53" t="inlineStr"/>
      <c r="AL53" t="inlineStr"/>
      <c r="AM53" t="inlineStr"/>
    </row>
    <row r="54">
      <c r="A54" t="inlineStr">
        <is>
          <t>077429A</t>
        </is>
      </c>
      <c r="B54" t="inlineStr">
        <is>
          <t>Bachelor of Commerce/Bachelor of Fine Arts</t>
        </is>
      </c>
      <c r="C54" t="inlineStr">
        <is>
          <t>Bachelor</t>
        </is>
      </c>
      <c r="D54" t="inlineStr">
        <is>
          <t>Undergraduate</t>
        </is>
      </c>
      <c r="E54" t="inlineStr">
        <is>
          <t>Page address no longer works</t>
        </is>
      </c>
      <c r="F54" t="inlineStr"/>
      <c r="G54" t="inlineStr">
        <is>
          <t>https://www.handbook.unsw.edu.au/undergraduate/programs/2026/3572</t>
        </is>
      </c>
      <c r="H54" t="inlineStr">
        <is>
          <t>Address no longer works</t>
        </is>
      </c>
      <c r="I54" t="inlineStr"/>
      <c r="J54" t="inlineStr"/>
      <c r="K54" t="inlineStr">
        <is>
          <t>Not sent to re-link</t>
        </is>
      </c>
      <c r="L54" t="inlineStr">
        <is>
          <t>Page found, being read</t>
        </is>
      </c>
      <c r="M54" t="inlineStr">
        <is>
          <t>Page found, being read</t>
        </is>
      </c>
      <c r="N54" t="inlineStr"/>
      <c r="O54" t="n">
        <v>0</v>
      </c>
      <c r="P54" t="inlineStr"/>
      <c r="Q54" t="inlineStr">
        <is>
          <t>Filled</t>
        </is>
      </c>
      <c r="R54" t="n">
        <v>6</v>
      </c>
      <c r="S54" t="inlineStr">
        <is>
          <t>Central English policy</t>
        </is>
      </c>
      <c r="T54" t="inlineStr">
        <is>
          <t>Central rule applies (value agrees)</t>
        </is>
      </c>
      <c r="U54" t="inlineStr"/>
      <c r="V54" t="inlineStr">
        <is>
          <t>Page found, being read</t>
        </is>
      </c>
      <c r="W54" t="inlineStr"/>
      <c r="X54" t="inlineStr"/>
      <c r="Y54" t="n">
        <v>0</v>
      </c>
      <c r="Z54" t="inlineStr">
        <is>
          <t>Yes</t>
        </is>
      </c>
      <c r="AA54" t="inlineStr">
        <is>
          <t>Not stated on course page</t>
        </is>
      </c>
      <c r="AB54" t="inlineStr"/>
      <c r="AC54" t="inlineStr">
        <is>
          <t>Skipped: no allowed source had a value</t>
        </is>
      </c>
      <c r="AD54" t="n">
        <v>0</v>
      </c>
      <c r="AE54" t="inlineStr"/>
      <c r="AF54" t="inlineStr"/>
      <c r="AG54" t="inlineStr"/>
      <c r="AH54" t="inlineStr"/>
      <c r="AI54" t="inlineStr"/>
      <c r="AJ54" t="inlineStr"/>
      <c r="AK54" t="inlineStr"/>
      <c r="AL54" t="inlineStr"/>
      <c r="AM54" t="inlineStr"/>
    </row>
    <row r="55">
      <c r="A55" t="inlineStr">
        <is>
          <t>068783B</t>
        </is>
      </c>
      <c r="B55" t="inlineStr">
        <is>
          <t>Bachelor of Commerce/Bachelor of Information Systems</t>
        </is>
      </c>
      <c r="C55" t="inlineStr">
        <is>
          <t>Bachelor</t>
        </is>
      </c>
      <c r="D55" t="inlineStr">
        <is>
          <t>Undergraduate</t>
        </is>
      </c>
      <c r="E55" t="inlineStr">
        <is>
          <t>Advertised: official page in place</t>
        </is>
      </c>
      <c r="F55" t="inlineStr">
        <is>
          <t>https://www.unsw.edu.au/study/undergraduate/bachelor-of-commerce-information-systems</t>
        </is>
      </c>
      <c r="G55" t="inlineStr">
        <is>
          <t>https://www.unsw.edu.au/study/undergraduate/bachelor-of-commerce-information-systems</t>
        </is>
      </c>
      <c r="H55" t="inlineStr">
        <is>
          <t>Read</t>
        </is>
      </c>
      <c r="I55" t="inlineStr">
        <is>
          <t>CRICOS code on page</t>
        </is>
      </c>
      <c r="J55" t="inlineStr"/>
      <c r="K55" t="inlineStr">
        <is>
          <t>Not sent to re-link</t>
        </is>
      </c>
      <c r="L55" t="inlineStr">
        <is>
          <t>Filled</t>
        </is>
      </c>
      <c r="M55" t="inlineStr">
        <is>
          <t>Filled</t>
        </is>
      </c>
      <c r="N55" t="inlineStr">
        <is>
          <t>56500.00 2026</t>
        </is>
      </c>
      <c r="O55" t="n">
        <v>0</v>
      </c>
      <c r="P55" t="inlineStr">
        <is>
          <t>University adapter</t>
        </is>
      </c>
      <c r="Q55" t="inlineStr">
        <is>
          <t>Filled</t>
        </is>
      </c>
      <c r="R55" t="n">
        <v>6</v>
      </c>
      <c r="S55" t="inlineStr">
        <is>
          <t>Central English policy</t>
        </is>
      </c>
      <c r="T55" t="inlineStr">
        <is>
          <t>Central rule applies (value agrees)</t>
        </is>
      </c>
      <c r="U55" t="inlineStr"/>
      <c r="V55" t="inlineStr">
        <is>
          <t>Filled</t>
        </is>
      </c>
      <c r="W55" t="inlineStr">
        <is>
          <t>February, May, September</t>
        </is>
      </c>
      <c r="X55" t="inlineStr">
        <is>
          <t>University adapter</t>
        </is>
      </c>
      <c r="Y55" t="n">
        <v>0</v>
      </c>
      <c r="Z55" t="inlineStr">
        <is>
          <t>Yes</t>
        </is>
      </c>
      <c r="AA55" t="inlineStr">
        <is>
          <t>Filled</t>
        </is>
      </c>
      <c r="AB55" t="inlineStr">
        <is>
          <t>on campus</t>
        </is>
      </c>
      <c r="AC55" t="inlineStr"/>
      <c r="AD55" t="n">
        <v>0</v>
      </c>
      <c r="AE55" t="inlineStr"/>
      <c r="AF55" t="inlineStr"/>
      <c r="AG55" t="inlineStr"/>
      <c r="AH55" t="inlineStr"/>
      <c r="AI55" t="inlineStr"/>
      <c r="AJ55" t="inlineStr"/>
      <c r="AK55" t="inlineStr"/>
      <c r="AL55" t="inlineStr"/>
      <c r="AM55" t="inlineStr"/>
    </row>
    <row r="56">
      <c r="A56" t="inlineStr">
        <is>
          <t>110680M</t>
        </is>
      </c>
      <c r="B56" t="inlineStr">
        <is>
          <t>Bachelor of Commerce/Bachelor of Media</t>
        </is>
      </c>
      <c r="C56" t="inlineStr">
        <is>
          <t>Bachelor</t>
        </is>
      </c>
      <c r="D56" t="inlineStr">
        <is>
          <t>Undergraduate</t>
        </is>
      </c>
      <c r="E56" t="inlineStr">
        <is>
          <t>Advertised: official page in place</t>
        </is>
      </c>
      <c r="F56" t="inlineStr">
        <is>
          <t>https://www.unsw.edu.au/study/undergraduate/bachelor-of-commerce-media</t>
        </is>
      </c>
      <c r="G56" t="inlineStr">
        <is>
          <t>https://www.unsw.edu.au/study/undergraduate/bachelor-of-commerce-media</t>
        </is>
      </c>
      <c r="H56" t="inlineStr">
        <is>
          <t>Read</t>
        </is>
      </c>
      <c r="I56" t="inlineStr">
        <is>
          <t>CRICOS code on page</t>
        </is>
      </c>
      <c r="J56" t="inlineStr"/>
      <c r="K56" t="inlineStr">
        <is>
          <t>Not sent to re-link</t>
        </is>
      </c>
      <c r="L56" t="inlineStr">
        <is>
          <t>Filled</t>
        </is>
      </c>
      <c r="M56" t="inlineStr">
        <is>
          <t>Filled</t>
        </is>
      </c>
      <c r="N56" t="inlineStr">
        <is>
          <t>54000.00 2026</t>
        </is>
      </c>
      <c r="O56" t="n">
        <v>0</v>
      </c>
      <c r="P56" t="inlineStr">
        <is>
          <t>University adapter</t>
        </is>
      </c>
      <c r="Q56" t="inlineStr">
        <is>
          <t>Filled</t>
        </is>
      </c>
      <c r="R56" t="n">
        <v>6</v>
      </c>
      <c r="S56" t="inlineStr">
        <is>
          <t>Central English policy</t>
        </is>
      </c>
      <c r="T56" t="inlineStr">
        <is>
          <t>Central rule applies (value agrees)</t>
        </is>
      </c>
      <c r="U56" t="inlineStr"/>
      <c r="V56" t="inlineStr">
        <is>
          <t>Filled</t>
        </is>
      </c>
      <c r="W56" t="inlineStr">
        <is>
          <t>February, May, September</t>
        </is>
      </c>
      <c r="X56" t="inlineStr">
        <is>
          <t>University adapter</t>
        </is>
      </c>
      <c r="Y56" t="n">
        <v>0</v>
      </c>
      <c r="Z56" t="inlineStr">
        <is>
          <t>Yes</t>
        </is>
      </c>
      <c r="AA56" t="inlineStr">
        <is>
          <t>Filled</t>
        </is>
      </c>
      <c r="AB56" t="inlineStr">
        <is>
          <t>on campus</t>
        </is>
      </c>
      <c r="AC56" t="inlineStr"/>
      <c r="AD56" t="n">
        <v>0</v>
      </c>
      <c r="AE56" t="inlineStr"/>
      <c r="AF56" t="inlineStr"/>
      <c r="AG56" t="inlineStr"/>
      <c r="AH56" t="inlineStr"/>
      <c r="AI56" t="inlineStr"/>
      <c r="AJ56" t="inlineStr"/>
      <c r="AK56" t="inlineStr"/>
      <c r="AL56" t="inlineStr"/>
      <c r="AM56" t="inlineStr"/>
    </row>
    <row r="57">
      <c r="A57" t="inlineStr">
        <is>
          <t>077870F</t>
        </is>
      </c>
      <c r="B57" t="inlineStr">
        <is>
          <t>Bachelor of Commerce/Bachelor of Media in Public Relations and Advertising</t>
        </is>
      </c>
      <c r="C57" t="inlineStr">
        <is>
          <t>Bachelor</t>
        </is>
      </c>
      <c r="D57" t="inlineStr">
        <is>
          <t>Undergraduate</t>
        </is>
      </c>
      <c r="E57" t="inlineStr">
        <is>
          <t>Page address no longer works</t>
        </is>
      </c>
      <c r="F57" t="inlineStr"/>
      <c r="G57" t="inlineStr">
        <is>
          <t>https://www.handbook.unsw.edu.au/undergraduate/programs/2026/3596</t>
        </is>
      </c>
      <c r="H57" t="inlineStr">
        <is>
          <t>Address no longer works</t>
        </is>
      </c>
      <c r="I57" t="inlineStr"/>
      <c r="J57" t="inlineStr"/>
      <c r="K57" t="inlineStr">
        <is>
          <t>Not sent to re-link</t>
        </is>
      </c>
      <c r="L57" t="inlineStr">
        <is>
          <t>Page found, being read</t>
        </is>
      </c>
      <c r="M57" t="inlineStr">
        <is>
          <t>Page found, being read</t>
        </is>
      </c>
      <c r="N57" t="inlineStr"/>
      <c r="O57" t="n">
        <v>0</v>
      </c>
      <c r="P57" t="inlineStr"/>
      <c r="Q57" t="inlineStr">
        <is>
          <t>Filled</t>
        </is>
      </c>
      <c r="R57" t="n">
        <v>6</v>
      </c>
      <c r="S57" t="inlineStr">
        <is>
          <t>Central English policy</t>
        </is>
      </c>
      <c r="T57" t="inlineStr">
        <is>
          <t>Central rule applies (value agrees)</t>
        </is>
      </c>
      <c r="U57" t="inlineStr"/>
      <c r="V57" t="inlineStr">
        <is>
          <t>Page found, being read</t>
        </is>
      </c>
      <c r="W57" t="inlineStr"/>
      <c r="X57" t="inlineStr"/>
      <c r="Y57" t="n">
        <v>0</v>
      </c>
      <c r="Z57" t="inlineStr">
        <is>
          <t>Yes</t>
        </is>
      </c>
      <c r="AA57" t="inlineStr">
        <is>
          <t>Not stated on course page</t>
        </is>
      </c>
      <c r="AB57" t="inlineStr"/>
      <c r="AC57" t="inlineStr">
        <is>
          <t>Skipped: no allowed source had a value</t>
        </is>
      </c>
      <c r="AD57" t="n">
        <v>0</v>
      </c>
      <c r="AE57" t="inlineStr"/>
      <c r="AF57" t="inlineStr"/>
      <c r="AG57" t="inlineStr"/>
      <c r="AH57" t="inlineStr"/>
      <c r="AI57" t="inlineStr"/>
      <c r="AJ57" t="inlineStr"/>
      <c r="AK57" t="inlineStr"/>
      <c r="AL57" t="inlineStr"/>
      <c r="AM57" t="inlineStr"/>
    </row>
    <row r="58">
      <c r="A58" t="inlineStr">
        <is>
          <t>030479A</t>
        </is>
      </c>
      <c r="B58" t="inlineStr">
        <is>
          <t>Bachelor of Commerce/Bachelor of Science</t>
        </is>
      </c>
      <c r="C58" t="inlineStr">
        <is>
          <t>Bachelor</t>
        </is>
      </c>
      <c r="D58" t="inlineStr">
        <is>
          <t>Undergraduate</t>
        </is>
      </c>
      <c r="E58" t="inlineStr">
        <is>
          <t>Advertised: official page in place</t>
        </is>
      </c>
      <c r="F58" t="inlineStr">
        <is>
          <t>https://www.unsw.edu.au/study/undergraduate/bachelor-of-commerce-science</t>
        </is>
      </c>
      <c r="G58" t="inlineStr">
        <is>
          <t>https://www.unsw.edu.au/study/undergraduate/bachelor-of-commerce-science</t>
        </is>
      </c>
      <c r="H58" t="inlineStr">
        <is>
          <t>Read</t>
        </is>
      </c>
      <c r="I58" t="inlineStr">
        <is>
          <t>CRICOS code on page</t>
        </is>
      </c>
      <c r="J58" t="inlineStr"/>
      <c r="K58" t="inlineStr">
        <is>
          <t>Not sent to re-link</t>
        </is>
      </c>
      <c r="L58" t="inlineStr">
        <is>
          <t>Filled</t>
        </is>
      </c>
      <c r="M58" t="inlineStr">
        <is>
          <t>Filled</t>
        </is>
      </c>
      <c r="N58" t="inlineStr">
        <is>
          <t>59000.00 2026</t>
        </is>
      </c>
      <c r="O58" t="n">
        <v>0</v>
      </c>
      <c r="P58" t="inlineStr">
        <is>
          <t>University adapter</t>
        </is>
      </c>
      <c r="Q58" t="inlineStr">
        <is>
          <t>Filled</t>
        </is>
      </c>
      <c r="R58" t="n">
        <v>6</v>
      </c>
      <c r="S58" t="inlineStr">
        <is>
          <t>Central English policy</t>
        </is>
      </c>
      <c r="T58" t="inlineStr">
        <is>
          <t>Central rule applies (value agrees)</t>
        </is>
      </c>
      <c r="U58" t="inlineStr"/>
      <c r="V58" t="inlineStr">
        <is>
          <t>Filled</t>
        </is>
      </c>
      <c r="W58" t="inlineStr">
        <is>
          <t>February, May, September</t>
        </is>
      </c>
      <c r="X58" t="inlineStr">
        <is>
          <t>University adapter</t>
        </is>
      </c>
      <c r="Y58" t="n">
        <v>0</v>
      </c>
      <c r="Z58" t="inlineStr">
        <is>
          <t>Yes</t>
        </is>
      </c>
      <c r="AA58" t="inlineStr">
        <is>
          <t>Filled</t>
        </is>
      </c>
      <c r="AB58" t="inlineStr">
        <is>
          <t>on campus</t>
        </is>
      </c>
      <c r="AC58" t="inlineStr"/>
      <c r="AD58" t="n">
        <v>0</v>
      </c>
      <c r="AE58" t="inlineStr"/>
      <c r="AF58" t="inlineStr"/>
      <c r="AG58" t="inlineStr"/>
      <c r="AH58" t="inlineStr"/>
      <c r="AI58" t="inlineStr"/>
      <c r="AJ58" t="inlineStr"/>
      <c r="AK58" t="inlineStr"/>
      <c r="AL58" t="inlineStr"/>
      <c r="AM58" t="inlineStr"/>
    </row>
    <row r="59">
      <c r="A59" t="inlineStr">
        <is>
          <t>088857A</t>
        </is>
      </c>
      <c r="B59" t="inlineStr">
        <is>
          <t>Bachelor of Commerce/Bachelor of Science (Advanced Mathematics) (Honours)</t>
        </is>
      </c>
      <c r="C59" t="inlineStr">
        <is>
          <t>Bachelor Honours Degree</t>
        </is>
      </c>
      <c r="D59" t="inlineStr">
        <is>
          <t>Undergraduate</t>
        </is>
      </c>
      <c r="E59" t="inlineStr">
        <is>
          <t>Advertised: official page in place</t>
        </is>
      </c>
      <c r="F59" t="inlineStr">
        <is>
          <t>https://www.unsw.edu.au/study/undergraduate/bachelor-of-science-advanced-mathematics-honours-commerce</t>
        </is>
      </c>
      <c r="G59" t="inlineStr">
        <is>
          <t>https://www.unsw.edu.au/study/undergraduate/bachelor-of-science-advanced-mathematics-honours-commerce</t>
        </is>
      </c>
      <c r="H59" t="inlineStr">
        <is>
          <t>Read</t>
        </is>
      </c>
      <c r="I59" t="inlineStr">
        <is>
          <t>CRICOS code on page</t>
        </is>
      </c>
      <c r="J59" t="inlineStr"/>
      <c r="K59" t="inlineStr">
        <is>
          <t>Not sent to re-link</t>
        </is>
      </c>
      <c r="L59" t="inlineStr">
        <is>
          <t>Filled</t>
        </is>
      </c>
      <c r="M59" t="inlineStr">
        <is>
          <t>Filled</t>
        </is>
      </c>
      <c r="N59" t="inlineStr">
        <is>
          <t>59500.00 2026</t>
        </is>
      </c>
      <c r="O59" t="n">
        <v>0</v>
      </c>
      <c r="P59" t="inlineStr">
        <is>
          <t>University adapter</t>
        </is>
      </c>
      <c r="Q59" t="inlineStr">
        <is>
          <t>Filled</t>
        </is>
      </c>
      <c r="R59" t="n">
        <v>6</v>
      </c>
      <c r="S59" t="inlineStr">
        <is>
          <t>Central English policy</t>
        </is>
      </c>
      <c r="T59" t="inlineStr">
        <is>
          <t>Central rule applies (value agrees)</t>
        </is>
      </c>
      <c r="U59" t="inlineStr"/>
      <c r="V59" t="inlineStr">
        <is>
          <t>Filled</t>
        </is>
      </c>
      <c r="W59" t="inlineStr">
        <is>
          <t>February, May, September</t>
        </is>
      </c>
      <c r="X59" t="inlineStr">
        <is>
          <t>University adapter</t>
        </is>
      </c>
      <c r="Y59" t="n">
        <v>0</v>
      </c>
      <c r="Z59" t="inlineStr">
        <is>
          <t>Yes</t>
        </is>
      </c>
      <c r="AA59" t="inlineStr">
        <is>
          <t>Filled</t>
        </is>
      </c>
      <c r="AB59" t="inlineStr">
        <is>
          <t>on campus</t>
        </is>
      </c>
      <c r="AC59" t="inlineStr"/>
      <c r="AD59" t="n">
        <v>0</v>
      </c>
      <c r="AE59" t="inlineStr"/>
      <c r="AF59" t="inlineStr"/>
      <c r="AG59" t="inlineStr"/>
      <c r="AH59" t="inlineStr"/>
      <c r="AI59" t="inlineStr"/>
      <c r="AJ59" t="inlineStr"/>
      <c r="AK59" t="inlineStr"/>
      <c r="AL59" t="inlineStr"/>
      <c r="AM59" t="inlineStr"/>
    </row>
    <row r="60">
      <c r="A60" t="inlineStr">
        <is>
          <t>080282M</t>
        </is>
      </c>
      <c r="B60" t="inlineStr">
        <is>
          <t>Bachelor of Commerce/Bachelor of Science (Computer Science)</t>
        </is>
      </c>
      <c r="C60" t="inlineStr">
        <is>
          <t>Bachelor</t>
        </is>
      </c>
      <c r="D60" t="inlineStr">
        <is>
          <t>Undergraduate</t>
        </is>
      </c>
      <c r="E60" t="inlineStr">
        <is>
          <t>Advertised: official page in place</t>
        </is>
      </c>
      <c r="F60" t="inlineStr">
        <is>
          <t>https://www.unsw.edu.au/study/undergraduate/bachelor-of-commerce-computer-science</t>
        </is>
      </c>
      <c r="G60" t="inlineStr">
        <is>
          <t>https://www.unsw.edu.au/study/undergraduate/bachelor-of-commerce-computer-science</t>
        </is>
      </c>
      <c r="H60" t="inlineStr">
        <is>
          <t>Read</t>
        </is>
      </c>
      <c r="I60" t="inlineStr">
        <is>
          <t>CRICOS code on page</t>
        </is>
      </c>
      <c r="J60" t="inlineStr"/>
      <c r="K60" t="inlineStr">
        <is>
          <t>Not sent to re-link</t>
        </is>
      </c>
      <c r="L60" t="inlineStr">
        <is>
          <t>Filled</t>
        </is>
      </c>
      <c r="M60" t="inlineStr">
        <is>
          <t>Filled</t>
        </is>
      </c>
      <c r="N60" t="inlineStr">
        <is>
          <t>59500.00 2026</t>
        </is>
      </c>
      <c r="O60" t="n">
        <v>0</v>
      </c>
      <c r="P60" t="inlineStr">
        <is>
          <t>University adapter</t>
        </is>
      </c>
      <c r="Q60" t="inlineStr">
        <is>
          <t>Filled</t>
        </is>
      </c>
      <c r="R60" t="n">
        <v>6</v>
      </c>
      <c r="S60" t="inlineStr">
        <is>
          <t>Central English policy</t>
        </is>
      </c>
      <c r="T60" t="inlineStr">
        <is>
          <t>Central rule applies (value agrees)</t>
        </is>
      </c>
      <c r="U60" t="inlineStr"/>
      <c r="V60" t="inlineStr">
        <is>
          <t>Filled</t>
        </is>
      </c>
      <c r="W60" t="inlineStr">
        <is>
          <t>February, May, September</t>
        </is>
      </c>
      <c r="X60" t="inlineStr">
        <is>
          <t>University adapter</t>
        </is>
      </c>
      <c r="Y60" t="n">
        <v>0</v>
      </c>
      <c r="Z60" t="inlineStr">
        <is>
          <t>Yes</t>
        </is>
      </c>
      <c r="AA60" t="inlineStr">
        <is>
          <t>Filled</t>
        </is>
      </c>
      <c r="AB60" t="inlineStr">
        <is>
          <t>on campus</t>
        </is>
      </c>
      <c r="AC60" t="inlineStr"/>
      <c r="AD60" t="n">
        <v>0</v>
      </c>
      <c r="AE60" t="inlineStr"/>
      <c r="AF60" t="inlineStr"/>
      <c r="AG60" t="inlineStr"/>
      <c r="AH60" t="inlineStr"/>
      <c r="AI60" t="inlineStr"/>
      <c r="AJ60" t="inlineStr"/>
      <c r="AK60" t="inlineStr"/>
      <c r="AL60" t="inlineStr"/>
      <c r="AM60" t="inlineStr"/>
    </row>
    <row r="61">
      <c r="A61" t="inlineStr">
        <is>
          <t>097998B</t>
        </is>
      </c>
      <c r="B61" t="inlineStr">
        <is>
          <t>Bachelor of Commerce/Design</t>
        </is>
      </c>
      <c r="C61" t="inlineStr">
        <is>
          <t>Bachelor</t>
        </is>
      </c>
      <c r="D61" t="inlineStr">
        <is>
          <t>Undergraduate</t>
        </is>
      </c>
      <c r="E61" t="inlineStr">
        <is>
          <t>Advertised: official page in place</t>
        </is>
      </c>
      <c r="F61" t="inlineStr">
        <is>
          <t>https://www.unsw.edu.au/study/undergraduate/bachelor-of-commerce-design1</t>
        </is>
      </c>
      <c r="G61" t="inlineStr">
        <is>
          <t>https://www.unsw.edu.au/study/undergraduate/bachelor-of-commerce-design1</t>
        </is>
      </c>
      <c r="H61" t="inlineStr">
        <is>
          <t>Read</t>
        </is>
      </c>
      <c r="I61" t="inlineStr">
        <is>
          <t>Exact title match</t>
        </is>
      </c>
      <c r="J61" t="inlineStr"/>
      <c r="K61" t="inlineStr">
        <is>
          <t>Not sent to re-link</t>
        </is>
      </c>
      <c r="L61" t="inlineStr">
        <is>
          <t>Filled</t>
        </is>
      </c>
      <c r="M61" t="inlineStr">
        <is>
          <t>Filled</t>
        </is>
      </c>
      <c r="N61" t="inlineStr">
        <is>
          <t>52500.00 2026</t>
        </is>
      </c>
      <c r="O61" t="n">
        <v>0</v>
      </c>
      <c r="P61" t="inlineStr">
        <is>
          <t>University adapter</t>
        </is>
      </c>
      <c r="Q61" t="inlineStr">
        <is>
          <t>Not stated on course page</t>
        </is>
      </c>
      <c r="S61" t="inlineStr"/>
      <c r="T61" t="inlineStr">
        <is>
          <t>Held: double degree (its parts are at different levels)</t>
        </is>
      </c>
      <c r="U61" t="inlineStr"/>
      <c r="V61" t="inlineStr">
        <is>
          <t>Filled</t>
        </is>
      </c>
      <c r="W61" t="inlineStr">
        <is>
          <t>February, May, September</t>
        </is>
      </c>
      <c r="X61" t="inlineStr">
        <is>
          <t>University adapter</t>
        </is>
      </c>
      <c r="Y61" t="n">
        <v>0</v>
      </c>
      <c r="Z61" t="inlineStr">
        <is>
          <t>Yes</t>
        </is>
      </c>
      <c r="AA61" t="inlineStr">
        <is>
          <t>Filled</t>
        </is>
      </c>
      <c r="AB61" t="inlineStr">
        <is>
          <t>on campus</t>
        </is>
      </c>
      <c r="AC61" t="inlineStr"/>
      <c r="AD61" t="n">
        <v>0</v>
      </c>
      <c r="AE61" t="inlineStr"/>
      <c r="AF61" t="inlineStr"/>
      <c r="AG61" t="inlineStr"/>
      <c r="AH61" t="inlineStr"/>
      <c r="AI61" t="inlineStr"/>
      <c r="AJ61" t="inlineStr">
        <is>
          <t>Yes</t>
        </is>
      </c>
      <c r="AK61" t="inlineStr"/>
      <c r="AL61" t="inlineStr"/>
      <c r="AM61" t="inlineStr"/>
    </row>
    <row r="62">
      <c r="A62" t="inlineStr">
        <is>
          <t>061905J</t>
        </is>
      </c>
      <c r="B62" t="inlineStr">
        <is>
          <t>Bachelor of Computational Design</t>
        </is>
      </c>
      <c r="C62" t="inlineStr">
        <is>
          <t>Bachelor</t>
        </is>
      </c>
      <c r="D62" t="inlineStr">
        <is>
          <t>Undergraduate</t>
        </is>
      </c>
      <c r="E62" t="inlineStr">
        <is>
          <t>Advertised: official page in place</t>
        </is>
      </c>
      <c r="F62" t="inlineStr">
        <is>
          <t>https://www.unsw.edu.au/study/undergraduate/bachelor-of-computational-design-honours</t>
        </is>
      </c>
      <c r="G62" t="inlineStr">
        <is>
          <t>https://www.unsw.edu.au/study/undergraduate/bachelor-of-computational-design-honours</t>
        </is>
      </c>
      <c r="H62" t="inlineStr">
        <is>
          <t>Read</t>
        </is>
      </c>
      <c r="I62" t="inlineStr">
        <is>
          <t>Exact title match</t>
        </is>
      </c>
      <c r="J62" t="inlineStr"/>
      <c r="K62" t="inlineStr">
        <is>
          <t>Not sent to re-link</t>
        </is>
      </c>
      <c r="L62" t="inlineStr">
        <is>
          <t>Filled</t>
        </is>
      </c>
      <c r="M62" t="inlineStr">
        <is>
          <t>Not stated on course page</t>
        </is>
      </c>
      <c r="N62" t="inlineStr"/>
      <c r="O62" t="n">
        <v>0</v>
      </c>
      <c r="P62" t="inlineStr"/>
      <c r="Q62" t="inlineStr">
        <is>
          <t>Filled</t>
        </is>
      </c>
      <c r="R62" t="n">
        <v>6</v>
      </c>
      <c r="S62" t="inlineStr">
        <is>
          <t>Central English policy</t>
        </is>
      </c>
      <c r="T62" t="inlineStr">
        <is>
          <t>Central rule applies (value agrees)</t>
        </is>
      </c>
      <c r="U62" t="inlineStr"/>
      <c r="V62" t="inlineStr">
        <is>
          <t>Not stated on course page</t>
        </is>
      </c>
      <c r="W62" t="inlineStr"/>
      <c r="X62" t="inlineStr"/>
      <c r="Y62" t="n">
        <v>2</v>
      </c>
      <c r="Z62" t="inlineStr">
        <is>
          <t>Yes</t>
        </is>
      </c>
      <c r="AA62" t="inlineStr">
        <is>
          <t>Filled</t>
        </is>
      </c>
      <c r="AB62" t="inlineStr">
        <is>
          <t>on campus</t>
        </is>
      </c>
      <c r="AC62" t="inlineStr"/>
      <c r="AD62" t="n">
        <v>0</v>
      </c>
      <c r="AE62" t="inlineStr"/>
      <c r="AF62" t="inlineStr"/>
      <c r="AG62" t="inlineStr"/>
      <c r="AH62" t="inlineStr">
        <is>
          <t>Yes</t>
        </is>
      </c>
      <c r="AI62" t="inlineStr"/>
      <c r="AJ62" t="inlineStr"/>
      <c r="AK62" t="inlineStr"/>
      <c r="AL62" t="inlineStr"/>
      <c r="AM62" t="inlineStr"/>
    </row>
    <row r="63">
      <c r="A63" t="inlineStr">
        <is>
          <t>089222F</t>
        </is>
      </c>
      <c r="B63" t="inlineStr">
        <is>
          <t>Bachelor of Computational Design (Honours)</t>
        </is>
      </c>
      <c r="C63" t="inlineStr">
        <is>
          <t>Bachelor Honours Degree</t>
        </is>
      </c>
      <c r="D63" t="inlineStr">
        <is>
          <t>Undergraduate</t>
        </is>
      </c>
      <c r="E63" t="inlineStr">
        <is>
          <t>Advertised: official page in place</t>
        </is>
      </c>
      <c r="F63" t="inlineStr">
        <is>
          <t>https://www.unsw.edu.au/study/undergraduate/bachelor-of-computational-design-honours</t>
        </is>
      </c>
      <c r="G63" t="inlineStr">
        <is>
          <t>https://www.unsw.edu.au/study/undergraduate/bachelor-of-computational-design-honours</t>
        </is>
      </c>
      <c r="H63" t="inlineStr">
        <is>
          <t>Read</t>
        </is>
      </c>
      <c r="I63" t="inlineStr">
        <is>
          <t>CRICOS code on page</t>
        </is>
      </c>
      <c r="J63" t="inlineStr"/>
      <c r="K63" t="inlineStr">
        <is>
          <t>Not sent to re-link</t>
        </is>
      </c>
      <c r="L63" t="inlineStr">
        <is>
          <t>Filled</t>
        </is>
      </c>
      <c r="M63" t="inlineStr">
        <is>
          <t>Filled</t>
        </is>
      </c>
      <c r="N63" t="inlineStr">
        <is>
          <t>49500.00 2026</t>
        </is>
      </c>
      <c r="O63" t="n">
        <v>0</v>
      </c>
      <c r="P63" t="inlineStr">
        <is>
          <t>University adapter</t>
        </is>
      </c>
      <c r="Q63" t="inlineStr">
        <is>
          <t>Filled</t>
        </is>
      </c>
      <c r="R63" t="n">
        <v>6</v>
      </c>
      <c r="S63" t="inlineStr">
        <is>
          <t>Central English policy</t>
        </is>
      </c>
      <c r="T63" t="inlineStr">
        <is>
          <t>Central rule applies (value agrees)</t>
        </is>
      </c>
      <c r="U63" t="inlineStr"/>
      <c r="V63" t="inlineStr">
        <is>
          <t>Filled</t>
        </is>
      </c>
      <c r="W63" t="inlineStr">
        <is>
          <t>February</t>
        </is>
      </c>
      <c r="X63" t="inlineStr">
        <is>
          <t>University adapter</t>
        </is>
      </c>
      <c r="Y63" t="n">
        <v>0</v>
      </c>
      <c r="Z63" t="inlineStr">
        <is>
          <t>Yes</t>
        </is>
      </c>
      <c r="AA63" t="inlineStr">
        <is>
          <t>Filled</t>
        </is>
      </c>
      <c r="AB63" t="inlineStr">
        <is>
          <t>on campus</t>
        </is>
      </c>
      <c r="AC63" t="inlineStr"/>
      <c r="AD63" t="n">
        <v>0</v>
      </c>
      <c r="AE63" t="inlineStr"/>
      <c r="AF63" t="inlineStr"/>
      <c r="AG63" t="inlineStr"/>
      <c r="AH63" t="inlineStr"/>
      <c r="AI63" t="inlineStr"/>
      <c r="AJ63" t="inlineStr"/>
      <c r="AK63" t="inlineStr"/>
      <c r="AL63" t="inlineStr"/>
      <c r="AM63" t="inlineStr"/>
    </row>
    <row r="64">
      <c r="A64" t="inlineStr">
        <is>
          <t>084277J</t>
        </is>
      </c>
      <c r="B64" t="inlineStr">
        <is>
          <t>Bachelor of Computer Science (Honours)</t>
        </is>
      </c>
      <c r="C64" t="inlineStr">
        <is>
          <t>Bachelor Honours Degree</t>
        </is>
      </c>
      <c r="D64" t="inlineStr">
        <is>
          <t>Undergraduate</t>
        </is>
      </c>
      <c r="E64" t="inlineStr">
        <is>
          <t>Advertised: official page in place</t>
        </is>
      </c>
      <c r="F64" t="inlineStr">
        <is>
          <t>https://www.unsw.edu.au/study/undergraduate/bachelor-of-computer-science-honours</t>
        </is>
      </c>
      <c r="G64" t="inlineStr">
        <is>
          <t>https://www.unsw.edu.au/study/undergraduate/bachelor-of-computer-science-honours</t>
        </is>
      </c>
      <c r="H64" t="inlineStr">
        <is>
          <t>Read</t>
        </is>
      </c>
      <c r="I64" t="inlineStr">
        <is>
          <t>CRICOS code on page</t>
        </is>
      </c>
      <c r="J64" t="inlineStr"/>
      <c r="K64" t="inlineStr">
        <is>
          <t>Not sent to re-link</t>
        </is>
      </c>
      <c r="L64" t="inlineStr">
        <is>
          <t>Filled</t>
        </is>
      </c>
      <c r="M64" t="inlineStr">
        <is>
          <t>Filled</t>
        </is>
      </c>
      <c r="N64" t="inlineStr">
        <is>
          <t>61000.00 2026</t>
        </is>
      </c>
      <c r="O64" t="n">
        <v>0</v>
      </c>
      <c r="P64" t="inlineStr">
        <is>
          <t>University adapter</t>
        </is>
      </c>
      <c r="Q64" t="inlineStr">
        <is>
          <t>Filled</t>
        </is>
      </c>
      <c r="R64" t="n">
        <v>6</v>
      </c>
      <c r="S64" t="inlineStr">
        <is>
          <t>Central English policy</t>
        </is>
      </c>
      <c r="T64" t="inlineStr">
        <is>
          <t>Central rule applies (value agrees)</t>
        </is>
      </c>
      <c r="U64" t="inlineStr"/>
      <c r="V64" t="inlineStr">
        <is>
          <t>Filled</t>
        </is>
      </c>
      <c r="W64" t="inlineStr">
        <is>
          <t>February, May, September</t>
        </is>
      </c>
      <c r="X64" t="inlineStr">
        <is>
          <t>University adapter</t>
        </is>
      </c>
      <c r="Y64" t="n">
        <v>0</v>
      </c>
      <c r="Z64" t="inlineStr">
        <is>
          <t>Yes</t>
        </is>
      </c>
      <c r="AA64" t="inlineStr">
        <is>
          <t>Filled</t>
        </is>
      </c>
      <c r="AB64" t="inlineStr">
        <is>
          <t>on campus</t>
        </is>
      </c>
      <c r="AC64" t="inlineStr"/>
      <c r="AD64" t="n">
        <v>0</v>
      </c>
      <c r="AE64" t="inlineStr"/>
      <c r="AF64" t="inlineStr"/>
      <c r="AG64" t="inlineStr"/>
      <c r="AH64" t="inlineStr"/>
      <c r="AI64" t="inlineStr"/>
      <c r="AJ64" t="inlineStr"/>
      <c r="AK64" t="inlineStr"/>
      <c r="AL64" t="inlineStr"/>
      <c r="AM64" t="inlineStr"/>
    </row>
    <row r="65">
      <c r="A65" t="inlineStr">
        <is>
          <t>110683H</t>
        </is>
      </c>
      <c r="B65" t="inlineStr">
        <is>
          <t>Bachelor of Computer Science/Bachelor of Fine Arts</t>
        </is>
      </c>
      <c r="C65" t="inlineStr">
        <is>
          <t>Bachelor</t>
        </is>
      </c>
      <c r="D65" t="inlineStr">
        <is>
          <t>Undergraduate</t>
        </is>
      </c>
      <c r="E65" t="inlineStr">
        <is>
          <t>Advertised: official page in place</t>
        </is>
      </c>
      <c r="F65" t="inlineStr">
        <is>
          <t>https://www.unsw.edu.au/study/undergraduate/bachelor-of-computer-science-fine-arts</t>
        </is>
      </c>
      <c r="G65" t="inlineStr">
        <is>
          <t>https://www.unsw.edu.au/study/undergraduate/bachelor-of-computer-science-fine-arts</t>
        </is>
      </c>
      <c r="H65" t="inlineStr">
        <is>
          <t>Read</t>
        </is>
      </c>
      <c r="I65" t="inlineStr">
        <is>
          <t>CRICOS code on page</t>
        </is>
      </c>
      <c r="J65" t="inlineStr"/>
      <c r="K65" t="inlineStr">
        <is>
          <t>Not sent to re-link</t>
        </is>
      </c>
      <c r="L65" t="inlineStr">
        <is>
          <t>Filled</t>
        </is>
      </c>
      <c r="M65" t="inlineStr">
        <is>
          <t>Filled</t>
        </is>
      </c>
      <c r="N65" t="inlineStr">
        <is>
          <t>57000.00 2026</t>
        </is>
      </c>
      <c r="O65" t="n">
        <v>0</v>
      </c>
      <c r="P65" t="inlineStr">
        <is>
          <t>University adapter</t>
        </is>
      </c>
      <c r="Q65" t="inlineStr">
        <is>
          <t>Filled</t>
        </is>
      </c>
      <c r="R65" t="n">
        <v>6</v>
      </c>
      <c r="S65" t="inlineStr">
        <is>
          <t>Central English policy</t>
        </is>
      </c>
      <c r="T65" t="inlineStr">
        <is>
          <t>Central rule applies (value agrees)</t>
        </is>
      </c>
      <c r="U65" t="inlineStr"/>
      <c r="V65" t="inlineStr">
        <is>
          <t>Filled</t>
        </is>
      </c>
      <c r="W65" t="inlineStr">
        <is>
          <t>February, May, September</t>
        </is>
      </c>
      <c r="X65" t="inlineStr">
        <is>
          <t>University adapter</t>
        </is>
      </c>
      <c r="Y65" t="n">
        <v>0</v>
      </c>
      <c r="Z65" t="inlineStr">
        <is>
          <t>Yes</t>
        </is>
      </c>
      <c r="AA65" t="inlineStr">
        <is>
          <t>Filled</t>
        </is>
      </c>
      <c r="AB65" t="inlineStr">
        <is>
          <t>on campus</t>
        </is>
      </c>
      <c r="AC65" t="inlineStr"/>
      <c r="AD65" t="n">
        <v>0</v>
      </c>
      <c r="AE65" t="inlineStr"/>
      <c r="AF65" t="inlineStr"/>
      <c r="AG65" t="inlineStr"/>
      <c r="AH65" t="inlineStr"/>
      <c r="AI65" t="inlineStr"/>
      <c r="AJ65" t="inlineStr"/>
      <c r="AK65" t="inlineStr"/>
      <c r="AL65" t="inlineStr"/>
      <c r="AM65" t="inlineStr"/>
    </row>
    <row r="66">
      <c r="A66" t="inlineStr">
        <is>
          <t>088764F</t>
        </is>
      </c>
      <c r="B66" t="inlineStr">
        <is>
          <t>Bachelor of Construction Management and Property</t>
        </is>
      </c>
      <c r="C66" t="inlineStr">
        <is>
          <t>Bachelor</t>
        </is>
      </c>
      <c r="D66" t="inlineStr">
        <is>
          <t>Undergraduate</t>
        </is>
      </c>
      <c r="E66" t="inlineStr">
        <is>
          <t>Advertised: official page in place</t>
        </is>
      </c>
      <c r="F66" t="inlineStr">
        <is>
          <t>https://www.unsw.edu.au/study/undergraduate/bachelor-of-construction-management-and-property</t>
        </is>
      </c>
      <c r="G66" t="inlineStr">
        <is>
          <t>https://www.unsw.edu.au/study/undergraduate/bachelor-of-construction-management-and-property</t>
        </is>
      </c>
      <c r="H66" t="inlineStr">
        <is>
          <t>Read</t>
        </is>
      </c>
      <c r="I66" t="inlineStr">
        <is>
          <t>CRICOS code on page</t>
        </is>
      </c>
      <c r="J66" t="inlineStr"/>
      <c r="K66" t="inlineStr">
        <is>
          <t>Not sent to re-link</t>
        </is>
      </c>
      <c r="L66" t="inlineStr">
        <is>
          <t>Filled</t>
        </is>
      </c>
      <c r="M66" t="inlineStr">
        <is>
          <t>Filled</t>
        </is>
      </c>
      <c r="N66" t="inlineStr">
        <is>
          <t>51000.00 2026</t>
        </is>
      </c>
      <c r="O66" t="n">
        <v>0</v>
      </c>
      <c r="P66" t="inlineStr">
        <is>
          <t>University adapter</t>
        </is>
      </c>
      <c r="Q66" t="inlineStr">
        <is>
          <t>Filled</t>
        </is>
      </c>
      <c r="R66" t="n">
        <v>6</v>
      </c>
      <c r="S66" t="inlineStr">
        <is>
          <t>Central English policy</t>
        </is>
      </c>
      <c r="T66" t="inlineStr">
        <is>
          <t>Central rule applies (value agrees)</t>
        </is>
      </c>
      <c r="U66" t="inlineStr"/>
      <c r="V66" t="inlineStr">
        <is>
          <t>Filled</t>
        </is>
      </c>
      <c r="W66" t="inlineStr">
        <is>
          <t>February, September</t>
        </is>
      </c>
      <c r="X66" t="inlineStr">
        <is>
          <t>University adapter</t>
        </is>
      </c>
      <c r="Y66" t="n">
        <v>0</v>
      </c>
      <c r="Z66" t="inlineStr">
        <is>
          <t>Yes</t>
        </is>
      </c>
      <c r="AA66" t="inlineStr">
        <is>
          <t>Filled</t>
        </is>
      </c>
      <c r="AB66" t="inlineStr">
        <is>
          <t>on campus and online</t>
        </is>
      </c>
      <c r="AC66" t="inlineStr"/>
      <c r="AD66" t="n">
        <v>0</v>
      </c>
      <c r="AE66" t="inlineStr"/>
      <c r="AF66" t="inlineStr"/>
      <c r="AG66" t="inlineStr"/>
      <c r="AH66" t="inlineStr"/>
      <c r="AI66" t="inlineStr"/>
      <c r="AJ66" t="inlineStr"/>
      <c r="AK66" t="inlineStr"/>
      <c r="AL66" t="inlineStr"/>
      <c r="AM66" t="inlineStr"/>
    </row>
    <row r="67">
      <c r="A67" t="inlineStr">
        <is>
          <t>088838D</t>
        </is>
      </c>
      <c r="B67" t="inlineStr">
        <is>
          <t>Bachelor of Construction Management and Property (Honours)</t>
        </is>
      </c>
      <c r="C67" t="inlineStr">
        <is>
          <t>Bachelor Honours Degree</t>
        </is>
      </c>
      <c r="D67" t="inlineStr">
        <is>
          <t>Undergraduate</t>
        </is>
      </c>
      <c r="E67" t="inlineStr">
        <is>
          <t>Advertised: official page in place</t>
        </is>
      </c>
      <c r="F67" t="inlineStr">
        <is>
          <t>https://www.unsw.edu.au/study/undergraduate/bachelor-of-construction-management-and-property-honours</t>
        </is>
      </c>
      <c r="G67" t="inlineStr">
        <is>
          <t>https://www.unsw.edu.au/study/undergraduate/bachelor-of-construction-management-and-property-honours</t>
        </is>
      </c>
      <c r="H67" t="inlineStr">
        <is>
          <t>Read</t>
        </is>
      </c>
      <c r="I67" t="inlineStr">
        <is>
          <t>CRICOS code on page</t>
        </is>
      </c>
      <c r="J67" t="inlineStr"/>
      <c r="K67" t="inlineStr">
        <is>
          <t>Not sent to re-link</t>
        </is>
      </c>
      <c r="L67" t="inlineStr">
        <is>
          <t>Filled</t>
        </is>
      </c>
      <c r="M67" t="inlineStr">
        <is>
          <t>Filled</t>
        </is>
      </c>
      <c r="N67" t="inlineStr">
        <is>
          <t>50500.00 2026</t>
        </is>
      </c>
      <c r="O67" t="n">
        <v>0</v>
      </c>
      <c r="P67" t="inlineStr">
        <is>
          <t>University adapter</t>
        </is>
      </c>
      <c r="Q67" t="inlineStr">
        <is>
          <t>Filled</t>
        </is>
      </c>
      <c r="R67" t="n">
        <v>6</v>
      </c>
      <c r="S67" t="inlineStr">
        <is>
          <t>Central English policy</t>
        </is>
      </c>
      <c r="T67" t="inlineStr">
        <is>
          <t>Central rule applies (value agrees)</t>
        </is>
      </c>
      <c r="U67" t="inlineStr"/>
      <c r="V67" t="inlineStr">
        <is>
          <t>Filled</t>
        </is>
      </c>
      <c r="W67" t="inlineStr">
        <is>
          <t>February</t>
        </is>
      </c>
      <c r="X67" t="inlineStr">
        <is>
          <t>University adapter</t>
        </is>
      </c>
      <c r="Y67" t="n">
        <v>0</v>
      </c>
      <c r="Z67" t="inlineStr">
        <is>
          <t>Yes</t>
        </is>
      </c>
      <c r="AA67" t="inlineStr">
        <is>
          <t>Filled</t>
        </is>
      </c>
      <c r="AB67" t="inlineStr">
        <is>
          <t>on campus and online</t>
        </is>
      </c>
      <c r="AC67" t="inlineStr"/>
      <c r="AD67" t="n">
        <v>0</v>
      </c>
      <c r="AE67" t="inlineStr"/>
      <c r="AF67" t="inlineStr"/>
      <c r="AG67" t="inlineStr"/>
      <c r="AH67" t="inlineStr"/>
      <c r="AI67" t="inlineStr"/>
      <c r="AJ67" t="inlineStr"/>
      <c r="AK67" t="inlineStr"/>
      <c r="AL67" t="inlineStr"/>
      <c r="AM67" t="inlineStr"/>
    </row>
    <row r="68">
      <c r="A68" t="inlineStr">
        <is>
          <t>038415G</t>
        </is>
      </c>
      <c r="B68" t="inlineStr">
        <is>
          <t>Bachelor of Criminology and Criminal Justice</t>
        </is>
      </c>
      <c r="C68" t="inlineStr">
        <is>
          <t>Bachelor</t>
        </is>
      </c>
      <c r="D68" t="inlineStr">
        <is>
          <t>Undergraduate</t>
        </is>
      </c>
      <c r="E68" t="inlineStr">
        <is>
          <t>Advertised: official page in place</t>
        </is>
      </c>
      <c r="F68" t="inlineStr">
        <is>
          <t>https://www.unsw.edu.au/study/undergraduate/bachelor-of-criminology-and-criminal-justice</t>
        </is>
      </c>
      <c r="G68" t="inlineStr">
        <is>
          <t>https://www.unsw.edu.au/study/undergraduate/bachelor-of-criminology-and-criminal-justice</t>
        </is>
      </c>
      <c r="H68" t="inlineStr">
        <is>
          <t>Read</t>
        </is>
      </c>
      <c r="I68" t="inlineStr">
        <is>
          <t>CRICOS code on page</t>
        </is>
      </c>
      <c r="J68" t="inlineStr"/>
      <c r="K68" t="inlineStr">
        <is>
          <t>Not sent to re-link</t>
        </is>
      </c>
      <c r="L68" t="inlineStr">
        <is>
          <t>Filled</t>
        </is>
      </c>
      <c r="M68" t="inlineStr">
        <is>
          <t>Filled</t>
        </is>
      </c>
      <c r="N68" t="inlineStr">
        <is>
          <t>50500.00 2026</t>
        </is>
      </c>
      <c r="O68" t="n">
        <v>0</v>
      </c>
      <c r="P68" t="inlineStr">
        <is>
          <t>University adapter</t>
        </is>
      </c>
      <c r="Q68" t="inlineStr">
        <is>
          <t>Filled</t>
        </is>
      </c>
      <c r="R68" t="n">
        <v>6</v>
      </c>
      <c r="S68" t="inlineStr">
        <is>
          <t>Central English policy</t>
        </is>
      </c>
      <c r="T68" t="inlineStr">
        <is>
          <t>Central rule applies (value agrees)</t>
        </is>
      </c>
      <c r="U68" t="inlineStr"/>
      <c r="V68" t="inlineStr">
        <is>
          <t>Filled</t>
        </is>
      </c>
      <c r="W68" t="inlineStr">
        <is>
          <t>February, May, September</t>
        </is>
      </c>
      <c r="X68" t="inlineStr">
        <is>
          <t>University adapter</t>
        </is>
      </c>
      <c r="Y68" t="n">
        <v>0</v>
      </c>
      <c r="Z68" t="inlineStr">
        <is>
          <t>Yes</t>
        </is>
      </c>
      <c r="AA68" t="inlineStr">
        <is>
          <t>Filled</t>
        </is>
      </c>
      <c r="AB68" t="inlineStr">
        <is>
          <t>on campus</t>
        </is>
      </c>
      <c r="AC68" t="inlineStr"/>
      <c r="AD68" t="n">
        <v>0</v>
      </c>
      <c r="AE68" t="inlineStr"/>
      <c r="AF68" t="inlineStr"/>
      <c r="AG68" t="inlineStr"/>
      <c r="AH68" t="inlineStr"/>
      <c r="AI68" t="inlineStr"/>
      <c r="AJ68" t="inlineStr"/>
      <c r="AK68" t="inlineStr"/>
      <c r="AL68" t="inlineStr"/>
      <c r="AM68" t="inlineStr"/>
    </row>
    <row r="69">
      <c r="A69" t="inlineStr">
        <is>
          <t>082791G</t>
        </is>
      </c>
      <c r="B69" t="inlineStr">
        <is>
          <t>Bachelor of Criminology and Criminal Justice (Honours)</t>
        </is>
      </c>
      <c r="C69" t="inlineStr">
        <is>
          <t>Bachelor Honours Degree</t>
        </is>
      </c>
      <c r="D69" t="inlineStr">
        <is>
          <t>Undergraduate</t>
        </is>
      </c>
      <c r="E69" t="inlineStr">
        <is>
          <t>Advertised: official page in place</t>
        </is>
      </c>
      <c r="F69" t="inlineStr">
        <is>
          <t>https://www.handbook.unsw.edu.au/undergraduate/programs/2026/4505</t>
        </is>
      </c>
      <c r="G69" t="inlineStr">
        <is>
          <t>https://www.handbook.unsw.edu.au/undergraduate/programs/2026/4505</t>
        </is>
      </c>
      <c r="H69" t="inlineStr">
        <is>
          <t>Read</t>
        </is>
      </c>
      <c r="I69" t="inlineStr">
        <is>
          <t>CRICOS code on page</t>
        </is>
      </c>
      <c r="J69" t="inlineStr"/>
      <c r="K69" t="inlineStr">
        <is>
          <t>Not sent to re-link</t>
        </is>
      </c>
      <c r="L69" t="inlineStr">
        <is>
          <t>Filled</t>
        </is>
      </c>
      <c r="M69" t="inlineStr">
        <is>
          <t>Not stated on course page</t>
        </is>
      </c>
      <c r="N69" t="inlineStr"/>
      <c r="O69" t="n">
        <v>0</v>
      </c>
      <c r="P69" t="inlineStr"/>
      <c r="Q69" t="inlineStr">
        <is>
          <t>Filled</t>
        </is>
      </c>
      <c r="R69" t="n">
        <v>6</v>
      </c>
      <c r="S69" t="inlineStr">
        <is>
          <t>Central English policy</t>
        </is>
      </c>
      <c r="T69" t="inlineStr">
        <is>
          <t>Central rule applies (value agrees)</t>
        </is>
      </c>
      <c r="U69" t="inlineStr"/>
      <c r="V69" t="inlineStr">
        <is>
          <t>Filled</t>
        </is>
      </c>
      <c r="W69" t="inlineStr">
        <is>
          <t>February</t>
        </is>
      </c>
      <c r="X69" t="inlineStr">
        <is>
          <t>University adapter</t>
        </is>
      </c>
      <c r="Y69" t="n">
        <v>0</v>
      </c>
      <c r="Z69" t="inlineStr">
        <is>
          <t>Yes</t>
        </is>
      </c>
      <c r="AA69" t="inlineStr">
        <is>
          <t>Filled</t>
        </is>
      </c>
      <c r="AB69" t="inlineStr">
        <is>
          <t>on campus</t>
        </is>
      </c>
      <c r="AC69" t="inlineStr"/>
      <c r="AD69" t="n">
        <v>0</v>
      </c>
      <c r="AE69" t="inlineStr"/>
      <c r="AF69" t="inlineStr"/>
      <c r="AG69" t="inlineStr"/>
      <c r="AH69" t="inlineStr"/>
      <c r="AI69" t="inlineStr"/>
      <c r="AJ69" t="inlineStr"/>
      <c r="AK69" t="inlineStr"/>
      <c r="AL69" t="inlineStr"/>
      <c r="AM69" t="inlineStr"/>
    </row>
    <row r="70">
      <c r="A70" t="inlineStr">
        <is>
          <t>116901K</t>
        </is>
      </c>
      <c r="B70" t="inlineStr">
        <is>
          <t>Bachelor of Criminology and Criminal Justice / Bachelor of Psychological Science</t>
        </is>
      </c>
      <c r="C70" t="inlineStr">
        <is>
          <t>Bachelor</t>
        </is>
      </c>
      <c r="D70" t="inlineStr">
        <is>
          <t>Undergraduate</t>
        </is>
      </c>
      <c r="E70" t="inlineStr">
        <is>
          <t>Advertised: official page in place</t>
        </is>
      </c>
      <c r="F70" t="inlineStr">
        <is>
          <t>https://www.unsw.edu.au/study/undergraduate/bachelor-of-criminology-and-criminal-justice-bachelor-of-psychological-sciences</t>
        </is>
      </c>
      <c r="G70" t="inlineStr">
        <is>
          <t>https://www.unsw.edu.au/study/undergraduate/bachelor-of-criminology-and-criminal-justice-bachelor-of-psychological-sciences</t>
        </is>
      </c>
      <c r="H70" t="inlineStr">
        <is>
          <t>Read</t>
        </is>
      </c>
      <c r="I70" t="inlineStr">
        <is>
          <t>CRICOS code on page</t>
        </is>
      </c>
      <c r="J70" t="inlineStr"/>
      <c r="K70" t="inlineStr">
        <is>
          <t>Not sent to re-link</t>
        </is>
      </c>
      <c r="L70" t="inlineStr">
        <is>
          <t>Filled</t>
        </is>
      </c>
      <c r="M70" t="inlineStr">
        <is>
          <t>Filled</t>
        </is>
      </c>
      <c r="N70" t="inlineStr">
        <is>
          <t>49500.00 2026</t>
        </is>
      </c>
      <c r="O70" t="n">
        <v>0</v>
      </c>
      <c r="P70" t="inlineStr">
        <is>
          <t>University adapter</t>
        </is>
      </c>
      <c r="Q70" t="inlineStr">
        <is>
          <t>Filled</t>
        </is>
      </c>
      <c r="R70" t="n">
        <v>6</v>
      </c>
      <c r="S70" t="inlineStr">
        <is>
          <t>Central English policy</t>
        </is>
      </c>
      <c r="T70" t="inlineStr">
        <is>
          <t>Central rule applies (value agrees)</t>
        </is>
      </c>
      <c r="U70" t="inlineStr"/>
      <c r="V70" t="inlineStr">
        <is>
          <t>Filled</t>
        </is>
      </c>
      <c r="W70" t="inlineStr">
        <is>
          <t>February, September</t>
        </is>
      </c>
      <c r="X70" t="inlineStr">
        <is>
          <t>University adapter</t>
        </is>
      </c>
      <c r="Y70" t="n">
        <v>0</v>
      </c>
      <c r="Z70" t="inlineStr">
        <is>
          <t>Yes</t>
        </is>
      </c>
      <c r="AA70" t="inlineStr">
        <is>
          <t>Filled</t>
        </is>
      </c>
      <c r="AB70" t="inlineStr">
        <is>
          <t>on campus</t>
        </is>
      </c>
      <c r="AC70" t="inlineStr"/>
      <c r="AD70" t="n">
        <v>0</v>
      </c>
      <c r="AE70" t="inlineStr"/>
      <c r="AF70" t="inlineStr"/>
      <c r="AG70" t="inlineStr"/>
      <c r="AH70" t="inlineStr"/>
      <c r="AI70" t="inlineStr"/>
      <c r="AJ70" t="inlineStr"/>
      <c r="AK70" t="inlineStr"/>
      <c r="AL70" t="inlineStr"/>
      <c r="AM70" t="inlineStr"/>
    </row>
    <row r="71">
      <c r="A71" t="inlineStr">
        <is>
          <t>116902J</t>
        </is>
      </c>
      <c r="B71" t="inlineStr">
        <is>
          <t>Bachelor of Criminology and Criminal Justice / Bachelor of Psychology (Honours)</t>
        </is>
      </c>
      <c r="C71" t="inlineStr">
        <is>
          <t>Bachelor</t>
        </is>
      </c>
      <c r="D71" t="inlineStr">
        <is>
          <t>Undergraduate</t>
        </is>
      </c>
      <c r="E71" t="inlineStr">
        <is>
          <t>Advertised: official page in place</t>
        </is>
      </c>
      <c r="F71" t="inlineStr">
        <is>
          <t>https://www.unsw.edu.au/study/undergraduate/bachelor-of-criminology-criminal-justice-bachelor-of-psychology-honours</t>
        </is>
      </c>
      <c r="G71" t="inlineStr">
        <is>
          <t>https://www.unsw.edu.au/study/undergraduate/bachelor-of-criminology-criminal-justice-bachelor-of-psychology-honours</t>
        </is>
      </c>
      <c r="H71" t="inlineStr">
        <is>
          <t>Read</t>
        </is>
      </c>
      <c r="I71" t="inlineStr">
        <is>
          <t>CRICOS code on page</t>
        </is>
      </c>
      <c r="J71" t="inlineStr"/>
      <c r="K71" t="inlineStr">
        <is>
          <t>Not sent to re-link</t>
        </is>
      </c>
      <c r="L71" t="inlineStr">
        <is>
          <t>Filled</t>
        </is>
      </c>
      <c r="M71" t="inlineStr">
        <is>
          <t>Filled</t>
        </is>
      </c>
      <c r="N71" t="inlineStr">
        <is>
          <t>49500.00 2026</t>
        </is>
      </c>
      <c r="O71" t="n">
        <v>0</v>
      </c>
      <c r="P71" t="inlineStr">
        <is>
          <t>University adapter</t>
        </is>
      </c>
      <c r="Q71" t="inlineStr">
        <is>
          <t>Filled</t>
        </is>
      </c>
      <c r="R71" t="n">
        <v>6</v>
      </c>
      <c r="S71" t="inlineStr">
        <is>
          <t>Central English policy</t>
        </is>
      </c>
      <c r="T71" t="inlineStr">
        <is>
          <t>Central rule applies (value agrees)</t>
        </is>
      </c>
      <c r="U71" t="inlineStr"/>
      <c r="V71" t="inlineStr">
        <is>
          <t>Filled</t>
        </is>
      </c>
      <c r="W71" t="inlineStr">
        <is>
          <t>February</t>
        </is>
      </c>
      <c r="X71" t="inlineStr">
        <is>
          <t>University adapter</t>
        </is>
      </c>
      <c r="Y71" t="n">
        <v>0</v>
      </c>
      <c r="Z71" t="inlineStr">
        <is>
          <t>Yes</t>
        </is>
      </c>
      <c r="AA71" t="inlineStr">
        <is>
          <t>Filled</t>
        </is>
      </c>
      <c r="AB71" t="inlineStr">
        <is>
          <t>on campus</t>
        </is>
      </c>
      <c r="AC71" t="inlineStr"/>
      <c r="AD71" t="n">
        <v>0</v>
      </c>
      <c r="AE71" t="inlineStr"/>
      <c r="AF71" t="inlineStr"/>
      <c r="AG71" t="inlineStr"/>
      <c r="AH71" t="inlineStr"/>
      <c r="AI71" t="inlineStr"/>
      <c r="AJ71" t="inlineStr"/>
      <c r="AK71" t="inlineStr"/>
      <c r="AL71" t="inlineStr"/>
      <c r="AM71" t="inlineStr"/>
    </row>
    <row r="72">
      <c r="A72" t="inlineStr">
        <is>
          <t>059028A</t>
        </is>
      </c>
      <c r="B72" t="inlineStr">
        <is>
          <t>Bachelor of Criminology and Criminal Justice/Bachelor of Laws</t>
        </is>
      </c>
      <c r="C72" t="inlineStr">
        <is>
          <t>Bachelor</t>
        </is>
      </c>
      <c r="D72" t="inlineStr">
        <is>
          <t>Undergraduate</t>
        </is>
      </c>
      <c r="E72" t="inlineStr">
        <is>
          <t>Advertised: official page in place</t>
        </is>
      </c>
      <c r="F72" t="inlineStr">
        <is>
          <t>https://www.unsw.edu.au/study/undergraduate/bachelor-of-criminology-criminal-justice-law</t>
        </is>
      </c>
      <c r="G72" t="inlineStr">
        <is>
          <t>https://www.unsw.edu.au/study/undergraduate/bachelor-of-criminology-criminal-justice-law</t>
        </is>
      </c>
      <c r="H72" t="inlineStr">
        <is>
          <t>Read</t>
        </is>
      </c>
      <c r="I72" t="inlineStr">
        <is>
          <t>CRICOS code on page</t>
        </is>
      </c>
      <c r="J72" t="inlineStr"/>
      <c r="K72" t="inlineStr">
        <is>
          <t>Not sent to re-link</t>
        </is>
      </c>
      <c r="L72" t="inlineStr">
        <is>
          <t>Filled</t>
        </is>
      </c>
      <c r="M72" t="inlineStr">
        <is>
          <t>Filled</t>
        </is>
      </c>
      <c r="N72" t="inlineStr">
        <is>
          <t>51000.00 2026</t>
        </is>
      </c>
      <c r="O72" t="n">
        <v>0</v>
      </c>
      <c r="P72" t="inlineStr">
        <is>
          <t>University adapter</t>
        </is>
      </c>
      <c r="Q72" t="inlineStr">
        <is>
          <t>Filled</t>
        </is>
      </c>
      <c r="R72" t="n">
        <v>6</v>
      </c>
      <c r="S72" t="inlineStr">
        <is>
          <t>Central English policy</t>
        </is>
      </c>
      <c r="T72" t="inlineStr">
        <is>
          <t>Central rule applies (value agrees)</t>
        </is>
      </c>
      <c r="U72" t="inlineStr"/>
      <c r="V72" t="inlineStr">
        <is>
          <t>Filled</t>
        </is>
      </c>
      <c r="W72" t="inlineStr">
        <is>
          <t>February</t>
        </is>
      </c>
      <c r="X72" t="inlineStr">
        <is>
          <t>University adapter</t>
        </is>
      </c>
      <c r="Y72" t="n">
        <v>0</v>
      </c>
      <c r="Z72" t="inlineStr">
        <is>
          <t>Yes</t>
        </is>
      </c>
      <c r="AA72" t="inlineStr">
        <is>
          <t>Filled</t>
        </is>
      </c>
      <c r="AB72" t="inlineStr">
        <is>
          <t>on campus</t>
        </is>
      </c>
      <c r="AC72" t="inlineStr"/>
      <c r="AD72" t="n">
        <v>0</v>
      </c>
      <c r="AE72" t="inlineStr"/>
      <c r="AF72" t="inlineStr"/>
      <c r="AG72" t="inlineStr"/>
      <c r="AH72" t="inlineStr"/>
      <c r="AI72" t="inlineStr"/>
      <c r="AJ72" t="inlineStr"/>
      <c r="AK72" t="inlineStr"/>
      <c r="AL72" t="inlineStr"/>
      <c r="AM72" t="inlineStr"/>
    </row>
    <row r="73">
      <c r="A73" t="inlineStr">
        <is>
          <t>119744E</t>
        </is>
      </c>
      <c r="B73" t="inlineStr">
        <is>
          <t>Bachelor of Cyber Security</t>
        </is>
      </c>
      <c r="C73" t="inlineStr">
        <is>
          <t>Bachelor</t>
        </is>
      </c>
      <c r="D73" t="inlineStr">
        <is>
          <t>Undergraduate</t>
        </is>
      </c>
      <c r="E73" t="inlineStr">
        <is>
          <t>Advertised: official page in place</t>
        </is>
      </c>
      <c r="F73" t="inlineStr">
        <is>
          <t>https://www.unsw.edu.au/study/undergraduate/bachelor-of-cyber-security</t>
        </is>
      </c>
      <c r="G73" t="inlineStr">
        <is>
          <t>https://www.unsw.edu.au/study/undergraduate/bachelor-of-cyber-security</t>
        </is>
      </c>
      <c r="H73" t="inlineStr">
        <is>
          <t>Read</t>
        </is>
      </c>
      <c r="I73" t="inlineStr">
        <is>
          <t>Exact title match</t>
        </is>
      </c>
      <c r="J73" t="inlineStr"/>
      <c r="K73" t="inlineStr">
        <is>
          <t>Not sent to re-link</t>
        </is>
      </c>
      <c r="L73" t="inlineStr">
        <is>
          <t>Filled</t>
        </is>
      </c>
      <c r="M73" t="inlineStr">
        <is>
          <t>Not stated on course page</t>
        </is>
      </c>
      <c r="N73" t="inlineStr"/>
      <c r="O73" t="n">
        <v>0</v>
      </c>
      <c r="P73" t="inlineStr"/>
      <c r="Q73" t="inlineStr">
        <is>
          <t>Filled</t>
        </is>
      </c>
      <c r="R73" t="n">
        <v>6</v>
      </c>
      <c r="S73" t="inlineStr">
        <is>
          <t>Central English policy</t>
        </is>
      </c>
      <c r="T73" t="inlineStr">
        <is>
          <t>Central rule applies (value agrees)</t>
        </is>
      </c>
      <c r="U73" t="inlineStr"/>
      <c r="V73" t="inlineStr">
        <is>
          <t>Filled</t>
        </is>
      </c>
      <c r="W73" t="inlineStr">
        <is>
          <t>February, September</t>
        </is>
      </c>
      <c r="X73" t="inlineStr">
        <is>
          <t>University adapter</t>
        </is>
      </c>
      <c r="Y73" t="n">
        <v>0</v>
      </c>
      <c r="Z73" t="inlineStr">
        <is>
          <t>Yes</t>
        </is>
      </c>
      <c r="AA73" t="inlineStr">
        <is>
          <t>Filled</t>
        </is>
      </c>
      <c r="AB73" t="inlineStr">
        <is>
          <t>on campus</t>
        </is>
      </c>
      <c r="AC73" t="inlineStr"/>
      <c r="AD73" t="n">
        <v>0</v>
      </c>
      <c r="AE73" t="inlineStr"/>
      <c r="AF73" t="inlineStr"/>
      <c r="AG73" t="inlineStr"/>
      <c r="AH73" t="inlineStr"/>
      <c r="AI73" t="inlineStr"/>
      <c r="AJ73" t="inlineStr"/>
      <c r="AK73" t="inlineStr"/>
      <c r="AL73" t="inlineStr"/>
      <c r="AM73" t="inlineStr"/>
    </row>
    <row r="74">
      <c r="A74" t="inlineStr">
        <is>
          <t>093085J</t>
        </is>
      </c>
      <c r="B74" t="inlineStr">
        <is>
          <t>Bachelor of Data Science and Decisions</t>
        </is>
      </c>
      <c r="C74" t="inlineStr">
        <is>
          <t>Bachelor</t>
        </is>
      </c>
      <c r="D74" t="inlineStr">
        <is>
          <t>Undergraduate</t>
        </is>
      </c>
      <c r="E74" t="inlineStr">
        <is>
          <t>Advertised: official page in place</t>
        </is>
      </c>
      <c r="F74" t="inlineStr">
        <is>
          <t>https://www.unsw.edu.au/study/undergraduate/bachelor-of-data-science-and-decisions</t>
        </is>
      </c>
      <c r="G74" t="inlineStr">
        <is>
          <t>https://www.unsw.edu.au/study/undergraduate/bachelor-of-data-science-and-decisions</t>
        </is>
      </c>
      <c r="H74" t="inlineStr">
        <is>
          <t>Read</t>
        </is>
      </c>
      <c r="I74" t="inlineStr">
        <is>
          <t>CRICOS code on page</t>
        </is>
      </c>
      <c r="J74" t="inlineStr"/>
      <c r="K74" t="inlineStr">
        <is>
          <t>Not sent to re-link</t>
        </is>
      </c>
      <c r="L74" t="inlineStr">
        <is>
          <t>Filled</t>
        </is>
      </c>
      <c r="M74" t="inlineStr">
        <is>
          <t>Filled</t>
        </is>
      </c>
      <c r="N74" t="inlineStr">
        <is>
          <t>60000.00 2026</t>
        </is>
      </c>
      <c r="O74" t="n">
        <v>0</v>
      </c>
      <c r="P74" t="inlineStr">
        <is>
          <t>University adapter</t>
        </is>
      </c>
      <c r="Q74" t="inlineStr">
        <is>
          <t>Filled</t>
        </is>
      </c>
      <c r="R74" t="n">
        <v>6</v>
      </c>
      <c r="S74" t="inlineStr">
        <is>
          <t>Central English policy</t>
        </is>
      </c>
      <c r="T74" t="inlineStr">
        <is>
          <t>Central rule applies (value agrees)</t>
        </is>
      </c>
      <c r="U74" t="inlineStr"/>
      <c r="V74" t="inlineStr">
        <is>
          <t>Filled</t>
        </is>
      </c>
      <c r="W74" t="inlineStr">
        <is>
          <t>February, May, September</t>
        </is>
      </c>
      <c r="X74" t="inlineStr">
        <is>
          <t>University adapter</t>
        </is>
      </c>
      <c r="Y74" t="n">
        <v>0</v>
      </c>
      <c r="Z74" t="inlineStr">
        <is>
          <t>Yes</t>
        </is>
      </c>
      <c r="AA74" t="inlineStr">
        <is>
          <t>Filled</t>
        </is>
      </c>
      <c r="AB74" t="inlineStr">
        <is>
          <t>on campus</t>
        </is>
      </c>
      <c r="AC74" t="inlineStr"/>
      <c r="AD74" t="n">
        <v>0</v>
      </c>
      <c r="AE74" t="inlineStr"/>
      <c r="AF74" t="inlineStr"/>
      <c r="AG74" t="inlineStr"/>
      <c r="AH74" t="inlineStr"/>
      <c r="AI74" t="inlineStr"/>
      <c r="AJ74" t="inlineStr"/>
      <c r="AK74" t="inlineStr"/>
      <c r="AL74" t="inlineStr"/>
      <c r="AM74" t="inlineStr"/>
    </row>
    <row r="75">
      <c r="A75" t="inlineStr">
        <is>
          <t>117801F</t>
        </is>
      </c>
      <c r="B75" t="inlineStr">
        <is>
          <t>Bachelor of Data Science and Decisions / Bachelor of Laws (Honours)</t>
        </is>
      </c>
      <c r="C75" t="inlineStr">
        <is>
          <t>Bachelor Honours Degree</t>
        </is>
      </c>
      <c r="D75" t="inlineStr">
        <is>
          <t>Undergraduate</t>
        </is>
      </c>
      <c r="E75" t="inlineStr">
        <is>
          <t>No-page record (conjoint), awaiting review</t>
        </is>
      </c>
      <c r="F75" t="inlineStr"/>
      <c r="G75" t="inlineStr">
        <is>
          <t>https://www.handbook.unsw.edu.au/undergraduate/programs/2026/3959</t>
        </is>
      </c>
      <c r="H75" t="inlineStr">
        <is>
          <t>Page is for another course</t>
        </is>
      </c>
      <c r="I75" t="inlineStr"/>
      <c r="J75" t="inlineStr">
        <is>
          <t>Conjoint (proposed)</t>
        </is>
      </c>
      <c r="K75" t="inlineStr">
        <is>
          <t>Finished, no page: no address from the university's address forms or stored lis</t>
        </is>
      </c>
      <c r="L75" t="inlineStr">
        <is>
          <t>Searching for course page</t>
        </is>
      </c>
      <c r="M75" t="inlineStr">
        <is>
          <t>Searching for course page</t>
        </is>
      </c>
      <c r="N75" t="inlineStr"/>
      <c r="O75" t="n">
        <v>0</v>
      </c>
      <c r="P75" t="inlineStr"/>
      <c r="Q75" t="inlineStr">
        <is>
          <t>Filled</t>
        </is>
      </c>
      <c r="R75" t="n">
        <v>6</v>
      </c>
      <c r="S75" t="inlineStr">
        <is>
          <t>Central English policy</t>
        </is>
      </c>
      <c r="T75" t="inlineStr">
        <is>
          <t>Central rule applies (value agrees)</t>
        </is>
      </c>
      <c r="U75" t="inlineStr"/>
      <c r="V75" t="inlineStr">
        <is>
          <t>Searching for course page</t>
        </is>
      </c>
      <c r="W75" t="inlineStr"/>
      <c r="X75" t="inlineStr"/>
      <c r="Y75" t="n">
        <v>0</v>
      </c>
      <c r="Z75" t="inlineStr">
        <is>
          <t>Yes</t>
        </is>
      </c>
      <c r="AA75" t="inlineStr">
        <is>
          <t>Not stated on course page</t>
        </is>
      </c>
      <c r="AB75" t="inlineStr"/>
      <c r="AC75" t="inlineStr">
        <is>
          <t>Skipped: no correct course page: the page found is for another course</t>
        </is>
      </c>
      <c r="AD75" t="n">
        <v>1</v>
      </c>
      <c r="AE75" t="inlineStr"/>
      <c r="AF75" t="inlineStr"/>
      <c r="AG75" t="inlineStr"/>
      <c r="AH75" t="inlineStr"/>
      <c r="AI75" t="inlineStr"/>
      <c r="AJ75" t="inlineStr"/>
      <c r="AK75" t="inlineStr"/>
      <c r="AL75" t="inlineStr"/>
      <c r="AM75" t="inlineStr">
        <is>
          <t>Yes</t>
        </is>
      </c>
    </row>
    <row r="76">
      <c r="A76" t="inlineStr">
        <is>
          <t>099873K</t>
        </is>
      </c>
      <c r="B76" t="inlineStr">
        <is>
          <t>Bachelor of Data Science and Decisions/Bachelor of Laws</t>
        </is>
      </c>
      <c r="C76" t="inlineStr">
        <is>
          <t>Bachelor</t>
        </is>
      </c>
      <c r="D76" t="inlineStr">
        <is>
          <t>Undergraduate</t>
        </is>
      </c>
      <c r="E76" t="inlineStr">
        <is>
          <t>Advertised: official page in place</t>
        </is>
      </c>
      <c r="F76" t="inlineStr">
        <is>
          <t>https://www.unsw.edu.au/study/undergraduate/bachelor-of-data-science-and-decisions-law</t>
        </is>
      </c>
      <c r="G76" t="inlineStr">
        <is>
          <t>https://www.unsw.edu.au/study/undergraduate/bachelor-of-data-science-and-decisions-law</t>
        </is>
      </c>
      <c r="H76" t="inlineStr">
        <is>
          <t>Read</t>
        </is>
      </c>
      <c r="I76" t="inlineStr">
        <is>
          <t>CRICOS code on page</t>
        </is>
      </c>
      <c r="J76" t="inlineStr"/>
      <c r="K76" t="inlineStr">
        <is>
          <t>Not sent to re-link</t>
        </is>
      </c>
      <c r="L76" t="inlineStr">
        <is>
          <t>Filled</t>
        </is>
      </c>
      <c r="M76" t="inlineStr">
        <is>
          <t>Filled</t>
        </is>
      </c>
      <c r="N76" t="inlineStr">
        <is>
          <t>57000.00 2026</t>
        </is>
      </c>
      <c r="O76" t="n">
        <v>0</v>
      </c>
      <c r="P76" t="inlineStr">
        <is>
          <t>University adapter</t>
        </is>
      </c>
      <c r="Q76" t="inlineStr">
        <is>
          <t>Filled</t>
        </is>
      </c>
      <c r="R76" t="n">
        <v>6</v>
      </c>
      <c r="S76" t="inlineStr">
        <is>
          <t>Central English policy</t>
        </is>
      </c>
      <c r="T76" t="inlineStr">
        <is>
          <t>Central rule applies (value agrees)</t>
        </is>
      </c>
      <c r="U76" t="inlineStr"/>
      <c r="V76" t="inlineStr">
        <is>
          <t>Filled</t>
        </is>
      </c>
      <c r="W76" t="inlineStr">
        <is>
          <t>February</t>
        </is>
      </c>
      <c r="X76" t="inlineStr">
        <is>
          <t>University adapter</t>
        </is>
      </c>
      <c r="Y76" t="n">
        <v>0</v>
      </c>
      <c r="Z76" t="inlineStr">
        <is>
          <t>Yes</t>
        </is>
      </c>
      <c r="AA76" t="inlineStr">
        <is>
          <t>Filled</t>
        </is>
      </c>
      <c r="AB76" t="inlineStr">
        <is>
          <t>on campus</t>
        </is>
      </c>
      <c r="AC76" t="inlineStr"/>
      <c r="AD76" t="n">
        <v>0</v>
      </c>
      <c r="AE76" t="inlineStr"/>
      <c r="AF76" t="inlineStr"/>
      <c r="AG76" t="inlineStr"/>
      <c r="AH76" t="inlineStr"/>
      <c r="AI76" t="inlineStr"/>
      <c r="AJ76" t="inlineStr"/>
      <c r="AK76" t="inlineStr"/>
      <c r="AL76" t="inlineStr"/>
      <c r="AM76" t="inlineStr"/>
    </row>
    <row r="77">
      <c r="A77" t="inlineStr">
        <is>
          <t>097695F</t>
        </is>
      </c>
      <c r="B77" t="inlineStr">
        <is>
          <t>Bachelor of Design</t>
        </is>
      </c>
      <c r="C77" t="inlineStr">
        <is>
          <t>Bachelor</t>
        </is>
      </c>
      <c r="D77" t="inlineStr">
        <is>
          <t>Undergraduate</t>
        </is>
      </c>
      <c r="E77" t="inlineStr">
        <is>
          <t>Advertised: official page in place</t>
        </is>
      </c>
      <c r="F77" t="inlineStr">
        <is>
          <t>https://www.unsw.edu.au/study/undergraduate/bachelor-of-design1</t>
        </is>
      </c>
      <c r="G77" t="inlineStr">
        <is>
          <t>https://www.unsw.edu.au/study/undergraduate/bachelor-of-design1</t>
        </is>
      </c>
      <c r="H77" t="inlineStr">
        <is>
          <t>Read</t>
        </is>
      </c>
      <c r="I77" t="inlineStr">
        <is>
          <t>Exact title match</t>
        </is>
      </c>
      <c r="J77" t="inlineStr"/>
      <c r="K77" t="inlineStr">
        <is>
          <t>Not sent to re-link</t>
        </is>
      </c>
      <c r="L77" t="inlineStr">
        <is>
          <t>Filled</t>
        </is>
      </c>
      <c r="M77" t="inlineStr">
        <is>
          <t>Filled</t>
        </is>
      </c>
      <c r="N77" t="inlineStr">
        <is>
          <t>49500.00 2026</t>
        </is>
      </c>
      <c r="O77" t="n">
        <v>0</v>
      </c>
      <c r="P77" t="inlineStr">
        <is>
          <t>University adapter</t>
        </is>
      </c>
      <c r="Q77" t="inlineStr">
        <is>
          <t>Filled</t>
        </is>
      </c>
      <c r="R77" t="n">
        <v>6</v>
      </c>
      <c r="S77" t="inlineStr">
        <is>
          <t>Central English policy</t>
        </is>
      </c>
      <c r="T77" t="inlineStr">
        <is>
          <t>Central rule applies (value agrees)</t>
        </is>
      </c>
      <c r="U77" t="inlineStr"/>
      <c r="V77" t="inlineStr">
        <is>
          <t>Filled</t>
        </is>
      </c>
      <c r="W77" t="inlineStr">
        <is>
          <t>February, May, September</t>
        </is>
      </c>
      <c r="X77" t="inlineStr">
        <is>
          <t>University adapter</t>
        </is>
      </c>
      <c r="Y77" t="n">
        <v>0</v>
      </c>
      <c r="Z77" t="inlineStr">
        <is>
          <t>Yes</t>
        </is>
      </c>
      <c r="AA77" t="inlineStr">
        <is>
          <t>Filled</t>
        </is>
      </c>
      <c r="AB77" t="inlineStr">
        <is>
          <t>on campus</t>
        </is>
      </c>
      <c r="AC77" t="inlineStr"/>
      <c r="AD77" t="n">
        <v>0</v>
      </c>
      <c r="AE77" t="inlineStr"/>
      <c r="AF77" t="inlineStr"/>
      <c r="AG77" t="inlineStr"/>
      <c r="AH77" t="inlineStr"/>
      <c r="AI77" t="inlineStr"/>
      <c r="AJ77" t="inlineStr"/>
      <c r="AK77" t="inlineStr"/>
      <c r="AL77" t="inlineStr"/>
      <c r="AM77" t="inlineStr"/>
    </row>
    <row r="78">
      <c r="A78" t="inlineStr">
        <is>
          <t>110651E</t>
        </is>
      </c>
      <c r="B78" t="inlineStr">
        <is>
          <t>Bachelor of Design</t>
        </is>
      </c>
      <c r="C78" t="inlineStr">
        <is>
          <t>Bachelor</t>
        </is>
      </c>
      <c r="D78" t="inlineStr">
        <is>
          <t>Undergraduate</t>
        </is>
      </c>
      <c r="E78" t="inlineStr">
        <is>
          <t>Advertised: official page in place</t>
        </is>
      </c>
      <c r="F78" t="inlineStr">
        <is>
          <t>https://www.unsw.edu.au/study/undergraduate/bachelor-of-design1</t>
        </is>
      </c>
      <c r="G78" t="inlineStr">
        <is>
          <t>https://www.unsw.edu.au/study/undergraduate/bachelor-of-design1</t>
        </is>
      </c>
      <c r="H78" t="inlineStr">
        <is>
          <t>Read</t>
        </is>
      </c>
      <c r="I78" t="inlineStr">
        <is>
          <t>CRICOS code on page</t>
        </is>
      </c>
      <c r="J78" t="inlineStr"/>
      <c r="K78" t="inlineStr">
        <is>
          <t>Not sent to re-link</t>
        </is>
      </c>
      <c r="L78" t="inlineStr">
        <is>
          <t>Filled</t>
        </is>
      </c>
      <c r="M78" t="inlineStr">
        <is>
          <t>Filled</t>
        </is>
      </c>
      <c r="N78" t="inlineStr">
        <is>
          <t>49500.00 2026</t>
        </is>
      </c>
      <c r="O78" t="n">
        <v>0</v>
      </c>
      <c r="P78" t="inlineStr">
        <is>
          <t>University adapter</t>
        </is>
      </c>
      <c r="Q78" t="inlineStr">
        <is>
          <t>Filled</t>
        </is>
      </c>
      <c r="R78" t="n">
        <v>6</v>
      </c>
      <c r="S78" t="inlineStr">
        <is>
          <t>Central English policy</t>
        </is>
      </c>
      <c r="T78" t="inlineStr">
        <is>
          <t>Central rule applies (value agrees)</t>
        </is>
      </c>
      <c r="U78" t="inlineStr"/>
      <c r="V78" t="inlineStr">
        <is>
          <t>Filled</t>
        </is>
      </c>
      <c r="W78" t="inlineStr">
        <is>
          <t>February, May, September</t>
        </is>
      </c>
      <c r="X78" t="inlineStr">
        <is>
          <t>University adapter</t>
        </is>
      </c>
      <c r="Y78" t="n">
        <v>0</v>
      </c>
      <c r="Z78" t="inlineStr">
        <is>
          <t>Yes</t>
        </is>
      </c>
      <c r="AA78" t="inlineStr">
        <is>
          <t>Filled</t>
        </is>
      </c>
      <c r="AB78" t="inlineStr">
        <is>
          <t>on campus</t>
        </is>
      </c>
      <c r="AC78" t="inlineStr"/>
      <c r="AD78" t="n">
        <v>0</v>
      </c>
      <c r="AE78" t="inlineStr"/>
      <c r="AF78" t="inlineStr"/>
      <c r="AG78" t="inlineStr"/>
      <c r="AH78" t="inlineStr"/>
      <c r="AI78" t="inlineStr"/>
      <c r="AJ78" t="inlineStr"/>
      <c r="AK78" t="inlineStr"/>
      <c r="AL78" t="inlineStr"/>
      <c r="AM78" t="inlineStr"/>
    </row>
    <row r="79">
      <c r="A79" t="inlineStr">
        <is>
          <t>098000A</t>
        </is>
      </c>
      <c r="B79" t="inlineStr">
        <is>
          <t>Bachelor of Design (Honours)</t>
        </is>
      </c>
      <c r="C79" t="inlineStr">
        <is>
          <t>Bachelor Honours Degree</t>
        </is>
      </c>
      <c r="D79" t="inlineStr">
        <is>
          <t>Undergraduate</t>
        </is>
      </c>
      <c r="E79" t="inlineStr">
        <is>
          <t>Advertised: official page in place</t>
        </is>
      </c>
      <c r="F79" t="inlineStr">
        <is>
          <t>https://www.unsw.edu.au/study/undergraduate/bachelor-of-design-honours</t>
        </is>
      </c>
      <c r="G79" t="inlineStr">
        <is>
          <t>https://www.unsw.edu.au/study/undergraduate/bachelor-of-design-honours</t>
        </is>
      </c>
      <c r="H79" t="inlineStr">
        <is>
          <t>Read</t>
        </is>
      </c>
      <c r="I79" t="inlineStr">
        <is>
          <t>CRICOS code on page</t>
        </is>
      </c>
      <c r="J79" t="inlineStr"/>
      <c r="K79" t="inlineStr">
        <is>
          <t>Not sent to re-link</t>
        </is>
      </c>
      <c r="L79" t="inlineStr">
        <is>
          <t>Filled</t>
        </is>
      </c>
      <c r="M79" t="inlineStr">
        <is>
          <t>Filled</t>
        </is>
      </c>
      <c r="N79" t="inlineStr">
        <is>
          <t>48000.00 2026</t>
        </is>
      </c>
      <c r="O79" t="n">
        <v>0</v>
      </c>
      <c r="P79" t="inlineStr">
        <is>
          <t>University adapter</t>
        </is>
      </c>
      <c r="Q79" t="inlineStr">
        <is>
          <t>Filled</t>
        </is>
      </c>
      <c r="R79" t="n">
        <v>6</v>
      </c>
      <c r="S79" t="inlineStr">
        <is>
          <t>Central English policy</t>
        </is>
      </c>
      <c r="T79" t="inlineStr">
        <is>
          <t>Central rule applies (value agrees)</t>
        </is>
      </c>
      <c r="U79" t="inlineStr"/>
      <c r="V79" t="inlineStr">
        <is>
          <t>Filled</t>
        </is>
      </c>
      <c r="W79" t="inlineStr">
        <is>
          <t>February</t>
        </is>
      </c>
      <c r="X79" t="inlineStr">
        <is>
          <t>University adapter</t>
        </is>
      </c>
      <c r="Y79" t="n">
        <v>0</v>
      </c>
      <c r="Z79" t="inlineStr">
        <is>
          <t>Yes</t>
        </is>
      </c>
      <c r="AA79" t="inlineStr">
        <is>
          <t>Filled</t>
        </is>
      </c>
      <c r="AB79" t="inlineStr">
        <is>
          <t>on campus</t>
        </is>
      </c>
      <c r="AC79" t="inlineStr"/>
      <c r="AD79" t="n">
        <v>0</v>
      </c>
      <c r="AE79" t="inlineStr"/>
      <c r="AF79" t="inlineStr"/>
      <c r="AG79" t="inlineStr"/>
      <c r="AH79" t="inlineStr"/>
      <c r="AI79" t="inlineStr"/>
      <c r="AJ79" t="inlineStr"/>
      <c r="AK79" t="inlineStr"/>
      <c r="AL79" t="inlineStr"/>
      <c r="AM79" t="inlineStr"/>
    </row>
    <row r="80">
      <c r="A80" t="inlineStr">
        <is>
          <t>009534G</t>
        </is>
      </c>
      <c r="B80" t="inlineStr">
        <is>
          <t>Bachelor of Design (Honours)</t>
        </is>
      </c>
      <c r="C80" t="inlineStr">
        <is>
          <t>Bachelor Honours Degree</t>
        </is>
      </c>
      <c r="D80" t="inlineStr">
        <is>
          <t>Undergraduate</t>
        </is>
      </c>
      <c r="E80" t="inlineStr">
        <is>
          <t>Advertised: official page in place</t>
        </is>
      </c>
      <c r="F80" t="inlineStr">
        <is>
          <t>https://www.unsw.edu.au/study/undergraduate/bachelor-of-design-honours</t>
        </is>
      </c>
      <c r="G80" t="inlineStr">
        <is>
          <t>https://www.unsw.edu.au/study/undergraduate/bachelor-of-design-honours</t>
        </is>
      </c>
      <c r="H80" t="inlineStr">
        <is>
          <t>Read</t>
        </is>
      </c>
      <c r="I80" t="inlineStr">
        <is>
          <t>Exact title match</t>
        </is>
      </c>
      <c r="J80" t="inlineStr"/>
      <c r="K80" t="inlineStr">
        <is>
          <t>Not sent to re-link</t>
        </is>
      </c>
      <c r="L80" t="inlineStr">
        <is>
          <t>Filled</t>
        </is>
      </c>
      <c r="M80" t="inlineStr">
        <is>
          <t>Filled</t>
        </is>
      </c>
      <c r="N80" t="inlineStr">
        <is>
          <t>48000.00 2026</t>
        </is>
      </c>
      <c r="O80" t="n">
        <v>0</v>
      </c>
      <c r="P80" t="inlineStr">
        <is>
          <t>University adapter</t>
        </is>
      </c>
      <c r="Q80" t="inlineStr">
        <is>
          <t>Filled</t>
        </is>
      </c>
      <c r="R80" t="n">
        <v>6</v>
      </c>
      <c r="S80" t="inlineStr">
        <is>
          <t>Central English policy</t>
        </is>
      </c>
      <c r="T80" t="inlineStr">
        <is>
          <t>Central rule applies (value agrees)</t>
        </is>
      </c>
      <c r="U80" t="inlineStr"/>
      <c r="V80" t="inlineStr">
        <is>
          <t>Filled</t>
        </is>
      </c>
      <c r="W80" t="inlineStr">
        <is>
          <t>February</t>
        </is>
      </c>
      <c r="X80" t="inlineStr">
        <is>
          <t>University adapter</t>
        </is>
      </c>
      <c r="Y80" t="n">
        <v>0</v>
      </c>
      <c r="Z80" t="inlineStr">
        <is>
          <t>Yes</t>
        </is>
      </c>
      <c r="AA80" t="inlineStr">
        <is>
          <t>Filled</t>
        </is>
      </c>
      <c r="AB80" t="inlineStr">
        <is>
          <t>on campus</t>
        </is>
      </c>
      <c r="AC80" t="inlineStr"/>
      <c r="AD80" t="n">
        <v>0</v>
      </c>
      <c r="AE80" t="inlineStr"/>
      <c r="AF80" t="inlineStr"/>
      <c r="AG80" t="inlineStr"/>
      <c r="AH80" t="inlineStr"/>
      <c r="AI80" t="inlineStr"/>
      <c r="AJ80" t="inlineStr"/>
      <c r="AK80" t="inlineStr"/>
      <c r="AL80" t="inlineStr"/>
      <c r="AM80" t="inlineStr"/>
    </row>
    <row r="81">
      <c r="A81" t="inlineStr">
        <is>
          <t>081431F</t>
        </is>
      </c>
      <c r="B81" t="inlineStr">
        <is>
          <t>Bachelor of Design (Honours)/Bachelor of Education (Secondary)</t>
        </is>
      </c>
      <c r="C81" t="inlineStr">
        <is>
          <t>Bachelor Honours Degree</t>
        </is>
      </c>
      <c r="D81" t="inlineStr">
        <is>
          <t>Undergraduate</t>
        </is>
      </c>
      <c r="E81" t="inlineStr">
        <is>
          <t>No-page record (conjoint), awaiting review</t>
        </is>
      </c>
      <c r="F81" t="inlineStr"/>
      <c r="G81" t="inlineStr">
        <is>
          <t>https://legacy.handbook.unsw.edu.au/undergraduate/programs/2014/4808.html</t>
        </is>
      </c>
      <c r="H81" t="inlineStr">
        <is>
          <t>Page is for another course</t>
        </is>
      </c>
      <c r="I81" t="inlineStr"/>
      <c r="J81" t="inlineStr">
        <is>
          <t>Conjoint (proposed)</t>
        </is>
      </c>
      <c r="K81" t="inlineStr">
        <is>
          <t>Finished, no page: no address from the university's address forms or stored lis</t>
        </is>
      </c>
      <c r="L81" t="inlineStr">
        <is>
          <t>Searching for course page</t>
        </is>
      </c>
      <c r="M81" t="inlineStr">
        <is>
          <t>Searching for course page</t>
        </is>
      </c>
      <c r="N81" t="inlineStr"/>
      <c r="O81" t="n">
        <v>0</v>
      </c>
      <c r="P81" t="inlineStr"/>
      <c r="Q81" t="inlineStr">
        <is>
          <t>Filled</t>
        </is>
      </c>
      <c r="R81" t="n">
        <v>6</v>
      </c>
      <c r="S81" t="inlineStr">
        <is>
          <t>Central English policy</t>
        </is>
      </c>
      <c r="T81" t="inlineStr">
        <is>
          <t>Central rule applies (value agrees)</t>
        </is>
      </c>
      <c r="U81" t="inlineStr"/>
      <c r="V81" t="inlineStr">
        <is>
          <t>Searching for course page</t>
        </is>
      </c>
      <c r="W81" t="inlineStr"/>
      <c r="X81" t="inlineStr"/>
      <c r="Y81" t="n">
        <v>0</v>
      </c>
      <c r="Z81" t="inlineStr">
        <is>
          <t>Yes</t>
        </is>
      </c>
      <c r="AA81" t="inlineStr">
        <is>
          <t>Not stated on course page</t>
        </is>
      </c>
      <c r="AB81" t="inlineStr"/>
      <c r="AC81" t="inlineStr">
        <is>
          <t>Skipped: the page does not state it</t>
        </is>
      </c>
      <c r="AD81" t="n">
        <v>0</v>
      </c>
      <c r="AE81" t="inlineStr"/>
      <c r="AF81" t="inlineStr"/>
      <c r="AG81" t="inlineStr"/>
      <c r="AH81" t="inlineStr"/>
      <c r="AI81" t="inlineStr"/>
      <c r="AJ81" t="inlineStr"/>
      <c r="AK81" t="inlineStr"/>
      <c r="AL81" t="inlineStr"/>
      <c r="AM81" t="inlineStr">
        <is>
          <t>Yes</t>
        </is>
      </c>
    </row>
    <row r="82">
      <c r="A82" t="inlineStr">
        <is>
          <t>079005J</t>
        </is>
      </c>
      <c r="B82" t="inlineStr">
        <is>
          <t>Bachelor of Design (Honours)/Bachelor of Media in Public Relations and Advertising</t>
        </is>
      </c>
      <c r="C82" t="inlineStr">
        <is>
          <t>Bachelor Honours Degree</t>
        </is>
      </c>
      <c r="D82" t="inlineStr">
        <is>
          <t>Undergraduate</t>
        </is>
      </c>
      <c r="E82" t="inlineStr">
        <is>
          <t>Page address no longer works</t>
        </is>
      </c>
      <c r="F82" t="inlineStr"/>
      <c r="G82" t="inlineStr">
        <is>
          <t>https://www.handbook.unsw.edu.au/undergraduate/programs/2026/3453</t>
        </is>
      </c>
      <c r="H82" t="inlineStr">
        <is>
          <t>Address no longer works</t>
        </is>
      </c>
      <c r="I82" t="inlineStr"/>
      <c r="J82" t="inlineStr"/>
      <c r="K82" t="inlineStr">
        <is>
          <t>Finished, no page: no address from the university's address forms or stored lis</t>
        </is>
      </c>
      <c r="L82" t="inlineStr">
        <is>
          <t>Page found, being read</t>
        </is>
      </c>
      <c r="M82" t="inlineStr">
        <is>
          <t>Page found, being read</t>
        </is>
      </c>
      <c r="N82" t="inlineStr"/>
      <c r="O82" t="n">
        <v>0</v>
      </c>
      <c r="P82" t="inlineStr"/>
      <c r="Q82" t="inlineStr">
        <is>
          <t>Filled</t>
        </is>
      </c>
      <c r="R82" t="n">
        <v>6</v>
      </c>
      <c r="S82" t="inlineStr">
        <is>
          <t>Central English policy</t>
        </is>
      </c>
      <c r="T82" t="inlineStr">
        <is>
          <t>Central rule applies (value agrees)</t>
        </is>
      </c>
      <c r="U82" t="inlineStr"/>
      <c r="V82" t="inlineStr">
        <is>
          <t>Page found, being read</t>
        </is>
      </c>
      <c r="W82" t="inlineStr"/>
      <c r="X82" t="inlineStr"/>
      <c r="Y82" t="n">
        <v>0</v>
      </c>
      <c r="Z82" t="inlineStr">
        <is>
          <t>Yes</t>
        </is>
      </c>
      <c r="AA82" t="inlineStr">
        <is>
          <t>Not stated on course page</t>
        </is>
      </c>
      <c r="AB82" t="inlineStr"/>
      <c r="AC82" t="inlineStr">
        <is>
          <t>Skipped: the page does not state it</t>
        </is>
      </c>
      <c r="AD82" t="n">
        <v>0</v>
      </c>
      <c r="AE82" t="inlineStr"/>
      <c r="AF82" t="inlineStr"/>
      <c r="AG82" t="inlineStr"/>
      <c r="AH82" t="inlineStr"/>
      <c r="AI82" t="inlineStr"/>
      <c r="AJ82" t="inlineStr"/>
      <c r="AK82" t="inlineStr"/>
      <c r="AL82" t="inlineStr"/>
      <c r="AM82" t="inlineStr"/>
    </row>
    <row r="83">
      <c r="A83" t="inlineStr">
        <is>
          <t>110686E</t>
        </is>
      </c>
      <c r="B83" t="inlineStr">
        <is>
          <t>Bachelor of Design/Bachelor of Education (Secondary)</t>
        </is>
      </c>
      <c r="C83" t="inlineStr">
        <is>
          <t>Bachelor</t>
        </is>
      </c>
      <c r="D83" t="inlineStr">
        <is>
          <t>Undergraduate</t>
        </is>
      </c>
      <c r="E83" t="inlineStr">
        <is>
          <t>Advertised: official page in place</t>
        </is>
      </c>
      <c r="F83" t="inlineStr">
        <is>
          <t>https://www.unsw.edu.au/study/undergraduate/bachelor-of-design-education-secondary1</t>
        </is>
      </c>
      <c r="G83" t="inlineStr">
        <is>
          <t>https://www.unsw.edu.au/study/undergraduate/bachelor-of-design-education-secondary1</t>
        </is>
      </c>
      <c r="H83" t="inlineStr">
        <is>
          <t>Read</t>
        </is>
      </c>
      <c r="I83" t="inlineStr">
        <is>
          <t>CRICOS code on page</t>
        </is>
      </c>
      <c r="J83" t="inlineStr"/>
      <c r="K83" t="inlineStr">
        <is>
          <t>Not sent to re-link</t>
        </is>
      </c>
      <c r="L83" t="inlineStr">
        <is>
          <t>Filled</t>
        </is>
      </c>
      <c r="M83" t="inlineStr">
        <is>
          <t>Filled</t>
        </is>
      </c>
      <c r="N83" t="inlineStr">
        <is>
          <t>48500.00 2026</t>
        </is>
      </c>
      <c r="O83" t="n">
        <v>0</v>
      </c>
      <c r="P83" t="inlineStr">
        <is>
          <t>University adapter</t>
        </is>
      </c>
      <c r="Q83" t="inlineStr">
        <is>
          <t>Filled</t>
        </is>
      </c>
      <c r="R83" t="n">
        <v>6</v>
      </c>
      <c r="S83" t="inlineStr">
        <is>
          <t>Central English policy</t>
        </is>
      </c>
      <c r="T83" t="inlineStr">
        <is>
          <t>Central rule applies (value agrees)</t>
        </is>
      </c>
      <c r="U83" t="inlineStr"/>
      <c r="V83" t="inlineStr">
        <is>
          <t>Filled</t>
        </is>
      </c>
      <c r="W83" t="inlineStr">
        <is>
          <t>February, September</t>
        </is>
      </c>
      <c r="X83" t="inlineStr">
        <is>
          <t>University adapter</t>
        </is>
      </c>
      <c r="Y83" t="n">
        <v>0</v>
      </c>
      <c r="Z83" t="inlineStr">
        <is>
          <t>Yes</t>
        </is>
      </c>
      <c r="AA83" t="inlineStr">
        <is>
          <t>Filled</t>
        </is>
      </c>
      <c r="AB83" t="inlineStr">
        <is>
          <t>on campus</t>
        </is>
      </c>
      <c r="AC83" t="inlineStr"/>
      <c r="AD83" t="n">
        <v>0</v>
      </c>
      <c r="AE83" t="inlineStr"/>
      <c r="AF83" t="inlineStr"/>
      <c r="AG83" t="inlineStr"/>
      <c r="AH83" t="inlineStr"/>
      <c r="AI83" t="inlineStr"/>
      <c r="AJ83" t="inlineStr"/>
      <c r="AK83" t="inlineStr"/>
      <c r="AL83" t="inlineStr"/>
      <c r="AM83" t="inlineStr"/>
    </row>
    <row r="84">
      <c r="A84" t="inlineStr">
        <is>
          <t>110676G</t>
        </is>
      </c>
      <c r="B84" t="inlineStr">
        <is>
          <t>Bachelor of Design/Bachelor of Media</t>
        </is>
      </c>
      <c r="C84" t="inlineStr">
        <is>
          <t>Bachelor</t>
        </is>
      </c>
      <c r="D84" t="inlineStr">
        <is>
          <t>Undergraduate</t>
        </is>
      </c>
      <c r="E84" t="inlineStr">
        <is>
          <t>Advertised: official page in place</t>
        </is>
      </c>
      <c r="F84" t="inlineStr">
        <is>
          <t>https://www.unsw.edu.au/study/undergraduate/bachelor-of-design-media</t>
        </is>
      </c>
      <c r="G84" t="inlineStr">
        <is>
          <t>https://www.unsw.edu.au/study/undergraduate/bachelor-of-design-media</t>
        </is>
      </c>
      <c r="H84" t="inlineStr">
        <is>
          <t>Read</t>
        </is>
      </c>
      <c r="I84" t="inlineStr">
        <is>
          <t>CRICOS code on page</t>
        </is>
      </c>
      <c r="J84" t="inlineStr"/>
      <c r="K84" t="inlineStr">
        <is>
          <t>Not sent to re-link</t>
        </is>
      </c>
      <c r="L84" t="inlineStr">
        <is>
          <t>Filled</t>
        </is>
      </c>
      <c r="M84" t="inlineStr">
        <is>
          <t>Filled</t>
        </is>
      </c>
      <c r="N84" t="inlineStr">
        <is>
          <t>47500.00 2026</t>
        </is>
      </c>
      <c r="O84" t="n">
        <v>0</v>
      </c>
      <c r="P84" t="inlineStr">
        <is>
          <t>University adapter</t>
        </is>
      </c>
      <c r="Q84" t="inlineStr">
        <is>
          <t>Filled</t>
        </is>
      </c>
      <c r="R84" t="n">
        <v>6</v>
      </c>
      <c r="S84" t="inlineStr">
        <is>
          <t>Central English policy</t>
        </is>
      </c>
      <c r="T84" t="inlineStr">
        <is>
          <t>Central rule applies (value agrees)</t>
        </is>
      </c>
      <c r="U84" t="inlineStr"/>
      <c r="V84" t="inlineStr">
        <is>
          <t>Filled</t>
        </is>
      </c>
      <c r="W84" t="inlineStr">
        <is>
          <t>February, May, September</t>
        </is>
      </c>
      <c r="X84" t="inlineStr">
        <is>
          <t>University adapter</t>
        </is>
      </c>
      <c r="Y84" t="n">
        <v>0</v>
      </c>
      <c r="Z84" t="inlineStr">
        <is>
          <t>Yes</t>
        </is>
      </c>
      <c r="AA84" t="inlineStr">
        <is>
          <t>Filled</t>
        </is>
      </c>
      <c r="AB84" t="inlineStr">
        <is>
          <t>on campus</t>
        </is>
      </c>
      <c r="AC84" t="inlineStr"/>
      <c r="AD84" t="n">
        <v>0</v>
      </c>
      <c r="AE84" t="inlineStr"/>
      <c r="AF84" t="inlineStr"/>
      <c r="AG84" t="inlineStr"/>
      <c r="AH84" t="inlineStr"/>
      <c r="AI84" t="inlineStr"/>
      <c r="AJ84" t="inlineStr"/>
      <c r="AK84" t="inlineStr"/>
      <c r="AL84" t="inlineStr"/>
      <c r="AM84" t="inlineStr"/>
    </row>
    <row r="85">
      <c r="A85" t="inlineStr">
        <is>
          <t>098279C</t>
        </is>
      </c>
      <c r="B85" t="inlineStr">
        <is>
          <t>Bachelor of Design/Education (Secondary)</t>
        </is>
      </c>
      <c r="C85" t="inlineStr">
        <is>
          <t>Bachelor</t>
        </is>
      </c>
      <c r="D85" t="inlineStr">
        <is>
          <t>Undergraduate</t>
        </is>
      </c>
      <c r="E85" t="inlineStr">
        <is>
          <t>Advertised: official page in place</t>
        </is>
      </c>
      <c r="F85" t="inlineStr">
        <is>
          <t>https://www.unsw.edu.au/study/undergraduate/bachelor-of-design-education-secondary1</t>
        </is>
      </c>
      <c r="G85" t="inlineStr">
        <is>
          <t>https://www.unsw.edu.au/study/undergraduate/bachelor-of-design-education-secondary1</t>
        </is>
      </c>
      <c r="H85" t="inlineStr">
        <is>
          <t>Read</t>
        </is>
      </c>
      <c r="I85" t="inlineStr">
        <is>
          <t>Exact title match</t>
        </is>
      </c>
      <c r="J85" t="inlineStr"/>
      <c r="K85" t="inlineStr">
        <is>
          <t>Not sent to re-link</t>
        </is>
      </c>
      <c r="L85" t="inlineStr">
        <is>
          <t>Filled</t>
        </is>
      </c>
      <c r="M85" t="inlineStr">
        <is>
          <t>Filled</t>
        </is>
      </c>
      <c r="N85" t="inlineStr">
        <is>
          <t>48500.00 2026</t>
        </is>
      </c>
      <c r="O85" t="n">
        <v>0</v>
      </c>
      <c r="P85" t="inlineStr">
        <is>
          <t>University adapter</t>
        </is>
      </c>
      <c r="Q85" t="inlineStr">
        <is>
          <t>Not stated on course page</t>
        </is>
      </c>
      <c r="S85" t="inlineStr"/>
      <c r="T85" t="inlineStr">
        <is>
          <t>Held: double degree (its parts are at different levels)</t>
        </is>
      </c>
      <c r="U85" t="inlineStr"/>
      <c r="V85" t="inlineStr">
        <is>
          <t>Filled</t>
        </is>
      </c>
      <c r="W85" t="inlineStr">
        <is>
          <t>February, September</t>
        </is>
      </c>
      <c r="X85" t="inlineStr">
        <is>
          <t>University adapter</t>
        </is>
      </c>
      <c r="Y85" t="n">
        <v>0</v>
      </c>
      <c r="Z85" t="inlineStr">
        <is>
          <t>Yes</t>
        </is>
      </c>
      <c r="AA85" t="inlineStr">
        <is>
          <t>Filled</t>
        </is>
      </c>
      <c r="AB85" t="inlineStr">
        <is>
          <t>on campus</t>
        </is>
      </c>
      <c r="AC85" t="inlineStr"/>
      <c r="AD85" t="n">
        <v>0</v>
      </c>
      <c r="AE85" t="inlineStr"/>
      <c r="AF85" t="inlineStr"/>
      <c r="AG85" t="inlineStr"/>
      <c r="AH85" t="inlineStr"/>
      <c r="AI85" t="inlineStr"/>
      <c r="AJ85" t="inlineStr">
        <is>
          <t>Yes</t>
        </is>
      </c>
      <c r="AK85" t="inlineStr"/>
      <c r="AL85" t="inlineStr"/>
      <c r="AM85" t="inlineStr"/>
    </row>
    <row r="86">
      <c r="A86" t="inlineStr">
        <is>
          <t>098050B</t>
        </is>
      </c>
      <c r="B86" t="inlineStr">
        <is>
          <t>Bachelor of Design/Media (PR and Advertising)</t>
        </is>
      </c>
      <c r="C86" t="inlineStr">
        <is>
          <t>Bachelor</t>
        </is>
      </c>
      <c r="D86" t="inlineStr">
        <is>
          <t>Undergraduate</t>
        </is>
      </c>
      <c r="E86" t="inlineStr">
        <is>
          <t>Held: page found is for another course</t>
        </is>
      </c>
      <c r="F86" t="inlineStr"/>
      <c r="G86" t="inlineStr">
        <is>
          <t>https://www.handbook.unsw.edu.au/undergraduate/programs/2026/3342</t>
        </is>
      </c>
      <c r="H86" t="inlineStr">
        <is>
          <t>Page is for another course</t>
        </is>
      </c>
      <c r="I86" t="inlineStr"/>
      <c r="J86" t="inlineStr"/>
      <c r="K86" t="inlineStr">
        <is>
          <t>Finished, no page: no address from the university's address forms or stored lis</t>
        </is>
      </c>
      <c r="L86" t="inlineStr">
        <is>
          <t>Searching for course page</t>
        </is>
      </c>
      <c r="M86" t="inlineStr">
        <is>
          <t>Searching for course page</t>
        </is>
      </c>
      <c r="N86" t="inlineStr"/>
      <c r="O86" t="n">
        <v>0</v>
      </c>
      <c r="P86" t="inlineStr"/>
      <c r="Q86" t="inlineStr">
        <is>
          <t>Searching for course page</t>
        </is>
      </c>
      <c r="S86" t="inlineStr"/>
      <c r="T86" t="inlineStr">
        <is>
          <t>Held: double degree (its parts are at different levels)</t>
        </is>
      </c>
      <c r="U86" t="inlineStr"/>
      <c r="V86" t="inlineStr">
        <is>
          <t>Searching for course page</t>
        </is>
      </c>
      <c r="W86" t="inlineStr"/>
      <c r="X86" t="inlineStr"/>
      <c r="Y86" t="n">
        <v>0</v>
      </c>
      <c r="Z86" t="inlineStr">
        <is>
          <t>Yes</t>
        </is>
      </c>
      <c r="AA86" t="inlineStr">
        <is>
          <t>Not stated on course page</t>
        </is>
      </c>
      <c r="AB86" t="inlineStr"/>
      <c r="AC86" t="inlineStr">
        <is>
          <t>Skipped: no correct course page: the page found is for another course</t>
        </is>
      </c>
      <c r="AD86" t="n">
        <v>0</v>
      </c>
      <c r="AE86" t="inlineStr"/>
      <c r="AF86" t="inlineStr"/>
      <c r="AG86" t="inlineStr"/>
      <c r="AH86" t="inlineStr"/>
      <c r="AI86" t="inlineStr"/>
      <c r="AJ86" t="inlineStr">
        <is>
          <t>Yes</t>
        </is>
      </c>
      <c r="AK86" t="inlineStr"/>
      <c r="AL86" t="inlineStr"/>
      <c r="AM86" t="inlineStr"/>
    </row>
    <row r="87">
      <c r="A87" t="inlineStr">
        <is>
          <t>085136C</t>
        </is>
      </c>
      <c r="B87" t="inlineStr">
        <is>
          <t>Bachelor of Economic (Honours)</t>
        </is>
      </c>
      <c r="C87" t="inlineStr">
        <is>
          <t>Bachelor Honours Degree</t>
        </is>
      </c>
      <c r="D87" t="inlineStr">
        <is>
          <t>Undergraduate</t>
        </is>
      </c>
      <c r="E87" t="inlineStr">
        <is>
          <t>Advertised: official page in place</t>
        </is>
      </c>
      <c r="F87" t="inlineStr">
        <is>
          <t>https://www.unsw.edu.au/study/undergraduate/bachelor-of-economics-honours</t>
        </is>
      </c>
      <c r="G87" t="inlineStr">
        <is>
          <t>https://www.unsw.edu.au/study/undergraduate/bachelor-of-economics-honours</t>
        </is>
      </c>
      <c r="H87" t="inlineStr">
        <is>
          <t>Read</t>
        </is>
      </c>
      <c r="I87" t="inlineStr">
        <is>
          <t>CRICOS code on page</t>
        </is>
      </c>
      <c r="J87" t="inlineStr"/>
      <c r="K87" t="inlineStr">
        <is>
          <t>Not sent to re-link</t>
        </is>
      </c>
      <c r="L87" t="inlineStr">
        <is>
          <t>Filled</t>
        </is>
      </c>
      <c r="M87" t="inlineStr">
        <is>
          <t>Filled</t>
        </is>
      </c>
      <c r="N87" t="inlineStr">
        <is>
          <t>57000.00 2026</t>
        </is>
      </c>
      <c r="O87" t="n">
        <v>0</v>
      </c>
      <c r="P87" t="inlineStr">
        <is>
          <t>University adapter</t>
        </is>
      </c>
      <c r="Q87" t="inlineStr">
        <is>
          <t>Filled</t>
        </is>
      </c>
      <c r="R87" t="n">
        <v>6</v>
      </c>
      <c r="S87" t="inlineStr">
        <is>
          <t>Central English policy</t>
        </is>
      </c>
      <c r="T87" t="inlineStr">
        <is>
          <t>Central rule applies (value agrees)</t>
        </is>
      </c>
      <c r="U87" t="inlineStr"/>
      <c r="V87" t="inlineStr">
        <is>
          <t>Filled</t>
        </is>
      </c>
      <c r="W87" t="inlineStr">
        <is>
          <t>February, May, September</t>
        </is>
      </c>
      <c r="X87" t="inlineStr">
        <is>
          <t>University adapter</t>
        </is>
      </c>
      <c r="Y87" t="n">
        <v>0</v>
      </c>
      <c r="Z87" t="inlineStr">
        <is>
          <t>Yes</t>
        </is>
      </c>
      <c r="AA87" t="inlineStr">
        <is>
          <t>Filled</t>
        </is>
      </c>
      <c r="AB87" t="inlineStr">
        <is>
          <t>on campus</t>
        </is>
      </c>
      <c r="AC87" t="inlineStr"/>
      <c r="AD87" t="n">
        <v>0</v>
      </c>
      <c r="AE87" t="inlineStr"/>
      <c r="AF87" t="inlineStr"/>
      <c r="AG87" t="inlineStr"/>
      <c r="AH87" t="inlineStr"/>
      <c r="AI87" t="inlineStr"/>
      <c r="AJ87" t="inlineStr"/>
      <c r="AK87" t="inlineStr"/>
      <c r="AL87" t="inlineStr"/>
      <c r="AM87" t="inlineStr"/>
    </row>
    <row r="88">
      <c r="A88" t="inlineStr">
        <is>
          <t>001920G</t>
        </is>
      </c>
      <c r="B88" t="inlineStr">
        <is>
          <t>Bachelor of Economics (All Majors)</t>
        </is>
      </c>
      <c r="C88" t="inlineStr">
        <is>
          <t>Bachelor</t>
        </is>
      </c>
      <c r="D88" t="inlineStr">
        <is>
          <t>Undergraduate</t>
        </is>
      </c>
      <c r="E88" t="inlineStr">
        <is>
          <t>Advertised: official page in place</t>
        </is>
      </c>
      <c r="F88" t="inlineStr">
        <is>
          <t>https://www.unsw.edu.au/study/undergraduate/bachelor-of-economics</t>
        </is>
      </c>
      <c r="G88" t="inlineStr">
        <is>
          <t>https://www.unsw.edu.au/study/undergraduate/bachelor-of-economics</t>
        </is>
      </c>
      <c r="H88" t="inlineStr">
        <is>
          <t>Read</t>
        </is>
      </c>
      <c r="I88" t="inlineStr">
        <is>
          <t>CRICOS code on page</t>
        </is>
      </c>
      <c r="J88" t="inlineStr"/>
      <c r="K88" t="inlineStr">
        <is>
          <t>Not sent to re-link</t>
        </is>
      </c>
      <c r="L88" t="inlineStr">
        <is>
          <t>Filled</t>
        </is>
      </c>
      <c r="M88" t="inlineStr">
        <is>
          <t>Filled</t>
        </is>
      </c>
      <c r="N88" t="inlineStr">
        <is>
          <t>56500.00 2026</t>
        </is>
      </c>
      <c r="O88" t="n">
        <v>0</v>
      </c>
      <c r="P88" t="inlineStr">
        <is>
          <t>University adapter</t>
        </is>
      </c>
      <c r="Q88" t="inlineStr">
        <is>
          <t>Filled</t>
        </is>
      </c>
      <c r="R88" t="n">
        <v>6</v>
      </c>
      <c r="S88" t="inlineStr">
        <is>
          <t>Central English policy</t>
        </is>
      </c>
      <c r="T88" t="inlineStr">
        <is>
          <t>Central rule applies (value agrees)</t>
        </is>
      </c>
      <c r="U88" t="inlineStr"/>
      <c r="V88" t="inlineStr">
        <is>
          <t>Filled</t>
        </is>
      </c>
      <c r="W88" t="inlineStr">
        <is>
          <t>February, May, September</t>
        </is>
      </c>
      <c r="X88" t="inlineStr">
        <is>
          <t>University adapter</t>
        </is>
      </c>
      <c r="Y88" t="n">
        <v>0</v>
      </c>
      <c r="Z88" t="inlineStr">
        <is>
          <t>Yes</t>
        </is>
      </c>
      <c r="AA88" t="inlineStr">
        <is>
          <t>Filled</t>
        </is>
      </c>
      <c r="AB88" t="inlineStr">
        <is>
          <t>on campus</t>
        </is>
      </c>
      <c r="AC88" t="inlineStr"/>
      <c r="AD88" t="n">
        <v>0</v>
      </c>
      <c r="AE88" t="inlineStr"/>
      <c r="AF88" t="inlineStr"/>
      <c r="AG88" t="inlineStr"/>
      <c r="AH88" t="inlineStr"/>
      <c r="AI88" t="inlineStr"/>
      <c r="AJ88" t="inlineStr"/>
      <c r="AK88" t="inlineStr"/>
      <c r="AL88" t="inlineStr"/>
      <c r="AM88" t="inlineStr"/>
    </row>
    <row r="89">
      <c r="A89" t="inlineStr">
        <is>
          <t>077430G</t>
        </is>
      </c>
      <c r="B89" t="inlineStr">
        <is>
          <t>Bachelor of Economics / Bachelor of Science</t>
        </is>
      </c>
      <c r="C89" t="inlineStr">
        <is>
          <t>Bachelor</t>
        </is>
      </c>
      <c r="D89" t="inlineStr">
        <is>
          <t>Undergraduate</t>
        </is>
      </c>
      <c r="E89" t="inlineStr">
        <is>
          <t>Advertised: official page in place</t>
        </is>
      </c>
      <c r="F89" t="inlineStr">
        <is>
          <t>https://www.unsw.edu.au/study/undergraduate/bachelor-of-economics-science</t>
        </is>
      </c>
      <c r="G89" t="inlineStr">
        <is>
          <t>https://www.unsw.edu.au/study/undergraduate/bachelor-of-economics-science</t>
        </is>
      </c>
      <c r="H89" t="inlineStr">
        <is>
          <t>Read</t>
        </is>
      </c>
      <c r="I89" t="inlineStr">
        <is>
          <t>CRICOS code on page</t>
        </is>
      </c>
      <c r="J89" t="inlineStr"/>
      <c r="K89" t="inlineStr">
        <is>
          <t>Not sent to re-link</t>
        </is>
      </c>
      <c r="L89" t="inlineStr">
        <is>
          <t>Filled</t>
        </is>
      </c>
      <c r="M89" t="inlineStr">
        <is>
          <t>Filled</t>
        </is>
      </c>
      <c r="N89" t="inlineStr">
        <is>
          <t>58500.00 2026</t>
        </is>
      </c>
      <c r="O89" t="n">
        <v>0</v>
      </c>
      <c r="P89" t="inlineStr">
        <is>
          <t>University adapter</t>
        </is>
      </c>
      <c r="Q89" t="inlineStr">
        <is>
          <t>Filled</t>
        </is>
      </c>
      <c r="R89" t="n">
        <v>6</v>
      </c>
      <c r="S89" t="inlineStr">
        <is>
          <t>Central English policy</t>
        </is>
      </c>
      <c r="T89" t="inlineStr">
        <is>
          <t>Central rule applies (value agrees)</t>
        </is>
      </c>
      <c r="U89" t="inlineStr"/>
      <c r="V89" t="inlineStr">
        <is>
          <t>Filled</t>
        </is>
      </c>
      <c r="W89" t="inlineStr">
        <is>
          <t>February, May, September</t>
        </is>
      </c>
      <c r="X89" t="inlineStr">
        <is>
          <t>University adapter</t>
        </is>
      </c>
      <c r="Y89" t="n">
        <v>0</v>
      </c>
      <c r="Z89" t="inlineStr">
        <is>
          <t>Yes</t>
        </is>
      </c>
      <c r="AA89" t="inlineStr">
        <is>
          <t>Filled</t>
        </is>
      </c>
      <c r="AB89" t="inlineStr">
        <is>
          <t>on campus</t>
        </is>
      </c>
      <c r="AC89" t="inlineStr"/>
      <c r="AD89" t="n">
        <v>0</v>
      </c>
      <c r="AE89" t="inlineStr"/>
      <c r="AF89" t="inlineStr"/>
      <c r="AG89" t="inlineStr"/>
      <c r="AH89" t="inlineStr"/>
      <c r="AI89" t="inlineStr"/>
      <c r="AJ89" t="inlineStr"/>
      <c r="AK89" t="inlineStr"/>
      <c r="AL89" t="inlineStr"/>
      <c r="AM89" t="inlineStr"/>
    </row>
    <row r="90">
      <c r="A90" t="inlineStr">
        <is>
          <t>0101073</t>
        </is>
      </c>
      <c r="B90" t="inlineStr">
        <is>
          <t>Bachelor of Economics / Bachelor of Science (Computer Science)</t>
        </is>
      </c>
      <c r="C90" t="inlineStr">
        <is>
          <t>Bachelor</t>
        </is>
      </c>
      <c r="D90" t="inlineStr">
        <is>
          <t>Undergraduate</t>
        </is>
      </c>
      <c r="E90" t="inlineStr">
        <is>
          <t>Advertised: official page in place</t>
        </is>
      </c>
      <c r="F90" t="inlineStr">
        <is>
          <t>https://www.unsw.edu.au/study/undergraduate/bachelor-of-economics-computer-science</t>
        </is>
      </c>
      <c r="G90" t="inlineStr">
        <is>
          <t>https://www.unsw.edu.au/study/undergraduate/bachelor-of-economics-computer-science</t>
        </is>
      </c>
      <c r="H90" t="inlineStr">
        <is>
          <t>Read</t>
        </is>
      </c>
      <c r="I90" t="inlineStr">
        <is>
          <t>CRICOS code on page</t>
        </is>
      </c>
      <c r="J90" t="inlineStr"/>
      <c r="K90" t="inlineStr">
        <is>
          <t>Not sent to re-link</t>
        </is>
      </c>
      <c r="L90" t="inlineStr">
        <is>
          <t>Filled</t>
        </is>
      </c>
      <c r="M90" t="inlineStr">
        <is>
          <t>Filled</t>
        </is>
      </c>
      <c r="N90" t="inlineStr">
        <is>
          <t>59000.00 2026</t>
        </is>
      </c>
      <c r="O90" t="n">
        <v>0</v>
      </c>
      <c r="P90" t="inlineStr">
        <is>
          <t>University adapter</t>
        </is>
      </c>
      <c r="Q90" t="inlineStr">
        <is>
          <t>Filled</t>
        </is>
      </c>
      <c r="R90" t="n">
        <v>6</v>
      </c>
      <c r="S90" t="inlineStr">
        <is>
          <t>Central English policy</t>
        </is>
      </c>
      <c r="T90" t="inlineStr">
        <is>
          <t>Central rule applies (value agrees)</t>
        </is>
      </c>
      <c r="U90" t="inlineStr"/>
      <c r="V90" t="inlineStr">
        <is>
          <t>Filled</t>
        </is>
      </c>
      <c r="W90" t="inlineStr">
        <is>
          <t>February, May, September</t>
        </is>
      </c>
      <c r="X90" t="inlineStr">
        <is>
          <t>University adapter</t>
        </is>
      </c>
      <c r="Y90" t="n">
        <v>0</v>
      </c>
      <c r="Z90" t="inlineStr">
        <is>
          <t>Yes</t>
        </is>
      </c>
      <c r="AA90" t="inlineStr">
        <is>
          <t>Filled</t>
        </is>
      </c>
      <c r="AB90" t="inlineStr">
        <is>
          <t>on campus</t>
        </is>
      </c>
      <c r="AC90" t="inlineStr"/>
      <c r="AD90" t="n">
        <v>0</v>
      </c>
      <c r="AE90" t="inlineStr"/>
      <c r="AF90" t="inlineStr"/>
      <c r="AG90" t="inlineStr"/>
      <c r="AH90" t="inlineStr"/>
      <c r="AI90" t="inlineStr"/>
      <c r="AJ90" t="inlineStr"/>
      <c r="AK90" t="inlineStr"/>
      <c r="AL90" t="inlineStr"/>
      <c r="AM90" t="inlineStr"/>
    </row>
    <row r="91">
      <c r="A91" t="inlineStr">
        <is>
          <t>088859K</t>
        </is>
      </c>
      <c r="B91" t="inlineStr">
        <is>
          <t>Bachelor of Economics /Bachelor of Advanced Science (Honours)</t>
        </is>
      </c>
      <c r="C91" t="inlineStr">
        <is>
          <t>Bachelor Honours Degree</t>
        </is>
      </c>
      <c r="D91" t="inlineStr">
        <is>
          <t>Undergraduate</t>
        </is>
      </c>
      <c r="E91" t="inlineStr">
        <is>
          <t>Advertised: official page in place</t>
        </is>
      </c>
      <c r="F91" t="inlineStr">
        <is>
          <t>https://www.unsw.edu.au/study/undergraduate/bachelor-of-economics-advanced-science-honours</t>
        </is>
      </c>
      <c r="G91" t="inlineStr">
        <is>
          <t>https://www.unsw.edu.au/study/undergraduate/bachelor-of-economics-advanced-science-honours</t>
        </is>
      </c>
      <c r="H91" t="inlineStr">
        <is>
          <t>Read</t>
        </is>
      </c>
      <c r="I91" t="inlineStr">
        <is>
          <t>CRICOS code on page</t>
        </is>
      </c>
      <c r="J91" t="inlineStr"/>
      <c r="K91" t="inlineStr">
        <is>
          <t>Not sent to re-link</t>
        </is>
      </c>
      <c r="L91" t="inlineStr">
        <is>
          <t>Filled</t>
        </is>
      </c>
      <c r="M91" t="inlineStr">
        <is>
          <t>Filled</t>
        </is>
      </c>
      <c r="N91" t="inlineStr">
        <is>
          <t>56500.00 2026</t>
        </is>
      </c>
      <c r="O91" t="n">
        <v>0</v>
      </c>
      <c r="P91" t="inlineStr">
        <is>
          <t>University adapter</t>
        </is>
      </c>
      <c r="Q91" t="inlineStr">
        <is>
          <t>Filled</t>
        </is>
      </c>
      <c r="R91" t="n">
        <v>6</v>
      </c>
      <c r="S91" t="inlineStr">
        <is>
          <t>Central English policy</t>
        </is>
      </c>
      <c r="T91" t="inlineStr">
        <is>
          <t>Central rule applies (value agrees)</t>
        </is>
      </c>
      <c r="U91" t="inlineStr"/>
      <c r="V91" t="inlineStr">
        <is>
          <t>Filled</t>
        </is>
      </c>
      <c r="W91" t="inlineStr">
        <is>
          <t>February, May, September</t>
        </is>
      </c>
      <c r="X91" t="inlineStr">
        <is>
          <t>University adapter</t>
        </is>
      </c>
      <c r="Y91" t="n">
        <v>0</v>
      </c>
      <c r="Z91" t="inlineStr">
        <is>
          <t>Yes</t>
        </is>
      </c>
      <c r="AA91" t="inlineStr">
        <is>
          <t>Filled</t>
        </is>
      </c>
      <c r="AB91" t="inlineStr">
        <is>
          <t>on campus</t>
        </is>
      </c>
      <c r="AC91" t="inlineStr"/>
      <c r="AD91" t="n">
        <v>0</v>
      </c>
      <c r="AE91" t="inlineStr"/>
      <c r="AF91" t="inlineStr"/>
      <c r="AG91" t="inlineStr"/>
      <c r="AH91" t="inlineStr"/>
      <c r="AI91" t="inlineStr"/>
      <c r="AJ91" t="inlineStr"/>
      <c r="AK91" t="inlineStr"/>
      <c r="AL91" t="inlineStr"/>
      <c r="AM91" t="inlineStr"/>
    </row>
    <row r="92">
      <c r="A92" t="inlineStr">
        <is>
          <t>088860F</t>
        </is>
      </c>
      <c r="B92" t="inlineStr">
        <is>
          <t>Bachelor of Economics /Bachelor of Science (Advanced Mathematics) (Honours)</t>
        </is>
      </c>
      <c r="C92" t="inlineStr">
        <is>
          <t>Bachelor Honours Degree</t>
        </is>
      </c>
      <c r="D92" t="inlineStr">
        <is>
          <t>Undergraduate</t>
        </is>
      </c>
      <c r="E92" t="inlineStr">
        <is>
          <t>Advertised: official page in place</t>
        </is>
      </c>
      <c r="F92" t="inlineStr">
        <is>
          <t>https://www.unsw.edu.au/study/undergraduate/bachelor-of-economics-science-advanced-mathematics-honours</t>
        </is>
      </c>
      <c r="G92" t="inlineStr">
        <is>
          <t>https://www.unsw.edu.au/study/undergraduate/bachelor-of-economics-science-advanced-mathematics-honours</t>
        </is>
      </c>
      <c r="H92" t="inlineStr">
        <is>
          <t>Read</t>
        </is>
      </c>
      <c r="I92" t="inlineStr">
        <is>
          <t>CRICOS code on page</t>
        </is>
      </c>
      <c r="J92" t="inlineStr"/>
      <c r="K92" t="inlineStr">
        <is>
          <t>Not sent to re-link</t>
        </is>
      </c>
      <c r="L92" t="inlineStr">
        <is>
          <t>Filled</t>
        </is>
      </c>
      <c r="M92" t="inlineStr">
        <is>
          <t>Filled</t>
        </is>
      </c>
      <c r="N92" t="inlineStr">
        <is>
          <t>59000.00 2026</t>
        </is>
      </c>
      <c r="O92" t="n">
        <v>0</v>
      </c>
      <c r="P92" t="inlineStr">
        <is>
          <t>University adapter</t>
        </is>
      </c>
      <c r="Q92" t="inlineStr">
        <is>
          <t>Filled</t>
        </is>
      </c>
      <c r="R92" t="n">
        <v>6</v>
      </c>
      <c r="S92" t="inlineStr">
        <is>
          <t>Central English policy</t>
        </is>
      </c>
      <c r="T92" t="inlineStr">
        <is>
          <t>Central rule applies (value agrees)</t>
        </is>
      </c>
      <c r="U92" t="inlineStr"/>
      <c r="V92" t="inlineStr">
        <is>
          <t>Filled</t>
        </is>
      </c>
      <c r="W92" t="inlineStr">
        <is>
          <t>February, May, September</t>
        </is>
      </c>
      <c r="X92" t="inlineStr">
        <is>
          <t>University adapter</t>
        </is>
      </c>
      <c r="Y92" t="n">
        <v>0</v>
      </c>
      <c r="Z92" t="inlineStr">
        <is>
          <t>Yes</t>
        </is>
      </c>
      <c r="AA92" t="inlineStr">
        <is>
          <t>Filled</t>
        </is>
      </c>
      <c r="AB92" t="inlineStr">
        <is>
          <t>on campus</t>
        </is>
      </c>
      <c r="AC92" t="inlineStr"/>
      <c r="AD92" t="n">
        <v>0</v>
      </c>
      <c r="AE92" t="inlineStr"/>
      <c r="AF92" t="inlineStr"/>
      <c r="AG92" t="inlineStr"/>
      <c r="AH92" t="inlineStr"/>
      <c r="AI92" t="inlineStr"/>
      <c r="AJ92" t="inlineStr"/>
      <c r="AK92" t="inlineStr"/>
      <c r="AL92" t="inlineStr"/>
      <c r="AM92" t="inlineStr"/>
    </row>
    <row r="93">
      <c r="A93" t="inlineStr">
        <is>
          <t>075094B</t>
        </is>
      </c>
      <c r="B93" t="inlineStr">
        <is>
          <t>Bachelor of Economics/ Bachelor of Education (Secondary)</t>
        </is>
      </c>
      <c r="C93" t="inlineStr">
        <is>
          <t>Bachelor</t>
        </is>
      </c>
      <c r="D93" t="inlineStr">
        <is>
          <t>Undergraduate</t>
        </is>
      </c>
      <c r="E93" t="inlineStr">
        <is>
          <t>Advertised: official page in place</t>
        </is>
      </c>
      <c r="F93" t="inlineStr">
        <is>
          <t>https://www.unsw.edu.au/study/undergraduate/bachelor-of-economics-education-secondary</t>
        </is>
      </c>
      <c r="G93" t="inlineStr">
        <is>
          <t>https://www.unsw.edu.au/study/undergraduate/bachelor-of-economics-education-secondary</t>
        </is>
      </c>
      <c r="H93" t="inlineStr">
        <is>
          <t>Read</t>
        </is>
      </c>
      <c r="I93" t="inlineStr">
        <is>
          <t>CRICOS code on page</t>
        </is>
      </c>
      <c r="J93" t="inlineStr"/>
      <c r="K93" t="inlineStr">
        <is>
          <t>Not sent to re-link</t>
        </is>
      </c>
      <c r="L93" t="inlineStr">
        <is>
          <t>Filled</t>
        </is>
      </c>
      <c r="M93" t="inlineStr">
        <is>
          <t>Filled</t>
        </is>
      </c>
      <c r="N93" t="inlineStr">
        <is>
          <t>54000.00 2026</t>
        </is>
      </c>
      <c r="O93" t="n">
        <v>0</v>
      </c>
      <c r="P93" t="inlineStr">
        <is>
          <t>University adapter</t>
        </is>
      </c>
      <c r="Q93" t="inlineStr">
        <is>
          <t>Filled</t>
        </is>
      </c>
      <c r="R93" t="n">
        <v>6</v>
      </c>
      <c r="S93" t="inlineStr">
        <is>
          <t>Central English policy</t>
        </is>
      </c>
      <c r="T93" t="inlineStr">
        <is>
          <t>Central rule applies (value agrees)</t>
        </is>
      </c>
      <c r="U93" t="inlineStr"/>
      <c r="V93" t="inlineStr">
        <is>
          <t>Filled</t>
        </is>
      </c>
      <c r="W93" t="inlineStr">
        <is>
          <t>February, September</t>
        </is>
      </c>
      <c r="X93" t="inlineStr">
        <is>
          <t>University adapter</t>
        </is>
      </c>
      <c r="Y93" t="n">
        <v>0</v>
      </c>
      <c r="Z93" t="inlineStr">
        <is>
          <t>Yes</t>
        </is>
      </c>
      <c r="AA93" t="inlineStr">
        <is>
          <t>Filled</t>
        </is>
      </c>
      <c r="AB93" t="inlineStr">
        <is>
          <t>on campus</t>
        </is>
      </c>
      <c r="AC93" t="inlineStr"/>
      <c r="AD93" t="n">
        <v>0</v>
      </c>
      <c r="AE93" t="inlineStr"/>
      <c r="AF93" t="inlineStr"/>
      <c r="AG93" t="inlineStr"/>
      <c r="AH93" t="inlineStr"/>
      <c r="AI93" t="inlineStr"/>
      <c r="AJ93" t="inlineStr"/>
      <c r="AK93" t="inlineStr"/>
      <c r="AL93" t="inlineStr"/>
      <c r="AM93" t="inlineStr"/>
    </row>
    <row r="94">
      <c r="A94" t="inlineStr">
        <is>
          <t>074886M</t>
        </is>
      </c>
      <c r="B94" t="inlineStr">
        <is>
          <t>Bachelor of Economics/Bachelor of Arts</t>
        </is>
      </c>
      <c r="C94" t="inlineStr">
        <is>
          <t>Bachelor</t>
        </is>
      </c>
      <c r="D94" t="inlineStr">
        <is>
          <t>Undergraduate</t>
        </is>
      </c>
      <c r="E94" t="inlineStr">
        <is>
          <t>Advertised: official page in place</t>
        </is>
      </c>
      <c r="F94" t="inlineStr">
        <is>
          <t>https://www.unsw.edu.au/study/undergraduate/bachelor-of-economics-arts</t>
        </is>
      </c>
      <c r="G94" t="inlineStr">
        <is>
          <t>https://www.unsw.edu.au/study/undergraduate/bachelor-of-economics-arts</t>
        </is>
      </c>
      <c r="H94" t="inlineStr">
        <is>
          <t>Read</t>
        </is>
      </c>
      <c r="I94" t="inlineStr">
        <is>
          <t>CRICOS code on page</t>
        </is>
      </c>
      <c r="J94" t="inlineStr"/>
      <c r="K94" t="inlineStr">
        <is>
          <t>Not sent to re-link</t>
        </is>
      </c>
      <c r="L94" t="inlineStr">
        <is>
          <t>Filled</t>
        </is>
      </c>
      <c r="M94" t="inlineStr">
        <is>
          <t>Filled</t>
        </is>
      </c>
      <c r="N94" t="inlineStr">
        <is>
          <t>54500.00 2026</t>
        </is>
      </c>
      <c r="O94" t="n">
        <v>0</v>
      </c>
      <c r="P94" t="inlineStr">
        <is>
          <t>University adapter</t>
        </is>
      </c>
      <c r="Q94" t="inlineStr">
        <is>
          <t>Filled</t>
        </is>
      </c>
      <c r="R94" t="n">
        <v>6</v>
      </c>
      <c r="S94" t="inlineStr">
        <is>
          <t>Central English policy</t>
        </is>
      </c>
      <c r="T94" t="inlineStr">
        <is>
          <t>Central rule applies (value agrees)</t>
        </is>
      </c>
      <c r="U94" t="inlineStr"/>
      <c r="V94" t="inlineStr">
        <is>
          <t>Filled</t>
        </is>
      </c>
      <c r="W94" t="inlineStr">
        <is>
          <t>February, May, September</t>
        </is>
      </c>
      <c r="X94" t="inlineStr">
        <is>
          <t>University adapter</t>
        </is>
      </c>
      <c r="Y94" t="n">
        <v>0</v>
      </c>
      <c r="Z94" t="inlineStr">
        <is>
          <t>Yes</t>
        </is>
      </c>
      <c r="AA94" t="inlineStr">
        <is>
          <t>Filled</t>
        </is>
      </c>
      <c r="AB94" t="inlineStr">
        <is>
          <t>on campus</t>
        </is>
      </c>
      <c r="AC94" t="inlineStr"/>
      <c r="AD94" t="n">
        <v>0</v>
      </c>
      <c r="AE94" t="inlineStr"/>
      <c r="AF94" t="inlineStr"/>
      <c r="AG94" t="inlineStr"/>
      <c r="AH94" t="inlineStr"/>
      <c r="AI94" t="inlineStr"/>
      <c r="AJ94" t="inlineStr"/>
      <c r="AK94" t="inlineStr"/>
      <c r="AL94" t="inlineStr"/>
      <c r="AM94" t="inlineStr"/>
    </row>
    <row r="95">
      <c r="A95" t="inlineStr">
        <is>
          <t>009531M</t>
        </is>
      </c>
      <c r="B95" t="inlineStr">
        <is>
          <t>Bachelor of Economics/Bachelor of Laws</t>
        </is>
      </c>
      <c r="C95" t="inlineStr">
        <is>
          <t>Bachelor</t>
        </is>
      </c>
      <c r="D95" t="inlineStr">
        <is>
          <t>Undergraduate</t>
        </is>
      </c>
      <c r="E95" t="inlineStr">
        <is>
          <t>Advertised: official page in place</t>
        </is>
      </c>
      <c r="F95" t="inlineStr">
        <is>
          <t>https://www.unsw.edu.au/study/undergraduate/bachelor-of-economics-law</t>
        </is>
      </c>
      <c r="G95" t="inlineStr">
        <is>
          <t>https://www.unsw.edu.au/study/undergraduate/bachelor-of-economics-law</t>
        </is>
      </c>
      <c r="H95" t="inlineStr">
        <is>
          <t>Read</t>
        </is>
      </c>
      <c r="I95" t="inlineStr">
        <is>
          <t>CRICOS code on page</t>
        </is>
      </c>
      <c r="J95" t="inlineStr"/>
      <c r="K95" t="inlineStr">
        <is>
          <t>Not sent to re-link</t>
        </is>
      </c>
      <c r="L95" t="inlineStr">
        <is>
          <t>Filled</t>
        </is>
      </c>
      <c r="M95" t="inlineStr">
        <is>
          <t>Filled</t>
        </is>
      </c>
      <c r="N95" t="inlineStr">
        <is>
          <t>56500.00 2026</t>
        </is>
      </c>
      <c r="O95" t="n">
        <v>0</v>
      </c>
      <c r="P95" t="inlineStr">
        <is>
          <t>University adapter</t>
        </is>
      </c>
      <c r="Q95" t="inlineStr">
        <is>
          <t>Filled</t>
        </is>
      </c>
      <c r="R95" t="n">
        <v>6</v>
      </c>
      <c r="S95" t="inlineStr">
        <is>
          <t>Central English policy</t>
        </is>
      </c>
      <c r="T95" t="inlineStr">
        <is>
          <t>Central rule applies (value agrees)</t>
        </is>
      </c>
      <c r="U95" t="inlineStr"/>
      <c r="V95" t="inlineStr">
        <is>
          <t>Filled</t>
        </is>
      </c>
      <c r="W95" t="inlineStr">
        <is>
          <t>February, September</t>
        </is>
      </c>
      <c r="X95" t="inlineStr">
        <is>
          <t>University adapter</t>
        </is>
      </c>
      <c r="Y95" t="n">
        <v>0</v>
      </c>
      <c r="Z95" t="inlineStr">
        <is>
          <t>Yes</t>
        </is>
      </c>
      <c r="AA95" t="inlineStr">
        <is>
          <t>Filled</t>
        </is>
      </c>
      <c r="AB95" t="inlineStr">
        <is>
          <t>on campus</t>
        </is>
      </c>
      <c r="AC95" t="inlineStr"/>
      <c r="AD95" t="n">
        <v>0</v>
      </c>
      <c r="AE95" t="inlineStr"/>
      <c r="AF95" t="inlineStr"/>
      <c r="AG95" t="inlineStr"/>
      <c r="AH95" t="inlineStr"/>
      <c r="AI95" t="inlineStr"/>
      <c r="AJ95" t="inlineStr"/>
      <c r="AK95" t="inlineStr"/>
      <c r="AL95" t="inlineStr"/>
      <c r="AM95" t="inlineStr"/>
    </row>
    <row r="96">
      <c r="A96" t="inlineStr">
        <is>
          <t>113668E</t>
        </is>
      </c>
      <c r="B96" t="inlineStr">
        <is>
          <t>Bachelor of Education (Primary)</t>
        </is>
      </c>
      <c r="C96" t="inlineStr">
        <is>
          <t>Bachelor</t>
        </is>
      </c>
      <c r="D96" t="inlineStr">
        <is>
          <t>Undergraduate</t>
        </is>
      </c>
      <c r="E96" t="inlineStr">
        <is>
          <t>Advertised: official page in place</t>
        </is>
      </c>
      <c r="F96" t="inlineStr">
        <is>
          <t>https://www.handbook.unsw.edu.au/undergraduate/programs/2026/4072</t>
        </is>
      </c>
      <c r="G96" t="inlineStr">
        <is>
          <t>https://www.handbook.unsw.edu.au/undergraduate/programs/2026/4072</t>
        </is>
      </c>
      <c r="H96" t="inlineStr">
        <is>
          <t>Read</t>
        </is>
      </c>
      <c r="I96" t="inlineStr">
        <is>
          <t>CRICOS code on page</t>
        </is>
      </c>
      <c r="J96" t="inlineStr"/>
      <c r="K96" t="inlineStr">
        <is>
          <t>Not sent to re-link</t>
        </is>
      </c>
      <c r="L96" t="inlineStr">
        <is>
          <t>Filled</t>
        </is>
      </c>
      <c r="M96" t="inlineStr">
        <is>
          <t>Not stated on course page</t>
        </is>
      </c>
      <c r="N96" t="inlineStr"/>
      <c r="O96" t="n">
        <v>0</v>
      </c>
      <c r="P96" t="inlineStr"/>
      <c r="Q96" t="inlineStr">
        <is>
          <t>Filled</t>
        </is>
      </c>
      <c r="R96" t="n">
        <v>6</v>
      </c>
      <c r="S96" t="inlineStr">
        <is>
          <t>Central English policy</t>
        </is>
      </c>
      <c r="T96" t="inlineStr">
        <is>
          <t>Central rule applies (value agrees)</t>
        </is>
      </c>
      <c r="U96" t="inlineStr"/>
      <c r="V96" t="inlineStr">
        <is>
          <t>Filled</t>
        </is>
      </c>
      <c r="W96" t="inlineStr">
        <is>
          <t>February</t>
        </is>
      </c>
      <c r="X96" t="inlineStr">
        <is>
          <t>University adapter</t>
        </is>
      </c>
      <c r="Y96" t="n">
        <v>0</v>
      </c>
      <c r="Z96" t="inlineStr">
        <is>
          <t>Yes</t>
        </is>
      </c>
      <c r="AA96" t="inlineStr">
        <is>
          <t>Filled</t>
        </is>
      </c>
      <c r="AB96" t="inlineStr">
        <is>
          <t>on campus</t>
        </is>
      </c>
      <c r="AC96" t="inlineStr"/>
      <c r="AD96" t="n">
        <v>0</v>
      </c>
      <c r="AE96" t="inlineStr"/>
      <c r="AF96" t="inlineStr"/>
      <c r="AG96" t="inlineStr"/>
      <c r="AH96" t="inlineStr"/>
      <c r="AI96" t="inlineStr"/>
      <c r="AJ96" t="inlineStr"/>
      <c r="AK96" t="inlineStr"/>
      <c r="AL96" t="inlineStr"/>
      <c r="AM96" t="inlineStr"/>
    </row>
    <row r="97">
      <c r="A97" t="inlineStr">
        <is>
          <t>113669D</t>
        </is>
      </c>
      <c r="B97" t="inlineStr">
        <is>
          <t>Bachelor of Education (Primary) (Honours)</t>
        </is>
      </c>
      <c r="C97" t="inlineStr">
        <is>
          <t>Bachelor Honours Degree</t>
        </is>
      </c>
      <c r="D97" t="inlineStr">
        <is>
          <t>Undergraduate</t>
        </is>
      </c>
      <c r="E97" t="inlineStr">
        <is>
          <t>Advertised: official page in place</t>
        </is>
      </c>
      <c r="F97" t="inlineStr">
        <is>
          <t>https://www.unsw.edu.au/study/undergraduate/bachelor-of-education-primary-honours</t>
        </is>
      </c>
      <c r="G97" t="inlineStr">
        <is>
          <t>https://www.unsw.edu.au/study/undergraduate/bachelor-of-education-primary-honours</t>
        </is>
      </c>
      <c r="H97" t="inlineStr">
        <is>
          <t>Read</t>
        </is>
      </c>
      <c r="I97" t="inlineStr">
        <is>
          <t>CRICOS code on page</t>
        </is>
      </c>
      <c r="J97" t="inlineStr"/>
      <c r="K97" t="inlineStr">
        <is>
          <t>Not sent to re-link</t>
        </is>
      </c>
      <c r="L97" t="inlineStr">
        <is>
          <t>Filled</t>
        </is>
      </c>
      <c r="M97" t="inlineStr">
        <is>
          <t>Filled</t>
        </is>
      </c>
      <c r="N97" t="inlineStr">
        <is>
          <t>50000.00 2026</t>
        </is>
      </c>
      <c r="O97" t="n">
        <v>0</v>
      </c>
      <c r="P97" t="inlineStr">
        <is>
          <t>University adapter</t>
        </is>
      </c>
      <c r="Q97" t="inlineStr">
        <is>
          <t>Filled</t>
        </is>
      </c>
      <c r="R97" t="n">
        <v>6</v>
      </c>
      <c r="S97" t="inlineStr">
        <is>
          <t>Central English policy</t>
        </is>
      </c>
      <c r="T97" t="inlineStr">
        <is>
          <t>Central rule applies (value agrees)</t>
        </is>
      </c>
      <c r="U97" t="inlineStr"/>
      <c r="V97" t="inlineStr">
        <is>
          <t>Filled</t>
        </is>
      </c>
      <c r="W97" t="inlineStr">
        <is>
          <t>February</t>
        </is>
      </c>
      <c r="X97" t="inlineStr">
        <is>
          <t>University adapter</t>
        </is>
      </c>
      <c r="Y97" t="n">
        <v>0</v>
      </c>
      <c r="Z97" t="inlineStr">
        <is>
          <t>Yes</t>
        </is>
      </c>
      <c r="AA97" t="inlineStr">
        <is>
          <t>Filled</t>
        </is>
      </c>
      <c r="AB97" t="inlineStr">
        <is>
          <t>on campus</t>
        </is>
      </c>
      <c r="AC97" t="inlineStr"/>
      <c r="AD97" t="n">
        <v>0</v>
      </c>
      <c r="AE97" t="inlineStr"/>
      <c r="AF97" t="inlineStr"/>
      <c r="AG97" t="inlineStr"/>
      <c r="AH97" t="inlineStr"/>
      <c r="AI97" t="inlineStr"/>
      <c r="AJ97" t="inlineStr"/>
      <c r="AK97" t="inlineStr"/>
      <c r="AL97" t="inlineStr"/>
      <c r="AM97" t="inlineStr"/>
    </row>
    <row r="98">
      <c r="A98" t="inlineStr">
        <is>
          <t>082748K</t>
        </is>
      </c>
      <c r="B98" t="inlineStr">
        <is>
          <t>Bachelor of Education (Secondary) (Honours)</t>
        </is>
      </c>
      <c r="C98" t="inlineStr">
        <is>
          <t>Bachelor Honours Degree</t>
        </is>
      </c>
      <c r="D98" t="inlineStr">
        <is>
          <t>Undergraduate</t>
        </is>
      </c>
      <c r="E98" t="inlineStr">
        <is>
          <t>Advertised: official page in place</t>
        </is>
      </c>
      <c r="F98" t="inlineStr">
        <is>
          <t>https://www.unsw.edu.au/study/undergraduate/bachelor-of-education-secondary-honours</t>
        </is>
      </c>
      <c r="G98" t="inlineStr">
        <is>
          <t>https://www.unsw.edu.au/study/undergraduate/bachelor-of-education-secondary-honours</t>
        </is>
      </c>
      <c r="H98" t="inlineStr">
        <is>
          <t>Read</t>
        </is>
      </c>
      <c r="I98" t="inlineStr">
        <is>
          <t>CRICOS code on page</t>
        </is>
      </c>
      <c r="J98" t="inlineStr"/>
      <c r="K98" t="inlineStr">
        <is>
          <t>Not sent to re-link</t>
        </is>
      </c>
      <c r="L98" t="inlineStr">
        <is>
          <t>Filled</t>
        </is>
      </c>
      <c r="M98" t="inlineStr">
        <is>
          <t>Filled</t>
        </is>
      </c>
      <c r="N98" t="inlineStr">
        <is>
          <t>52000.00 2026</t>
        </is>
      </c>
      <c r="O98" t="n">
        <v>0</v>
      </c>
      <c r="P98" t="inlineStr">
        <is>
          <t>University adapter</t>
        </is>
      </c>
      <c r="Q98" t="inlineStr">
        <is>
          <t>Filled</t>
        </is>
      </c>
      <c r="R98" t="n">
        <v>6</v>
      </c>
      <c r="S98" t="inlineStr">
        <is>
          <t>Central English policy</t>
        </is>
      </c>
      <c r="T98" t="inlineStr">
        <is>
          <t>Central rule applies (value agrees)</t>
        </is>
      </c>
      <c r="U98" t="inlineStr"/>
      <c r="V98" t="inlineStr">
        <is>
          <t>Filled</t>
        </is>
      </c>
      <c r="W98" t="inlineStr">
        <is>
          <t>February, September</t>
        </is>
      </c>
      <c r="X98" t="inlineStr">
        <is>
          <t>University adapter</t>
        </is>
      </c>
      <c r="Y98" t="n">
        <v>0</v>
      </c>
      <c r="Z98" t="inlineStr">
        <is>
          <t>Yes</t>
        </is>
      </c>
      <c r="AA98" t="inlineStr">
        <is>
          <t>Filled</t>
        </is>
      </c>
      <c r="AB98" t="inlineStr">
        <is>
          <t>on campus</t>
        </is>
      </c>
      <c r="AC98" t="inlineStr"/>
      <c r="AD98" t="n">
        <v>0</v>
      </c>
      <c r="AE98" t="inlineStr"/>
      <c r="AF98" t="inlineStr"/>
      <c r="AG98" t="inlineStr"/>
      <c r="AH98" t="inlineStr"/>
      <c r="AI98" t="inlineStr"/>
      <c r="AJ98" t="inlineStr"/>
      <c r="AK98" t="inlineStr"/>
      <c r="AL98" t="inlineStr"/>
      <c r="AM98" t="inlineStr"/>
    </row>
    <row r="99">
      <c r="A99" t="inlineStr">
        <is>
          <t>015775G</t>
        </is>
      </c>
      <c r="B99" t="inlineStr">
        <is>
          <t>Bachelor of Engineering - Civil Engineering / Bachelor of Engineering - Mining Engineering</t>
        </is>
      </c>
      <c r="C99" t="inlineStr">
        <is>
          <t>Bachelor</t>
        </is>
      </c>
      <c r="D99" t="inlineStr">
        <is>
          <t>Undergraduate</t>
        </is>
      </c>
      <c r="E99" t="inlineStr">
        <is>
          <t>No-page record (conjoint), awaiting review</t>
        </is>
      </c>
      <c r="F99" t="inlineStr"/>
      <c r="G99" t="inlineStr">
        <is>
          <t>https://www.unsw.edu.au/study/undergraduate/bachelor-of-engineering-honours-civil</t>
        </is>
      </c>
      <c r="H99" t="inlineStr">
        <is>
          <t>Page is for another course</t>
        </is>
      </c>
      <c r="I99" t="inlineStr"/>
      <c r="J99" t="inlineStr">
        <is>
          <t>Conjoint (proposed)</t>
        </is>
      </c>
      <c r="K99" t="inlineStr">
        <is>
          <t>Finished, no page: no address from the university's address forms or stored lis</t>
        </is>
      </c>
      <c r="L99" t="inlineStr">
        <is>
          <t>Searching for course page</t>
        </is>
      </c>
      <c r="M99" t="inlineStr">
        <is>
          <t>Searching for course page</t>
        </is>
      </c>
      <c r="N99" t="inlineStr"/>
      <c r="O99" t="n">
        <v>0</v>
      </c>
      <c r="P99" t="inlineStr"/>
      <c r="Q99" t="inlineStr">
        <is>
          <t>Filled</t>
        </is>
      </c>
      <c r="R99" t="n">
        <v>6</v>
      </c>
      <c r="S99" t="inlineStr">
        <is>
          <t>Central English policy</t>
        </is>
      </c>
      <c r="T99" t="inlineStr">
        <is>
          <t>Central rule applies (value agrees)</t>
        </is>
      </c>
      <c r="U99" t="inlineStr"/>
      <c r="V99" t="inlineStr">
        <is>
          <t>Searching for course page</t>
        </is>
      </c>
      <c r="W99" t="inlineStr"/>
      <c r="X99" t="inlineStr"/>
      <c r="Y99" t="n">
        <v>0</v>
      </c>
      <c r="Z99" t="inlineStr">
        <is>
          <t>Yes</t>
        </is>
      </c>
      <c r="AA99" t="inlineStr">
        <is>
          <t>Not stated on course page</t>
        </is>
      </c>
      <c r="AB99" t="inlineStr"/>
      <c r="AC99" t="inlineStr">
        <is>
          <t>Skipped: no correct course page: the page found is for another course</t>
        </is>
      </c>
      <c r="AD99" t="n">
        <v>1</v>
      </c>
      <c r="AE99" t="inlineStr"/>
      <c r="AF99" t="inlineStr"/>
      <c r="AG99" t="inlineStr"/>
      <c r="AH99" t="inlineStr"/>
      <c r="AI99" t="inlineStr"/>
      <c r="AJ99" t="inlineStr"/>
      <c r="AK99" t="inlineStr"/>
      <c r="AL99" t="inlineStr"/>
      <c r="AM99" t="inlineStr">
        <is>
          <t>Yes</t>
        </is>
      </c>
    </row>
    <row r="100">
      <c r="A100" t="inlineStr">
        <is>
          <t>028043C</t>
        </is>
      </c>
      <c r="B100" t="inlineStr">
        <is>
          <t>Bachelor of Engineering - Civil Engineering/Bachelor of Engineering - Environmental Engineering</t>
        </is>
      </c>
      <c r="C100" t="inlineStr">
        <is>
          <t>Bachelor</t>
        </is>
      </c>
      <c r="D100" t="inlineStr">
        <is>
          <t>Undergraduate</t>
        </is>
      </c>
      <c r="E100" t="inlineStr">
        <is>
          <t>No-page record (conjoint), awaiting review</t>
        </is>
      </c>
      <c r="F100" t="inlineStr"/>
      <c r="G100" t="inlineStr">
        <is>
          <t>https://www.unsw.edu.au/study/undergraduate/bachelor-of-engineering-honours-civil-canberra</t>
        </is>
      </c>
      <c r="H100" t="inlineStr">
        <is>
          <t>Page is for another course</t>
        </is>
      </c>
      <c r="I100" t="inlineStr"/>
      <c r="J100" t="inlineStr">
        <is>
          <t>Conjoint (proposed)</t>
        </is>
      </c>
      <c r="K100" t="inlineStr">
        <is>
          <t>Finished, no page: no address from the university's address forms or stored lis</t>
        </is>
      </c>
      <c r="L100" t="inlineStr">
        <is>
          <t>Searching for course page</t>
        </is>
      </c>
      <c r="M100" t="inlineStr">
        <is>
          <t>Searching for course page</t>
        </is>
      </c>
      <c r="N100" t="inlineStr"/>
      <c r="O100" t="n">
        <v>0</v>
      </c>
      <c r="P100" t="inlineStr"/>
      <c r="Q100" t="inlineStr">
        <is>
          <t>Filled</t>
        </is>
      </c>
      <c r="R100" t="n">
        <v>6</v>
      </c>
      <c r="S100" t="inlineStr">
        <is>
          <t>Central English policy</t>
        </is>
      </c>
      <c r="T100" t="inlineStr">
        <is>
          <t>Central rule applies (value agrees)</t>
        </is>
      </c>
      <c r="U100" t="inlineStr"/>
      <c r="V100" t="inlineStr">
        <is>
          <t>Searching for course page</t>
        </is>
      </c>
      <c r="W100" t="inlineStr"/>
      <c r="X100" t="inlineStr"/>
      <c r="Y100" t="n">
        <v>0</v>
      </c>
      <c r="Z100" t="inlineStr">
        <is>
          <t>Yes</t>
        </is>
      </c>
      <c r="AA100" t="inlineStr">
        <is>
          <t>Not stated on course page</t>
        </is>
      </c>
      <c r="AB100" t="inlineStr"/>
      <c r="AC100" t="inlineStr">
        <is>
          <t>Skipped: no correct course page: the page found is for another course</t>
        </is>
      </c>
      <c r="AD100" t="n">
        <v>0</v>
      </c>
      <c r="AE100" t="inlineStr"/>
      <c r="AF100" t="inlineStr"/>
      <c r="AG100" t="inlineStr"/>
      <c r="AH100" t="inlineStr"/>
      <c r="AI100" t="inlineStr"/>
      <c r="AJ100" t="inlineStr"/>
      <c r="AK100" t="inlineStr"/>
      <c r="AL100" t="inlineStr"/>
      <c r="AM100" t="inlineStr">
        <is>
          <t>Yes</t>
        </is>
      </c>
    </row>
    <row r="101">
      <c r="A101" t="inlineStr">
        <is>
          <t>000793F</t>
        </is>
      </c>
      <c r="B101" t="inlineStr">
        <is>
          <t>Bachelor of Engineering - Electrical Engineering</t>
        </is>
      </c>
      <c r="C101" t="inlineStr">
        <is>
          <t>Bachelor</t>
        </is>
      </c>
      <c r="D101" t="inlineStr">
        <is>
          <t>Undergraduate</t>
        </is>
      </c>
      <c r="E101" t="inlineStr">
        <is>
          <t>Held: page found is for another course</t>
        </is>
      </c>
      <c r="F101" t="inlineStr"/>
      <c r="G101" t="inlineStr">
        <is>
          <t>https://www.unsw.edu.au/study/undergraduate/bachelor-of-engineering-honours</t>
        </is>
      </c>
      <c r="H101" t="inlineStr">
        <is>
          <t>Page is for another course</t>
        </is>
      </c>
      <c r="I101" t="inlineStr"/>
      <c r="J101" t="inlineStr"/>
      <c r="K101" t="inlineStr">
        <is>
          <t>Finished, no page: no address from the university's address forms or stored lis</t>
        </is>
      </c>
      <c r="L101" t="inlineStr">
        <is>
          <t>Searching for course page</t>
        </is>
      </c>
      <c r="M101" t="inlineStr">
        <is>
          <t>Searching for course page</t>
        </is>
      </c>
      <c r="N101" t="inlineStr"/>
      <c r="O101" t="n">
        <v>0</v>
      </c>
      <c r="P101" t="inlineStr"/>
      <c r="Q101" t="inlineStr">
        <is>
          <t>Filled</t>
        </is>
      </c>
      <c r="R101" t="n">
        <v>6</v>
      </c>
      <c r="S101" t="inlineStr">
        <is>
          <t>Central English policy</t>
        </is>
      </c>
      <c r="T101" t="inlineStr">
        <is>
          <t>Central rule applies (value agrees)</t>
        </is>
      </c>
      <c r="U101" t="inlineStr"/>
      <c r="V101" t="inlineStr">
        <is>
          <t>Searching for course page</t>
        </is>
      </c>
      <c r="W101" t="inlineStr"/>
      <c r="X101" t="inlineStr"/>
      <c r="Y101" t="n">
        <v>0</v>
      </c>
      <c r="Z101" t="inlineStr">
        <is>
          <t>Yes</t>
        </is>
      </c>
      <c r="AA101" t="inlineStr">
        <is>
          <t>Not stated on course page</t>
        </is>
      </c>
      <c r="AB101" t="inlineStr"/>
      <c r="AC101" t="inlineStr">
        <is>
          <t>Skipped: no correct course page: the page found is for another course</t>
        </is>
      </c>
      <c r="AD101" t="n">
        <v>1</v>
      </c>
      <c r="AE101" t="inlineStr"/>
      <c r="AF101" t="inlineStr"/>
      <c r="AG101" t="inlineStr"/>
      <c r="AH101" t="inlineStr"/>
      <c r="AI101" t="inlineStr"/>
      <c r="AJ101" t="inlineStr"/>
      <c r="AK101" t="inlineStr"/>
      <c r="AL101" t="inlineStr"/>
      <c r="AM101" t="inlineStr"/>
    </row>
    <row r="102">
      <c r="A102" t="inlineStr">
        <is>
          <t>028047K</t>
        </is>
      </c>
      <c r="B102" t="inlineStr">
        <is>
          <t>Bachelor of Engineering - Environmental Engineering / Bachelor of Science</t>
        </is>
      </c>
      <c r="C102" t="inlineStr">
        <is>
          <t>Bachelor</t>
        </is>
      </c>
      <c r="D102" t="inlineStr">
        <is>
          <t>Undergraduate</t>
        </is>
      </c>
      <c r="E102" t="inlineStr">
        <is>
          <t>No-page record (conjoint), awaiting review</t>
        </is>
      </c>
      <c r="F102" t="inlineStr"/>
      <c r="G102" t="inlineStr">
        <is>
          <t>https://www.unsw.edu.au/study/undergraduate/bachelor-of-engineering-honours-environmental</t>
        </is>
      </c>
      <c r="H102" t="inlineStr">
        <is>
          <t>Page is for another course</t>
        </is>
      </c>
      <c r="I102" t="inlineStr"/>
      <c r="J102" t="inlineStr">
        <is>
          <t>Conjoint (proposed)</t>
        </is>
      </c>
      <c r="K102" t="inlineStr">
        <is>
          <t>Finished, no page: no address from the university's address forms or stored lis</t>
        </is>
      </c>
      <c r="L102" t="inlineStr">
        <is>
          <t>Searching for course page</t>
        </is>
      </c>
      <c r="M102" t="inlineStr">
        <is>
          <t>Searching for course page</t>
        </is>
      </c>
      <c r="N102" t="inlineStr"/>
      <c r="O102" t="n">
        <v>0</v>
      </c>
      <c r="P102" t="inlineStr"/>
      <c r="Q102" t="inlineStr">
        <is>
          <t>Filled</t>
        </is>
      </c>
      <c r="R102" t="n">
        <v>6</v>
      </c>
      <c r="S102" t="inlineStr">
        <is>
          <t>Central English policy</t>
        </is>
      </c>
      <c r="T102" t="inlineStr">
        <is>
          <t>Central rule applies (value agrees)</t>
        </is>
      </c>
      <c r="U102" t="inlineStr"/>
      <c r="V102" t="inlineStr">
        <is>
          <t>Searching for course page</t>
        </is>
      </c>
      <c r="W102" t="inlineStr"/>
      <c r="X102" t="inlineStr"/>
      <c r="Y102" t="n">
        <v>0</v>
      </c>
      <c r="Z102" t="inlineStr">
        <is>
          <t>Yes</t>
        </is>
      </c>
      <c r="AA102" t="inlineStr">
        <is>
          <t>Not stated on course page</t>
        </is>
      </c>
      <c r="AB102" t="inlineStr"/>
      <c r="AC102" t="inlineStr">
        <is>
          <t>Skipped: no correct course page: the page found is for another course</t>
        </is>
      </c>
      <c r="AD102" t="n">
        <v>1</v>
      </c>
      <c r="AE102" t="inlineStr"/>
      <c r="AF102" t="inlineStr"/>
      <c r="AG102" t="inlineStr"/>
      <c r="AH102" t="inlineStr"/>
      <c r="AI102" t="inlineStr"/>
      <c r="AJ102" t="inlineStr"/>
      <c r="AK102" t="inlineStr"/>
      <c r="AL102" t="inlineStr"/>
      <c r="AM102" t="inlineStr">
        <is>
          <t>Yes</t>
        </is>
      </c>
    </row>
    <row r="103">
      <c r="A103" t="inlineStr">
        <is>
          <t>030458F</t>
        </is>
      </c>
      <c r="B103" t="inlineStr">
        <is>
          <t>Bachelor of Engineering - Telecommunications</t>
        </is>
      </c>
      <c r="C103" t="inlineStr">
        <is>
          <t>Bachelor</t>
        </is>
      </c>
      <c r="D103" t="inlineStr">
        <is>
          <t>Undergraduate</t>
        </is>
      </c>
      <c r="E103" t="inlineStr">
        <is>
          <t>Held: page found is for another course</t>
        </is>
      </c>
      <c r="F103" t="inlineStr"/>
      <c r="G103" t="inlineStr">
        <is>
          <t>https://www.unsw.edu.au/engineering/study-with-us/study-areas/telecommunications-engineering</t>
        </is>
      </c>
      <c r="H103" t="inlineStr">
        <is>
          <t>Page is for another course</t>
        </is>
      </c>
      <c r="I103" t="inlineStr"/>
      <c r="J103" t="inlineStr"/>
      <c r="K103" t="inlineStr">
        <is>
          <t>Finished, no page: no address from the university's address forms or stored lis</t>
        </is>
      </c>
      <c r="L103" t="inlineStr">
        <is>
          <t>Searching for course page</t>
        </is>
      </c>
      <c r="M103" t="inlineStr">
        <is>
          <t>Searching for course page</t>
        </is>
      </c>
      <c r="N103" t="inlineStr"/>
      <c r="O103" t="n">
        <v>0</v>
      </c>
      <c r="P103" t="inlineStr"/>
      <c r="Q103" t="inlineStr">
        <is>
          <t>Filled</t>
        </is>
      </c>
      <c r="R103" t="n">
        <v>6</v>
      </c>
      <c r="S103" t="inlineStr">
        <is>
          <t>Central English policy</t>
        </is>
      </c>
      <c r="T103" t="inlineStr">
        <is>
          <t>Central rule applies (value agrees)</t>
        </is>
      </c>
      <c r="U103" t="inlineStr"/>
      <c r="V103" t="inlineStr">
        <is>
          <t>Searching for course page</t>
        </is>
      </c>
      <c r="W103" t="inlineStr"/>
      <c r="X103" t="inlineStr"/>
      <c r="Y103" t="n">
        <v>0</v>
      </c>
      <c r="Z103" t="inlineStr">
        <is>
          <t>Yes</t>
        </is>
      </c>
      <c r="AA103" t="inlineStr">
        <is>
          <t>Not stated on course page</t>
        </is>
      </c>
      <c r="AB103" t="inlineStr"/>
      <c r="AC103" t="inlineStr">
        <is>
          <t>Skipped: no correct course page: the page found is for another course</t>
        </is>
      </c>
      <c r="AD103" t="n">
        <v>1</v>
      </c>
      <c r="AE103" t="inlineStr"/>
      <c r="AF103" t="inlineStr"/>
      <c r="AG103" t="inlineStr"/>
      <c r="AH103" t="inlineStr"/>
      <c r="AI103" t="inlineStr"/>
      <c r="AJ103" t="inlineStr"/>
      <c r="AK103" t="inlineStr"/>
      <c r="AL103" t="inlineStr"/>
      <c r="AM103" t="inlineStr"/>
    </row>
    <row r="104">
      <c r="A104" t="inlineStr">
        <is>
          <t>000794E</t>
        </is>
      </c>
      <c r="B104" t="inlineStr">
        <is>
          <t>Bachelor of Engineering (academic plans: Aerospace, Manufacturing Engineering and Management, Mechanical, Mechatronic, Naval Architecture)</t>
        </is>
      </c>
      <c r="C104" t="inlineStr">
        <is>
          <t>Bachelor</t>
        </is>
      </c>
      <c r="D104" t="inlineStr">
        <is>
          <t>Undergraduate</t>
        </is>
      </c>
      <c r="E104" t="inlineStr">
        <is>
          <t>Held: page found is for another course</t>
        </is>
      </c>
      <c r="F104" t="inlineStr"/>
      <c r="G104" t="inlineStr">
        <is>
          <t>https://www.unsw.edu.au/study/undergraduate/bachelor-of-engineering-honours-aerospace</t>
        </is>
      </c>
      <c r="H104" t="inlineStr">
        <is>
          <t>Page is for another course</t>
        </is>
      </c>
      <c r="I104" t="inlineStr"/>
      <c r="J104" t="inlineStr"/>
      <c r="K104" t="inlineStr">
        <is>
          <t>Finished, no page: no address from the university's address forms or stored lis</t>
        </is>
      </c>
      <c r="L104" t="inlineStr">
        <is>
          <t>Searching for course page</t>
        </is>
      </c>
      <c r="M104" t="inlineStr">
        <is>
          <t>Searching for course page</t>
        </is>
      </c>
      <c r="N104" t="inlineStr"/>
      <c r="O104" t="n">
        <v>0</v>
      </c>
      <c r="P104" t="inlineStr"/>
      <c r="Q104" t="inlineStr">
        <is>
          <t>Filled</t>
        </is>
      </c>
      <c r="R104" t="n">
        <v>6</v>
      </c>
      <c r="S104" t="inlineStr">
        <is>
          <t>Central English policy</t>
        </is>
      </c>
      <c r="T104" t="inlineStr">
        <is>
          <t>Central rule applies (value agrees)</t>
        </is>
      </c>
      <c r="U104" t="inlineStr"/>
      <c r="V104" t="inlineStr">
        <is>
          <t>Searching for course page</t>
        </is>
      </c>
      <c r="W104" t="inlineStr"/>
      <c r="X104" t="inlineStr"/>
      <c r="Y104" t="n">
        <v>0</v>
      </c>
      <c r="Z104" t="inlineStr">
        <is>
          <t>Yes</t>
        </is>
      </c>
      <c r="AA104" t="inlineStr">
        <is>
          <t>Not stated on course page</t>
        </is>
      </c>
      <c r="AB104" t="inlineStr"/>
      <c r="AC104" t="inlineStr">
        <is>
          <t>Skipped: no correct course page: the page found is for another course</t>
        </is>
      </c>
      <c r="AD104" t="n">
        <v>1</v>
      </c>
      <c r="AE104" t="inlineStr"/>
      <c r="AF104" t="inlineStr"/>
      <c r="AG104" t="inlineStr"/>
      <c r="AH104" t="inlineStr"/>
      <c r="AI104" t="inlineStr"/>
      <c r="AJ104" t="inlineStr"/>
      <c r="AK104" t="inlineStr"/>
      <c r="AL104" t="inlineStr"/>
      <c r="AM104" t="inlineStr"/>
    </row>
    <row r="105">
      <c r="A105" t="inlineStr">
        <is>
          <t>056835E</t>
        </is>
      </c>
      <c r="B105" t="inlineStr">
        <is>
          <t>Bachelor of Engineering (Honours)</t>
        </is>
      </c>
      <c r="C105" t="inlineStr">
        <is>
          <t>Bachelor Honours Degree</t>
        </is>
      </c>
      <c r="D105" t="inlineStr">
        <is>
          <t>Undergraduate</t>
        </is>
      </c>
      <c r="E105" t="inlineStr">
        <is>
          <t>Advertised: official page in place</t>
        </is>
      </c>
      <c r="F105" t="inlineStr">
        <is>
          <t>https://www.unsw.edu.au/study/undergraduate/bachelor-of-engineering-honours</t>
        </is>
      </c>
      <c r="G105" t="inlineStr">
        <is>
          <t>https://www.unsw.edu.au/study/undergraduate/bachelor-of-engineering-honours</t>
        </is>
      </c>
      <c r="H105" t="inlineStr">
        <is>
          <t>Read</t>
        </is>
      </c>
      <c r="I105" t="inlineStr">
        <is>
          <t>CRICOS code on page</t>
        </is>
      </c>
      <c r="J105" t="inlineStr"/>
      <c r="K105" t="inlineStr">
        <is>
          <t>Not sent to re-link</t>
        </is>
      </c>
      <c r="L105" t="inlineStr">
        <is>
          <t>Filled</t>
        </is>
      </c>
      <c r="M105" t="inlineStr">
        <is>
          <t>Filled</t>
        </is>
      </c>
      <c r="N105" t="inlineStr">
        <is>
          <t>61500.00 2026</t>
        </is>
      </c>
      <c r="O105" t="n">
        <v>0</v>
      </c>
      <c r="P105" t="inlineStr">
        <is>
          <t>University adapter</t>
        </is>
      </c>
      <c r="Q105" t="inlineStr">
        <is>
          <t>Filled</t>
        </is>
      </c>
      <c r="R105" t="n">
        <v>6</v>
      </c>
      <c r="S105" t="inlineStr">
        <is>
          <t>Central English policy</t>
        </is>
      </c>
      <c r="T105" t="inlineStr">
        <is>
          <t>Central rule applies (value agrees)</t>
        </is>
      </c>
      <c r="U105" t="inlineStr"/>
      <c r="V105" t="inlineStr">
        <is>
          <t>Filled</t>
        </is>
      </c>
      <c r="W105" t="inlineStr">
        <is>
          <t>February, May, September</t>
        </is>
      </c>
      <c r="X105" t="inlineStr">
        <is>
          <t>University adapter</t>
        </is>
      </c>
      <c r="Y105" t="n">
        <v>0</v>
      </c>
      <c r="Z105" t="inlineStr">
        <is>
          <t>Yes</t>
        </is>
      </c>
      <c r="AA105" t="inlineStr">
        <is>
          <t>Filled</t>
        </is>
      </c>
      <c r="AB105" t="inlineStr">
        <is>
          <t>on campus</t>
        </is>
      </c>
      <c r="AC105" t="inlineStr"/>
      <c r="AD105" t="n">
        <v>0</v>
      </c>
      <c r="AE105" t="inlineStr"/>
      <c r="AF105" t="inlineStr"/>
      <c r="AG105" t="inlineStr"/>
      <c r="AH105" t="inlineStr"/>
      <c r="AI105" t="inlineStr"/>
      <c r="AJ105" t="inlineStr"/>
      <c r="AK105" t="inlineStr"/>
      <c r="AL105" t="inlineStr"/>
      <c r="AM105" t="inlineStr"/>
    </row>
    <row r="106">
      <c r="A106" t="inlineStr">
        <is>
          <t>088870D</t>
        </is>
      </c>
      <c r="B106" t="inlineStr">
        <is>
          <t>Bachelor of Engineering (Honours) (Materials Science and Engineering)/Bachelor of Commerce</t>
        </is>
      </c>
      <c r="C106" t="inlineStr">
        <is>
          <t>Bachelor Honours Degree</t>
        </is>
      </c>
      <c r="D106" t="inlineStr">
        <is>
          <t>Undergraduate</t>
        </is>
      </c>
      <c r="E106" t="inlineStr">
        <is>
          <t>Advertised: official page in place</t>
        </is>
      </c>
      <c r="F106" t="inlineStr">
        <is>
          <t>https://www.unsw.edu.au/study/undergraduate/bachelor-of-engineering-and-materials-science-honours-commerce</t>
        </is>
      </c>
      <c r="G106" t="inlineStr">
        <is>
          <t>https://www.unsw.edu.au/study/undergraduate/bachelor-of-engineering-and-materials-science-honours-commerce</t>
        </is>
      </c>
      <c r="H106" t="inlineStr">
        <is>
          <t>Read</t>
        </is>
      </c>
      <c r="I106" t="inlineStr">
        <is>
          <t>CRICOS code on page</t>
        </is>
      </c>
      <c r="J106" t="inlineStr"/>
      <c r="K106" t="inlineStr">
        <is>
          <t>Not sent to re-link</t>
        </is>
      </c>
      <c r="L106" t="inlineStr">
        <is>
          <t>Filled</t>
        </is>
      </c>
      <c r="M106" t="inlineStr">
        <is>
          <t>Filled</t>
        </is>
      </c>
      <c r="N106" t="inlineStr">
        <is>
          <t>61500.00 2026</t>
        </is>
      </c>
      <c r="O106" t="n">
        <v>0</v>
      </c>
      <c r="P106" t="inlineStr">
        <is>
          <t>University adapter</t>
        </is>
      </c>
      <c r="Q106" t="inlineStr">
        <is>
          <t>Filled</t>
        </is>
      </c>
      <c r="R106" t="n">
        <v>6</v>
      </c>
      <c r="S106" t="inlineStr">
        <is>
          <t>Central English policy</t>
        </is>
      </c>
      <c r="T106" t="inlineStr">
        <is>
          <t>Central rule applies (value agrees)</t>
        </is>
      </c>
      <c r="U106" t="inlineStr"/>
      <c r="V106" t="inlineStr">
        <is>
          <t>Filled</t>
        </is>
      </c>
      <c r="W106" t="inlineStr">
        <is>
          <t>February, May, September</t>
        </is>
      </c>
      <c r="X106" t="inlineStr">
        <is>
          <t>University adapter</t>
        </is>
      </c>
      <c r="Y106" t="n">
        <v>0</v>
      </c>
      <c r="Z106" t="inlineStr">
        <is>
          <t>Yes</t>
        </is>
      </c>
      <c r="AA106" t="inlineStr">
        <is>
          <t>Filled</t>
        </is>
      </c>
      <c r="AB106" t="inlineStr">
        <is>
          <t>on campus</t>
        </is>
      </c>
      <c r="AC106" t="inlineStr"/>
      <c r="AD106" t="n">
        <v>0</v>
      </c>
      <c r="AE106" t="inlineStr"/>
      <c r="AF106" t="inlineStr"/>
      <c r="AG106" t="inlineStr"/>
      <c r="AH106" t="inlineStr"/>
      <c r="AI106" t="inlineStr"/>
      <c r="AJ106" t="inlineStr"/>
      <c r="AK106" t="inlineStr"/>
      <c r="AL106" t="inlineStr"/>
      <c r="AM106" t="inlineStr"/>
    </row>
    <row r="107">
      <c r="A107" t="inlineStr">
        <is>
          <t>118353F</t>
        </is>
      </c>
      <c r="B107" t="inlineStr">
        <is>
          <t>Bachelor of Engineering (Honours) / Bachelor of Laws (Honours)</t>
        </is>
      </c>
      <c r="C107" t="inlineStr">
        <is>
          <t>Bachelor Honours Degree</t>
        </is>
      </c>
      <c r="D107" t="inlineStr">
        <is>
          <t>Undergraduate</t>
        </is>
      </c>
      <c r="E107" t="inlineStr">
        <is>
          <t>Advertised: official page in place</t>
        </is>
      </c>
      <c r="F107" t="inlineStr">
        <is>
          <t>https://www.handbook.unsw.edu.au/undergraduate/programs/2026/4717</t>
        </is>
      </c>
      <c r="G107" t="inlineStr">
        <is>
          <t>https://www.handbook.unsw.edu.au/undergraduate/programs/2026/4717</t>
        </is>
      </c>
      <c r="H107" t="inlineStr">
        <is>
          <t>Read</t>
        </is>
      </c>
      <c r="I107" t="inlineStr">
        <is>
          <t>CRICOS code on page</t>
        </is>
      </c>
      <c r="J107" t="inlineStr"/>
      <c r="K107" t="inlineStr">
        <is>
          <t>Not sent to re-link</t>
        </is>
      </c>
      <c r="L107" t="inlineStr">
        <is>
          <t>Filled</t>
        </is>
      </c>
      <c r="M107" t="inlineStr">
        <is>
          <t>Not stated on course page</t>
        </is>
      </c>
      <c r="N107" t="inlineStr"/>
      <c r="O107" t="n">
        <v>0</v>
      </c>
      <c r="P107" t="inlineStr"/>
      <c r="Q107" t="inlineStr">
        <is>
          <t>Filled</t>
        </is>
      </c>
      <c r="R107" t="n">
        <v>6</v>
      </c>
      <c r="S107" t="inlineStr">
        <is>
          <t>Central English policy</t>
        </is>
      </c>
      <c r="T107" t="inlineStr">
        <is>
          <t>Central rule applies (value agrees)</t>
        </is>
      </c>
      <c r="U107" t="inlineStr"/>
      <c r="V107" t="inlineStr">
        <is>
          <t>Filled</t>
        </is>
      </c>
      <c r="W107" t="inlineStr">
        <is>
          <t>February, May</t>
        </is>
      </c>
      <c r="X107" t="inlineStr">
        <is>
          <t>University adapter</t>
        </is>
      </c>
      <c r="Y107" t="n">
        <v>0</v>
      </c>
      <c r="Z107" t="inlineStr">
        <is>
          <t>Yes</t>
        </is>
      </c>
      <c r="AA107" t="inlineStr">
        <is>
          <t>Filled</t>
        </is>
      </c>
      <c r="AB107" t="inlineStr">
        <is>
          <t>on campus</t>
        </is>
      </c>
      <c r="AC107" t="inlineStr"/>
      <c r="AD107" t="n">
        <v>0</v>
      </c>
      <c r="AE107" t="inlineStr"/>
      <c r="AF107" t="inlineStr"/>
      <c r="AG107" t="inlineStr"/>
      <c r="AH107" t="inlineStr"/>
      <c r="AI107" t="inlineStr"/>
      <c r="AJ107" t="inlineStr"/>
      <c r="AK107" t="inlineStr"/>
      <c r="AL107" t="inlineStr"/>
      <c r="AM107" t="inlineStr"/>
    </row>
    <row r="108">
      <c r="A108" t="inlineStr">
        <is>
          <t>059439D</t>
        </is>
      </c>
      <c r="B108" t="inlineStr">
        <is>
          <t>Bachelor of Engineering (Honours) in Civil Engineering with Architecture</t>
        </is>
      </c>
      <c r="C108" t="inlineStr">
        <is>
          <t>Bachelor Honours Degree</t>
        </is>
      </c>
      <c r="D108" t="inlineStr">
        <is>
          <t>Undergraduate</t>
        </is>
      </c>
      <c r="E108" t="inlineStr">
        <is>
          <t>Advertised: official page in place</t>
        </is>
      </c>
      <c r="F108" t="inlineStr">
        <is>
          <t>https://www.unsw.edu.au/study/undergraduate/bachelor-of-engineering-honours-civil-architecture</t>
        </is>
      </c>
      <c r="G108" t="inlineStr">
        <is>
          <t>https://www.unsw.edu.au/study/undergraduate/bachelor-of-engineering-honours-civil-architecture</t>
        </is>
      </c>
      <c r="H108" t="inlineStr">
        <is>
          <t>Read</t>
        </is>
      </c>
      <c r="I108" t="inlineStr">
        <is>
          <t>CRICOS code on page</t>
        </is>
      </c>
      <c r="J108" t="inlineStr"/>
      <c r="K108" t="inlineStr">
        <is>
          <t>Not sent to re-link</t>
        </is>
      </c>
      <c r="L108" t="inlineStr">
        <is>
          <t>Filled</t>
        </is>
      </c>
      <c r="M108" t="inlineStr">
        <is>
          <t>Filled</t>
        </is>
      </c>
      <c r="N108" t="inlineStr">
        <is>
          <t>59500.00 2026</t>
        </is>
      </c>
      <c r="O108" t="n">
        <v>0</v>
      </c>
      <c r="P108" t="inlineStr">
        <is>
          <t>University adapter</t>
        </is>
      </c>
      <c r="Q108" t="inlineStr">
        <is>
          <t>Filled</t>
        </is>
      </c>
      <c r="R108" t="n">
        <v>6</v>
      </c>
      <c r="S108" t="inlineStr">
        <is>
          <t>Central English policy</t>
        </is>
      </c>
      <c r="T108" t="inlineStr">
        <is>
          <t>Central rule applies (value agrees)</t>
        </is>
      </c>
      <c r="U108" t="inlineStr"/>
      <c r="V108" t="inlineStr">
        <is>
          <t>Filled</t>
        </is>
      </c>
      <c r="W108" t="inlineStr">
        <is>
          <t>February</t>
        </is>
      </c>
      <c r="X108" t="inlineStr">
        <is>
          <t>University adapter</t>
        </is>
      </c>
      <c r="Y108" t="n">
        <v>0</v>
      </c>
      <c r="Z108" t="inlineStr">
        <is>
          <t>Yes</t>
        </is>
      </c>
      <c r="AA108" t="inlineStr">
        <is>
          <t>Filled</t>
        </is>
      </c>
      <c r="AB108" t="inlineStr">
        <is>
          <t>on campus</t>
        </is>
      </c>
      <c r="AC108" t="inlineStr"/>
      <c r="AD108" t="n">
        <v>0</v>
      </c>
      <c r="AE108" t="inlineStr"/>
      <c r="AF108" t="inlineStr"/>
      <c r="AG108" t="inlineStr"/>
      <c r="AH108" t="inlineStr"/>
      <c r="AI108" t="inlineStr"/>
      <c r="AJ108" t="inlineStr"/>
      <c r="AK108" t="inlineStr"/>
      <c r="AL108" t="inlineStr"/>
      <c r="AM108" t="inlineStr"/>
    </row>
    <row r="109">
      <c r="A109" t="inlineStr">
        <is>
          <t>088873A</t>
        </is>
      </c>
      <c r="B109" t="inlineStr">
        <is>
          <t>Bachelor of Engineering (Honours) in Materials Science and Engineering</t>
        </is>
      </c>
      <c r="C109" t="inlineStr">
        <is>
          <t>Bachelor Honours Degree</t>
        </is>
      </c>
      <c r="D109" t="inlineStr">
        <is>
          <t>Undergraduate</t>
        </is>
      </c>
      <c r="E109" t="inlineStr">
        <is>
          <t>Advertised: official page in place</t>
        </is>
      </c>
      <c r="F109" t="inlineStr">
        <is>
          <t>https://www.unsw.edu.au/study/undergraduate/bachelor-of-engineering-honours-material-science</t>
        </is>
      </c>
      <c r="G109" t="inlineStr">
        <is>
          <t>https://www.unsw.edu.au/study/undergraduate/bachelor-of-engineering-honours-material-science</t>
        </is>
      </c>
      <c r="H109" t="inlineStr">
        <is>
          <t>Read</t>
        </is>
      </c>
      <c r="I109" t="inlineStr">
        <is>
          <t>CRICOS code on page</t>
        </is>
      </c>
      <c r="J109" t="inlineStr"/>
      <c r="K109" t="inlineStr">
        <is>
          <t>Not sent to re-link</t>
        </is>
      </c>
      <c r="L109" t="inlineStr">
        <is>
          <t>Filled</t>
        </is>
      </c>
      <c r="M109" t="inlineStr">
        <is>
          <t>Filled</t>
        </is>
      </c>
      <c r="N109" t="inlineStr">
        <is>
          <t>62000.00 2026</t>
        </is>
      </c>
      <c r="O109" t="n">
        <v>0</v>
      </c>
      <c r="P109" t="inlineStr">
        <is>
          <t>University adapter</t>
        </is>
      </c>
      <c r="Q109" t="inlineStr">
        <is>
          <t>Filled</t>
        </is>
      </c>
      <c r="R109" t="n">
        <v>6</v>
      </c>
      <c r="S109" t="inlineStr">
        <is>
          <t>Central English policy</t>
        </is>
      </c>
      <c r="T109" t="inlineStr">
        <is>
          <t>Central rule applies (value agrees)</t>
        </is>
      </c>
      <c r="U109" t="inlineStr"/>
      <c r="V109" t="inlineStr">
        <is>
          <t>Filled</t>
        </is>
      </c>
      <c r="W109" t="inlineStr">
        <is>
          <t>February, May, September</t>
        </is>
      </c>
      <c r="X109" t="inlineStr">
        <is>
          <t>University adapter</t>
        </is>
      </c>
      <c r="Y109" t="n">
        <v>0</v>
      </c>
      <c r="Z109" t="inlineStr">
        <is>
          <t>Yes</t>
        </is>
      </c>
      <c r="AA109" t="inlineStr">
        <is>
          <t>Filled</t>
        </is>
      </c>
      <c r="AB109" t="inlineStr">
        <is>
          <t>on campus</t>
        </is>
      </c>
      <c r="AC109" t="inlineStr"/>
      <c r="AD109" t="n">
        <v>0</v>
      </c>
      <c r="AE109" t="inlineStr"/>
      <c r="AF109" t="inlineStr"/>
      <c r="AG109" t="inlineStr"/>
      <c r="AH109" t="inlineStr"/>
      <c r="AI109" t="inlineStr"/>
      <c r="AJ109" t="inlineStr"/>
      <c r="AK109" t="inlineStr"/>
      <c r="AL109" t="inlineStr"/>
      <c r="AM109" t="inlineStr"/>
    </row>
    <row r="110">
      <c r="A110" t="inlineStr">
        <is>
          <t>089471M</t>
        </is>
      </c>
      <c r="B110" t="inlineStr">
        <is>
          <t>Bachelor of Engineering (Honours) in Materials Science and Engineering/Bachelor of Engineering Science</t>
        </is>
      </c>
      <c r="C110" t="inlineStr">
        <is>
          <t>Bachelor Honours Degree</t>
        </is>
      </c>
      <c r="D110" t="inlineStr">
        <is>
          <t>Undergraduate</t>
        </is>
      </c>
      <c r="E110" t="inlineStr">
        <is>
          <t>Advertised: official page in place</t>
        </is>
      </c>
      <c r="F110" t="inlineStr">
        <is>
          <t>https://www.unsw.edu.au/study/undergraduate/bachelor-of-materials-science-and-engineering-honours-engineering-science</t>
        </is>
      </c>
      <c r="G110" t="inlineStr">
        <is>
          <t>https://www.unsw.edu.au/study/undergraduate/bachelor-of-materials-science-and-engineering-honours-engineering-science</t>
        </is>
      </c>
      <c r="H110" t="inlineStr">
        <is>
          <t>Read</t>
        </is>
      </c>
      <c r="I110" t="inlineStr">
        <is>
          <t>CRICOS code on page</t>
        </is>
      </c>
      <c r="J110" t="inlineStr"/>
      <c r="K110" t="inlineStr">
        <is>
          <t>Not sent to re-link</t>
        </is>
      </c>
      <c r="L110" t="inlineStr">
        <is>
          <t>Filled</t>
        </is>
      </c>
      <c r="M110" t="inlineStr">
        <is>
          <t>Filled</t>
        </is>
      </c>
      <c r="N110" t="inlineStr">
        <is>
          <t>62500.00 2026</t>
        </is>
      </c>
      <c r="O110" t="n">
        <v>0</v>
      </c>
      <c r="P110" t="inlineStr">
        <is>
          <t>University adapter</t>
        </is>
      </c>
      <c r="Q110" t="inlineStr">
        <is>
          <t>Filled</t>
        </is>
      </c>
      <c r="R110" t="n">
        <v>6</v>
      </c>
      <c r="S110" t="inlineStr">
        <is>
          <t>Central English policy</t>
        </is>
      </c>
      <c r="T110" t="inlineStr">
        <is>
          <t>Central rule applies (value agrees)</t>
        </is>
      </c>
      <c r="U110" t="inlineStr"/>
      <c r="V110" t="inlineStr">
        <is>
          <t>Filled</t>
        </is>
      </c>
      <c r="W110" t="inlineStr">
        <is>
          <t>February, May, September</t>
        </is>
      </c>
      <c r="X110" t="inlineStr">
        <is>
          <t>University adapter</t>
        </is>
      </c>
      <c r="Y110" t="n">
        <v>0</v>
      </c>
      <c r="Z110" t="inlineStr">
        <is>
          <t>Yes</t>
        </is>
      </c>
      <c r="AA110" t="inlineStr">
        <is>
          <t>Filled</t>
        </is>
      </c>
      <c r="AB110" t="inlineStr">
        <is>
          <t>on campus</t>
        </is>
      </c>
      <c r="AC110" t="inlineStr"/>
      <c r="AD110" t="n">
        <v>0</v>
      </c>
      <c r="AE110" t="inlineStr"/>
      <c r="AF110" t="inlineStr"/>
      <c r="AG110" t="inlineStr"/>
      <c r="AH110" t="inlineStr"/>
      <c r="AI110" t="inlineStr"/>
      <c r="AJ110" t="inlineStr"/>
      <c r="AK110" t="inlineStr"/>
      <c r="AL110" t="inlineStr"/>
      <c r="AM110" t="inlineStr"/>
    </row>
    <row r="111">
      <c r="A111" t="inlineStr">
        <is>
          <t>088840K</t>
        </is>
      </c>
      <c r="B111" t="inlineStr">
        <is>
          <t>Bachelor of Engineering (Honours) in Materials Science and Engineering/Master of Biomedical Engineering</t>
        </is>
      </c>
      <c r="C111" t="inlineStr">
        <is>
          <t>Masters Degree (Coursework)</t>
        </is>
      </c>
      <c r="D111" t="inlineStr">
        <is>
          <t>Postgraduate coursework</t>
        </is>
      </c>
      <c r="E111" t="inlineStr">
        <is>
          <t>Advertised: official page in place</t>
        </is>
      </c>
      <c r="F111" t="inlineStr">
        <is>
          <t>https://www.unsw.edu.au/study/undergraduate/bachelor-of-engineering-and-materials-science-honours-master-of-biomedical-engineering</t>
        </is>
      </c>
      <c r="G111" t="inlineStr">
        <is>
          <t>https://www.unsw.edu.au/study/undergraduate/bachelor-of-engineering-and-materials-science-honours-master-of-biomedical-engineering</t>
        </is>
      </c>
      <c r="H111" t="inlineStr">
        <is>
          <t>Read</t>
        </is>
      </c>
      <c r="I111" t="inlineStr">
        <is>
          <t>CRICOS code on page</t>
        </is>
      </c>
      <c r="J111" t="inlineStr"/>
      <c r="K111" t="inlineStr">
        <is>
          <t>Not sent to re-link</t>
        </is>
      </c>
      <c r="L111" t="inlineStr">
        <is>
          <t>Filled</t>
        </is>
      </c>
      <c r="M111" t="inlineStr">
        <is>
          <t>Filled</t>
        </is>
      </c>
      <c r="N111" t="inlineStr">
        <is>
          <t>62000.00 2026</t>
        </is>
      </c>
      <c r="O111" t="n">
        <v>0</v>
      </c>
      <c r="P111" t="inlineStr">
        <is>
          <t>University adapter</t>
        </is>
      </c>
      <c r="Q111" t="inlineStr">
        <is>
          <t>Not stated on course page</t>
        </is>
      </c>
      <c r="S111" t="inlineStr"/>
      <c r="T111" t="inlineStr">
        <is>
          <t>Held: double degree (its parts are at different levels)</t>
        </is>
      </c>
      <c r="U111" t="inlineStr"/>
      <c r="V111" t="inlineStr">
        <is>
          <t>Filled</t>
        </is>
      </c>
      <c r="W111" t="inlineStr">
        <is>
          <t>February, May, September</t>
        </is>
      </c>
      <c r="X111" t="inlineStr">
        <is>
          <t>University adapter</t>
        </is>
      </c>
      <c r="Y111" t="n">
        <v>0</v>
      </c>
      <c r="Z111" t="inlineStr">
        <is>
          <t>No</t>
        </is>
      </c>
      <c r="AA111" t="inlineStr">
        <is>
          <t>Filled</t>
        </is>
      </c>
      <c r="AB111" t="inlineStr">
        <is>
          <t>on campus</t>
        </is>
      </c>
      <c r="AC111" t="inlineStr"/>
      <c r="AD111" t="n">
        <v>0</v>
      </c>
      <c r="AE111" t="inlineStr"/>
      <c r="AF111" t="inlineStr"/>
      <c r="AG111" t="inlineStr"/>
      <c r="AH111" t="inlineStr"/>
      <c r="AI111" t="inlineStr"/>
      <c r="AJ111" t="inlineStr">
        <is>
          <t>Yes</t>
        </is>
      </c>
      <c r="AK111" t="inlineStr"/>
      <c r="AL111" t="inlineStr"/>
      <c r="AM111" t="inlineStr"/>
    </row>
    <row r="112">
      <c r="A112" t="inlineStr">
        <is>
          <t>074891C</t>
        </is>
      </c>
      <c r="B112" t="inlineStr">
        <is>
          <t>Bachelor of Engineering (Honours)/Bachelor of Arts</t>
        </is>
      </c>
      <c r="C112" t="inlineStr">
        <is>
          <t>Bachelor Honours Degree</t>
        </is>
      </c>
      <c r="D112" t="inlineStr">
        <is>
          <t>Undergraduate</t>
        </is>
      </c>
      <c r="E112" t="inlineStr">
        <is>
          <t>Advertised: official page in place</t>
        </is>
      </c>
      <c r="F112" t="inlineStr">
        <is>
          <t>https://www.unsw.edu.au/study/undergraduate/bachelor-of-engineering-honours-arts</t>
        </is>
      </c>
      <c r="G112" t="inlineStr">
        <is>
          <t>https://www.unsw.edu.au/study/undergraduate/bachelor-of-engineering-honours-arts</t>
        </is>
      </c>
      <c r="H112" t="inlineStr">
        <is>
          <t>Read</t>
        </is>
      </c>
      <c r="I112" t="inlineStr">
        <is>
          <t>CRICOS code on page</t>
        </is>
      </c>
      <c r="J112" t="inlineStr"/>
      <c r="K112" t="inlineStr">
        <is>
          <t>Not sent to re-link</t>
        </is>
      </c>
      <c r="L112" t="inlineStr">
        <is>
          <t>Filled</t>
        </is>
      </c>
      <c r="M112" t="inlineStr">
        <is>
          <t>Filled</t>
        </is>
      </c>
      <c r="N112" t="inlineStr">
        <is>
          <t>57000.00 2026</t>
        </is>
      </c>
      <c r="O112" t="n">
        <v>0</v>
      </c>
      <c r="P112" t="inlineStr">
        <is>
          <t>University adapter</t>
        </is>
      </c>
      <c r="Q112" t="inlineStr">
        <is>
          <t>Filled</t>
        </is>
      </c>
      <c r="R112" t="n">
        <v>6</v>
      </c>
      <c r="S112" t="inlineStr">
        <is>
          <t>Central English policy</t>
        </is>
      </c>
      <c r="T112" t="inlineStr">
        <is>
          <t>Central rule applies (value agrees)</t>
        </is>
      </c>
      <c r="U112" t="inlineStr"/>
      <c r="V112" t="inlineStr">
        <is>
          <t>Filled</t>
        </is>
      </c>
      <c r="W112" t="inlineStr">
        <is>
          <t>February, May, September</t>
        </is>
      </c>
      <c r="X112" t="inlineStr">
        <is>
          <t>University adapter</t>
        </is>
      </c>
      <c r="Y112" t="n">
        <v>0</v>
      </c>
      <c r="Z112" t="inlineStr">
        <is>
          <t>Yes</t>
        </is>
      </c>
      <c r="AA112" t="inlineStr">
        <is>
          <t>Filled</t>
        </is>
      </c>
      <c r="AB112" t="inlineStr">
        <is>
          <t>on campus</t>
        </is>
      </c>
      <c r="AC112" t="inlineStr"/>
      <c r="AD112" t="n">
        <v>0</v>
      </c>
      <c r="AE112" t="inlineStr"/>
      <c r="AF112" t="inlineStr"/>
      <c r="AG112" t="inlineStr"/>
      <c r="AH112" t="inlineStr"/>
      <c r="AI112" t="inlineStr"/>
      <c r="AJ112" t="inlineStr"/>
      <c r="AK112" t="inlineStr"/>
      <c r="AL112" t="inlineStr"/>
      <c r="AM112" t="inlineStr"/>
    </row>
    <row r="113">
      <c r="A113" t="inlineStr">
        <is>
          <t>053195A</t>
        </is>
      </c>
      <c r="B113" t="inlineStr">
        <is>
          <t>Bachelor of Engineering (Honours)/Bachelor of Commerce</t>
        </is>
      </c>
      <c r="C113" t="inlineStr">
        <is>
          <t>Bachelor Honours Degree</t>
        </is>
      </c>
      <c r="D113" t="inlineStr">
        <is>
          <t>Undergraduate</t>
        </is>
      </c>
      <c r="E113" t="inlineStr">
        <is>
          <t>Advertised: official page in place</t>
        </is>
      </c>
      <c r="F113" t="inlineStr">
        <is>
          <t>https://www.unsw.edu.au/study/undergraduate/bachelor-of-engineering-honours-commerce</t>
        </is>
      </c>
      <c r="G113" t="inlineStr">
        <is>
          <t>https://www.unsw.edu.au/study/undergraduate/bachelor-of-engineering-honours-commerce</t>
        </is>
      </c>
      <c r="H113" t="inlineStr">
        <is>
          <t>Read</t>
        </is>
      </c>
      <c r="I113" t="inlineStr">
        <is>
          <t>CRICOS code on page</t>
        </is>
      </c>
      <c r="J113" t="inlineStr"/>
      <c r="K113" t="inlineStr">
        <is>
          <t>Not sent to re-link</t>
        </is>
      </c>
      <c r="L113" t="inlineStr">
        <is>
          <t>Filled</t>
        </is>
      </c>
      <c r="M113" t="inlineStr">
        <is>
          <t>Filled</t>
        </is>
      </c>
      <c r="N113" t="inlineStr">
        <is>
          <t>60500.00 2026</t>
        </is>
      </c>
      <c r="O113" t="n">
        <v>0</v>
      </c>
      <c r="P113" t="inlineStr">
        <is>
          <t>University adapter</t>
        </is>
      </c>
      <c r="Q113" t="inlineStr">
        <is>
          <t>Filled</t>
        </is>
      </c>
      <c r="R113" t="n">
        <v>6</v>
      </c>
      <c r="S113" t="inlineStr">
        <is>
          <t>Central English policy</t>
        </is>
      </c>
      <c r="T113" t="inlineStr">
        <is>
          <t>Central rule applies (value agrees)</t>
        </is>
      </c>
      <c r="U113" t="inlineStr"/>
      <c r="V113" t="inlineStr">
        <is>
          <t>Filled</t>
        </is>
      </c>
      <c r="W113" t="inlineStr">
        <is>
          <t>February, September</t>
        </is>
      </c>
      <c r="X113" t="inlineStr">
        <is>
          <t>University adapter</t>
        </is>
      </c>
      <c r="Y113" t="n">
        <v>0</v>
      </c>
      <c r="Z113" t="inlineStr">
        <is>
          <t>Yes</t>
        </is>
      </c>
      <c r="AA113" t="inlineStr">
        <is>
          <t>Filled</t>
        </is>
      </c>
      <c r="AB113" t="inlineStr">
        <is>
          <t>on campus</t>
        </is>
      </c>
      <c r="AC113" t="inlineStr"/>
      <c r="AD113" t="n">
        <v>0</v>
      </c>
      <c r="AE113" t="inlineStr"/>
      <c r="AF113" t="inlineStr"/>
      <c r="AG113" t="inlineStr"/>
      <c r="AH113" t="inlineStr"/>
      <c r="AI113" t="inlineStr"/>
      <c r="AJ113" t="inlineStr"/>
      <c r="AK113" t="inlineStr"/>
      <c r="AL113" t="inlineStr"/>
      <c r="AM113" t="inlineStr"/>
    </row>
    <row r="114">
      <c r="A114" t="inlineStr">
        <is>
          <t>085916G</t>
        </is>
      </c>
      <c r="B114" t="inlineStr">
        <is>
          <t>Bachelor of Engineering (Honours)/Bachelor of Computer Science</t>
        </is>
      </c>
      <c r="C114" t="inlineStr">
        <is>
          <t>Bachelor Honours Degree</t>
        </is>
      </c>
      <c r="D114" t="inlineStr">
        <is>
          <t>Undergraduate</t>
        </is>
      </c>
      <c r="E114" t="inlineStr">
        <is>
          <t>Advertised: official page in place</t>
        </is>
      </c>
      <c r="F114" t="inlineStr">
        <is>
          <t>https://www.unsw.edu.au/study/undergraduate/bachelor-of-engineering-honours-computer-science</t>
        </is>
      </c>
      <c r="G114" t="inlineStr">
        <is>
          <t>https://www.unsw.edu.au/study/undergraduate/bachelor-of-engineering-honours-computer-science</t>
        </is>
      </c>
      <c r="H114" t="inlineStr">
        <is>
          <t>Read</t>
        </is>
      </c>
      <c r="I114" t="inlineStr">
        <is>
          <t>CRICOS code on page</t>
        </is>
      </c>
      <c r="J114" t="inlineStr"/>
      <c r="K114" t="inlineStr">
        <is>
          <t>Not sent to re-link</t>
        </is>
      </c>
      <c r="L114" t="inlineStr">
        <is>
          <t>Filled</t>
        </is>
      </c>
      <c r="M114" t="inlineStr">
        <is>
          <t>Filled</t>
        </is>
      </c>
      <c r="N114" t="inlineStr">
        <is>
          <t>61500.00 2026</t>
        </is>
      </c>
      <c r="O114" t="n">
        <v>0</v>
      </c>
      <c r="P114" t="inlineStr">
        <is>
          <t>University adapter</t>
        </is>
      </c>
      <c r="Q114" t="inlineStr">
        <is>
          <t>Filled</t>
        </is>
      </c>
      <c r="R114" t="n">
        <v>6</v>
      </c>
      <c r="S114" t="inlineStr">
        <is>
          <t>Central English policy</t>
        </is>
      </c>
      <c r="T114" t="inlineStr">
        <is>
          <t>Central rule applies (value agrees)</t>
        </is>
      </c>
      <c r="U114" t="inlineStr"/>
      <c r="V114" t="inlineStr">
        <is>
          <t>Filled</t>
        </is>
      </c>
      <c r="W114" t="inlineStr">
        <is>
          <t>February, May, September</t>
        </is>
      </c>
      <c r="X114" t="inlineStr">
        <is>
          <t>University adapter</t>
        </is>
      </c>
      <c r="Y114" t="n">
        <v>0</v>
      </c>
      <c r="Z114" t="inlineStr">
        <is>
          <t>Yes</t>
        </is>
      </c>
      <c r="AA114" t="inlineStr">
        <is>
          <t>Filled</t>
        </is>
      </c>
      <c r="AB114" t="inlineStr">
        <is>
          <t>on campus</t>
        </is>
      </c>
      <c r="AC114" t="inlineStr"/>
      <c r="AD114" t="n">
        <v>0</v>
      </c>
      <c r="AE114" t="inlineStr"/>
      <c r="AF114" t="inlineStr"/>
      <c r="AG114" t="inlineStr"/>
      <c r="AH114" t="inlineStr"/>
      <c r="AI114" t="inlineStr"/>
      <c r="AJ114" t="inlineStr"/>
      <c r="AK114" t="inlineStr"/>
      <c r="AL114" t="inlineStr"/>
      <c r="AM114" t="inlineStr"/>
    </row>
    <row r="115">
      <c r="A115" t="inlineStr">
        <is>
          <t>087947G</t>
        </is>
      </c>
      <c r="B115" t="inlineStr">
        <is>
          <t>Bachelor of Engineering (Honours)/Bachelor of Engineering Science</t>
        </is>
      </c>
      <c r="C115" t="inlineStr">
        <is>
          <t>Bachelor Honours Degree</t>
        </is>
      </c>
      <c r="D115" t="inlineStr">
        <is>
          <t>Undergraduate</t>
        </is>
      </c>
      <c r="E115" t="inlineStr">
        <is>
          <t>Advertised: official page in place</t>
        </is>
      </c>
      <c r="F115" t="inlineStr">
        <is>
          <t>https://www.unsw.edu.au/study/undergraduate/bachelor-of-engineering-honours-engineering-science</t>
        </is>
      </c>
      <c r="G115" t="inlineStr">
        <is>
          <t>https://www.unsw.edu.au/study/undergraduate/bachelor-of-engineering-honours-engineering-science</t>
        </is>
      </c>
      <c r="H115" t="inlineStr">
        <is>
          <t>Read</t>
        </is>
      </c>
      <c r="I115" t="inlineStr">
        <is>
          <t>CRICOS code on page</t>
        </is>
      </c>
      <c r="J115" t="inlineStr"/>
      <c r="K115" t="inlineStr">
        <is>
          <t>Not sent to re-link</t>
        </is>
      </c>
      <c r="L115" t="inlineStr">
        <is>
          <t>Filled</t>
        </is>
      </c>
      <c r="M115" t="inlineStr">
        <is>
          <t>Filled</t>
        </is>
      </c>
      <c r="N115" t="inlineStr">
        <is>
          <t>60000.00 2026</t>
        </is>
      </c>
      <c r="O115" t="n">
        <v>0</v>
      </c>
      <c r="P115" t="inlineStr">
        <is>
          <t>University adapter</t>
        </is>
      </c>
      <c r="Q115" t="inlineStr">
        <is>
          <t>Filled</t>
        </is>
      </c>
      <c r="R115" t="n">
        <v>6</v>
      </c>
      <c r="S115" t="inlineStr">
        <is>
          <t>Central English policy</t>
        </is>
      </c>
      <c r="T115" t="inlineStr">
        <is>
          <t>Central rule applies (value agrees)</t>
        </is>
      </c>
      <c r="U115" t="inlineStr"/>
      <c r="V115" t="inlineStr">
        <is>
          <t>Filled</t>
        </is>
      </c>
      <c r="W115" t="inlineStr">
        <is>
          <t>February, May, September</t>
        </is>
      </c>
      <c r="X115" t="inlineStr">
        <is>
          <t>University adapter</t>
        </is>
      </c>
      <c r="Y115" t="n">
        <v>0</v>
      </c>
      <c r="Z115" t="inlineStr">
        <is>
          <t>Yes</t>
        </is>
      </c>
      <c r="AA115" t="inlineStr">
        <is>
          <t>Filled</t>
        </is>
      </c>
      <c r="AB115" t="inlineStr">
        <is>
          <t>on campus</t>
        </is>
      </c>
      <c r="AC115" t="inlineStr"/>
      <c r="AD115" t="n">
        <v>0</v>
      </c>
      <c r="AE115" t="inlineStr"/>
      <c r="AF115" t="inlineStr"/>
      <c r="AG115" t="inlineStr"/>
      <c r="AH115" t="inlineStr"/>
      <c r="AI115" t="inlineStr"/>
      <c r="AJ115" t="inlineStr"/>
      <c r="AK115" t="inlineStr"/>
      <c r="AL115" t="inlineStr"/>
      <c r="AM115" t="inlineStr"/>
    </row>
    <row r="116">
      <c r="A116" t="inlineStr">
        <is>
          <t>074890D</t>
        </is>
      </c>
      <c r="B116" t="inlineStr">
        <is>
          <t>Bachelor of Engineering (Honours)/Bachelor of Laws</t>
        </is>
      </c>
      <c r="C116" t="inlineStr">
        <is>
          <t>Bachelor Honours Degree</t>
        </is>
      </c>
      <c r="D116" t="inlineStr">
        <is>
          <t>Undergraduate</t>
        </is>
      </c>
      <c r="E116" t="inlineStr">
        <is>
          <t>Advertised: official page in place</t>
        </is>
      </c>
      <c r="F116" t="inlineStr">
        <is>
          <t>https://www.unsw.edu.au/study/undergraduate/bachelor-of-engineering-honours-law</t>
        </is>
      </c>
      <c r="G116" t="inlineStr">
        <is>
          <t>https://www.unsw.edu.au/study/undergraduate/bachelor-of-engineering-honours-law</t>
        </is>
      </c>
      <c r="H116" t="inlineStr">
        <is>
          <t>Read</t>
        </is>
      </c>
      <c r="I116" t="inlineStr">
        <is>
          <t>CRICOS code on page</t>
        </is>
      </c>
      <c r="J116" t="inlineStr"/>
      <c r="K116" t="inlineStr">
        <is>
          <t>Not sent to re-link</t>
        </is>
      </c>
      <c r="L116" t="inlineStr">
        <is>
          <t>Filled</t>
        </is>
      </c>
      <c r="M116" t="inlineStr">
        <is>
          <t>Filled</t>
        </is>
      </c>
      <c r="N116" t="inlineStr">
        <is>
          <t>58500.00 2026</t>
        </is>
      </c>
      <c r="O116" t="n">
        <v>0</v>
      </c>
      <c r="P116" t="inlineStr">
        <is>
          <t>University adapter</t>
        </is>
      </c>
      <c r="Q116" t="inlineStr">
        <is>
          <t>Filled</t>
        </is>
      </c>
      <c r="R116" t="n">
        <v>6</v>
      </c>
      <c r="S116" t="inlineStr">
        <is>
          <t>Central English policy</t>
        </is>
      </c>
      <c r="T116" t="inlineStr">
        <is>
          <t>Central rule applies (value agrees)</t>
        </is>
      </c>
      <c r="U116" t="inlineStr"/>
      <c r="V116" t="inlineStr">
        <is>
          <t>Filled</t>
        </is>
      </c>
      <c r="W116" t="inlineStr">
        <is>
          <t>February</t>
        </is>
      </c>
      <c r="X116" t="inlineStr">
        <is>
          <t>University adapter</t>
        </is>
      </c>
      <c r="Y116" t="n">
        <v>0</v>
      </c>
      <c r="Z116" t="inlineStr">
        <is>
          <t>Yes</t>
        </is>
      </c>
      <c r="AA116" t="inlineStr">
        <is>
          <t>Filled</t>
        </is>
      </c>
      <c r="AB116" t="inlineStr">
        <is>
          <t>on campus</t>
        </is>
      </c>
      <c r="AC116" t="inlineStr"/>
      <c r="AD116" t="n">
        <v>0</v>
      </c>
      <c r="AE116" t="inlineStr"/>
      <c r="AF116" t="inlineStr"/>
      <c r="AG116" t="inlineStr"/>
      <c r="AH116" t="inlineStr"/>
      <c r="AI116" t="inlineStr"/>
      <c r="AJ116" t="inlineStr"/>
      <c r="AK116" t="inlineStr"/>
      <c r="AL116" t="inlineStr"/>
      <c r="AM116" t="inlineStr"/>
    </row>
    <row r="117">
      <c r="A117" t="inlineStr">
        <is>
          <t>008727G</t>
        </is>
      </c>
      <c r="B117" t="inlineStr">
        <is>
          <t>Bachelor of Engineering (Honours)/Bachelor of Science</t>
        </is>
      </c>
      <c r="C117" t="inlineStr">
        <is>
          <t>Bachelor Honours Degree</t>
        </is>
      </c>
      <c r="D117" t="inlineStr">
        <is>
          <t>Undergraduate</t>
        </is>
      </c>
      <c r="E117" t="inlineStr">
        <is>
          <t>Advertised: official page in place</t>
        </is>
      </c>
      <c r="F117" t="inlineStr">
        <is>
          <t>https://www.unsw.edu.au/study/undergraduate/bachelor-of-engineering-honours-science</t>
        </is>
      </c>
      <c r="G117" t="inlineStr">
        <is>
          <t>https://www.unsw.edu.au/study/undergraduate/bachelor-of-engineering-honours-science</t>
        </is>
      </c>
      <c r="H117" t="inlineStr">
        <is>
          <t>Read</t>
        </is>
      </c>
      <c r="I117" t="inlineStr">
        <is>
          <t>CRICOS code on page</t>
        </is>
      </c>
      <c r="J117" t="inlineStr"/>
      <c r="K117" t="inlineStr">
        <is>
          <t>Not sent to re-link</t>
        </is>
      </c>
      <c r="L117" t="inlineStr">
        <is>
          <t>Filled</t>
        </is>
      </c>
      <c r="M117" t="inlineStr">
        <is>
          <t>Filled</t>
        </is>
      </c>
      <c r="N117" t="inlineStr">
        <is>
          <t>62000.00 2026</t>
        </is>
      </c>
      <c r="O117" t="n">
        <v>0</v>
      </c>
      <c r="P117" t="inlineStr">
        <is>
          <t>University adapter</t>
        </is>
      </c>
      <c r="Q117" t="inlineStr">
        <is>
          <t>Filled</t>
        </is>
      </c>
      <c r="R117" t="n">
        <v>6</v>
      </c>
      <c r="S117" t="inlineStr">
        <is>
          <t>Central English policy</t>
        </is>
      </c>
      <c r="T117" t="inlineStr">
        <is>
          <t>Central rule applies (value agrees)</t>
        </is>
      </c>
      <c r="U117" t="inlineStr"/>
      <c r="V117" t="inlineStr">
        <is>
          <t>Filled</t>
        </is>
      </c>
      <c r="W117" t="inlineStr">
        <is>
          <t>February, May, September</t>
        </is>
      </c>
      <c r="X117" t="inlineStr">
        <is>
          <t>University adapter</t>
        </is>
      </c>
      <c r="Y117" t="n">
        <v>0</v>
      </c>
      <c r="Z117" t="inlineStr">
        <is>
          <t>Yes</t>
        </is>
      </c>
      <c r="AA117" t="inlineStr">
        <is>
          <t>Filled</t>
        </is>
      </c>
      <c r="AB117" t="inlineStr">
        <is>
          <t>on campus</t>
        </is>
      </c>
      <c r="AC117" t="inlineStr"/>
      <c r="AD117" t="n">
        <v>0</v>
      </c>
      <c r="AE117" t="inlineStr"/>
      <c r="AF117" t="inlineStr"/>
      <c r="AG117" t="inlineStr"/>
      <c r="AH117" t="inlineStr"/>
      <c r="AI117" t="inlineStr"/>
      <c r="AJ117" t="inlineStr"/>
      <c r="AK117" t="inlineStr"/>
      <c r="AL117" t="inlineStr"/>
      <c r="AM117" t="inlineStr"/>
    </row>
    <row r="118">
      <c r="A118" t="inlineStr">
        <is>
          <t>088839C</t>
        </is>
      </c>
      <c r="B118" t="inlineStr">
        <is>
          <t>Bachelor of Engineering (Honours)/Bachelor of Surveying</t>
        </is>
      </c>
      <c r="C118" t="inlineStr">
        <is>
          <t>Bachelor Honours Degree</t>
        </is>
      </c>
      <c r="D118" t="inlineStr">
        <is>
          <t>Undergraduate</t>
        </is>
      </c>
      <c r="E118" t="inlineStr">
        <is>
          <t>Advertised: official page in place</t>
        </is>
      </c>
      <c r="F118" t="inlineStr">
        <is>
          <t>https://www.unsw.edu.au/study/undergraduate/bachelor-of-engineering-honours-civil-surveying</t>
        </is>
      </c>
      <c r="G118" t="inlineStr">
        <is>
          <t>https://www.unsw.edu.au/study/undergraduate/bachelor-of-engineering-honours-civil-surveying</t>
        </is>
      </c>
      <c r="H118" t="inlineStr">
        <is>
          <t>Read</t>
        </is>
      </c>
      <c r="I118" t="inlineStr">
        <is>
          <t>CRICOS code on page</t>
        </is>
      </c>
      <c r="J118" t="inlineStr"/>
      <c r="K118" t="inlineStr">
        <is>
          <t>Not sent to re-link</t>
        </is>
      </c>
      <c r="L118" t="inlineStr">
        <is>
          <t>Filled</t>
        </is>
      </c>
      <c r="M118" t="inlineStr">
        <is>
          <t>Filled</t>
        </is>
      </c>
      <c r="N118" t="inlineStr">
        <is>
          <t>62000.00 2026</t>
        </is>
      </c>
      <c r="O118" t="n">
        <v>0</v>
      </c>
      <c r="P118" t="inlineStr">
        <is>
          <t>University adapter</t>
        </is>
      </c>
      <c r="Q118" t="inlineStr">
        <is>
          <t>Filled</t>
        </is>
      </c>
      <c r="R118" t="n">
        <v>6</v>
      </c>
      <c r="S118" t="inlineStr">
        <is>
          <t>Central English policy</t>
        </is>
      </c>
      <c r="T118" t="inlineStr">
        <is>
          <t>Central rule applies (value agrees)</t>
        </is>
      </c>
      <c r="U118" t="inlineStr"/>
      <c r="V118" t="inlineStr">
        <is>
          <t>Filled</t>
        </is>
      </c>
      <c r="W118" t="inlineStr">
        <is>
          <t>February, May, September</t>
        </is>
      </c>
      <c r="X118" t="inlineStr">
        <is>
          <t>University adapter</t>
        </is>
      </c>
      <c r="Y118" t="n">
        <v>0</v>
      </c>
      <c r="Z118" t="inlineStr">
        <is>
          <t>Yes</t>
        </is>
      </c>
      <c r="AA118" t="inlineStr">
        <is>
          <t>Filled</t>
        </is>
      </c>
      <c r="AB118" t="inlineStr">
        <is>
          <t>on campus</t>
        </is>
      </c>
      <c r="AC118" t="inlineStr"/>
      <c r="AD118" t="n">
        <v>0</v>
      </c>
      <c r="AE118" t="inlineStr"/>
      <c r="AF118" t="inlineStr"/>
      <c r="AG118" t="inlineStr"/>
      <c r="AH118" t="inlineStr"/>
      <c r="AI118" t="inlineStr"/>
      <c r="AJ118" t="inlineStr"/>
      <c r="AK118" t="inlineStr"/>
      <c r="AL118" t="inlineStr"/>
      <c r="AM118" t="inlineStr"/>
    </row>
    <row r="119">
      <c r="A119" t="inlineStr">
        <is>
          <t>085911B</t>
        </is>
      </c>
      <c r="B119" t="inlineStr">
        <is>
          <t>Bachelor of Engineering (Honours)/Master of Biomedical Engineering</t>
        </is>
      </c>
      <c r="C119" t="inlineStr">
        <is>
          <t>Masters Degree (Coursework)</t>
        </is>
      </c>
      <c r="D119" t="inlineStr">
        <is>
          <t>Postgraduate coursework</t>
        </is>
      </c>
      <c r="E119" t="inlineStr">
        <is>
          <t>Advertised: official page in place</t>
        </is>
      </c>
      <c r="F119" t="inlineStr">
        <is>
          <t>https://www.unsw.edu.au/study/undergraduate/bachelor-of-engineering-honours-master-of-biomedical-engineering</t>
        </is>
      </c>
      <c r="G119" t="inlineStr">
        <is>
          <t>https://www.unsw.edu.au/study/undergraduate/bachelor-of-engineering-honours-master-of-biomedical-engineering</t>
        </is>
      </c>
      <c r="H119" t="inlineStr">
        <is>
          <t>Read</t>
        </is>
      </c>
      <c r="I119" t="inlineStr">
        <is>
          <t>CRICOS code on page</t>
        </is>
      </c>
      <c r="J119" t="inlineStr"/>
      <c r="K119" t="inlineStr">
        <is>
          <t>Not sent to re-link</t>
        </is>
      </c>
      <c r="L119" t="inlineStr">
        <is>
          <t>Filled</t>
        </is>
      </c>
      <c r="M119" t="inlineStr">
        <is>
          <t>Filled</t>
        </is>
      </c>
      <c r="N119" t="inlineStr">
        <is>
          <t>62000.00 2026</t>
        </is>
      </c>
      <c r="O119" t="n">
        <v>0</v>
      </c>
      <c r="P119" t="inlineStr">
        <is>
          <t>University adapter</t>
        </is>
      </c>
      <c r="Q119" t="inlineStr">
        <is>
          <t>Not stated on course page</t>
        </is>
      </c>
      <c r="S119" t="inlineStr"/>
      <c r="T119" t="inlineStr">
        <is>
          <t>Held: double degree (its parts are at different levels)</t>
        </is>
      </c>
      <c r="U119" t="inlineStr"/>
      <c r="V119" t="inlineStr">
        <is>
          <t>Filled</t>
        </is>
      </c>
      <c r="W119" t="inlineStr">
        <is>
          <t>February, May, September</t>
        </is>
      </c>
      <c r="X119" t="inlineStr">
        <is>
          <t>University adapter</t>
        </is>
      </c>
      <c r="Y119" t="n">
        <v>0</v>
      </c>
      <c r="Z119" t="inlineStr">
        <is>
          <t>No</t>
        </is>
      </c>
      <c r="AA119" t="inlineStr">
        <is>
          <t>Filled</t>
        </is>
      </c>
      <c r="AB119" t="inlineStr">
        <is>
          <t>on campus</t>
        </is>
      </c>
      <c r="AC119" t="inlineStr"/>
      <c r="AD119" t="n">
        <v>0</v>
      </c>
      <c r="AE119" t="inlineStr"/>
      <c r="AF119" t="inlineStr"/>
      <c r="AG119" t="inlineStr"/>
      <c r="AH119" t="inlineStr"/>
      <c r="AI119" t="inlineStr"/>
      <c r="AJ119" t="inlineStr">
        <is>
          <t>Yes</t>
        </is>
      </c>
      <c r="AK119" t="inlineStr"/>
      <c r="AL119" t="inlineStr"/>
      <c r="AM119" t="inlineStr"/>
    </row>
    <row r="120">
      <c r="A120" t="inlineStr">
        <is>
          <t>088841J</t>
        </is>
      </c>
      <c r="B120" t="inlineStr">
        <is>
          <t>Bachelor of Engineering (Honours)/Master of Engineering (Electrical Engineering)</t>
        </is>
      </c>
      <c r="C120" t="inlineStr">
        <is>
          <t>Masters Degree (Coursework)</t>
        </is>
      </c>
      <c r="D120" t="inlineStr">
        <is>
          <t>Postgraduate coursework</t>
        </is>
      </c>
      <c r="E120" t="inlineStr">
        <is>
          <t>Advertised: official page in place</t>
        </is>
      </c>
      <c r="F120" t="inlineStr">
        <is>
          <t>https://www.unsw.edu.au/study/undergraduate/bachelor-of-engineering-honours-master-of-electrical-engineering</t>
        </is>
      </c>
      <c r="G120" t="inlineStr">
        <is>
          <t>https://www.unsw.edu.au/study/undergraduate/bachelor-of-engineering-honours-master-of-electrical-engineering</t>
        </is>
      </c>
      <c r="H120" t="inlineStr">
        <is>
          <t>Read</t>
        </is>
      </c>
      <c r="I120" t="inlineStr">
        <is>
          <t>CRICOS code on page</t>
        </is>
      </c>
      <c r="J120" t="inlineStr"/>
      <c r="K120" t="inlineStr">
        <is>
          <t>Not sent to re-link</t>
        </is>
      </c>
      <c r="L120" t="inlineStr">
        <is>
          <t>Filled</t>
        </is>
      </c>
      <c r="M120" t="inlineStr">
        <is>
          <t>Filled</t>
        </is>
      </c>
      <c r="N120" t="inlineStr">
        <is>
          <t>61500.00 2026</t>
        </is>
      </c>
      <c r="O120" t="n">
        <v>0</v>
      </c>
      <c r="P120" t="inlineStr">
        <is>
          <t>University adapter</t>
        </is>
      </c>
      <c r="Q120" t="inlineStr">
        <is>
          <t>Waiting for AI reading (Layer 3, now retired)</t>
        </is>
      </c>
      <c r="S120" t="inlineStr"/>
      <c r="T120" t="inlineStr">
        <is>
          <t>Held: double degree (its parts are at different levels)</t>
        </is>
      </c>
      <c r="U120" t="inlineStr"/>
      <c r="V120" t="inlineStr">
        <is>
          <t>Filled</t>
        </is>
      </c>
      <c r="W120" t="inlineStr">
        <is>
          <t>February, September</t>
        </is>
      </c>
      <c r="X120" t="inlineStr">
        <is>
          <t>University adapter</t>
        </is>
      </c>
      <c r="Y120" t="n">
        <v>0</v>
      </c>
      <c r="Z120" t="inlineStr">
        <is>
          <t>No</t>
        </is>
      </c>
      <c r="AA120" t="inlineStr">
        <is>
          <t>Filled</t>
        </is>
      </c>
      <c r="AB120" t="inlineStr">
        <is>
          <t>on campus</t>
        </is>
      </c>
      <c r="AC120" t="inlineStr"/>
      <c r="AD120" t="n">
        <v>0</v>
      </c>
      <c r="AE120" t="inlineStr"/>
      <c r="AF120" t="inlineStr"/>
      <c r="AG120" t="inlineStr">
        <is>
          <t>Yes</t>
        </is>
      </c>
      <c r="AH120" t="inlineStr"/>
      <c r="AI120" t="inlineStr"/>
      <c r="AJ120" t="inlineStr">
        <is>
          <t>Yes</t>
        </is>
      </c>
      <c r="AK120" t="inlineStr"/>
      <c r="AL120" t="inlineStr"/>
      <c r="AM120" t="inlineStr"/>
    </row>
    <row r="121">
      <c r="A121" t="inlineStr">
        <is>
          <t>042705G</t>
        </is>
      </c>
      <c r="B121" t="inlineStr">
        <is>
          <t>Bachelor of Engineering (Materials Science and Engineering All Specialisations)</t>
        </is>
      </c>
      <c r="C121" t="inlineStr">
        <is>
          <t>Bachelor</t>
        </is>
      </c>
      <c r="D121" t="inlineStr">
        <is>
          <t>Undergraduate</t>
        </is>
      </c>
      <c r="E121" t="inlineStr">
        <is>
          <t>Held: page found is for another course</t>
        </is>
      </c>
      <c r="F121" t="inlineStr"/>
      <c r="G121" t="inlineStr">
        <is>
          <t>https://www.unsw.edu.au/study/undergraduate/bachelor-of-engineering-and-materials-science-honours-commerce</t>
        </is>
      </c>
      <c r="H121" t="inlineStr">
        <is>
          <t>Page is for another course</t>
        </is>
      </c>
      <c r="I121" t="inlineStr"/>
      <c r="J121" t="inlineStr"/>
      <c r="K121" t="inlineStr">
        <is>
          <t>Finished, no page: no address from the university's address forms or stored lis</t>
        </is>
      </c>
      <c r="L121" t="inlineStr">
        <is>
          <t>Searching for course page</t>
        </is>
      </c>
      <c r="M121" t="inlineStr">
        <is>
          <t>Searching for course page</t>
        </is>
      </c>
      <c r="N121" t="inlineStr"/>
      <c r="O121" t="n">
        <v>0</v>
      </c>
      <c r="P121" t="inlineStr"/>
      <c r="Q121" t="inlineStr">
        <is>
          <t>Filled</t>
        </is>
      </c>
      <c r="R121" t="n">
        <v>6</v>
      </c>
      <c r="S121" t="inlineStr">
        <is>
          <t>Central English policy</t>
        </is>
      </c>
      <c r="T121" t="inlineStr">
        <is>
          <t>Central rule applies (value agrees)</t>
        </is>
      </c>
      <c r="U121" t="inlineStr"/>
      <c r="V121" t="inlineStr">
        <is>
          <t>Searching for course page</t>
        </is>
      </c>
      <c r="W121" t="inlineStr"/>
      <c r="X121" t="inlineStr"/>
      <c r="Y121" t="n">
        <v>0</v>
      </c>
      <c r="Z121" t="inlineStr">
        <is>
          <t>Yes</t>
        </is>
      </c>
      <c r="AA121" t="inlineStr">
        <is>
          <t>Not stated on course page</t>
        </is>
      </c>
      <c r="AB121" t="inlineStr"/>
      <c r="AC121" t="inlineStr">
        <is>
          <t>Skipped: no correct course page: the page found is for another course</t>
        </is>
      </c>
      <c r="AD121" t="n">
        <v>1</v>
      </c>
      <c r="AE121" t="inlineStr"/>
      <c r="AF121" t="inlineStr"/>
      <c r="AG121" t="inlineStr"/>
      <c r="AH121" t="inlineStr"/>
      <c r="AI121" t="inlineStr"/>
      <c r="AJ121" t="inlineStr"/>
      <c r="AK121" t="inlineStr"/>
      <c r="AL121" t="inlineStr"/>
      <c r="AM121" t="inlineStr"/>
    </row>
    <row r="122">
      <c r="A122" t="inlineStr">
        <is>
          <t>042704J</t>
        </is>
      </c>
      <c r="B122" t="inlineStr">
        <is>
          <t>Bachelor of Engineering (Materials Science and Engineering All specialisations) / Master of Biomedical Engineering</t>
        </is>
      </c>
      <c r="C122" t="inlineStr">
        <is>
          <t>Masters Degree (Coursework)</t>
        </is>
      </c>
      <c r="D122" t="inlineStr">
        <is>
          <t>Postgraduate coursework</t>
        </is>
      </c>
      <c r="E122" t="inlineStr">
        <is>
          <t>No-page record (conjoint), awaiting review</t>
        </is>
      </c>
      <c r="F122" t="inlineStr"/>
      <c r="G122" t="inlineStr">
        <is>
          <t>https://www.handbook.unsw.edu.au/postgraduate/programs/2026/3133</t>
        </is>
      </c>
      <c r="H122" t="inlineStr">
        <is>
          <t>Page is for another course</t>
        </is>
      </c>
      <c r="I122" t="inlineStr"/>
      <c r="J122" t="inlineStr">
        <is>
          <t>Conjoint (proposed)</t>
        </is>
      </c>
      <c r="K122" t="inlineStr">
        <is>
          <t>Finished, no page: no address from the university's address forms or stored lis</t>
        </is>
      </c>
      <c r="L122" t="inlineStr">
        <is>
          <t>Searching for course page</t>
        </is>
      </c>
      <c r="M122" t="inlineStr">
        <is>
          <t>Searching for course page</t>
        </is>
      </c>
      <c r="N122" t="inlineStr"/>
      <c r="O122" t="n">
        <v>0</v>
      </c>
      <c r="P122" t="inlineStr"/>
      <c r="Q122" t="inlineStr">
        <is>
          <t>Searching for course page</t>
        </is>
      </c>
      <c r="S122" t="inlineStr"/>
      <c r="T122" t="inlineStr">
        <is>
          <t>Held: double degree (its parts are at different levels)</t>
        </is>
      </c>
      <c r="U122" t="inlineStr"/>
      <c r="V122" t="inlineStr">
        <is>
          <t>Searching for course page</t>
        </is>
      </c>
      <c r="W122" t="inlineStr"/>
      <c r="X122" t="inlineStr"/>
      <c r="Y122" t="n">
        <v>0</v>
      </c>
      <c r="Z122" t="inlineStr">
        <is>
          <t>No</t>
        </is>
      </c>
      <c r="AA122" t="inlineStr">
        <is>
          <t>Not stated on course page</t>
        </is>
      </c>
      <c r="AB122" t="inlineStr"/>
      <c r="AC122" t="inlineStr">
        <is>
          <t>Skipped: no correct course page: the page found is for another course</t>
        </is>
      </c>
      <c r="AD122" t="n">
        <v>1</v>
      </c>
      <c r="AE122" t="inlineStr"/>
      <c r="AF122" t="inlineStr"/>
      <c r="AG122" t="inlineStr"/>
      <c r="AH122" t="inlineStr"/>
      <c r="AI122" t="inlineStr"/>
      <c r="AJ122" t="inlineStr">
        <is>
          <t>Yes</t>
        </is>
      </c>
      <c r="AK122" t="inlineStr"/>
      <c r="AL122" t="inlineStr"/>
      <c r="AM122" t="inlineStr">
        <is>
          <t>Yes</t>
        </is>
      </c>
    </row>
    <row r="123">
      <c r="A123" t="inlineStr">
        <is>
          <t>067602J</t>
        </is>
      </c>
      <c r="B123" t="inlineStr">
        <is>
          <t>Bachelor of Engineering Science</t>
        </is>
      </c>
      <c r="C123" t="inlineStr">
        <is>
          <t>Bachelor</t>
        </is>
      </c>
      <c r="D123" t="inlineStr">
        <is>
          <t>Undergraduate</t>
        </is>
      </c>
      <c r="E123" t="inlineStr">
        <is>
          <t>Advertised: official page in place</t>
        </is>
      </c>
      <c r="F123" t="inlineStr">
        <is>
          <t>https://www.handbook.unsw.edu.au/undergraduate/programs/2026/3706</t>
        </is>
      </c>
      <c r="G123" t="inlineStr">
        <is>
          <t>https://www.handbook.unsw.edu.au/undergraduate/programs/2026/3706</t>
        </is>
      </c>
      <c r="H123" t="inlineStr">
        <is>
          <t>Read</t>
        </is>
      </c>
      <c r="I123" t="inlineStr">
        <is>
          <t>CRICOS code on page</t>
        </is>
      </c>
      <c r="J123" t="inlineStr"/>
      <c r="K123" t="inlineStr">
        <is>
          <t>Not sent to re-link</t>
        </is>
      </c>
      <c r="L123" t="inlineStr">
        <is>
          <t>Filled</t>
        </is>
      </c>
      <c r="M123" t="inlineStr">
        <is>
          <t>Not stated on course page</t>
        </is>
      </c>
      <c r="N123" t="inlineStr"/>
      <c r="O123" t="n">
        <v>0</v>
      </c>
      <c r="P123" t="inlineStr"/>
      <c r="Q123" t="inlineStr">
        <is>
          <t>Filled</t>
        </is>
      </c>
      <c r="R123" t="n">
        <v>6</v>
      </c>
      <c r="S123" t="inlineStr">
        <is>
          <t>Central English policy</t>
        </is>
      </c>
      <c r="T123" t="inlineStr">
        <is>
          <t>Central rule applies (value agrees)</t>
        </is>
      </c>
      <c r="U123" t="inlineStr"/>
      <c r="V123" t="inlineStr">
        <is>
          <t>Filled</t>
        </is>
      </c>
      <c r="W123" t="inlineStr">
        <is>
          <t>February, May, September</t>
        </is>
      </c>
      <c r="X123" t="inlineStr">
        <is>
          <t>University adapter</t>
        </is>
      </c>
      <c r="Y123" t="n">
        <v>0</v>
      </c>
      <c r="Z123" t="inlineStr">
        <is>
          <t>Yes</t>
        </is>
      </c>
      <c r="AA123" t="inlineStr">
        <is>
          <t>Filled</t>
        </is>
      </c>
      <c r="AB123" t="inlineStr">
        <is>
          <t>on campus</t>
        </is>
      </c>
      <c r="AC123" t="inlineStr"/>
      <c r="AD123" t="n">
        <v>0</v>
      </c>
      <c r="AE123" t="inlineStr"/>
      <c r="AF123" t="inlineStr"/>
      <c r="AG123" t="inlineStr"/>
      <c r="AH123" t="inlineStr"/>
      <c r="AI123" t="inlineStr"/>
      <c r="AJ123" t="inlineStr"/>
      <c r="AK123" t="inlineStr"/>
      <c r="AL123" t="inlineStr"/>
      <c r="AM123" t="inlineStr"/>
    </row>
    <row r="124">
      <c r="A124" t="inlineStr">
        <is>
          <t>103150G</t>
        </is>
      </c>
      <c r="B124" t="inlineStr">
        <is>
          <t>Bachelor of Engineering Science/Bachelor of Arts</t>
        </is>
      </c>
      <c r="C124" t="inlineStr">
        <is>
          <t>Bachelor</t>
        </is>
      </c>
      <c r="D124" t="inlineStr">
        <is>
          <t>Undergraduate</t>
        </is>
      </c>
      <c r="E124" t="inlineStr">
        <is>
          <t>No-page record (conjoint), awaiting review</t>
        </is>
      </c>
      <c r="F124" t="inlineStr"/>
      <c r="G124" t="inlineStr">
        <is>
          <t>https://www.handbook.unsw.edu.au/undergraduate/programs/2026/3732</t>
        </is>
      </c>
      <c r="H124" t="inlineStr">
        <is>
          <t>Page is for another course</t>
        </is>
      </c>
      <c r="I124" t="inlineStr"/>
      <c r="J124" t="inlineStr">
        <is>
          <t>Conjoint (proposed)</t>
        </is>
      </c>
      <c r="K124" t="inlineStr">
        <is>
          <t>Finished, no page: no address from the university's address forms or stored lis</t>
        </is>
      </c>
      <c r="L124" t="inlineStr">
        <is>
          <t>Searching for course page</t>
        </is>
      </c>
      <c r="M124" t="inlineStr">
        <is>
          <t>Searching for course page</t>
        </is>
      </c>
      <c r="N124" t="inlineStr"/>
      <c r="O124" t="n">
        <v>0</v>
      </c>
      <c r="P124" t="inlineStr"/>
      <c r="Q124" t="inlineStr">
        <is>
          <t>Filled</t>
        </is>
      </c>
      <c r="R124" t="n">
        <v>6</v>
      </c>
      <c r="S124" t="inlineStr">
        <is>
          <t>Central English policy</t>
        </is>
      </c>
      <c r="T124" t="inlineStr">
        <is>
          <t>Central rule applies (value agrees)</t>
        </is>
      </c>
      <c r="U124" t="inlineStr"/>
      <c r="V124" t="inlineStr">
        <is>
          <t>Searching for course page</t>
        </is>
      </c>
      <c r="W124" t="inlineStr"/>
      <c r="X124" t="inlineStr"/>
      <c r="Y124" t="n">
        <v>0</v>
      </c>
      <c r="Z124" t="inlineStr">
        <is>
          <t>Yes</t>
        </is>
      </c>
      <c r="AA124" t="inlineStr">
        <is>
          <t>Not stated on course page</t>
        </is>
      </c>
      <c r="AB124" t="inlineStr"/>
      <c r="AC124" t="inlineStr">
        <is>
          <t>Skipped: no correct course page: the page found is for another course</t>
        </is>
      </c>
      <c r="AD124" t="n">
        <v>0</v>
      </c>
      <c r="AE124" t="inlineStr"/>
      <c r="AF124" t="inlineStr"/>
      <c r="AG124" t="inlineStr"/>
      <c r="AH124" t="inlineStr"/>
      <c r="AI124" t="inlineStr"/>
      <c r="AJ124" t="inlineStr"/>
      <c r="AK124" t="inlineStr"/>
      <c r="AL124" t="inlineStr"/>
      <c r="AM124" t="inlineStr">
        <is>
          <t>Yes</t>
        </is>
      </c>
    </row>
    <row r="125">
      <c r="A125" t="inlineStr">
        <is>
          <t>103148A</t>
        </is>
      </c>
      <c r="B125" t="inlineStr">
        <is>
          <t>Bachelor of Engineering Science/Bachelor of Commerce</t>
        </is>
      </c>
      <c r="C125" t="inlineStr">
        <is>
          <t>Bachelor</t>
        </is>
      </c>
      <c r="D125" t="inlineStr">
        <is>
          <t>Undergraduate</t>
        </is>
      </c>
      <c r="E125" t="inlineStr">
        <is>
          <t>No-page record (conjoint), awaiting review</t>
        </is>
      </c>
      <c r="F125" t="inlineStr"/>
      <c r="G125" t="inlineStr">
        <is>
          <t>https://www.handbook.unsw.edu.au/undergraduate/programs/2026/3734</t>
        </is>
      </c>
      <c r="H125" t="inlineStr">
        <is>
          <t>Page is for another course</t>
        </is>
      </c>
      <c r="I125" t="inlineStr"/>
      <c r="J125" t="inlineStr">
        <is>
          <t>Conjoint (proposed)</t>
        </is>
      </c>
      <c r="K125" t="inlineStr">
        <is>
          <t>Finished, no page: no address from the university's address forms or stored lis</t>
        </is>
      </c>
      <c r="L125" t="inlineStr">
        <is>
          <t>Searching for course page</t>
        </is>
      </c>
      <c r="M125" t="inlineStr">
        <is>
          <t>Searching for course page</t>
        </is>
      </c>
      <c r="N125" t="inlineStr"/>
      <c r="O125" t="n">
        <v>0</v>
      </c>
      <c r="P125" t="inlineStr"/>
      <c r="Q125" t="inlineStr">
        <is>
          <t>Filled</t>
        </is>
      </c>
      <c r="R125" t="n">
        <v>6</v>
      </c>
      <c r="S125" t="inlineStr">
        <is>
          <t>Central English policy</t>
        </is>
      </c>
      <c r="T125" t="inlineStr">
        <is>
          <t>Central rule applies (value agrees)</t>
        </is>
      </c>
      <c r="U125" t="inlineStr"/>
      <c r="V125" t="inlineStr">
        <is>
          <t>Searching for course page</t>
        </is>
      </c>
      <c r="W125" t="inlineStr"/>
      <c r="X125" t="inlineStr"/>
      <c r="Y125" t="n">
        <v>0</v>
      </c>
      <c r="Z125" t="inlineStr">
        <is>
          <t>Yes</t>
        </is>
      </c>
      <c r="AA125" t="inlineStr">
        <is>
          <t>Not stated on course page</t>
        </is>
      </c>
      <c r="AB125" t="inlineStr"/>
      <c r="AC125" t="inlineStr">
        <is>
          <t>Skipped: no correct course page: the page found is for another course</t>
        </is>
      </c>
      <c r="AD125" t="n">
        <v>0</v>
      </c>
      <c r="AE125" t="inlineStr"/>
      <c r="AF125" t="inlineStr"/>
      <c r="AG125" t="inlineStr"/>
      <c r="AH125" t="inlineStr"/>
      <c r="AI125" t="inlineStr"/>
      <c r="AJ125" t="inlineStr"/>
      <c r="AK125" t="inlineStr"/>
      <c r="AL125" t="inlineStr"/>
      <c r="AM125" t="inlineStr">
        <is>
          <t>Yes</t>
        </is>
      </c>
    </row>
    <row r="126">
      <c r="A126" t="inlineStr">
        <is>
          <t>103149M</t>
        </is>
      </c>
      <c r="B126" t="inlineStr">
        <is>
          <t>Bachelor of Engineering Science/Bachelor of Computer Science</t>
        </is>
      </c>
      <c r="C126" t="inlineStr">
        <is>
          <t>Bachelor</t>
        </is>
      </c>
      <c r="D126" t="inlineStr">
        <is>
          <t>Undergraduate</t>
        </is>
      </c>
      <c r="E126" t="inlineStr">
        <is>
          <t>Advertised: official page in place</t>
        </is>
      </c>
      <c r="F126" t="inlineStr">
        <is>
          <t>https://www.handbook.unsw.edu.au/undergraduate/programs/2026/3738</t>
        </is>
      </c>
      <c r="G126" t="inlineStr">
        <is>
          <t>https://www.handbook.unsw.edu.au/undergraduate/programs/2026/3738</t>
        </is>
      </c>
      <c r="H126" t="inlineStr">
        <is>
          <t>Read</t>
        </is>
      </c>
      <c r="I126" t="inlineStr">
        <is>
          <t>CRICOS code on page</t>
        </is>
      </c>
      <c r="J126" t="inlineStr"/>
      <c r="K126" t="inlineStr">
        <is>
          <t>Not sent to re-link</t>
        </is>
      </c>
      <c r="L126" t="inlineStr">
        <is>
          <t>Filled</t>
        </is>
      </c>
      <c r="M126" t="inlineStr">
        <is>
          <t>Not stated on course page</t>
        </is>
      </c>
      <c r="N126" t="inlineStr"/>
      <c r="O126" t="n">
        <v>0</v>
      </c>
      <c r="P126" t="inlineStr"/>
      <c r="Q126" t="inlineStr">
        <is>
          <t>Filled</t>
        </is>
      </c>
      <c r="R126" t="n">
        <v>6</v>
      </c>
      <c r="S126" t="inlineStr">
        <is>
          <t>Central English policy</t>
        </is>
      </c>
      <c r="T126" t="inlineStr">
        <is>
          <t>Central rule applies (value agrees)</t>
        </is>
      </c>
      <c r="U126" t="inlineStr"/>
      <c r="V126" t="inlineStr">
        <is>
          <t>Filled</t>
        </is>
      </c>
      <c r="W126" t="inlineStr">
        <is>
          <t>February, May, September</t>
        </is>
      </c>
      <c r="X126" t="inlineStr">
        <is>
          <t>University adapter</t>
        </is>
      </c>
      <c r="Y126" t="n">
        <v>0</v>
      </c>
      <c r="Z126" t="inlineStr">
        <is>
          <t>Yes</t>
        </is>
      </c>
      <c r="AA126" t="inlineStr">
        <is>
          <t>Filled</t>
        </is>
      </c>
      <c r="AB126" t="inlineStr">
        <is>
          <t>on campus</t>
        </is>
      </c>
      <c r="AC126" t="inlineStr"/>
      <c r="AD126" t="n">
        <v>0</v>
      </c>
      <c r="AE126" t="inlineStr"/>
      <c r="AF126" t="inlineStr"/>
      <c r="AG126" t="inlineStr"/>
      <c r="AH126" t="inlineStr"/>
      <c r="AI126" t="inlineStr"/>
      <c r="AJ126" t="inlineStr"/>
      <c r="AK126" t="inlineStr"/>
      <c r="AL126" t="inlineStr"/>
      <c r="AM126" t="inlineStr"/>
    </row>
    <row r="127">
      <c r="A127" t="inlineStr">
        <is>
          <t>103146C</t>
        </is>
      </c>
      <c r="B127" t="inlineStr">
        <is>
          <t>Bachelor of Engineering Science/Bachelor of Science</t>
        </is>
      </c>
      <c r="C127" t="inlineStr">
        <is>
          <t>Bachelor</t>
        </is>
      </c>
      <c r="D127" t="inlineStr">
        <is>
          <t>Undergraduate</t>
        </is>
      </c>
      <c r="E127" t="inlineStr">
        <is>
          <t>No-page record (conjoint), awaiting review</t>
        </is>
      </c>
      <c r="F127" t="inlineStr"/>
      <c r="G127" t="inlineStr">
        <is>
          <t>https://www.handbook.unsw.edu.au/undergraduate/programs/2026/3733</t>
        </is>
      </c>
      <c r="H127" t="inlineStr">
        <is>
          <t>Page is for another course</t>
        </is>
      </c>
      <c r="I127" t="inlineStr"/>
      <c r="J127" t="inlineStr">
        <is>
          <t>Conjoint (proposed)</t>
        </is>
      </c>
      <c r="K127" t="inlineStr">
        <is>
          <t>Finished, no page: no address from the university's address forms or stored lis</t>
        </is>
      </c>
      <c r="L127" t="inlineStr">
        <is>
          <t>Searching for course page</t>
        </is>
      </c>
      <c r="M127" t="inlineStr">
        <is>
          <t>Searching for course page</t>
        </is>
      </c>
      <c r="N127" t="inlineStr"/>
      <c r="O127" t="n">
        <v>0</v>
      </c>
      <c r="P127" t="inlineStr"/>
      <c r="Q127" t="inlineStr">
        <is>
          <t>Filled</t>
        </is>
      </c>
      <c r="R127" t="n">
        <v>6</v>
      </c>
      <c r="S127" t="inlineStr">
        <is>
          <t>Central English policy</t>
        </is>
      </c>
      <c r="T127" t="inlineStr">
        <is>
          <t>Central rule applies (value agrees)</t>
        </is>
      </c>
      <c r="U127" t="inlineStr"/>
      <c r="V127" t="inlineStr">
        <is>
          <t>Searching for course page</t>
        </is>
      </c>
      <c r="W127" t="inlineStr"/>
      <c r="X127" t="inlineStr"/>
      <c r="Y127" t="n">
        <v>0</v>
      </c>
      <c r="Z127" t="inlineStr">
        <is>
          <t>Yes</t>
        </is>
      </c>
      <c r="AA127" t="inlineStr">
        <is>
          <t>Not stated on course page</t>
        </is>
      </c>
      <c r="AB127" t="inlineStr"/>
      <c r="AC127" t="inlineStr">
        <is>
          <t>Skipped: no correct course page: the page found is for another course</t>
        </is>
      </c>
      <c r="AD127" t="n">
        <v>0</v>
      </c>
      <c r="AE127" t="inlineStr"/>
      <c r="AF127" t="inlineStr"/>
      <c r="AG127" t="inlineStr"/>
      <c r="AH127" t="inlineStr"/>
      <c r="AI127" t="inlineStr"/>
      <c r="AJ127" t="inlineStr"/>
      <c r="AK127" t="inlineStr"/>
      <c r="AL127" t="inlineStr"/>
      <c r="AM127" t="inlineStr">
        <is>
          <t>Yes</t>
        </is>
      </c>
    </row>
    <row r="128">
      <c r="A128" t="inlineStr">
        <is>
          <t>080468A</t>
        </is>
      </c>
      <c r="B128" t="inlineStr">
        <is>
          <t>Bachelor of Environmental Management</t>
        </is>
      </c>
      <c r="C128" t="inlineStr">
        <is>
          <t>Bachelor</t>
        </is>
      </c>
      <c r="D128" t="inlineStr">
        <is>
          <t>Undergraduate</t>
        </is>
      </c>
      <c r="E128" t="inlineStr">
        <is>
          <t>Advertised: official page in place</t>
        </is>
      </c>
      <c r="F128" t="inlineStr">
        <is>
          <t>https://www.unsw.edu.au/study/undergraduate/bachelor-of-environmental-management</t>
        </is>
      </c>
      <c r="G128" t="inlineStr">
        <is>
          <t>https://www.unsw.edu.au/study/undergraduate/bachelor-of-environmental-management</t>
        </is>
      </c>
      <c r="H128" t="inlineStr">
        <is>
          <t>Read</t>
        </is>
      </c>
      <c r="I128" t="inlineStr">
        <is>
          <t>CRICOS code on page</t>
        </is>
      </c>
      <c r="J128" t="inlineStr"/>
      <c r="K128" t="inlineStr">
        <is>
          <t>Not sent to re-link</t>
        </is>
      </c>
      <c r="L128" t="inlineStr">
        <is>
          <t>Filled</t>
        </is>
      </c>
      <c r="M128" t="inlineStr">
        <is>
          <t>Filled</t>
        </is>
      </c>
      <c r="N128" t="inlineStr">
        <is>
          <t>60500.00 2026</t>
        </is>
      </c>
      <c r="O128" t="n">
        <v>0</v>
      </c>
      <c r="P128" t="inlineStr">
        <is>
          <t>University adapter</t>
        </is>
      </c>
      <c r="Q128" t="inlineStr">
        <is>
          <t>Filled</t>
        </is>
      </c>
      <c r="R128" t="n">
        <v>6</v>
      </c>
      <c r="S128" t="inlineStr">
        <is>
          <t>Central English policy</t>
        </is>
      </c>
      <c r="T128" t="inlineStr">
        <is>
          <t>Central rule applies (value agrees)</t>
        </is>
      </c>
      <c r="U128" t="inlineStr"/>
      <c r="V128" t="inlineStr">
        <is>
          <t>Filled</t>
        </is>
      </c>
      <c r="W128" t="inlineStr">
        <is>
          <t>February, May, September</t>
        </is>
      </c>
      <c r="X128" t="inlineStr">
        <is>
          <t>University adapter</t>
        </is>
      </c>
      <c r="Y128" t="n">
        <v>0</v>
      </c>
      <c r="Z128" t="inlineStr">
        <is>
          <t>Yes</t>
        </is>
      </c>
      <c r="AA128" t="inlineStr">
        <is>
          <t>Filled</t>
        </is>
      </c>
      <c r="AB128" t="inlineStr">
        <is>
          <t>on campus</t>
        </is>
      </c>
      <c r="AC128" t="inlineStr"/>
      <c r="AD128" t="n">
        <v>0</v>
      </c>
      <c r="AE128" t="inlineStr"/>
      <c r="AF128" t="inlineStr"/>
      <c r="AG128" t="inlineStr"/>
      <c r="AH128" t="inlineStr"/>
      <c r="AI128" t="inlineStr"/>
      <c r="AJ128" t="inlineStr"/>
      <c r="AK128" t="inlineStr"/>
      <c r="AL128" t="inlineStr"/>
      <c r="AM128" t="inlineStr"/>
    </row>
    <row r="129">
      <c r="A129" t="inlineStr">
        <is>
          <t>081121J</t>
        </is>
      </c>
      <c r="B129" t="inlineStr">
        <is>
          <t>Bachelor of Environmental Management/Bachelor of Arts</t>
        </is>
      </c>
      <c r="C129" t="inlineStr">
        <is>
          <t>Bachelor</t>
        </is>
      </c>
      <c r="D129" t="inlineStr">
        <is>
          <t>Undergraduate</t>
        </is>
      </c>
      <c r="E129" t="inlineStr">
        <is>
          <t>Advertised: official page in place</t>
        </is>
      </c>
      <c r="F129" t="inlineStr">
        <is>
          <t>https://www.unsw.edu.au/study/undergraduate/bachelor-of-environmental-management-arts</t>
        </is>
      </c>
      <c r="G129" t="inlineStr">
        <is>
          <t>https://www.unsw.edu.au/study/undergraduate/bachelor-of-environmental-management-arts</t>
        </is>
      </c>
      <c r="H129" t="inlineStr">
        <is>
          <t>Read</t>
        </is>
      </c>
      <c r="I129" t="inlineStr">
        <is>
          <t>CRICOS code on page</t>
        </is>
      </c>
      <c r="J129" t="inlineStr"/>
      <c r="K129" t="inlineStr">
        <is>
          <t>Not sent to re-link</t>
        </is>
      </c>
      <c r="L129" t="inlineStr">
        <is>
          <t>Filled</t>
        </is>
      </c>
      <c r="M129" t="inlineStr">
        <is>
          <t>Filled</t>
        </is>
      </c>
      <c r="N129" t="inlineStr">
        <is>
          <t>62000.00 2026</t>
        </is>
      </c>
      <c r="O129" t="n">
        <v>0</v>
      </c>
      <c r="P129" t="inlineStr">
        <is>
          <t>University adapter</t>
        </is>
      </c>
      <c r="Q129" t="inlineStr">
        <is>
          <t>Filled</t>
        </is>
      </c>
      <c r="R129" t="n">
        <v>6</v>
      </c>
      <c r="S129" t="inlineStr">
        <is>
          <t>Central English policy</t>
        </is>
      </c>
      <c r="T129" t="inlineStr">
        <is>
          <t>Central rule applies (value agrees)</t>
        </is>
      </c>
      <c r="U129" t="inlineStr"/>
      <c r="V129" t="inlineStr">
        <is>
          <t>Filled</t>
        </is>
      </c>
      <c r="W129" t="inlineStr">
        <is>
          <t>February, May, September</t>
        </is>
      </c>
      <c r="X129" t="inlineStr">
        <is>
          <t>University adapter</t>
        </is>
      </c>
      <c r="Y129" t="n">
        <v>0</v>
      </c>
      <c r="Z129" t="inlineStr">
        <is>
          <t>Yes</t>
        </is>
      </c>
      <c r="AA129" t="inlineStr">
        <is>
          <t>Filled</t>
        </is>
      </c>
      <c r="AB129" t="inlineStr">
        <is>
          <t>on campus</t>
        </is>
      </c>
      <c r="AC129" t="inlineStr"/>
      <c r="AD129" t="n">
        <v>0</v>
      </c>
      <c r="AE129" t="inlineStr"/>
      <c r="AF129" t="inlineStr"/>
      <c r="AG129" t="inlineStr"/>
      <c r="AH129" t="inlineStr"/>
      <c r="AI129" t="inlineStr"/>
      <c r="AJ129" t="inlineStr"/>
      <c r="AK129" t="inlineStr"/>
      <c r="AL129" t="inlineStr"/>
      <c r="AM129" t="inlineStr"/>
    </row>
    <row r="130">
      <c r="A130" t="inlineStr">
        <is>
          <t>068784A</t>
        </is>
      </c>
      <c r="B130" t="inlineStr">
        <is>
          <t>Bachelor of Exercise Physiology</t>
        </is>
      </c>
      <c r="C130" t="inlineStr">
        <is>
          <t>Bachelor</t>
        </is>
      </c>
      <c r="D130" t="inlineStr">
        <is>
          <t>Undergraduate</t>
        </is>
      </c>
      <c r="E130" t="inlineStr">
        <is>
          <t>Page address no longer works</t>
        </is>
      </c>
      <c r="F130" t="inlineStr"/>
      <c r="G130" t="inlineStr">
        <is>
          <t>https://www.handbook.unsw.edu.au/undergraduate/programs/2026/3871</t>
        </is>
      </c>
      <c r="H130" t="inlineStr">
        <is>
          <t>Address no longer works</t>
        </is>
      </c>
      <c r="I130" t="inlineStr"/>
      <c r="J130" t="inlineStr"/>
      <c r="K130" t="inlineStr">
        <is>
          <t>Not sent to re-link</t>
        </is>
      </c>
      <c r="L130" t="inlineStr">
        <is>
          <t>Page found, being read</t>
        </is>
      </c>
      <c r="M130" t="inlineStr">
        <is>
          <t>Page found, being read</t>
        </is>
      </c>
      <c r="N130" t="inlineStr"/>
      <c r="O130" t="n">
        <v>0</v>
      </c>
      <c r="P130" t="inlineStr"/>
      <c r="Q130" t="inlineStr">
        <is>
          <t>Filled</t>
        </is>
      </c>
      <c r="R130" t="n">
        <v>6</v>
      </c>
      <c r="S130" t="inlineStr">
        <is>
          <t>Central English policy</t>
        </is>
      </c>
      <c r="T130" t="inlineStr">
        <is>
          <t>Central rule applies (value agrees)</t>
        </is>
      </c>
      <c r="U130" t="inlineStr"/>
      <c r="V130" t="inlineStr">
        <is>
          <t>Page found, being read</t>
        </is>
      </c>
      <c r="W130" t="inlineStr"/>
      <c r="X130" t="inlineStr"/>
      <c r="Y130" t="n">
        <v>0</v>
      </c>
      <c r="Z130" t="inlineStr">
        <is>
          <t>Yes</t>
        </is>
      </c>
      <c r="AA130" t="inlineStr">
        <is>
          <t>Not stated on course page</t>
        </is>
      </c>
      <c r="AB130" t="inlineStr"/>
      <c r="AC130" t="inlineStr">
        <is>
          <t>Skipped: no allowed source had a value</t>
        </is>
      </c>
      <c r="AD130" t="n">
        <v>0</v>
      </c>
      <c r="AE130" t="inlineStr"/>
      <c r="AF130" t="inlineStr"/>
      <c r="AG130" t="inlineStr"/>
      <c r="AH130" t="inlineStr"/>
      <c r="AI130" t="inlineStr"/>
      <c r="AJ130" t="inlineStr"/>
      <c r="AK130" t="inlineStr"/>
      <c r="AL130" t="inlineStr"/>
      <c r="AM130" t="inlineStr"/>
    </row>
    <row r="131">
      <c r="A131" t="inlineStr">
        <is>
          <t>109399M</t>
        </is>
      </c>
      <c r="B131" t="inlineStr">
        <is>
          <t>Bachelor of Exercise Science / Master of Physiotherapy and Exercise Physiology</t>
        </is>
      </c>
      <c r="C131" t="inlineStr">
        <is>
          <t>Masters Degree (Coursework)</t>
        </is>
      </c>
      <c r="D131" t="inlineStr">
        <is>
          <t>Postgraduate coursework</t>
        </is>
      </c>
      <c r="E131" t="inlineStr">
        <is>
          <t>Advertised: official page in place</t>
        </is>
      </c>
      <c r="F131" t="inlineStr">
        <is>
          <t>https://www.unsw.edu.au/study/undergraduate/bachelor-of-exercise-science-master-of-physiotherapy-and-exercise-physiology</t>
        </is>
      </c>
      <c r="G131" t="inlineStr">
        <is>
          <t>https://www.unsw.edu.au/study/undergraduate/bachelor-of-exercise-science-master-of-physiotherapy-and-exercise-physiology</t>
        </is>
      </c>
      <c r="H131" t="inlineStr">
        <is>
          <t>Read</t>
        </is>
      </c>
      <c r="I131" t="inlineStr">
        <is>
          <t>CRICOS code on page</t>
        </is>
      </c>
      <c r="J131" t="inlineStr"/>
      <c r="K131" t="inlineStr">
        <is>
          <t>Not sent to re-link</t>
        </is>
      </c>
      <c r="L131" t="inlineStr">
        <is>
          <t>Filled</t>
        </is>
      </c>
      <c r="M131" t="inlineStr">
        <is>
          <t>Filled</t>
        </is>
      </c>
      <c r="N131" t="inlineStr">
        <is>
          <t>64000.00 2026</t>
        </is>
      </c>
      <c r="O131" t="n">
        <v>0</v>
      </c>
      <c r="P131" t="inlineStr">
        <is>
          <t>University adapter</t>
        </is>
      </c>
      <c r="Q131" t="inlineStr">
        <is>
          <t>Not stated on course page</t>
        </is>
      </c>
      <c r="S131" t="inlineStr"/>
      <c r="T131" t="inlineStr">
        <is>
          <t>Held: double degree (its parts are at different levels)</t>
        </is>
      </c>
      <c r="U131" t="inlineStr"/>
      <c r="V131" t="inlineStr">
        <is>
          <t>Filled</t>
        </is>
      </c>
      <c r="W131" t="inlineStr">
        <is>
          <t>February</t>
        </is>
      </c>
      <c r="X131" t="inlineStr">
        <is>
          <t>University adapter</t>
        </is>
      </c>
      <c r="Y131" t="n">
        <v>0</v>
      </c>
      <c r="Z131" t="inlineStr">
        <is>
          <t>No</t>
        </is>
      </c>
      <c r="AA131" t="inlineStr">
        <is>
          <t>Filled</t>
        </is>
      </c>
      <c r="AB131" t="inlineStr">
        <is>
          <t>on campus</t>
        </is>
      </c>
      <c r="AC131" t="inlineStr"/>
      <c r="AD131" t="n">
        <v>0</v>
      </c>
      <c r="AE131" t="inlineStr"/>
      <c r="AF131" t="inlineStr"/>
      <c r="AG131" t="inlineStr"/>
      <c r="AH131" t="inlineStr"/>
      <c r="AI131" t="inlineStr"/>
      <c r="AJ131" t="inlineStr">
        <is>
          <t>Yes</t>
        </is>
      </c>
      <c r="AK131" t="inlineStr"/>
      <c r="AL131" t="inlineStr"/>
      <c r="AM131" t="inlineStr"/>
    </row>
    <row r="132">
      <c r="A132" t="inlineStr">
        <is>
          <t>097696E</t>
        </is>
      </c>
      <c r="B132" t="inlineStr">
        <is>
          <t>Bachelor of Fine Arts</t>
        </is>
      </c>
      <c r="C132" t="inlineStr">
        <is>
          <t>Bachelor</t>
        </is>
      </c>
      <c r="D132" t="inlineStr">
        <is>
          <t>Undergraduate</t>
        </is>
      </c>
      <c r="E132" t="inlineStr">
        <is>
          <t>Advertised: official page in place</t>
        </is>
      </c>
      <c r="F132" t="inlineStr">
        <is>
          <t>https://www.unsw.edu.au/study/undergraduate/bachelor-of-fine-arts1</t>
        </is>
      </c>
      <c r="G132" t="inlineStr">
        <is>
          <t>https://www.unsw.edu.au/study/undergraduate/bachelor-of-fine-arts1</t>
        </is>
      </c>
      <c r="H132" t="inlineStr">
        <is>
          <t>Read</t>
        </is>
      </c>
      <c r="I132" t="inlineStr">
        <is>
          <t>Exact title match</t>
        </is>
      </c>
      <c r="J132" t="inlineStr"/>
      <c r="K132" t="inlineStr">
        <is>
          <t>Not sent to re-link</t>
        </is>
      </c>
      <c r="L132" t="inlineStr">
        <is>
          <t>Filled</t>
        </is>
      </c>
      <c r="M132" t="inlineStr">
        <is>
          <t>Filled</t>
        </is>
      </c>
      <c r="N132" t="inlineStr">
        <is>
          <t>49000.00 2026</t>
        </is>
      </c>
      <c r="O132" t="n">
        <v>0</v>
      </c>
      <c r="P132" t="inlineStr">
        <is>
          <t>University adapter</t>
        </is>
      </c>
      <c r="Q132" t="inlineStr">
        <is>
          <t>Filled</t>
        </is>
      </c>
      <c r="R132" t="n">
        <v>6</v>
      </c>
      <c r="S132" t="inlineStr">
        <is>
          <t>Central English policy</t>
        </is>
      </c>
      <c r="T132" t="inlineStr">
        <is>
          <t>Central rule applies (value agrees)</t>
        </is>
      </c>
      <c r="U132" t="inlineStr"/>
      <c r="V132" t="inlineStr">
        <is>
          <t>Filled</t>
        </is>
      </c>
      <c r="W132" t="inlineStr">
        <is>
          <t>February, May, September</t>
        </is>
      </c>
      <c r="X132" t="inlineStr">
        <is>
          <t>University adapter</t>
        </is>
      </c>
      <c r="Y132" t="n">
        <v>0</v>
      </c>
      <c r="Z132" t="inlineStr">
        <is>
          <t>Yes</t>
        </is>
      </c>
      <c r="AA132" t="inlineStr">
        <is>
          <t>Filled</t>
        </is>
      </c>
      <c r="AB132" t="inlineStr">
        <is>
          <t>on campus</t>
        </is>
      </c>
      <c r="AC132" t="inlineStr"/>
      <c r="AD132" t="n">
        <v>0</v>
      </c>
      <c r="AE132" t="inlineStr"/>
      <c r="AF132" t="inlineStr"/>
      <c r="AG132" t="inlineStr"/>
      <c r="AH132" t="inlineStr"/>
      <c r="AI132" t="inlineStr"/>
      <c r="AJ132" t="inlineStr"/>
      <c r="AK132" t="inlineStr"/>
      <c r="AL132" t="inlineStr"/>
      <c r="AM132" t="inlineStr"/>
    </row>
    <row r="133">
      <c r="A133" t="inlineStr">
        <is>
          <t>110652D</t>
        </is>
      </c>
      <c r="B133" t="inlineStr">
        <is>
          <t>Bachelor of Fine Arts</t>
        </is>
      </c>
      <c r="C133" t="inlineStr">
        <is>
          <t>Bachelor</t>
        </is>
      </c>
      <c r="D133" t="inlineStr">
        <is>
          <t>Undergraduate</t>
        </is>
      </c>
      <c r="E133" t="inlineStr">
        <is>
          <t>Advertised: official page in place</t>
        </is>
      </c>
      <c r="F133" t="inlineStr">
        <is>
          <t>https://www.unsw.edu.au/study/undergraduate/bachelor-of-fine-arts1</t>
        </is>
      </c>
      <c r="G133" t="inlineStr">
        <is>
          <t>https://www.unsw.edu.au/study/undergraduate/bachelor-of-fine-arts1</t>
        </is>
      </c>
      <c r="H133" t="inlineStr">
        <is>
          <t>Read</t>
        </is>
      </c>
      <c r="I133" t="inlineStr">
        <is>
          <t>CRICOS code on page</t>
        </is>
      </c>
      <c r="J133" t="inlineStr"/>
      <c r="K133" t="inlineStr">
        <is>
          <t>Not sent to re-link</t>
        </is>
      </c>
      <c r="L133" t="inlineStr">
        <is>
          <t>Filled</t>
        </is>
      </c>
      <c r="M133" t="inlineStr">
        <is>
          <t>Filled</t>
        </is>
      </c>
      <c r="N133" t="inlineStr">
        <is>
          <t>49000.00 2026</t>
        </is>
      </c>
      <c r="O133" t="n">
        <v>0</v>
      </c>
      <c r="P133" t="inlineStr">
        <is>
          <t>University adapter</t>
        </is>
      </c>
      <c r="Q133" t="inlineStr">
        <is>
          <t>Filled</t>
        </is>
      </c>
      <c r="R133" t="n">
        <v>6</v>
      </c>
      <c r="S133" t="inlineStr">
        <is>
          <t>Central English policy</t>
        </is>
      </c>
      <c r="T133" t="inlineStr">
        <is>
          <t>Central rule applies (value agrees)</t>
        </is>
      </c>
      <c r="U133" t="inlineStr"/>
      <c r="V133" t="inlineStr">
        <is>
          <t>Filled</t>
        </is>
      </c>
      <c r="W133" t="inlineStr">
        <is>
          <t>February, May, September</t>
        </is>
      </c>
      <c r="X133" t="inlineStr">
        <is>
          <t>University adapter</t>
        </is>
      </c>
      <c r="Y133" t="n">
        <v>0</v>
      </c>
      <c r="Z133" t="inlineStr">
        <is>
          <t>Yes</t>
        </is>
      </c>
      <c r="AA133" t="inlineStr">
        <is>
          <t>Filled</t>
        </is>
      </c>
      <c r="AB133" t="inlineStr">
        <is>
          <t>on campus</t>
        </is>
      </c>
      <c r="AC133" t="inlineStr"/>
      <c r="AD133" t="n">
        <v>0</v>
      </c>
      <c r="AE133" t="inlineStr"/>
      <c r="AF133" t="inlineStr"/>
      <c r="AG133" t="inlineStr"/>
      <c r="AH133" t="inlineStr"/>
      <c r="AI133" t="inlineStr"/>
      <c r="AJ133" t="inlineStr"/>
      <c r="AK133" t="inlineStr"/>
      <c r="AL133" t="inlineStr"/>
      <c r="AM133" t="inlineStr"/>
    </row>
    <row r="134">
      <c r="A134" t="inlineStr">
        <is>
          <t>077434D</t>
        </is>
      </c>
      <c r="B134" t="inlineStr">
        <is>
          <t>Bachelor of Fine Arts (Honours)</t>
        </is>
      </c>
      <c r="C134" t="inlineStr">
        <is>
          <t>Bachelor Honours Degree</t>
        </is>
      </c>
      <c r="D134" t="inlineStr">
        <is>
          <t>Undergraduate</t>
        </is>
      </c>
      <c r="E134" t="inlineStr">
        <is>
          <t>Advertised: official page in place</t>
        </is>
      </c>
      <c r="F134" t="inlineStr">
        <is>
          <t>https://www.unsw.edu.au/study/undergraduate/bachelor-of-fine-arts-honours</t>
        </is>
      </c>
      <c r="G134" t="inlineStr">
        <is>
          <t>https://www.unsw.edu.au/study/undergraduate/bachelor-of-fine-arts-honours</t>
        </is>
      </c>
      <c r="H134" t="inlineStr">
        <is>
          <t>Read</t>
        </is>
      </c>
      <c r="I134" t="inlineStr">
        <is>
          <t>Exact title match</t>
        </is>
      </c>
      <c r="J134" t="inlineStr"/>
      <c r="K134" t="inlineStr">
        <is>
          <t>Not sent to re-link</t>
        </is>
      </c>
      <c r="L134" t="inlineStr">
        <is>
          <t>Filled</t>
        </is>
      </c>
      <c r="M134" t="inlineStr">
        <is>
          <t>Filled</t>
        </is>
      </c>
      <c r="N134" t="inlineStr">
        <is>
          <t>48000.00 2026</t>
        </is>
      </c>
      <c r="O134" t="n">
        <v>0</v>
      </c>
      <c r="P134" t="inlineStr">
        <is>
          <t>University adapter</t>
        </is>
      </c>
      <c r="Q134" t="inlineStr">
        <is>
          <t>Filled</t>
        </is>
      </c>
      <c r="R134" t="n">
        <v>6</v>
      </c>
      <c r="S134" t="inlineStr">
        <is>
          <t>Central English policy</t>
        </is>
      </c>
      <c r="T134" t="inlineStr">
        <is>
          <t>Central rule applies (value agrees)</t>
        </is>
      </c>
      <c r="U134" t="inlineStr"/>
      <c r="V134" t="inlineStr">
        <is>
          <t>Filled</t>
        </is>
      </c>
      <c r="W134" t="inlineStr">
        <is>
          <t>February</t>
        </is>
      </c>
      <c r="X134" t="inlineStr">
        <is>
          <t>University adapter</t>
        </is>
      </c>
      <c r="Y134" t="n">
        <v>0</v>
      </c>
      <c r="Z134" t="inlineStr">
        <is>
          <t>Yes</t>
        </is>
      </c>
      <c r="AA134" t="inlineStr">
        <is>
          <t>Filled</t>
        </is>
      </c>
      <c r="AB134" t="inlineStr">
        <is>
          <t>on campus</t>
        </is>
      </c>
      <c r="AC134" t="inlineStr"/>
      <c r="AD134" t="n">
        <v>0</v>
      </c>
      <c r="AE134" t="inlineStr"/>
      <c r="AF134" t="inlineStr"/>
      <c r="AG134" t="inlineStr"/>
      <c r="AH134" t="inlineStr"/>
      <c r="AI134" t="inlineStr"/>
      <c r="AJ134" t="inlineStr"/>
      <c r="AK134" t="inlineStr"/>
      <c r="AL134" t="inlineStr"/>
      <c r="AM134" t="inlineStr"/>
    </row>
    <row r="135">
      <c r="A135" t="inlineStr">
        <is>
          <t>098001M</t>
        </is>
      </c>
      <c r="B135" t="inlineStr">
        <is>
          <t>Bachelor of Fine Arts (Honours)</t>
        </is>
      </c>
      <c r="C135" t="inlineStr">
        <is>
          <t>Bachelor Honours Degree</t>
        </is>
      </c>
      <c r="D135" t="inlineStr">
        <is>
          <t>Undergraduate</t>
        </is>
      </c>
      <c r="E135" t="inlineStr">
        <is>
          <t>Advertised: official page in place</t>
        </is>
      </c>
      <c r="F135" t="inlineStr">
        <is>
          <t>https://www.unsw.edu.au/study/undergraduate/bachelor-of-fine-arts-honours</t>
        </is>
      </c>
      <c r="G135" t="inlineStr">
        <is>
          <t>https://www.unsw.edu.au/study/undergraduate/bachelor-of-fine-arts-honours</t>
        </is>
      </c>
      <c r="H135" t="inlineStr">
        <is>
          <t>Read</t>
        </is>
      </c>
      <c r="I135" t="inlineStr">
        <is>
          <t>CRICOS code on page</t>
        </is>
      </c>
      <c r="J135" t="inlineStr"/>
      <c r="K135" t="inlineStr">
        <is>
          <t>Not sent to re-link</t>
        </is>
      </c>
      <c r="L135" t="inlineStr">
        <is>
          <t>Filled</t>
        </is>
      </c>
      <c r="M135" t="inlineStr">
        <is>
          <t>Filled</t>
        </is>
      </c>
      <c r="N135" t="inlineStr">
        <is>
          <t>48000.00 2026</t>
        </is>
      </c>
      <c r="O135" t="n">
        <v>0</v>
      </c>
      <c r="P135" t="inlineStr">
        <is>
          <t>University adapter</t>
        </is>
      </c>
      <c r="Q135" t="inlineStr">
        <is>
          <t>Filled</t>
        </is>
      </c>
      <c r="R135" t="n">
        <v>6</v>
      </c>
      <c r="S135" t="inlineStr">
        <is>
          <t>Central English policy</t>
        </is>
      </c>
      <c r="T135" t="inlineStr">
        <is>
          <t>Central rule applies (value agrees)</t>
        </is>
      </c>
      <c r="U135" t="inlineStr"/>
      <c r="V135" t="inlineStr">
        <is>
          <t>Filled</t>
        </is>
      </c>
      <c r="W135" t="inlineStr">
        <is>
          <t>February</t>
        </is>
      </c>
      <c r="X135" t="inlineStr">
        <is>
          <t>University adapter</t>
        </is>
      </c>
      <c r="Y135" t="n">
        <v>0</v>
      </c>
      <c r="Z135" t="inlineStr">
        <is>
          <t>Yes</t>
        </is>
      </c>
      <c r="AA135" t="inlineStr">
        <is>
          <t>Filled</t>
        </is>
      </c>
      <c r="AB135" t="inlineStr">
        <is>
          <t>on campus</t>
        </is>
      </c>
      <c r="AC135" t="inlineStr"/>
      <c r="AD135" t="n">
        <v>0</v>
      </c>
      <c r="AE135" t="inlineStr"/>
      <c r="AF135" t="inlineStr"/>
      <c r="AG135" t="inlineStr"/>
      <c r="AH135" t="inlineStr"/>
      <c r="AI135" t="inlineStr"/>
      <c r="AJ135" t="inlineStr"/>
      <c r="AK135" t="inlineStr"/>
      <c r="AL135" t="inlineStr"/>
      <c r="AM135" t="inlineStr"/>
    </row>
    <row r="136">
      <c r="A136" t="inlineStr">
        <is>
          <t>044146G</t>
        </is>
      </c>
      <c r="B136" t="inlineStr">
        <is>
          <t>Bachelor of Fine Arts / Bachelor of Arts</t>
        </is>
      </c>
      <c r="C136" t="inlineStr">
        <is>
          <t>Bachelor</t>
        </is>
      </c>
      <c r="D136" t="inlineStr">
        <is>
          <t>Undergraduate</t>
        </is>
      </c>
      <c r="E136" t="inlineStr">
        <is>
          <t>Page address no longer works</t>
        </is>
      </c>
      <c r="F136" t="inlineStr"/>
      <c r="G136" t="inlineStr">
        <is>
          <t>https://www.handbook.unsw.edu.au/undergraduate/programs/2026/4823</t>
        </is>
      </c>
      <c r="H136" t="inlineStr">
        <is>
          <t>Address no longer works</t>
        </is>
      </c>
      <c r="I136" t="inlineStr"/>
      <c r="J136" t="inlineStr"/>
      <c r="K136" t="inlineStr">
        <is>
          <t>Finished, no page: no address from the university's address forms or stored lis</t>
        </is>
      </c>
      <c r="L136" t="inlineStr">
        <is>
          <t>Page found, being read</t>
        </is>
      </c>
      <c r="M136" t="inlineStr">
        <is>
          <t>Page found, being read</t>
        </is>
      </c>
      <c r="N136" t="inlineStr"/>
      <c r="O136" t="n">
        <v>0</v>
      </c>
      <c r="P136" t="inlineStr"/>
      <c r="Q136" t="inlineStr">
        <is>
          <t>Filled</t>
        </is>
      </c>
      <c r="R136" t="n">
        <v>6</v>
      </c>
      <c r="S136" t="inlineStr">
        <is>
          <t>Central English policy</t>
        </is>
      </c>
      <c r="T136" t="inlineStr">
        <is>
          <t>Central rule applies (value agrees)</t>
        </is>
      </c>
      <c r="U136" t="inlineStr"/>
      <c r="V136" t="inlineStr">
        <is>
          <t>Page found, being read</t>
        </is>
      </c>
      <c r="W136" t="inlineStr"/>
      <c r="X136" t="inlineStr"/>
      <c r="Y136" t="n">
        <v>0</v>
      </c>
      <c r="Z136" t="inlineStr">
        <is>
          <t>Yes</t>
        </is>
      </c>
      <c r="AA136" t="inlineStr">
        <is>
          <t>Not stated on course page</t>
        </is>
      </c>
      <c r="AB136" t="inlineStr"/>
      <c r="AC136" t="inlineStr">
        <is>
          <t>Skipped: no allowed source had a value</t>
        </is>
      </c>
      <c r="AD136" t="n">
        <v>1</v>
      </c>
      <c r="AE136" t="inlineStr"/>
      <c r="AF136" t="inlineStr"/>
      <c r="AG136" t="inlineStr"/>
      <c r="AH136" t="inlineStr"/>
      <c r="AI136" t="inlineStr"/>
      <c r="AJ136" t="inlineStr"/>
      <c r="AK136" t="inlineStr"/>
      <c r="AL136" t="inlineStr"/>
      <c r="AM136" t="inlineStr"/>
    </row>
    <row r="137">
      <c r="A137" t="inlineStr">
        <is>
          <t>110688C</t>
        </is>
      </c>
      <c r="B137" t="inlineStr">
        <is>
          <t>Bachelor of Fine Arts/Bachelor of Arts</t>
        </is>
      </c>
      <c r="C137" t="inlineStr">
        <is>
          <t>Bachelor</t>
        </is>
      </c>
      <c r="D137" t="inlineStr">
        <is>
          <t>Undergraduate</t>
        </is>
      </c>
      <c r="E137" t="inlineStr">
        <is>
          <t>Advertised: official page in place</t>
        </is>
      </c>
      <c r="F137" t="inlineStr">
        <is>
          <t>https://www.unsw.edu.au/study/undergraduate/bachelor-of-fine-arts-arts1</t>
        </is>
      </c>
      <c r="G137" t="inlineStr">
        <is>
          <t>https://www.unsw.edu.au/study/undergraduate/bachelor-of-fine-arts-arts1</t>
        </is>
      </c>
      <c r="H137" t="inlineStr">
        <is>
          <t>Read</t>
        </is>
      </c>
      <c r="I137" t="inlineStr">
        <is>
          <t>CRICOS code on page</t>
        </is>
      </c>
      <c r="J137" t="inlineStr"/>
      <c r="K137" t="inlineStr">
        <is>
          <t>Not sent to re-link</t>
        </is>
      </c>
      <c r="L137" t="inlineStr">
        <is>
          <t>Filled</t>
        </is>
      </c>
      <c r="M137" t="inlineStr">
        <is>
          <t>Filled</t>
        </is>
      </c>
      <c r="N137" t="inlineStr">
        <is>
          <t>48500.00 2026</t>
        </is>
      </c>
      <c r="O137" t="n">
        <v>0</v>
      </c>
      <c r="P137" t="inlineStr">
        <is>
          <t>University adapter</t>
        </is>
      </c>
      <c r="Q137" t="inlineStr">
        <is>
          <t>Filled</t>
        </is>
      </c>
      <c r="R137" t="n">
        <v>6</v>
      </c>
      <c r="S137" t="inlineStr">
        <is>
          <t>Central English policy</t>
        </is>
      </c>
      <c r="T137" t="inlineStr">
        <is>
          <t>Central rule applies (value agrees)</t>
        </is>
      </c>
      <c r="U137" t="inlineStr"/>
      <c r="V137" t="inlineStr">
        <is>
          <t>Filled</t>
        </is>
      </c>
      <c r="W137" t="inlineStr">
        <is>
          <t>February, May, September</t>
        </is>
      </c>
      <c r="X137" t="inlineStr">
        <is>
          <t>University adapter</t>
        </is>
      </c>
      <c r="Y137" t="n">
        <v>0</v>
      </c>
      <c r="Z137" t="inlineStr">
        <is>
          <t>Yes</t>
        </is>
      </c>
      <c r="AA137" t="inlineStr">
        <is>
          <t>Filled</t>
        </is>
      </c>
      <c r="AB137" t="inlineStr">
        <is>
          <t>on campus</t>
        </is>
      </c>
      <c r="AC137" t="inlineStr"/>
      <c r="AD137" t="n">
        <v>0</v>
      </c>
      <c r="AE137" t="inlineStr"/>
      <c r="AF137" t="inlineStr"/>
      <c r="AG137" t="inlineStr"/>
      <c r="AH137" t="inlineStr"/>
      <c r="AI137" t="inlineStr"/>
      <c r="AJ137" t="inlineStr"/>
      <c r="AK137" t="inlineStr"/>
      <c r="AL137" t="inlineStr"/>
      <c r="AM137" t="inlineStr"/>
    </row>
    <row r="138">
      <c r="A138" t="inlineStr">
        <is>
          <t>110687D</t>
        </is>
      </c>
      <c r="B138" t="inlineStr">
        <is>
          <t>Bachelor of Fine Arts/Bachelor of Education (Secondary)</t>
        </is>
      </c>
      <c r="C138" t="inlineStr">
        <is>
          <t>Bachelor</t>
        </is>
      </c>
      <c r="D138" t="inlineStr">
        <is>
          <t>Undergraduate</t>
        </is>
      </c>
      <c r="E138" t="inlineStr">
        <is>
          <t>Advertised: official page in place</t>
        </is>
      </c>
      <c r="F138" t="inlineStr">
        <is>
          <t>https://www.unsw.edu.au/study/undergraduate/bachelor-of-fine-arts-education-secondary1</t>
        </is>
      </c>
      <c r="G138" t="inlineStr">
        <is>
          <t>https://www.unsw.edu.au/study/undergraduate/bachelor-of-fine-arts-education-secondary1</t>
        </is>
      </c>
      <c r="H138" t="inlineStr">
        <is>
          <t>Read</t>
        </is>
      </c>
      <c r="I138" t="inlineStr">
        <is>
          <t>CRICOS code on page</t>
        </is>
      </c>
      <c r="J138" t="inlineStr"/>
      <c r="K138" t="inlineStr">
        <is>
          <t>Not sent to re-link</t>
        </is>
      </c>
      <c r="L138" t="inlineStr">
        <is>
          <t>Filled</t>
        </is>
      </c>
      <c r="M138" t="inlineStr">
        <is>
          <t>Filled</t>
        </is>
      </c>
      <c r="N138" t="inlineStr">
        <is>
          <t>48500.00 2026</t>
        </is>
      </c>
      <c r="O138" t="n">
        <v>0</v>
      </c>
      <c r="P138" t="inlineStr">
        <is>
          <t>University adapter</t>
        </is>
      </c>
      <c r="Q138" t="inlineStr">
        <is>
          <t>Filled</t>
        </is>
      </c>
      <c r="R138" t="n">
        <v>6</v>
      </c>
      <c r="S138" t="inlineStr">
        <is>
          <t>Central English policy</t>
        </is>
      </c>
      <c r="T138" t="inlineStr">
        <is>
          <t>Central rule applies (value agrees)</t>
        </is>
      </c>
      <c r="U138" t="inlineStr"/>
      <c r="V138" t="inlineStr">
        <is>
          <t>Filled</t>
        </is>
      </c>
      <c r="W138" t="inlineStr">
        <is>
          <t>February, September</t>
        </is>
      </c>
      <c r="X138" t="inlineStr">
        <is>
          <t>University adapter</t>
        </is>
      </c>
      <c r="Y138" t="n">
        <v>0</v>
      </c>
      <c r="Z138" t="inlineStr">
        <is>
          <t>Yes</t>
        </is>
      </c>
      <c r="AA138" t="inlineStr">
        <is>
          <t>Filled</t>
        </is>
      </c>
      <c r="AB138" t="inlineStr">
        <is>
          <t>on campus</t>
        </is>
      </c>
      <c r="AC138" t="inlineStr"/>
      <c r="AD138" t="n">
        <v>0</v>
      </c>
      <c r="AE138" t="inlineStr"/>
      <c r="AF138" t="inlineStr"/>
      <c r="AG138" t="inlineStr"/>
      <c r="AH138" t="inlineStr"/>
      <c r="AI138" t="inlineStr"/>
      <c r="AJ138" t="inlineStr"/>
      <c r="AK138" t="inlineStr"/>
      <c r="AL138" t="inlineStr"/>
      <c r="AM138" t="inlineStr"/>
    </row>
    <row r="139">
      <c r="A139" t="inlineStr">
        <is>
          <t>081433D</t>
        </is>
      </c>
      <c r="B139" t="inlineStr">
        <is>
          <t>Bachelor of Fine Arts/Bachelor of Education (Secondary)</t>
        </is>
      </c>
      <c r="C139" t="inlineStr">
        <is>
          <t>Bachelor</t>
        </is>
      </c>
      <c r="D139" t="inlineStr">
        <is>
          <t>Undergraduate</t>
        </is>
      </c>
      <c r="E139" t="inlineStr">
        <is>
          <t>Page address no longer works</t>
        </is>
      </c>
      <c r="F139" t="inlineStr"/>
      <c r="G139" t="inlineStr">
        <is>
          <t>https://www.handbook.unsw.edu.au/undergraduate/programs/2026/4063</t>
        </is>
      </c>
      <c r="H139" t="inlineStr">
        <is>
          <t>Address no longer works</t>
        </is>
      </c>
      <c r="I139" t="inlineStr"/>
      <c r="J139" t="inlineStr"/>
      <c r="K139" t="inlineStr">
        <is>
          <t>Not sent to re-link</t>
        </is>
      </c>
      <c r="L139" t="inlineStr">
        <is>
          <t>Page found, being read</t>
        </is>
      </c>
      <c r="M139" t="inlineStr">
        <is>
          <t>Page found, being read</t>
        </is>
      </c>
      <c r="N139" t="inlineStr"/>
      <c r="O139" t="n">
        <v>0</v>
      </c>
      <c r="P139" t="inlineStr"/>
      <c r="Q139" t="inlineStr">
        <is>
          <t>Filled</t>
        </is>
      </c>
      <c r="R139" t="n">
        <v>6</v>
      </c>
      <c r="S139" t="inlineStr">
        <is>
          <t>Central English policy</t>
        </is>
      </c>
      <c r="T139" t="inlineStr">
        <is>
          <t>Central rule applies (value agrees)</t>
        </is>
      </c>
      <c r="U139" t="inlineStr"/>
      <c r="V139" t="inlineStr">
        <is>
          <t>Page found, being read</t>
        </is>
      </c>
      <c r="W139" t="inlineStr"/>
      <c r="X139" t="inlineStr"/>
      <c r="Y139" t="n">
        <v>0</v>
      </c>
      <c r="Z139" t="inlineStr">
        <is>
          <t>Yes</t>
        </is>
      </c>
      <c r="AA139" t="inlineStr">
        <is>
          <t>Not stated on course page</t>
        </is>
      </c>
      <c r="AB139" t="inlineStr"/>
      <c r="AC139" t="inlineStr">
        <is>
          <t>Skipped: no allowed source had a value</t>
        </is>
      </c>
      <c r="AD139" t="n">
        <v>0</v>
      </c>
      <c r="AE139" t="inlineStr"/>
      <c r="AF139" t="inlineStr"/>
      <c r="AG139" t="inlineStr"/>
      <c r="AH139" t="inlineStr"/>
      <c r="AI139" t="inlineStr"/>
      <c r="AJ139" t="inlineStr"/>
      <c r="AK139" t="inlineStr"/>
      <c r="AL139" t="inlineStr"/>
      <c r="AM139" t="inlineStr"/>
    </row>
    <row r="140">
      <c r="A140" t="inlineStr">
        <is>
          <t>110669F</t>
        </is>
      </c>
      <c r="B140" t="inlineStr">
        <is>
          <t>Bachelor of Fine Arts/Bachelor of Engineering (Honours)</t>
        </is>
      </c>
      <c r="C140" t="inlineStr">
        <is>
          <t>Bachelor Honours Degree</t>
        </is>
      </c>
      <c r="D140" t="inlineStr">
        <is>
          <t>Undergraduate</t>
        </is>
      </c>
      <c r="E140" t="inlineStr">
        <is>
          <t>Advertised: official page in place</t>
        </is>
      </c>
      <c r="F140" t="inlineStr">
        <is>
          <t>https://www.unsw.edu.au/study/undergraduate/bachelor-of-fine-arts-engineering-honours</t>
        </is>
      </c>
      <c r="G140" t="inlineStr">
        <is>
          <t>https://www.unsw.edu.au/study/undergraduate/bachelor-of-fine-arts-engineering-honours</t>
        </is>
      </c>
      <c r="H140" t="inlineStr">
        <is>
          <t>Read</t>
        </is>
      </c>
      <c r="I140" t="inlineStr">
        <is>
          <t>CRICOS code on page</t>
        </is>
      </c>
      <c r="J140" t="inlineStr"/>
      <c r="K140" t="inlineStr">
        <is>
          <t>Not sent to re-link</t>
        </is>
      </c>
      <c r="L140" t="inlineStr">
        <is>
          <t>Filled</t>
        </is>
      </c>
      <c r="M140" t="inlineStr">
        <is>
          <t>Filled</t>
        </is>
      </c>
      <c r="N140" t="inlineStr">
        <is>
          <t>57000.00 2026</t>
        </is>
      </c>
      <c r="O140" t="n">
        <v>0</v>
      </c>
      <c r="P140" t="inlineStr">
        <is>
          <t>University adapter</t>
        </is>
      </c>
      <c r="Q140" t="inlineStr">
        <is>
          <t>Filled</t>
        </is>
      </c>
      <c r="R140" t="n">
        <v>6</v>
      </c>
      <c r="S140" t="inlineStr">
        <is>
          <t>Central English policy</t>
        </is>
      </c>
      <c r="T140" t="inlineStr">
        <is>
          <t>Central rule applies (value agrees)</t>
        </is>
      </c>
      <c r="U140" t="inlineStr"/>
      <c r="V140" t="inlineStr">
        <is>
          <t>Filled</t>
        </is>
      </c>
      <c r="W140" t="inlineStr">
        <is>
          <t>February, May, September</t>
        </is>
      </c>
      <c r="X140" t="inlineStr">
        <is>
          <t>University adapter</t>
        </is>
      </c>
      <c r="Y140" t="n">
        <v>0</v>
      </c>
      <c r="Z140" t="inlineStr">
        <is>
          <t>Yes</t>
        </is>
      </c>
      <c r="AA140" t="inlineStr">
        <is>
          <t>Filled</t>
        </is>
      </c>
      <c r="AB140" t="inlineStr">
        <is>
          <t>on campus</t>
        </is>
      </c>
      <c r="AC140" t="inlineStr"/>
      <c r="AD140" t="n">
        <v>0</v>
      </c>
      <c r="AE140" t="inlineStr"/>
      <c r="AF140" t="inlineStr"/>
      <c r="AG140" t="inlineStr"/>
      <c r="AH140" t="inlineStr"/>
      <c r="AI140" t="inlineStr"/>
      <c r="AJ140" t="inlineStr"/>
      <c r="AK140" t="inlineStr"/>
      <c r="AL140" t="inlineStr"/>
      <c r="AM140" t="inlineStr"/>
    </row>
    <row r="141">
      <c r="A141" t="inlineStr">
        <is>
          <t>110674J</t>
        </is>
      </c>
      <c r="B141" t="inlineStr">
        <is>
          <t>Bachelor of Fine Arts/Bachelor of Laws</t>
        </is>
      </c>
      <c r="C141" t="inlineStr">
        <is>
          <t>Bachelor</t>
        </is>
      </c>
      <c r="D141" t="inlineStr">
        <is>
          <t>Undergraduate</t>
        </is>
      </c>
      <c r="E141" t="inlineStr">
        <is>
          <t>Advertised: official page in place</t>
        </is>
      </c>
      <c r="F141" t="inlineStr">
        <is>
          <t>https://www.unsw.edu.au/study/undergraduate/bachelor-of-fine-arts-law1</t>
        </is>
      </c>
      <c r="G141" t="inlineStr">
        <is>
          <t>https://www.unsw.edu.au/study/undergraduate/bachelor-of-fine-arts-law1</t>
        </is>
      </c>
      <c r="H141" t="inlineStr">
        <is>
          <t>Read</t>
        </is>
      </c>
      <c r="I141" t="inlineStr">
        <is>
          <t>CRICOS code on page</t>
        </is>
      </c>
      <c r="J141" t="inlineStr"/>
      <c r="K141" t="inlineStr">
        <is>
          <t>Not sent to re-link</t>
        </is>
      </c>
      <c r="L141" t="inlineStr">
        <is>
          <t>Filled</t>
        </is>
      </c>
      <c r="M141" t="inlineStr">
        <is>
          <t>Filled</t>
        </is>
      </c>
      <c r="N141" t="inlineStr">
        <is>
          <t>50500.00 2026</t>
        </is>
      </c>
      <c r="O141" t="n">
        <v>0</v>
      </c>
      <c r="P141" t="inlineStr">
        <is>
          <t>University adapter</t>
        </is>
      </c>
      <c r="Q141" t="inlineStr">
        <is>
          <t>Filled</t>
        </is>
      </c>
      <c r="R141" t="n">
        <v>6</v>
      </c>
      <c r="S141" t="inlineStr">
        <is>
          <t>Central English policy</t>
        </is>
      </c>
      <c r="T141" t="inlineStr">
        <is>
          <t>Central rule applies (value agrees)</t>
        </is>
      </c>
      <c r="U141" t="inlineStr"/>
      <c r="V141" t="inlineStr">
        <is>
          <t>Filled</t>
        </is>
      </c>
      <c r="W141" t="inlineStr">
        <is>
          <t>February</t>
        </is>
      </c>
      <c r="X141" t="inlineStr">
        <is>
          <t>University adapter</t>
        </is>
      </c>
      <c r="Y141" t="n">
        <v>0</v>
      </c>
      <c r="Z141" t="inlineStr">
        <is>
          <t>Yes</t>
        </is>
      </c>
      <c r="AA141" t="inlineStr">
        <is>
          <t>Filled</t>
        </is>
      </c>
      <c r="AB141" t="inlineStr">
        <is>
          <t>on campus</t>
        </is>
      </c>
      <c r="AC141" t="inlineStr"/>
      <c r="AD141" t="n">
        <v>0</v>
      </c>
      <c r="AE141" t="inlineStr"/>
      <c r="AF141" t="inlineStr"/>
      <c r="AG141" t="inlineStr"/>
      <c r="AH141" t="inlineStr"/>
      <c r="AI141" t="inlineStr"/>
      <c r="AJ141" t="inlineStr"/>
      <c r="AK141" t="inlineStr"/>
      <c r="AL141" t="inlineStr"/>
      <c r="AM141" t="inlineStr"/>
    </row>
    <row r="142">
      <c r="A142" t="inlineStr">
        <is>
          <t>078552A</t>
        </is>
      </c>
      <c r="B142" t="inlineStr">
        <is>
          <t>Bachelor of Fine Arts/Bachelor of Laws</t>
        </is>
      </c>
      <c r="C142" t="inlineStr">
        <is>
          <t>Bachelor</t>
        </is>
      </c>
      <c r="D142" t="inlineStr">
        <is>
          <t>Undergraduate</t>
        </is>
      </c>
      <c r="E142" t="inlineStr">
        <is>
          <t>Page address no longer works</t>
        </is>
      </c>
      <c r="F142" t="inlineStr"/>
      <c r="G142" t="inlineStr">
        <is>
          <t>https://www.handbook.unsw.edu.au/undergraduate/programs/2026/4759</t>
        </is>
      </c>
      <c r="H142" t="inlineStr">
        <is>
          <t>Address no longer works</t>
        </is>
      </c>
      <c r="I142" t="inlineStr"/>
      <c r="J142" t="inlineStr"/>
      <c r="K142" t="inlineStr">
        <is>
          <t>Not sent to re-link</t>
        </is>
      </c>
      <c r="L142" t="inlineStr">
        <is>
          <t>Page found, being read</t>
        </is>
      </c>
      <c r="M142" t="inlineStr">
        <is>
          <t>Page found, being read</t>
        </is>
      </c>
      <c r="N142" t="inlineStr"/>
      <c r="O142" t="n">
        <v>0</v>
      </c>
      <c r="P142" t="inlineStr"/>
      <c r="Q142" t="inlineStr">
        <is>
          <t>Filled</t>
        </is>
      </c>
      <c r="R142" t="n">
        <v>6</v>
      </c>
      <c r="S142" t="inlineStr">
        <is>
          <t>Central English policy</t>
        </is>
      </c>
      <c r="T142" t="inlineStr">
        <is>
          <t>Central rule applies (value agrees)</t>
        </is>
      </c>
      <c r="U142" t="inlineStr"/>
      <c r="V142" t="inlineStr">
        <is>
          <t>Page found, being read</t>
        </is>
      </c>
      <c r="W142" t="inlineStr"/>
      <c r="X142" t="inlineStr"/>
      <c r="Y142" t="n">
        <v>0</v>
      </c>
      <c r="Z142" t="inlineStr">
        <is>
          <t>Yes</t>
        </is>
      </c>
      <c r="AA142" t="inlineStr">
        <is>
          <t>Not stated on course page</t>
        </is>
      </c>
      <c r="AB142" t="inlineStr"/>
      <c r="AC142" t="inlineStr">
        <is>
          <t>Skipped: no allowed source had a value</t>
        </is>
      </c>
      <c r="AD142" t="n">
        <v>0</v>
      </c>
      <c r="AE142" t="inlineStr"/>
      <c r="AF142" t="inlineStr"/>
      <c r="AG142" t="inlineStr"/>
      <c r="AH142" t="inlineStr"/>
      <c r="AI142" t="inlineStr"/>
      <c r="AJ142" t="inlineStr"/>
      <c r="AK142" t="inlineStr"/>
      <c r="AL142" t="inlineStr"/>
      <c r="AM142" t="inlineStr"/>
    </row>
    <row r="143">
      <c r="A143" t="inlineStr">
        <is>
          <t>110675H</t>
        </is>
      </c>
      <c r="B143" t="inlineStr">
        <is>
          <t>Bachelor of Fine Arts/Bachelor of Laws (Honours)</t>
        </is>
      </c>
      <c r="C143" t="inlineStr">
        <is>
          <t>Bachelor Honours Degree</t>
        </is>
      </c>
      <c r="D143" t="inlineStr">
        <is>
          <t>Undergraduate</t>
        </is>
      </c>
      <c r="E143" t="inlineStr">
        <is>
          <t>No-page record (conjoint), awaiting review</t>
        </is>
      </c>
      <c r="F143" t="inlineStr"/>
      <c r="G143" t="inlineStr">
        <is>
          <t>https://www.handbook.unsw.edu.au/undergraduate/programs/2026/4830</t>
        </is>
      </c>
      <c r="H143" t="inlineStr">
        <is>
          <t>Page is for another course</t>
        </is>
      </c>
      <c r="I143" t="inlineStr"/>
      <c r="J143" t="inlineStr">
        <is>
          <t>Conjoint (proposed)</t>
        </is>
      </c>
      <c r="K143" t="inlineStr">
        <is>
          <t>Finished, no page: no address from the university's address forms or stored lis</t>
        </is>
      </c>
      <c r="L143" t="inlineStr">
        <is>
          <t>Searching for course page</t>
        </is>
      </c>
      <c r="M143" t="inlineStr">
        <is>
          <t>Searching for course page</t>
        </is>
      </c>
      <c r="N143" t="inlineStr"/>
      <c r="O143" t="n">
        <v>0</v>
      </c>
      <c r="P143" t="inlineStr"/>
      <c r="Q143" t="inlineStr">
        <is>
          <t>Filled</t>
        </is>
      </c>
      <c r="R143" t="n">
        <v>6</v>
      </c>
      <c r="S143" t="inlineStr">
        <is>
          <t>Central English policy</t>
        </is>
      </c>
      <c r="T143" t="inlineStr">
        <is>
          <t>Central rule applies (value agrees)</t>
        </is>
      </c>
      <c r="U143" t="inlineStr"/>
      <c r="V143" t="inlineStr">
        <is>
          <t>Searching for course page</t>
        </is>
      </c>
      <c r="W143" t="inlineStr"/>
      <c r="X143" t="inlineStr"/>
      <c r="Y143" t="n">
        <v>0</v>
      </c>
      <c r="Z143" t="inlineStr">
        <is>
          <t>Yes</t>
        </is>
      </c>
      <c r="AA143" t="inlineStr">
        <is>
          <t>Not stated on course page</t>
        </is>
      </c>
      <c r="AB143" t="inlineStr"/>
      <c r="AC143" t="inlineStr">
        <is>
          <t>Skipped: no correct course page: the page found is for another course</t>
        </is>
      </c>
      <c r="AD143" t="n">
        <v>1</v>
      </c>
      <c r="AE143" t="inlineStr"/>
      <c r="AF143" t="inlineStr"/>
      <c r="AG143" t="inlineStr"/>
      <c r="AH143" t="inlineStr"/>
      <c r="AI143" t="inlineStr"/>
      <c r="AJ143" t="inlineStr"/>
      <c r="AK143" t="inlineStr"/>
      <c r="AL143" t="inlineStr"/>
      <c r="AM143" t="inlineStr">
        <is>
          <t>Yes</t>
        </is>
      </c>
    </row>
    <row r="144">
      <c r="A144" t="inlineStr">
        <is>
          <t>110677F</t>
        </is>
      </c>
      <c r="B144" t="inlineStr">
        <is>
          <t>Bachelor of Fine Arts/Bachelor of Media</t>
        </is>
      </c>
      <c r="C144" t="inlineStr">
        <is>
          <t>Bachelor</t>
        </is>
      </c>
      <c r="D144" t="inlineStr">
        <is>
          <t>Undergraduate</t>
        </is>
      </c>
      <c r="E144" t="inlineStr">
        <is>
          <t>Advertised: official page in place</t>
        </is>
      </c>
      <c r="F144" t="inlineStr">
        <is>
          <t>https://www.unsw.edu.au/study/undergraduate/bachelor-of-fine-arts-media</t>
        </is>
      </c>
      <c r="G144" t="inlineStr">
        <is>
          <t>https://www.unsw.edu.au/study/undergraduate/bachelor-of-fine-arts-media</t>
        </is>
      </c>
      <c r="H144" t="inlineStr">
        <is>
          <t>Read</t>
        </is>
      </c>
      <c r="I144" t="inlineStr">
        <is>
          <t>CRICOS code on page</t>
        </is>
      </c>
      <c r="J144" t="inlineStr"/>
      <c r="K144" t="inlineStr">
        <is>
          <t>Not sent to re-link</t>
        </is>
      </c>
      <c r="L144" t="inlineStr">
        <is>
          <t>Filled</t>
        </is>
      </c>
      <c r="M144" t="inlineStr">
        <is>
          <t>Filled</t>
        </is>
      </c>
      <c r="N144" t="inlineStr">
        <is>
          <t>47500.00 2026</t>
        </is>
      </c>
      <c r="O144" t="n">
        <v>0</v>
      </c>
      <c r="P144" t="inlineStr">
        <is>
          <t>University adapter</t>
        </is>
      </c>
      <c r="Q144" t="inlineStr">
        <is>
          <t>Filled</t>
        </is>
      </c>
      <c r="R144" t="n">
        <v>6</v>
      </c>
      <c r="S144" t="inlineStr">
        <is>
          <t>Central English policy</t>
        </is>
      </c>
      <c r="T144" t="inlineStr">
        <is>
          <t>Central rule applies (value agrees)</t>
        </is>
      </c>
      <c r="U144" t="inlineStr"/>
      <c r="V144" t="inlineStr">
        <is>
          <t>Filled</t>
        </is>
      </c>
      <c r="W144" t="inlineStr">
        <is>
          <t>February, May, September</t>
        </is>
      </c>
      <c r="X144" t="inlineStr">
        <is>
          <t>University adapter</t>
        </is>
      </c>
      <c r="Y144" t="n">
        <v>0</v>
      </c>
      <c r="Z144" t="inlineStr">
        <is>
          <t>Yes</t>
        </is>
      </c>
      <c r="AA144" t="inlineStr">
        <is>
          <t>Filled</t>
        </is>
      </c>
      <c r="AB144" t="inlineStr">
        <is>
          <t>on campus</t>
        </is>
      </c>
      <c r="AC144" t="inlineStr"/>
      <c r="AD144" t="n">
        <v>0</v>
      </c>
      <c r="AE144" t="inlineStr"/>
      <c r="AF144" t="inlineStr"/>
      <c r="AG144" t="inlineStr"/>
      <c r="AH144" t="inlineStr"/>
      <c r="AI144" t="inlineStr"/>
      <c r="AJ144" t="inlineStr"/>
      <c r="AK144" t="inlineStr"/>
      <c r="AL144" t="inlineStr"/>
      <c r="AM144" t="inlineStr"/>
    </row>
    <row r="145">
      <c r="A145" t="inlineStr">
        <is>
          <t>001881J</t>
        </is>
      </c>
      <c r="B145" t="inlineStr">
        <is>
          <t>Bachelor of Food Science (Honours)</t>
        </is>
      </c>
      <c r="C145" t="inlineStr">
        <is>
          <t>Bachelor Honours Degree</t>
        </is>
      </c>
      <c r="D145" t="inlineStr">
        <is>
          <t>Undergraduate</t>
        </is>
      </c>
      <c r="E145" t="inlineStr">
        <is>
          <t>Advertised: official page in place</t>
        </is>
      </c>
      <c r="F145" t="inlineStr">
        <is>
          <t>https://www.unsw.edu.au/study/undergraduate/bachelor-of-food-science-honours</t>
        </is>
      </c>
      <c r="G145" t="inlineStr">
        <is>
          <t>https://www.unsw.edu.au/study/undergraduate/bachelor-of-food-science-honours</t>
        </is>
      </c>
      <c r="H145" t="inlineStr">
        <is>
          <t>Read</t>
        </is>
      </c>
      <c r="I145" t="inlineStr">
        <is>
          <t>CRICOS code on page</t>
        </is>
      </c>
      <c r="J145" t="inlineStr"/>
      <c r="K145" t="inlineStr">
        <is>
          <t>Not sent to re-link</t>
        </is>
      </c>
      <c r="L145" t="inlineStr">
        <is>
          <t>Filled</t>
        </is>
      </c>
      <c r="M145" t="inlineStr">
        <is>
          <t>Filled</t>
        </is>
      </c>
      <c r="N145" t="inlineStr">
        <is>
          <t>62000.00 2026</t>
        </is>
      </c>
      <c r="O145" t="n">
        <v>0</v>
      </c>
      <c r="P145" t="inlineStr">
        <is>
          <t>University adapter</t>
        </is>
      </c>
      <c r="Q145" t="inlineStr">
        <is>
          <t>Filled</t>
        </is>
      </c>
      <c r="R145" t="n">
        <v>6</v>
      </c>
      <c r="S145" t="inlineStr">
        <is>
          <t>Central English policy</t>
        </is>
      </c>
      <c r="T145" t="inlineStr">
        <is>
          <t>Central rule applies (value agrees)</t>
        </is>
      </c>
      <c r="U145" t="inlineStr"/>
      <c r="V145" t="inlineStr">
        <is>
          <t>Filled</t>
        </is>
      </c>
      <c r="W145" t="inlineStr">
        <is>
          <t>February, May, September</t>
        </is>
      </c>
      <c r="X145" t="inlineStr">
        <is>
          <t>University adapter</t>
        </is>
      </c>
      <c r="Y145" t="n">
        <v>0</v>
      </c>
      <c r="Z145" t="inlineStr">
        <is>
          <t>Yes</t>
        </is>
      </c>
      <c r="AA145" t="inlineStr">
        <is>
          <t>Filled</t>
        </is>
      </c>
      <c r="AB145" t="inlineStr">
        <is>
          <t>on campus</t>
        </is>
      </c>
      <c r="AC145" t="inlineStr"/>
      <c r="AD145" t="n">
        <v>0</v>
      </c>
      <c r="AE145" t="inlineStr"/>
      <c r="AF145" t="inlineStr"/>
      <c r="AG145" t="inlineStr"/>
      <c r="AH145" t="inlineStr"/>
      <c r="AI145" t="inlineStr"/>
      <c r="AJ145" t="inlineStr"/>
      <c r="AK145" t="inlineStr"/>
      <c r="AL145" t="inlineStr"/>
      <c r="AM145" t="inlineStr"/>
    </row>
    <row r="146">
      <c r="A146" t="inlineStr">
        <is>
          <t>098445E</t>
        </is>
      </c>
      <c r="B146" t="inlineStr">
        <is>
          <t>Bachelor of Industrial Design</t>
        </is>
      </c>
      <c r="C146" t="inlineStr">
        <is>
          <t>Bachelor</t>
        </is>
      </c>
      <c r="D146" t="inlineStr">
        <is>
          <t>Undergraduate</t>
        </is>
      </c>
      <c r="E146" t="inlineStr">
        <is>
          <t>Advertised: official page in place</t>
        </is>
      </c>
      <c r="F146" t="inlineStr">
        <is>
          <t>https://www.unsw.edu.au/study/undergraduate/bachelor-of-industrial-design-honours</t>
        </is>
      </c>
      <c r="G146" t="inlineStr">
        <is>
          <t>https://www.unsw.edu.au/study/undergraduate/bachelor-of-industrial-design-honours</t>
        </is>
      </c>
      <c r="H146" t="inlineStr">
        <is>
          <t>Read</t>
        </is>
      </c>
      <c r="I146" t="inlineStr">
        <is>
          <t>Exact title match</t>
        </is>
      </c>
      <c r="J146" t="inlineStr"/>
      <c r="K146" t="inlineStr">
        <is>
          <t>Not sent to re-link</t>
        </is>
      </c>
      <c r="L146" t="inlineStr">
        <is>
          <t>Filled</t>
        </is>
      </c>
      <c r="M146" t="inlineStr">
        <is>
          <t>Not stated on course page</t>
        </is>
      </c>
      <c r="N146" t="inlineStr"/>
      <c r="O146" t="n">
        <v>0</v>
      </c>
      <c r="P146" t="inlineStr"/>
      <c r="Q146" t="inlineStr">
        <is>
          <t>Filled</t>
        </is>
      </c>
      <c r="R146" t="n">
        <v>6</v>
      </c>
      <c r="S146" t="inlineStr">
        <is>
          <t>Central English policy</t>
        </is>
      </c>
      <c r="T146" t="inlineStr">
        <is>
          <t>Central rule applies (value agrees)</t>
        </is>
      </c>
      <c r="U146" t="inlineStr"/>
      <c r="V146" t="inlineStr">
        <is>
          <t>Waiting for Layer 4 review</t>
        </is>
      </c>
      <c r="W146" t="inlineStr"/>
      <c r="X146" t="inlineStr"/>
      <c r="Y146" t="n">
        <v>2</v>
      </c>
      <c r="Z146" t="inlineStr">
        <is>
          <t>Yes</t>
        </is>
      </c>
      <c r="AA146" t="inlineStr">
        <is>
          <t>Filled</t>
        </is>
      </c>
      <c r="AB146" t="inlineStr">
        <is>
          <t>on campus</t>
        </is>
      </c>
      <c r="AC146" t="inlineStr"/>
      <c r="AD146" t="n">
        <v>0</v>
      </c>
      <c r="AE146" t="inlineStr"/>
      <c r="AF146" t="inlineStr">
        <is>
          <t>Yes</t>
        </is>
      </c>
      <c r="AG146" t="inlineStr"/>
      <c r="AH146" t="inlineStr">
        <is>
          <t>Yes</t>
        </is>
      </c>
      <c r="AI146" t="inlineStr"/>
      <c r="AJ146" t="inlineStr"/>
      <c r="AK146" t="inlineStr"/>
      <c r="AL146" t="inlineStr"/>
      <c r="AM146" t="inlineStr"/>
    </row>
    <row r="147">
      <c r="A147" t="inlineStr">
        <is>
          <t>098444F</t>
        </is>
      </c>
      <c r="B147" t="inlineStr">
        <is>
          <t>Bachelor of Industrial Design (Honours)</t>
        </is>
      </c>
      <c r="C147" t="inlineStr">
        <is>
          <t>Bachelor Honours Degree</t>
        </is>
      </c>
      <c r="D147" t="inlineStr">
        <is>
          <t>Undergraduate</t>
        </is>
      </c>
      <c r="E147" t="inlineStr">
        <is>
          <t>Advertised: official page in place</t>
        </is>
      </c>
      <c r="F147" t="inlineStr">
        <is>
          <t>https://www.unsw.edu.au/study/undergraduate/bachelor-of-industrial-design-honours</t>
        </is>
      </c>
      <c r="G147" t="inlineStr">
        <is>
          <t>https://www.unsw.edu.au/study/undergraduate/bachelor-of-industrial-design-honours</t>
        </is>
      </c>
      <c r="H147" t="inlineStr">
        <is>
          <t>Read</t>
        </is>
      </c>
      <c r="I147" t="inlineStr">
        <is>
          <t>CRICOS code on page</t>
        </is>
      </c>
      <c r="J147" t="inlineStr"/>
      <c r="K147" t="inlineStr">
        <is>
          <t>Not sent to re-link</t>
        </is>
      </c>
      <c r="L147" t="inlineStr">
        <is>
          <t>Filled</t>
        </is>
      </c>
      <c r="M147" t="inlineStr">
        <is>
          <t>Filled</t>
        </is>
      </c>
      <c r="N147" t="inlineStr">
        <is>
          <t>51000.00 2026</t>
        </is>
      </c>
      <c r="O147" t="n">
        <v>0</v>
      </c>
      <c r="P147" t="inlineStr">
        <is>
          <t>University adapter</t>
        </is>
      </c>
      <c r="Q147" t="inlineStr">
        <is>
          <t>Filled</t>
        </is>
      </c>
      <c r="R147" t="n">
        <v>6</v>
      </c>
      <c r="S147" t="inlineStr">
        <is>
          <t>Central English policy</t>
        </is>
      </c>
      <c r="T147" t="inlineStr">
        <is>
          <t>Central rule applies (value agrees)</t>
        </is>
      </c>
      <c r="U147" t="inlineStr"/>
      <c r="V147" t="inlineStr">
        <is>
          <t>Filled</t>
        </is>
      </c>
      <c r="W147" t="inlineStr">
        <is>
          <t>February, September</t>
        </is>
      </c>
      <c r="X147" t="inlineStr">
        <is>
          <t>University adapter</t>
        </is>
      </c>
      <c r="Y147" t="n">
        <v>0</v>
      </c>
      <c r="Z147" t="inlineStr">
        <is>
          <t>Yes</t>
        </is>
      </c>
      <c r="AA147" t="inlineStr">
        <is>
          <t>Filled</t>
        </is>
      </c>
      <c r="AB147" t="inlineStr">
        <is>
          <t>on campus</t>
        </is>
      </c>
      <c r="AC147" t="inlineStr"/>
      <c r="AD147" t="n">
        <v>0</v>
      </c>
      <c r="AE147" t="inlineStr"/>
      <c r="AF147" t="inlineStr"/>
      <c r="AG147" t="inlineStr"/>
      <c r="AH147" t="inlineStr"/>
      <c r="AI147" t="inlineStr"/>
      <c r="AJ147" t="inlineStr"/>
      <c r="AK147" t="inlineStr"/>
      <c r="AL147" t="inlineStr"/>
      <c r="AM147" t="inlineStr"/>
    </row>
    <row r="148">
      <c r="A148" t="inlineStr">
        <is>
          <t>088832K</t>
        </is>
      </c>
      <c r="B148" t="inlineStr">
        <is>
          <t>Bachelor of Industrial Design (Honours)</t>
        </is>
      </c>
      <c r="C148" t="inlineStr">
        <is>
          <t>Bachelor Honours Degree</t>
        </is>
      </c>
      <c r="D148" t="inlineStr">
        <is>
          <t>Undergraduate</t>
        </is>
      </c>
      <c r="E148" t="inlineStr">
        <is>
          <t>Advertised: official page in place</t>
        </is>
      </c>
      <c r="F148" t="inlineStr">
        <is>
          <t>https://www.unsw.edu.au/study/undergraduate/bachelor-of-industrial-design-honours</t>
        </is>
      </c>
      <c r="G148" t="inlineStr">
        <is>
          <t>https://www.unsw.edu.au/study/undergraduate/bachelor-of-industrial-design-honours</t>
        </is>
      </c>
      <c r="H148" t="inlineStr">
        <is>
          <t>Read</t>
        </is>
      </c>
      <c r="I148" t="inlineStr">
        <is>
          <t>Exact title match</t>
        </is>
      </c>
      <c r="J148" t="inlineStr"/>
      <c r="K148" t="inlineStr">
        <is>
          <t>Not sent to re-link</t>
        </is>
      </c>
      <c r="L148" t="inlineStr">
        <is>
          <t>Filled</t>
        </is>
      </c>
      <c r="M148" t="inlineStr">
        <is>
          <t>Filled</t>
        </is>
      </c>
      <c r="N148" t="inlineStr">
        <is>
          <t>51000.00 2026</t>
        </is>
      </c>
      <c r="O148" t="n">
        <v>0</v>
      </c>
      <c r="P148" t="inlineStr">
        <is>
          <t>University adapter</t>
        </is>
      </c>
      <c r="Q148" t="inlineStr">
        <is>
          <t>Filled</t>
        </is>
      </c>
      <c r="R148" t="n">
        <v>6</v>
      </c>
      <c r="S148" t="inlineStr">
        <is>
          <t>Central English policy</t>
        </is>
      </c>
      <c r="T148" t="inlineStr">
        <is>
          <t>Central rule applies (value agrees)</t>
        </is>
      </c>
      <c r="U148" t="inlineStr"/>
      <c r="V148" t="inlineStr">
        <is>
          <t>Filled</t>
        </is>
      </c>
      <c r="W148" t="inlineStr">
        <is>
          <t>February, September</t>
        </is>
      </c>
      <c r="X148" t="inlineStr">
        <is>
          <t>University adapter</t>
        </is>
      </c>
      <c r="Y148" t="n">
        <v>0</v>
      </c>
      <c r="Z148" t="inlineStr">
        <is>
          <t>Yes</t>
        </is>
      </c>
      <c r="AA148" t="inlineStr">
        <is>
          <t>Filled</t>
        </is>
      </c>
      <c r="AB148" t="inlineStr">
        <is>
          <t>on campus</t>
        </is>
      </c>
      <c r="AC148" t="inlineStr"/>
      <c r="AD148" t="n">
        <v>0</v>
      </c>
      <c r="AE148" t="inlineStr"/>
      <c r="AF148" t="inlineStr"/>
      <c r="AG148" t="inlineStr"/>
      <c r="AH148" t="inlineStr"/>
      <c r="AI148" t="inlineStr"/>
      <c r="AJ148" t="inlineStr"/>
      <c r="AK148" t="inlineStr"/>
      <c r="AL148" t="inlineStr"/>
      <c r="AM148" t="inlineStr"/>
    </row>
    <row r="149">
      <c r="A149" t="inlineStr">
        <is>
          <t>068782C</t>
        </is>
      </c>
      <c r="B149" t="inlineStr">
        <is>
          <t>Bachelor of Information Systems</t>
        </is>
      </c>
      <c r="C149" t="inlineStr">
        <is>
          <t>Bachelor</t>
        </is>
      </c>
      <c r="D149" t="inlineStr">
        <is>
          <t>Undergraduate</t>
        </is>
      </c>
      <c r="E149" t="inlineStr">
        <is>
          <t>Advertised: official page in place</t>
        </is>
      </c>
      <c r="F149" t="inlineStr">
        <is>
          <t>https://www.unsw.edu.au/study/undergraduate/bachelor-of-information-systems</t>
        </is>
      </c>
      <c r="G149" t="inlineStr">
        <is>
          <t>https://www.unsw.edu.au/study/undergraduate/bachelor-of-information-systems</t>
        </is>
      </c>
      <c r="H149" t="inlineStr">
        <is>
          <t>Read</t>
        </is>
      </c>
      <c r="I149" t="inlineStr">
        <is>
          <t>CRICOS code on page</t>
        </is>
      </c>
      <c r="J149" t="inlineStr"/>
      <c r="K149" t="inlineStr">
        <is>
          <t>Not sent to re-link</t>
        </is>
      </c>
      <c r="L149" t="inlineStr">
        <is>
          <t>Filled</t>
        </is>
      </c>
      <c r="M149" t="inlineStr">
        <is>
          <t>Filled</t>
        </is>
      </c>
      <c r="N149" t="inlineStr">
        <is>
          <t>56500.00 2026</t>
        </is>
      </c>
      <c r="O149" t="n">
        <v>0</v>
      </c>
      <c r="P149" t="inlineStr">
        <is>
          <t>University adapter</t>
        </is>
      </c>
      <c r="Q149" t="inlineStr">
        <is>
          <t>Filled</t>
        </is>
      </c>
      <c r="R149" t="n">
        <v>6</v>
      </c>
      <c r="S149" t="inlineStr">
        <is>
          <t>Central English policy</t>
        </is>
      </c>
      <c r="T149" t="inlineStr">
        <is>
          <t>Central rule applies (value agrees)</t>
        </is>
      </c>
      <c r="U149" t="inlineStr"/>
      <c r="V149" t="inlineStr">
        <is>
          <t>Filled</t>
        </is>
      </c>
      <c r="W149" t="inlineStr">
        <is>
          <t>February, May, September</t>
        </is>
      </c>
      <c r="X149" t="inlineStr">
        <is>
          <t>University adapter</t>
        </is>
      </c>
      <c r="Y149" t="n">
        <v>0</v>
      </c>
      <c r="Z149" t="inlineStr">
        <is>
          <t>Yes</t>
        </is>
      </c>
      <c r="AA149" t="inlineStr">
        <is>
          <t>Filled</t>
        </is>
      </c>
      <c r="AB149" t="inlineStr">
        <is>
          <t>on campus</t>
        </is>
      </c>
      <c r="AC149" t="inlineStr"/>
      <c r="AD149" t="n">
        <v>0</v>
      </c>
      <c r="AE149" t="inlineStr"/>
      <c r="AF149" t="inlineStr"/>
      <c r="AG149" t="inlineStr"/>
      <c r="AH149" t="inlineStr"/>
      <c r="AI149" t="inlineStr"/>
      <c r="AJ149" t="inlineStr"/>
      <c r="AK149" t="inlineStr"/>
      <c r="AL149" t="inlineStr"/>
      <c r="AM149" t="inlineStr"/>
    </row>
    <row r="150">
      <c r="A150" t="inlineStr">
        <is>
          <t>116103G</t>
        </is>
      </c>
      <c r="B150" t="inlineStr">
        <is>
          <t>Bachelor of Information Systems / Bachelor of Science (Computer Science)</t>
        </is>
      </c>
      <c r="C150" t="inlineStr">
        <is>
          <t>Bachelor</t>
        </is>
      </c>
      <c r="D150" t="inlineStr">
        <is>
          <t>Undergraduate</t>
        </is>
      </c>
      <c r="E150" t="inlineStr">
        <is>
          <t>Advertised: official page in place</t>
        </is>
      </c>
      <c r="F150" t="inlineStr">
        <is>
          <t>https://www.unsw.edu.au/study/undergraduate/bachelor-of-information-systems-computer-science</t>
        </is>
      </c>
      <c r="G150" t="inlineStr">
        <is>
          <t>https://www.unsw.edu.au/study/undergraduate/bachelor-of-information-systems-computer-science</t>
        </is>
      </c>
      <c r="H150" t="inlineStr">
        <is>
          <t>Read</t>
        </is>
      </c>
      <c r="I150" t="inlineStr">
        <is>
          <t>CRICOS code on page</t>
        </is>
      </c>
      <c r="J150" t="inlineStr"/>
      <c r="K150" t="inlineStr">
        <is>
          <t>Not sent to re-link</t>
        </is>
      </c>
      <c r="L150" t="inlineStr">
        <is>
          <t>Filled</t>
        </is>
      </c>
      <c r="M150" t="inlineStr">
        <is>
          <t>Filled</t>
        </is>
      </c>
      <c r="N150" t="inlineStr">
        <is>
          <t>56000.00 2026</t>
        </is>
      </c>
      <c r="O150" t="n">
        <v>0</v>
      </c>
      <c r="P150" t="inlineStr">
        <is>
          <t>University adapter</t>
        </is>
      </c>
      <c r="Q150" t="inlineStr">
        <is>
          <t>Filled</t>
        </is>
      </c>
      <c r="R150" t="n">
        <v>6</v>
      </c>
      <c r="S150" t="inlineStr">
        <is>
          <t>Central English policy</t>
        </is>
      </c>
      <c r="T150" t="inlineStr">
        <is>
          <t>Central rule applies (value agrees)</t>
        </is>
      </c>
      <c r="U150" t="inlineStr"/>
      <c r="V150" t="inlineStr">
        <is>
          <t>Filled</t>
        </is>
      </c>
      <c r="W150" t="inlineStr">
        <is>
          <t>February, May, September</t>
        </is>
      </c>
      <c r="X150" t="inlineStr">
        <is>
          <t>University adapter</t>
        </is>
      </c>
      <c r="Y150" t="n">
        <v>0</v>
      </c>
      <c r="Z150" t="inlineStr">
        <is>
          <t>Yes</t>
        </is>
      </c>
      <c r="AA150" t="inlineStr">
        <is>
          <t>Filled</t>
        </is>
      </c>
      <c r="AB150" t="inlineStr">
        <is>
          <t>on campus</t>
        </is>
      </c>
      <c r="AC150" t="inlineStr"/>
      <c r="AD150" t="n">
        <v>0</v>
      </c>
      <c r="AE150" t="inlineStr"/>
      <c r="AF150" t="inlineStr"/>
      <c r="AG150" t="inlineStr"/>
      <c r="AH150" t="inlineStr"/>
      <c r="AI150" t="inlineStr"/>
      <c r="AJ150" t="inlineStr"/>
      <c r="AK150" t="inlineStr"/>
      <c r="AL150" t="inlineStr"/>
      <c r="AM150" t="inlineStr"/>
    </row>
    <row r="151">
      <c r="A151" t="inlineStr">
        <is>
          <t>088833J</t>
        </is>
      </c>
      <c r="B151" t="inlineStr">
        <is>
          <t>Bachelor of Interior Architecture (Honours)</t>
        </is>
      </c>
      <c r="C151" t="inlineStr">
        <is>
          <t>Bachelor Honours Degree</t>
        </is>
      </c>
      <c r="D151" t="inlineStr">
        <is>
          <t>Undergraduate</t>
        </is>
      </c>
      <c r="E151" t="inlineStr">
        <is>
          <t>Advertised: official page in place</t>
        </is>
      </c>
      <c r="F151" t="inlineStr">
        <is>
          <t>https://www.unsw.edu.au/study/undergraduate/bachelor-of-interior-architecture-honours</t>
        </is>
      </c>
      <c r="G151" t="inlineStr">
        <is>
          <t>https://www.unsw.edu.au/study/undergraduate/bachelor-of-interior-architecture-honours</t>
        </is>
      </c>
      <c r="H151" t="inlineStr">
        <is>
          <t>Read</t>
        </is>
      </c>
      <c r="I151" t="inlineStr">
        <is>
          <t>CRICOS code on page</t>
        </is>
      </c>
      <c r="J151" t="inlineStr"/>
      <c r="K151" t="inlineStr">
        <is>
          <t>Not sent to re-link</t>
        </is>
      </c>
      <c r="L151" t="inlineStr">
        <is>
          <t>Filled</t>
        </is>
      </c>
      <c r="M151" t="inlineStr">
        <is>
          <t>Filled</t>
        </is>
      </c>
      <c r="N151" t="inlineStr">
        <is>
          <t>51000.00 2026</t>
        </is>
      </c>
      <c r="O151" t="n">
        <v>0</v>
      </c>
      <c r="P151" t="inlineStr">
        <is>
          <t>University adapter</t>
        </is>
      </c>
      <c r="Q151" t="inlineStr">
        <is>
          <t>Filled</t>
        </is>
      </c>
      <c r="R151" t="n">
        <v>6</v>
      </c>
      <c r="S151" t="inlineStr">
        <is>
          <t>Central English policy</t>
        </is>
      </c>
      <c r="T151" t="inlineStr">
        <is>
          <t>Central rule applies (value agrees)</t>
        </is>
      </c>
      <c r="U151" t="inlineStr"/>
      <c r="V151" t="inlineStr">
        <is>
          <t>Filled</t>
        </is>
      </c>
      <c r="W151" t="inlineStr">
        <is>
          <t>February, September</t>
        </is>
      </c>
      <c r="X151" t="inlineStr">
        <is>
          <t>University adapter</t>
        </is>
      </c>
      <c r="Y151" t="n">
        <v>0</v>
      </c>
      <c r="Z151" t="inlineStr">
        <is>
          <t>Yes</t>
        </is>
      </c>
      <c r="AA151" t="inlineStr">
        <is>
          <t>Filled</t>
        </is>
      </c>
      <c r="AB151" t="inlineStr">
        <is>
          <t>on campus</t>
        </is>
      </c>
      <c r="AC151" t="inlineStr"/>
      <c r="AD151" t="n">
        <v>0</v>
      </c>
      <c r="AE151" t="inlineStr"/>
      <c r="AF151" t="inlineStr"/>
      <c r="AG151" t="inlineStr"/>
      <c r="AH151" t="inlineStr"/>
      <c r="AI151" t="inlineStr"/>
      <c r="AJ151" t="inlineStr"/>
      <c r="AK151" t="inlineStr"/>
      <c r="AL151" t="inlineStr"/>
      <c r="AM151" t="inlineStr"/>
    </row>
    <row r="152">
      <c r="A152" t="inlineStr">
        <is>
          <t>113666G</t>
        </is>
      </c>
      <c r="B152" t="inlineStr">
        <is>
          <t>Bachelor of International Public Health</t>
        </is>
      </c>
      <c r="C152" t="inlineStr">
        <is>
          <t>Bachelor</t>
        </is>
      </c>
      <c r="D152" t="inlineStr">
        <is>
          <t>Undergraduate</t>
        </is>
      </c>
      <c r="E152" t="inlineStr">
        <is>
          <t>Page address no longer works</t>
        </is>
      </c>
      <c r="F152" t="inlineStr"/>
      <c r="G152" t="inlineStr">
        <is>
          <t>https://www.handbook.unsw.edu.au/undergraduate/programs/2026/3880</t>
        </is>
      </c>
      <c r="H152" t="inlineStr">
        <is>
          <t>Address no longer works</t>
        </is>
      </c>
      <c r="I152" t="inlineStr"/>
      <c r="J152" t="inlineStr"/>
      <c r="K152" t="inlineStr">
        <is>
          <t>Finished, no page: no address from the university's address forms or stored lis</t>
        </is>
      </c>
      <c r="L152" t="inlineStr">
        <is>
          <t>Page found, being read</t>
        </is>
      </c>
      <c r="M152" t="inlineStr">
        <is>
          <t>Page found, being read</t>
        </is>
      </c>
      <c r="N152" t="inlineStr"/>
      <c r="O152" t="n">
        <v>0</v>
      </c>
      <c r="P152" t="inlineStr"/>
      <c r="Q152" t="inlineStr">
        <is>
          <t>Filled</t>
        </is>
      </c>
      <c r="R152" t="n">
        <v>6</v>
      </c>
      <c r="S152" t="inlineStr">
        <is>
          <t>Central English policy</t>
        </is>
      </c>
      <c r="T152" t="inlineStr">
        <is>
          <t>Central rule applies (value agrees)</t>
        </is>
      </c>
      <c r="U152" t="inlineStr"/>
      <c r="V152" t="inlineStr">
        <is>
          <t>Page found, being read</t>
        </is>
      </c>
      <c r="W152" t="inlineStr"/>
      <c r="X152" t="inlineStr"/>
      <c r="Y152" t="n">
        <v>0</v>
      </c>
      <c r="Z152" t="inlineStr">
        <is>
          <t>Yes</t>
        </is>
      </c>
      <c r="AA152" t="inlineStr">
        <is>
          <t>Not stated on course page</t>
        </is>
      </c>
      <c r="AB152" t="inlineStr"/>
      <c r="AC152" t="inlineStr">
        <is>
          <t>Skipped: the page does not state it</t>
        </is>
      </c>
      <c r="AD152" t="n">
        <v>0</v>
      </c>
      <c r="AE152" t="inlineStr"/>
      <c r="AF152" t="inlineStr"/>
      <c r="AG152" t="inlineStr"/>
      <c r="AH152" t="inlineStr"/>
      <c r="AI152" t="inlineStr"/>
      <c r="AJ152" t="inlineStr"/>
      <c r="AK152" t="inlineStr"/>
      <c r="AL152" t="inlineStr"/>
      <c r="AM152" t="inlineStr"/>
    </row>
    <row r="153">
      <c r="A153" t="inlineStr">
        <is>
          <t>053080A</t>
        </is>
      </c>
      <c r="B153" t="inlineStr">
        <is>
          <t>Bachelor of International Studies (all specialisations)</t>
        </is>
      </c>
      <c r="C153" t="inlineStr">
        <is>
          <t>Bachelor</t>
        </is>
      </c>
      <c r="D153" t="inlineStr">
        <is>
          <t>Undergraduate</t>
        </is>
      </c>
      <c r="E153" t="inlineStr">
        <is>
          <t>Page address no longer works</t>
        </is>
      </c>
      <c r="F153" t="inlineStr"/>
      <c r="G153" t="inlineStr">
        <is>
          <t>https://www.handbook.unsw.edu.au/undergraduate/programs/2026/3447</t>
        </is>
      </c>
      <c r="H153" t="inlineStr">
        <is>
          <t>Address no longer works</t>
        </is>
      </c>
      <c r="I153" t="inlineStr"/>
      <c r="J153" t="inlineStr"/>
      <c r="K153" t="inlineStr">
        <is>
          <t>Finished, no page: no address from the university's address forms or stored lis</t>
        </is>
      </c>
      <c r="L153" t="inlineStr">
        <is>
          <t>Page found, being read</t>
        </is>
      </c>
      <c r="M153" t="inlineStr">
        <is>
          <t>Page found, being read</t>
        </is>
      </c>
      <c r="N153" t="inlineStr"/>
      <c r="O153" t="n">
        <v>0</v>
      </c>
      <c r="P153" t="inlineStr"/>
      <c r="Q153" t="inlineStr">
        <is>
          <t>Filled</t>
        </is>
      </c>
      <c r="R153" t="n">
        <v>6</v>
      </c>
      <c r="S153" t="inlineStr">
        <is>
          <t>Central English policy</t>
        </is>
      </c>
      <c r="T153" t="inlineStr">
        <is>
          <t>Central rule applies (value agrees)</t>
        </is>
      </c>
      <c r="U153" t="inlineStr"/>
      <c r="V153" t="inlineStr">
        <is>
          <t>Page found, being read</t>
        </is>
      </c>
      <c r="W153" t="inlineStr"/>
      <c r="X153" t="inlineStr"/>
      <c r="Y153" t="n">
        <v>0</v>
      </c>
      <c r="Z153" t="inlineStr">
        <is>
          <t>Yes</t>
        </is>
      </c>
      <c r="AA153" t="inlineStr">
        <is>
          <t>Not stated on course page</t>
        </is>
      </c>
      <c r="AB153" t="inlineStr"/>
      <c r="AC153" t="inlineStr">
        <is>
          <t>Skipped: the page does not state it</t>
        </is>
      </c>
      <c r="AD153" t="n">
        <v>0</v>
      </c>
      <c r="AE153" t="inlineStr"/>
      <c r="AF153" t="inlineStr"/>
      <c r="AG153" t="inlineStr"/>
      <c r="AH153" t="inlineStr"/>
      <c r="AI153" t="inlineStr"/>
      <c r="AJ153" t="inlineStr"/>
      <c r="AK153" t="inlineStr"/>
      <c r="AL153" t="inlineStr"/>
      <c r="AM153" t="inlineStr"/>
    </row>
    <row r="154">
      <c r="A154" t="inlineStr">
        <is>
          <t>052227F</t>
        </is>
      </c>
      <c r="B154" t="inlineStr">
        <is>
          <t>Bachelor of International Studies/Bachelor of Laws</t>
        </is>
      </c>
      <c r="C154" t="inlineStr">
        <is>
          <t>Bachelor</t>
        </is>
      </c>
      <c r="D154" t="inlineStr">
        <is>
          <t>Undergraduate</t>
        </is>
      </c>
      <c r="E154" t="inlineStr">
        <is>
          <t>Page address no longer works</t>
        </is>
      </c>
      <c r="F154" t="inlineStr"/>
      <c r="G154" t="inlineStr">
        <is>
          <t>https://www.handbook.unsw.edu.au/undergraduate/programs/2026/4788</t>
        </is>
      </c>
      <c r="H154" t="inlineStr">
        <is>
          <t>Address no longer works</t>
        </is>
      </c>
      <c r="I154" t="inlineStr"/>
      <c r="J154" t="inlineStr"/>
      <c r="K154" t="inlineStr">
        <is>
          <t>Not sent to re-link</t>
        </is>
      </c>
      <c r="L154" t="inlineStr">
        <is>
          <t>Page found, being read</t>
        </is>
      </c>
      <c r="M154" t="inlineStr">
        <is>
          <t>Page found, being read</t>
        </is>
      </c>
      <c r="N154" t="inlineStr"/>
      <c r="O154" t="n">
        <v>0</v>
      </c>
      <c r="P154" t="inlineStr"/>
      <c r="Q154" t="inlineStr">
        <is>
          <t>Filled</t>
        </is>
      </c>
      <c r="R154" t="n">
        <v>6</v>
      </c>
      <c r="S154" t="inlineStr">
        <is>
          <t>Central English policy</t>
        </is>
      </c>
      <c r="T154" t="inlineStr">
        <is>
          <t>Central rule applies (value agrees)</t>
        </is>
      </c>
      <c r="U154" t="inlineStr"/>
      <c r="V154" t="inlineStr">
        <is>
          <t>Page found, being read</t>
        </is>
      </c>
      <c r="W154" t="inlineStr"/>
      <c r="X154" t="inlineStr"/>
      <c r="Y154" t="n">
        <v>0</v>
      </c>
      <c r="Z154" t="inlineStr">
        <is>
          <t>Yes</t>
        </is>
      </c>
      <c r="AA154" t="inlineStr">
        <is>
          <t>Not stated on course page</t>
        </is>
      </c>
      <c r="AB154" t="inlineStr"/>
      <c r="AC154" t="inlineStr">
        <is>
          <t>Skipped: no allowed source had a value</t>
        </is>
      </c>
      <c r="AD154" t="n">
        <v>0</v>
      </c>
      <c r="AE154" t="inlineStr"/>
      <c r="AF154" t="inlineStr"/>
      <c r="AG154" t="inlineStr"/>
      <c r="AH154" t="inlineStr"/>
      <c r="AI154" t="inlineStr"/>
      <c r="AJ154" t="inlineStr"/>
      <c r="AK154" t="inlineStr"/>
      <c r="AL154" t="inlineStr"/>
      <c r="AM154" t="inlineStr"/>
    </row>
    <row r="155">
      <c r="A155" t="inlineStr">
        <is>
          <t>080067G</t>
        </is>
      </c>
      <c r="B155" t="inlineStr">
        <is>
          <t>Bachelor of International Studies/Bachelor of Media (Communication and Journalism)</t>
        </is>
      </c>
      <c r="C155" t="inlineStr">
        <is>
          <t>Bachelor</t>
        </is>
      </c>
      <c r="D155" t="inlineStr">
        <is>
          <t>Undergraduate</t>
        </is>
      </c>
      <c r="E155" t="inlineStr">
        <is>
          <t>Page address no longer works</t>
        </is>
      </c>
      <c r="F155" t="inlineStr"/>
      <c r="G155" t="inlineStr">
        <is>
          <t>https://www.handbook.unsw.edu.au/undergraduate/programs/2026/3454</t>
        </is>
      </c>
      <c r="H155" t="inlineStr">
        <is>
          <t>Address no longer works</t>
        </is>
      </c>
      <c r="I155" t="inlineStr"/>
      <c r="J155" t="inlineStr"/>
      <c r="K155" t="inlineStr">
        <is>
          <t>Finished, no page: no address from the university's address forms or stored lis</t>
        </is>
      </c>
      <c r="L155" t="inlineStr">
        <is>
          <t>Page found, being read</t>
        </is>
      </c>
      <c r="M155" t="inlineStr">
        <is>
          <t>Page found, being read</t>
        </is>
      </c>
      <c r="N155" t="inlineStr"/>
      <c r="O155" t="n">
        <v>0</v>
      </c>
      <c r="P155" t="inlineStr"/>
      <c r="Q155" t="inlineStr">
        <is>
          <t>Filled</t>
        </is>
      </c>
      <c r="R155" t="n">
        <v>6</v>
      </c>
      <c r="S155" t="inlineStr">
        <is>
          <t>Central English policy</t>
        </is>
      </c>
      <c r="T155" t="inlineStr">
        <is>
          <t>Central rule applies (value agrees)</t>
        </is>
      </c>
      <c r="U155" t="inlineStr"/>
      <c r="V155" t="inlineStr">
        <is>
          <t>Page found, being read</t>
        </is>
      </c>
      <c r="W155" t="inlineStr"/>
      <c r="X155" t="inlineStr"/>
      <c r="Y155" t="n">
        <v>0</v>
      </c>
      <c r="Z155" t="inlineStr">
        <is>
          <t>Yes</t>
        </is>
      </c>
      <c r="AA155" t="inlineStr">
        <is>
          <t>Not stated on course page</t>
        </is>
      </c>
      <c r="AB155" t="inlineStr"/>
      <c r="AC155" t="inlineStr">
        <is>
          <t>Skipped: the page does not state it</t>
        </is>
      </c>
      <c r="AD155" t="n">
        <v>0</v>
      </c>
      <c r="AE155" t="inlineStr"/>
      <c r="AF155" t="inlineStr"/>
      <c r="AG155" t="inlineStr"/>
      <c r="AH155" t="inlineStr"/>
      <c r="AI155" t="inlineStr"/>
      <c r="AJ155" t="inlineStr"/>
      <c r="AK155" t="inlineStr"/>
      <c r="AL155" t="inlineStr"/>
      <c r="AM155" t="inlineStr"/>
    </row>
    <row r="156">
      <c r="A156" t="inlineStr">
        <is>
          <t>080066G</t>
        </is>
      </c>
      <c r="B156" t="inlineStr">
        <is>
          <t>Bachelor of International Studies/Bachelor of Media (Public Relations and Advertising)</t>
        </is>
      </c>
      <c r="C156" t="inlineStr">
        <is>
          <t>Bachelor</t>
        </is>
      </c>
      <c r="D156" t="inlineStr">
        <is>
          <t>Undergraduate</t>
        </is>
      </c>
      <c r="E156" t="inlineStr">
        <is>
          <t>Page address no longer works</t>
        </is>
      </c>
      <c r="F156" t="inlineStr"/>
      <c r="G156" t="inlineStr">
        <is>
          <t>https://www.handbook.unsw.edu.au/undergraduate/programs/2026/3453</t>
        </is>
      </c>
      <c r="H156" t="inlineStr">
        <is>
          <t>Address no longer works</t>
        </is>
      </c>
      <c r="I156" t="inlineStr"/>
      <c r="J156" t="inlineStr"/>
      <c r="K156" t="inlineStr">
        <is>
          <t>Not sent to re-link</t>
        </is>
      </c>
      <c r="L156" t="inlineStr">
        <is>
          <t>Page found, being read</t>
        </is>
      </c>
      <c r="M156" t="inlineStr">
        <is>
          <t>Page found, being read</t>
        </is>
      </c>
      <c r="N156" t="inlineStr"/>
      <c r="O156" t="n">
        <v>0</v>
      </c>
      <c r="P156" t="inlineStr"/>
      <c r="Q156" t="inlineStr">
        <is>
          <t>Filled</t>
        </is>
      </c>
      <c r="R156" t="n">
        <v>6</v>
      </c>
      <c r="S156" t="inlineStr">
        <is>
          <t>Central English policy</t>
        </is>
      </c>
      <c r="T156" t="inlineStr">
        <is>
          <t>Central rule applies (value agrees)</t>
        </is>
      </c>
      <c r="U156" t="inlineStr"/>
      <c r="V156" t="inlineStr">
        <is>
          <t>Page found, being read</t>
        </is>
      </c>
      <c r="W156" t="inlineStr"/>
      <c r="X156" t="inlineStr"/>
      <c r="Y156" t="n">
        <v>0</v>
      </c>
      <c r="Z156" t="inlineStr">
        <is>
          <t>Yes</t>
        </is>
      </c>
      <c r="AA156" t="inlineStr">
        <is>
          <t>Not stated on course page</t>
        </is>
      </c>
      <c r="AB156" t="inlineStr"/>
      <c r="AC156" t="inlineStr">
        <is>
          <t>Skipped: no allowed source had a value</t>
        </is>
      </c>
      <c r="AD156" t="n">
        <v>0</v>
      </c>
      <c r="AE156" t="inlineStr"/>
      <c r="AF156" t="inlineStr"/>
      <c r="AG156" t="inlineStr"/>
      <c r="AH156" t="inlineStr"/>
      <c r="AI156" t="inlineStr"/>
      <c r="AJ156" t="inlineStr"/>
      <c r="AK156" t="inlineStr"/>
      <c r="AL156" t="inlineStr"/>
      <c r="AM156" t="inlineStr"/>
    </row>
    <row r="157">
      <c r="A157" t="inlineStr">
        <is>
          <t>080065J</t>
        </is>
      </c>
      <c r="B157" t="inlineStr">
        <is>
          <t>Bachelor of International Studies/Bachelor of Media (Screen and Sound Production)</t>
        </is>
      </c>
      <c r="C157" t="inlineStr">
        <is>
          <t>Bachelor</t>
        </is>
      </c>
      <c r="D157" t="inlineStr">
        <is>
          <t>Undergraduate</t>
        </is>
      </c>
      <c r="E157" t="inlineStr">
        <is>
          <t>Page address no longer works</t>
        </is>
      </c>
      <c r="F157" t="inlineStr"/>
      <c r="G157" t="inlineStr">
        <is>
          <t>https://www.handbook.unsw.edu.au/undergraduate/programs/2026/3477</t>
        </is>
      </c>
      <c r="H157" t="inlineStr">
        <is>
          <t>Address no longer works</t>
        </is>
      </c>
      <c r="I157" t="inlineStr"/>
      <c r="J157" t="inlineStr"/>
      <c r="K157" t="inlineStr">
        <is>
          <t>Not sent to re-link</t>
        </is>
      </c>
      <c r="L157" t="inlineStr">
        <is>
          <t>Page found, being read</t>
        </is>
      </c>
      <c r="M157" t="inlineStr">
        <is>
          <t>Page found, being read</t>
        </is>
      </c>
      <c r="N157" t="inlineStr"/>
      <c r="O157" t="n">
        <v>0</v>
      </c>
      <c r="P157" t="inlineStr"/>
      <c r="Q157" t="inlineStr">
        <is>
          <t>Filled</t>
        </is>
      </c>
      <c r="R157" t="n">
        <v>6</v>
      </c>
      <c r="S157" t="inlineStr">
        <is>
          <t>Central English policy</t>
        </is>
      </c>
      <c r="T157" t="inlineStr">
        <is>
          <t>Central rule applies (value agrees)</t>
        </is>
      </c>
      <c r="U157" t="inlineStr"/>
      <c r="V157" t="inlineStr">
        <is>
          <t>Page found, being read</t>
        </is>
      </c>
      <c r="W157" t="inlineStr"/>
      <c r="X157" t="inlineStr"/>
      <c r="Y157" t="n">
        <v>0</v>
      </c>
      <c r="Z157" t="inlineStr">
        <is>
          <t>Yes</t>
        </is>
      </c>
      <c r="AA157" t="inlineStr">
        <is>
          <t>Not stated on course page</t>
        </is>
      </c>
      <c r="AB157" t="inlineStr"/>
      <c r="AC157" t="inlineStr">
        <is>
          <t>Skipped: no allowed source had a value</t>
        </is>
      </c>
      <c r="AD157" t="n">
        <v>0</v>
      </c>
      <c r="AE157" t="inlineStr"/>
      <c r="AF157" t="inlineStr"/>
      <c r="AG157" t="inlineStr"/>
      <c r="AH157" t="inlineStr"/>
      <c r="AI157" t="inlineStr"/>
      <c r="AJ157" t="inlineStr"/>
      <c r="AK157" t="inlineStr"/>
      <c r="AL157" t="inlineStr"/>
      <c r="AM157" t="inlineStr"/>
    </row>
    <row r="158">
      <c r="A158" t="inlineStr">
        <is>
          <t>089363D</t>
        </is>
      </c>
      <c r="B158" t="inlineStr">
        <is>
          <t>Bachelor of Landscape Architecture (Honours)</t>
        </is>
      </c>
      <c r="C158" t="inlineStr">
        <is>
          <t>Bachelor Honours Degree</t>
        </is>
      </c>
      <c r="D158" t="inlineStr">
        <is>
          <t>Undergraduate</t>
        </is>
      </c>
      <c r="E158" t="inlineStr">
        <is>
          <t>Advertised: official page in place</t>
        </is>
      </c>
      <c r="F158" t="inlineStr">
        <is>
          <t>https://www.unsw.edu.au/study/undergraduate/bachelor-of-landscape-architecture-honours</t>
        </is>
      </c>
      <c r="G158" t="inlineStr">
        <is>
          <t>https://www.unsw.edu.au/study/undergraduate/bachelor-of-landscape-architecture-honours</t>
        </is>
      </c>
      <c r="H158" t="inlineStr">
        <is>
          <t>Read</t>
        </is>
      </c>
      <c r="I158" t="inlineStr">
        <is>
          <t>CRICOS code on page</t>
        </is>
      </c>
      <c r="J158" t="inlineStr"/>
      <c r="K158" t="inlineStr">
        <is>
          <t>Not sent to re-link</t>
        </is>
      </c>
      <c r="L158" t="inlineStr">
        <is>
          <t>Filled</t>
        </is>
      </c>
      <c r="M158" t="inlineStr">
        <is>
          <t>Filled</t>
        </is>
      </c>
      <c r="N158" t="inlineStr">
        <is>
          <t>50500.00 2026</t>
        </is>
      </c>
      <c r="O158" t="n">
        <v>0</v>
      </c>
      <c r="P158" t="inlineStr">
        <is>
          <t>University adapter</t>
        </is>
      </c>
      <c r="Q158" t="inlineStr">
        <is>
          <t>Filled</t>
        </is>
      </c>
      <c r="R158" t="n">
        <v>6</v>
      </c>
      <c r="S158" t="inlineStr">
        <is>
          <t>Central English policy</t>
        </is>
      </c>
      <c r="T158" t="inlineStr">
        <is>
          <t>Central rule applies (value agrees)</t>
        </is>
      </c>
      <c r="U158" t="inlineStr"/>
      <c r="V158" t="inlineStr">
        <is>
          <t>Filled</t>
        </is>
      </c>
      <c r="W158" t="inlineStr">
        <is>
          <t>February</t>
        </is>
      </c>
      <c r="X158" t="inlineStr">
        <is>
          <t>University adapter</t>
        </is>
      </c>
      <c r="Y158" t="n">
        <v>0</v>
      </c>
      <c r="Z158" t="inlineStr">
        <is>
          <t>Yes</t>
        </is>
      </c>
      <c r="AA158" t="inlineStr">
        <is>
          <t>Filled</t>
        </is>
      </c>
      <c r="AB158" t="inlineStr">
        <is>
          <t>on campus</t>
        </is>
      </c>
      <c r="AC158" t="inlineStr"/>
      <c r="AD158" t="n">
        <v>0</v>
      </c>
      <c r="AE158" t="inlineStr"/>
      <c r="AF158" t="inlineStr"/>
      <c r="AG158" t="inlineStr"/>
      <c r="AH158" t="inlineStr"/>
      <c r="AI158" t="inlineStr"/>
      <c r="AJ158" t="inlineStr"/>
      <c r="AK158" t="inlineStr"/>
      <c r="AL158" t="inlineStr"/>
      <c r="AM158" t="inlineStr"/>
    </row>
    <row r="159">
      <c r="A159" t="inlineStr">
        <is>
          <t>078550C</t>
        </is>
      </c>
      <c r="B159" t="inlineStr">
        <is>
          <t>Bachelor of Laws/Bachelor of Social Science</t>
        </is>
      </c>
      <c r="C159" t="inlineStr">
        <is>
          <t>Bachelor</t>
        </is>
      </c>
      <c r="D159" t="inlineStr">
        <is>
          <t>Undergraduate</t>
        </is>
      </c>
      <c r="E159" t="inlineStr">
        <is>
          <t>Page address no longer works</t>
        </is>
      </c>
      <c r="F159" t="inlineStr"/>
      <c r="G159" t="inlineStr">
        <is>
          <t>https://www.handbook.unsw.edu.au/undergraduate/programs/2026/4771</t>
        </is>
      </c>
      <c r="H159" t="inlineStr">
        <is>
          <t>Address no longer works</t>
        </is>
      </c>
      <c r="I159" t="inlineStr"/>
      <c r="J159" t="inlineStr"/>
      <c r="K159" t="inlineStr">
        <is>
          <t>Finished, no page: no address from the university's address forms or stored lis</t>
        </is>
      </c>
      <c r="L159" t="inlineStr">
        <is>
          <t>Page found, being read</t>
        </is>
      </c>
      <c r="M159" t="inlineStr">
        <is>
          <t>Page found, being read</t>
        </is>
      </c>
      <c r="N159" t="inlineStr"/>
      <c r="O159" t="n">
        <v>0</v>
      </c>
      <c r="P159" t="inlineStr"/>
      <c r="Q159" t="inlineStr">
        <is>
          <t>Filled</t>
        </is>
      </c>
      <c r="R159" t="n">
        <v>6</v>
      </c>
      <c r="S159" t="inlineStr">
        <is>
          <t>Central English policy</t>
        </is>
      </c>
      <c r="T159" t="inlineStr">
        <is>
          <t>Central rule applies (value agrees)</t>
        </is>
      </c>
      <c r="U159" t="inlineStr"/>
      <c r="V159" t="inlineStr">
        <is>
          <t>Page found, being read</t>
        </is>
      </c>
      <c r="W159" t="inlineStr"/>
      <c r="X159" t="inlineStr"/>
      <c r="Y159" t="n">
        <v>0</v>
      </c>
      <c r="Z159" t="inlineStr">
        <is>
          <t>Yes</t>
        </is>
      </c>
      <c r="AA159" t="inlineStr">
        <is>
          <t>Not stated on course page</t>
        </is>
      </c>
      <c r="AB159" t="inlineStr"/>
      <c r="AC159" t="inlineStr">
        <is>
          <t>Skipped: no allowed source had a value</t>
        </is>
      </c>
      <c r="AD159" t="n">
        <v>1</v>
      </c>
      <c r="AE159" t="inlineStr"/>
      <c r="AF159" t="inlineStr"/>
      <c r="AG159" t="inlineStr"/>
      <c r="AH159" t="inlineStr"/>
      <c r="AI159" t="inlineStr"/>
      <c r="AJ159" t="inlineStr"/>
      <c r="AK159" t="inlineStr"/>
      <c r="AL159" t="inlineStr"/>
      <c r="AM159" t="inlineStr"/>
    </row>
    <row r="160">
      <c r="A160" t="inlineStr">
        <is>
          <t>085129B</t>
        </is>
      </c>
      <c r="B160" t="inlineStr">
        <is>
          <t>Bachelor of Life Sciences</t>
        </is>
      </c>
      <c r="C160" t="inlineStr">
        <is>
          <t>Bachelor</t>
        </is>
      </c>
      <c r="D160" t="inlineStr">
        <is>
          <t>Undergraduate</t>
        </is>
      </c>
      <c r="E160" t="inlineStr">
        <is>
          <t>Page address no longer works</t>
        </is>
      </c>
      <c r="F160" t="inlineStr"/>
      <c r="G160" t="inlineStr">
        <is>
          <t>https://www.unsw.edu.au/study/undergraduate/bachelor-of-life-sciences?studentType&amp;</t>
        </is>
      </c>
      <c r="H160" t="inlineStr">
        <is>
          <t>Address no longer works</t>
        </is>
      </c>
      <c r="I160" t="inlineStr"/>
      <c r="J160" t="inlineStr"/>
      <c r="K160" t="inlineStr">
        <is>
          <t>Finished, no page: every candidate address was refused by the reader or did not</t>
        </is>
      </c>
      <c r="L160" t="inlineStr">
        <is>
          <t>Page found, being read</t>
        </is>
      </c>
      <c r="M160" t="inlineStr">
        <is>
          <t>Page found, being read</t>
        </is>
      </c>
      <c r="N160" t="inlineStr"/>
      <c r="O160" t="n">
        <v>0</v>
      </c>
      <c r="P160" t="inlineStr"/>
      <c r="Q160" t="inlineStr">
        <is>
          <t>Filled</t>
        </is>
      </c>
      <c r="R160" t="n">
        <v>6</v>
      </c>
      <c r="S160" t="inlineStr">
        <is>
          <t>Central English policy</t>
        </is>
      </c>
      <c r="T160" t="inlineStr">
        <is>
          <t>Central rule applies (value agrees)</t>
        </is>
      </c>
      <c r="U160" t="inlineStr"/>
      <c r="V160" t="inlineStr">
        <is>
          <t>Page found, being read</t>
        </is>
      </c>
      <c r="W160" t="inlineStr"/>
      <c r="X160" t="inlineStr"/>
      <c r="Y160" t="n">
        <v>0</v>
      </c>
      <c r="Z160" t="inlineStr">
        <is>
          <t>Yes</t>
        </is>
      </c>
      <c r="AA160" t="inlineStr">
        <is>
          <t>Not stated on course page</t>
        </is>
      </c>
      <c r="AB160" t="inlineStr"/>
      <c r="AC160" t="inlineStr">
        <is>
          <t>Skipped: the page does not state it</t>
        </is>
      </c>
      <c r="AD160" t="n">
        <v>0</v>
      </c>
      <c r="AE160" t="inlineStr"/>
      <c r="AF160" t="inlineStr"/>
      <c r="AG160" t="inlineStr"/>
      <c r="AH160" t="inlineStr"/>
      <c r="AI160" t="inlineStr"/>
      <c r="AJ160" t="inlineStr"/>
      <c r="AK160" t="inlineStr"/>
      <c r="AL160" t="inlineStr"/>
      <c r="AM160" t="inlineStr"/>
    </row>
    <row r="161">
      <c r="A161" t="inlineStr">
        <is>
          <t>110658J</t>
        </is>
      </c>
      <c r="B161" t="inlineStr">
        <is>
          <t>Bachelor of Media</t>
        </is>
      </c>
      <c r="C161" t="inlineStr">
        <is>
          <t>Bachelor</t>
        </is>
      </c>
      <c r="D161" t="inlineStr">
        <is>
          <t>Undergraduate</t>
        </is>
      </c>
      <c r="E161" t="inlineStr">
        <is>
          <t>Advertised: official page in place</t>
        </is>
      </c>
      <c r="F161" t="inlineStr">
        <is>
          <t>https://www.unsw.edu.au/study/undergraduate/bachelor-of-media</t>
        </is>
      </c>
      <c r="G161" t="inlineStr">
        <is>
          <t>https://www.unsw.edu.au/study/undergraduate/bachelor-of-media</t>
        </is>
      </c>
      <c r="H161" t="inlineStr">
        <is>
          <t>Read</t>
        </is>
      </c>
      <c r="I161" t="inlineStr">
        <is>
          <t>CRICOS code on page</t>
        </is>
      </c>
      <c r="J161" t="inlineStr"/>
      <c r="K161" t="inlineStr">
        <is>
          <t>Not sent to re-link</t>
        </is>
      </c>
      <c r="L161" t="inlineStr">
        <is>
          <t>Filled</t>
        </is>
      </c>
      <c r="M161" t="inlineStr">
        <is>
          <t>Filled</t>
        </is>
      </c>
      <c r="N161" t="inlineStr">
        <is>
          <t>49000.00 2026</t>
        </is>
      </c>
      <c r="O161" t="n">
        <v>0</v>
      </c>
      <c r="P161" t="inlineStr">
        <is>
          <t>University adapter</t>
        </is>
      </c>
      <c r="Q161" t="inlineStr">
        <is>
          <t>Filled</t>
        </is>
      </c>
      <c r="R161" t="n">
        <v>6</v>
      </c>
      <c r="S161" t="inlineStr">
        <is>
          <t>Central English policy</t>
        </is>
      </c>
      <c r="T161" t="inlineStr">
        <is>
          <t>Central rule applies (value agrees)</t>
        </is>
      </c>
      <c r="U161" t="inlineStr"/>
      <c r="V161" t="inlineStr">
        <is>
          <t>Filled</t>
        </is>
      </c>
      <c r="W161" t="inlineStr">
        <is>
          <t>February, May, September</t>
        </is>
      </c>
      <c r="X161" t="inlineStr">
        <is>
          <t>University adapter</t>
        </is>
      </c>
      <c r="Y161" t="n">
        <v>0</v>
      </c>
      <c r="Z161" t="inlineStr">
        <is>
          <t>Yes</t>
        </is>
      </c>
      <c r="AA161" t="inlineStr">
        <is>
          <t>Filled</t>
        </is>
      </c>
      <c r="AB161" t="inlineStr">
        <is>
          <t>on campus</t>
        </is>
      </c>
      <c r="AC161" t="inlineStr"/>
      <c r="AD161" t="n">
        <v>0</v>
      </c>
      <c r="AE161" t="inlineStr"/>
      <c r="AF161" t="inlineStr"/>
      <c r="AG161" t="inlineStr"/>
      <c r="AH161" t="inlineStr"/>
      <c r="AI161" t="inlineStr"/>
      <c r="AJ161" t="inlineStr"/>
      <c r="AK161" t="inlineStr"/>
      <c r="AL161" t="inlineStr"/>
      <c r="AM161" t="inlineStr"/>
    </row>
    <row r="162">
      <c r="A162" t="inlineStr">
        <is>
          <t>099871A</t>
        </is>
      </c>
      <c r="B162" t="inlineStr">
        <is>
          <t>Bachelor of Media (Communication and Journalism)/Bachelor of Arts</t>
        </is>
      </c>
      <c r="C162" t="inlineStr">
        <is>
          <t>Bachelor</t>
        </is>
      </c>
      <c r="D162" t="inlineStr">
        <is>
          <t>Undergraduate</t>
        </is>
      </c>
      <c r="E162" t="inlineStr">
        <is>
          <t>Page address no longer works</t>
        </is>
      </c>
      <c r="F162" t="inlineStr"/>
      <c r="G162" t="inlineStr">
        <is>
          <t>https://www.handbook.unsw.edu.au/undergraduate/programs/2026/3455</t>
        </is>
      </c>
      <c r="H162" t="inlineStr">
        <is>
          <t>Address no longer works</t>
        </is>
      </c>
      <c r="I162" t="inlineStr"/>
      <c r="J162" t="inlineStr"/>
      <c r="K162" t="inlineStr">
        <is>
          <t>Not sent to re-link</t>
        </is>
      </c>
      <c r="L162" t="inlineStr">
        <is>
          <t>Page found, being read</t>
        </is>
      </c>
      <c r="M162" t="inlineStr">
        <is>
          <t>Page found, being read</t>
        </is>
      </c>
      <c r="N162" t="inlineStr"/>
      <c r="O162" t="n">
        <v>0</v>
      </c>
      <c r="P162" t="inlineStr"/>
      <c r="Q162" t="inlineStr">
        <is>
          <t>Filled</t>
        </is>
      </c>
      <c r="R162" t="n">
        <v>6</v>
      </c>
      <c r="S162" t="inlineStr">
        <is>
          <t>Central English policy</t>
        </is>
      </c>
      <c r="T162" t="inlineStr">
        <is>
          <t>Central rule applies (value agrees)</t>
        </is>
      </c>
      <c r="U162" t="inlineStr"/>
      <c r="V162" t="inlineStr">
        <is>
          <t>Page found, being read</t>
        </is>
      </c>
      <c r="W162" t="inlineStr"/>
      <c r="X162" t="inlineStr"/>
      <c r="Y162" t="n">
        <v>0</v>
      </c>
      <c r="Z162" t="inlineStr">
        <is>
          <t>Yes</t>
        </is>
      </c>
      <c r="AA162" t="inlineStr">
        <is>
          <t>Not stated on course page</t>
        </is>
      </c>
      <c r="AB162" t="inlineStr"/>
      <c r="AC162" t="inlineStr">
        <is>
          <t>Skipped: no allowed source had a value</t>
        </is>
      </c>
      <c r="AD162" t="n">
        <v>0</v>
      </c>
      <c r="AE162" t="inlineStr"/>
      <c r="AF162" t="inlineStr"/>
      <c r="AG162" t="inlineStr"/>
      <c r="AH162" t="inlineStr"/>
      <c r="AI162" t="inlineStr"/>
      <c r="AJ162" t="inlineStr"/>
      <c r="AK162" t="inlineStr"/>
      <c r="AL162" t="inlineStr"/>
      <c r="AM162" t="inlineStr"/>
    </row>
    <row r="163">
      <c r="A163" t="inlineStr">
        <is>
          <t>082786D</t>
        </is>
      </c>
      <c r="B163" t="inlineStr">
        <is>
          <t>Bachelor of Media (Communication and Journalism)/Bachelor of Law</t>
        </is>
      </c>
      <c r="C163" t="inlineStr">
        <is>
          <t>Bachelor</t>
        </is>
      </c>
      <c r="D163" t="inlineStr">
        <is>
          <t>Undergraduate</t>
        </is>
      </c>
      <c r="E163" t="inlineStr">
        <is>
          <t>Page address no longer works</t>
        </is>
      </c>
      <c r="F163" t="inlineStr"/>
      <c r="G163" t="inlineStr">
        <is>
          <t>https://www.handbook.unsw.edu.au/undergraduate/programs/2026/4792</t>
        </is>
      </c>
      <c r="H163" t="inlineStr">
        <is>
          <t>Address no longer works</t>
        </is>
      </c>
      <c r="I163" t="inlineStr"/>
      <c r="J163" t="inlineStr"/>
      <c r="K163" t="inlineStr">
        <is>
          <t>Not sent to re-link</t>
        </is>
      </c>
      <c r="L163" t="inlineStr">
        <is>
          <t>Page found, being read</t>
        </is>
      </c>
      <c r="M163" t="inlineStr">
        <is>
          <t>Page found, being read</t>
        </is>
      </c>
      <c r="N163" t="inlineStr"/>
      <c r="O163" t="n">
        <v>0</v>
      </c>
      <c r="P163" t="inlineStr"/>
      <c r="Q163" t="inlineStr">
        <is>
          <t>Filled</t>
        </is>
      </c>
      <c r="R163" t="n">
        <v>6</v>
      </c>
      <c r="S163" t="inlineStr">
        <is>
          <t>Central English policy</t>
        </is>
      </c>
      <c r="T163" t="inlineStr">
        <is>
          <t>Central rule applies (value agrees)</t>
        </is>
      </c>
      <c r="U163" t="inlineStr"/>
      <c r="V163" t="inlineStr">
        <is>
          <t>Page found, being read</t>
        </is>
      </c>
      <c r="W163" t="inlineStr"/>
      <c r="X163" t="inlineStr"/>
      <c r="Y163" t="n">
        <v>0</v>
      </c>
      <c r="Z163" t="inlineStr">
        <is>
          <t>Yes</t>
        </is>
      </c>
      <c r="AA163" t="inlineStr">
        <is>
          <t>Not stated on course page</t>
        </is>
      </c>
      <c r="AB163" t="inlineStr"/>
      <c r="AC163" t="inlineStr">
        <is>
          <t>Skipped: no allowed source had a value</t>
        </is>
      </c>
      <c r="AD163" t="n">
        <v>0</v>
      </c>
      <c r="AE163" t="inlineStr"/>
      <c r="AF163" t="inlineStr"/>
      <c r="AG163" t="inlineStr"/>
      <c r="AH163" t="inlineStr"/>
      <c r="AI163" t="inlineStr"/>
      <c r="AJ163" t="inlineStr"/>
      <c r="AK163" t="inlineStr"/>
      <c r="AL163" t="inlineStr"/>
      <c r="AM163" t="inlineStr"/>
    </row>
    <row r="164">
      <c r="A164" t="inlineStr">
        <is>
          <t>082194F</t>
        </is>
      </c>
      <c r="B164" t="inlineStr">
        <is>
          <t>Bachelor of Media (Honours)</t>
        </is>
      </c>
      <c r="C164" t="inlineStr">
        <is>
          <t>Bachelor Honours Degree</t>
        </is>
      </c>
      <c r="D164" t="inlineStr">
        <is>
          <t>Undergraduate</t>
        </is>
      </c>
      <c r="E164" t="inlineStr">
        <is>
          <t>Advertised: official page in place</t>
        </is>
      </c>
      <c r="F164" t="inlineStr">
        <is>
          <t>https://www.unsw.edu.au/study/undergraduate/bachelor-of-media-honours</t>
        </is>
      </c>
      <c r="G164" t="inlineStr">
        <is>
          <t>https://www.unsw.edu.au/study/undergraduate/bachelor-of-media-honours</t>
        </is>
      </c>
      <c r="H164" t="inlineStr">
        <is>
          <t>Read</t>
        </is>
      </c>
      <c r="I164" t="inlineStr">
        <is>
          <t>CRICOS code on page</t>
        </is>
      </c>
      <c r="J164" t="inlineStr"/>
      <c r="K164" t="inlineStr">
        <is>
          <t>Not sent to re-link</t>
        </is>
      </c>
      <c r="L164" t="inlineStr">
        <is>
          <t>Filled</t>
        </is>
      </c>
      <c r="M164" t="inlineStr">
        <is>
          <t>Filled</t>
        </is>
      </c>
      <c r="N164" t="inlineStr">
        <is>
          <t>47500.00 2026</t>
        </is>
      </c>
      <c r="O164" t="n">
        <v>0</v>
      </c>
      <c r="P164" t="inlineStr">
        <is>
          <t>University adapter</t>
        </is>
      </c>
      <c r="Q164" t="inlineStr">
        <is>
          <t>Filled</t>
        </is>
      </c>
      <c r="R164" t="n">
        <v>6</v>
      </c>
      <c r="S164" t="inlineStr">
        <is>
          <t>Central English policy</t>
        </is>
      </c>
      <c r="T164" t="inlineStr">
        <is>
          <t>Central rule applies (value agrees)</t>
        </is>
      </c>
      <c r="U164" t="inlineStr"/>
      <c r="V164" t="inlineStr">
        <is>
          <t>Filled</t>
        </is>
      </c>
      <c r="W164" t="inlineStr">
        <is>
          <t>February</t>
        </is>
      </c>
      <c r="X164" t="inlineStr">
        <is>
          <t>University adapter</t>
        </is>
      </c>
      <c r="Y164" t="n">
        <v>0</v>
      </c>
      <c r="Z164" t="inlineStr">
        <is>
          <t>Yes</t>
        </is>
      </c>
      <c r="AA164" t="inlineStr">
        <is>
          <t>Filled</t>
        </is>
      </c>
      <c r="AB164" t="inlineStr">
        <is>
          <t>on campus</t>
        </is>
      </c>
      <c r="AC164" t="inlineStr"/>
      <c r="AD164" t="n">
        <v>0</v>
      </c>
      <c r="AE164" t="inlineStr"/>
      <c r="AF164" t="inlineStr"/>
      <c r="AG164" t="inlineStr"/>
      <c r="AH164" t="inlineStr"/>
      <c r="AI164" t="inlineStr"/>
      <c r="AJ164" t="inlineStr"/>
      <c r="AK164" t="inlineStr"/>
      <c r="AL164" t="inlineStr"/>
      <c r="AM164" t="inlineStr"/>
    </row>
    <row r="165">
      <c r="A165" t="inlineStr">
        <is>
          <t>099872M</t>
        </is>
      </c>
      <c r="B165" t="inlineStr">
        <is>
          <t>Bachelor of Media (Public Relations and Advertising)/Bachelor of Arts</t>
        </is>
      </c>
      <c r="C165" t="inlineStr">
        <is>
          <t>Bachelor</t>
        </is>
      </c>
      <c r="D165" t="inlineStr">
        <is>
          <t>Undergraduate</t>
        </is>
      </c>
      <c r="E165" t="inlineStr">
        <is>
          <t>Page address no longer works</t>
        </is>
      </c>
      <c r="F165" t="inlineStr"/>
      <c r="G165" t="inlineStr">
        <is>
          <t>https://www.handbook.unsw.edu.au/undergraduate/programs/2026/3487</t>
        </is>
      </c>
      <c r="H165" t="inlineStr">
        <is>
          <t>Address no longer works</t>
        </is>
      </c>
      <c r="I165" t="inlineStr"/>
      <c r="J165" t="inlineStr"/>
      <c r="K165" t="inlineStr">
        <is>
          <t>Not sent to re-link</t>
        </is>
      </c>
      <c r="L165" t="inlineStr">
        <is>
          <t>Page found, being read</t>
        </is>
      </c>
      <c r="M165" t="inlineStr">
        <is>
          <t>Page found, being read</t>
        </is>
      </c>
      <c r="N165" t="inlineStr"/>
      <c r="O165" t="n">
        <v>0</v>
      </c>
      <c r="P165" t="inlineStr"/>
      <c r="Q165" t="inlineStr">
        <is>
          <t>Filled</t>
        </is>
      </c>
      <c r="R165" t="n">
        <v>6</v>
      </c>
      <c r="S165" t="inlineStr">
        <is>
          <t>Central English policy</t>
        </is>
      </c>
      <c r="T165" t="inlineStr">
        <is>
          <t>Central rule applies (value agrees)</t>
        </is>
      </c>
      <c r="U165" t="inlineStr"/>
      <c r="V165" t="inlineStr">
        <is>
          <t>Page found, being read</t>
        </is>
      </c>
      <c r="W165" t="inlineStr"/>
      <c r="X165" t="inlineStr"/>
      <c r="Y165" t="n">
        <v>0</v>
      </c>
      <c r="Z165" t="inlineStr">
        <is>
          <t>Yes</t>
        </is>
      </c>
      <c r="AA165" t="inlineStr">
        <is>
          <t>Not stated on course page</t>
        </is>
      </c>
      <c r="AB165" t="inlineStr"/>
      <c r="AC165" t="inlineStr">
        <is>
          <t>Skipped: no allowed source had a value</t>
        </is>
      </c>
      <c r="AD165" t="n">
        <v>0</v>
      </c>
      <c r="AE165" t="inlineStr"/>
      <c r="AF165" t="inlineStr"/>
      <c r="AG165" t="inlineStr"/>
      <c r="AH165" t="inlineStr"/>
      <c r="AI165" t="inlineStr"/>
      <c r="AJ165" t="inlineStr"/>
      <c r="AK165" t="inlineStr"/>
      <c r="AL165" t="inlineStr"/>
      <c r="AM165" t="inlineStr"/>
    </row>
    <row r="166">
      <c r="A166" t="inlineStr">
        <is>
          <t>082789A</t>
        </is>
      </c>
      <c r="B166" t="inlineStr">
        <is>
          <t>Bachelor of Media (Public Relations and Advertising)/Bachelor of Law</t>
        </is>
      </c>
      <c r="C166" t="inlineStr">
        <is>
          <t>Bachelor</t>
        </is>
      </c>
      <c r="D166" t="inlineStr">
        <is>
          <t>Undergraduate</t>
        </is>
      </c>
      <c r="E166" t="inlineStr">
        <is>
          <t>Page address no longer works</t>
        </is>
      </c>
      <c r="F166" t="inlineStr"/>
      <c r="G166" t="inlineStr">
        <is>
          <t>https://www.handbook.unsw.edu.au/undergraduate/programs/2026/4751</t>
        </is>
      </c>
      <c r="H166" t="inlineStr">
        <is>
          <t>Address no longer works</t>
        </is>
      </c>
      <c r="I166" t="inlineStr"/>
      <c r="J166" t="inlineStr"/>
      <c r="K166" t="inlineStr">
        <is>
          <t>Not sent to re-link</t>
        </is>
      </c>
      <c r="L166" t="inlineStr">
        <is>
          <t>Page found, being read</t>
        </is>
      </c>
      <c r="M166" t="inlineStr">
        <is>
          <t>Page found, being read</t>
        </is>
      </c>
      <c r="N166" t="inlineStr"/>
      <c r="O166" t="n">
        <v>0</v>
      </c>
      <c r="P166" t="inlineStr"/>
      <c r="Q166" t="inlineStr">
        <is>
          <t>Filled</t>
        </is>
      </c>
      <c r="R166" t="n">
        <v>6</v>
      </c>
      <c r="S166" t="inlineStr">
        <is>
          <t>Central English policy</t>
        </is>
      </c>
      <c r="T166" t="inlineStr">
        <is>
          <t>Central rule applies (value agrees)</t>
        </is>
      </c>
      <c r="U166" t="inlineStr"/>
      <c r="V166" t="inlineStr">
        <is>
          <t>Page found, being read</t>
        </is>
      </c>
      <c r="W166" t="inlineStr"/>
      <c r="X166" t="inlineStr"/>
      <c r="Y166" t="n">
        <v>0</v>
      </c>
      <c r="Z166" t="inlineStr">
        <is>
          <t>Yes</t>
        </is>
      </c>
      <c r="AA166" t="inlineStr">
        <is>
          <t>Not stated on course page</t>
        </is>
      </c>
      <c r="AB166" t="inlineStr"/>
      <c r="AC166" t="inlineStr">
        <is>
          <t>Skipped: no allowed source had a value</t>
        </is>
      </c>
      <c r="AD166" t="n">
        <v>0</v>
      </c>
      <c r="AE166" t="inlineStr"/>
      <c r="AF166" t="inlineStr"/>
      <c r="AG166" t="inlineStr"/>
      <c r="AH166" t="inlineStr"/>
      <c r="AI166" t="inlineStr"/>
      <c r="AJ166" t="inlineStr"/>
      <c r="AK166" t="inlineStr"/>
      <c r="AL166" t="inlineStr"/>
      <c r="AM166" t="inlineStr"/>
    </row>
    <row r="167">
      <c r="A167" t="inlineStr">
        <is>
          <t>080064K</t>
        </is>
      </c>
      <c r="B167" t="inlineStr">
        <is>
          <t>Bachelor of Media (Screen and Sound Production)</t>
        </is>
      </c>
      <c r="C167" t="inlineStr">
        <is>
          <t>Bachelor</t>
        </is>
      </c>
      <c r="D167" t="inlineStr">
        <is>
          <t>Undergraduate</t>
        </is>
      </c>
      <c r="E167" t="inlineStr">
        <is>
          <t>Page address no longer works</t>
        </is>
      </c>
      <c r="F167" t="inlineStr"/>
      <c r="G167" t="inlineStr">
        <is>
          <t>https://www.handbook.unsw.edu.au/undergraduate/programs/2026/3468</t>
        </is>
      </c>
      <c r="H167" t="inlineStr">
        <is>
          <t>Address no longer works</t>
        </is>
      </c>
      <c r="I167" t="inlineStr"/>
      <c r="J167" t="inlineStr"/>
      <c r="K167" t="inlineStr">
        <is>
          <t>Not sent to re-link</t>
        </is>
      </c>
      <c r="L167" t="inlineStr">
        <is>
          <t>Page found, being read</t>
        </is>
      </c>
      <c r="M167" t="inlineStr">
        <is>
          <t>Page found, being read</t>
        </is>
      </c>
      <c r="N167" t="inlineStr"/>
      <c r="O167" t="n">
        <v>0</v>
      </c>
      <c r="P167" t="inlineStr"/>
      <c r="Q167" t="inlineStr">
        <is>
          <t>Filled</t>
        </is>
      </c>
      <c r="R167" t="n">
        <v>6</v>
      </c>
      <c r="S167" t="inlineStr">
        <is>
          <t>Central English policy</t>
        </is>
      </c>
      <c r="T167" t="inlineStr">
        <is>
          <t>Central rule applies (value agrees)</t>
        </is>
      </c>
      <c r="U167" t="inlineStr"/>
      <c r="V167" t="inlineStr">
        <is>
          <t>Page found, being read</t>
        </is>
      </c>
      <c r="W167" t="inlineStr"/>
      <c r="X167" t="inlineStr"/>
      <c r="Y167" t="n">
        <v>0</v>
      </c>
      <c r="Z167" t="inlineStr">
        <is>
          <t>Yes</t>
        </is>
      </c>
      <c r="AA167" t="inlineStr">
        <is>
          <t>Not stated on course page</t>
        </is>
      </c>
      <c r="AB167" t="inlineStr"/>
      <c r="AC167" t="inlineStr">
        <is>
          <t>Skipped: no allowed source had a value</t>
        </is>
      </c>
      <c r="AD167" t="n">
        <v>0</v>
      </c>
      <c r="AE167" t="inlineStr"/>
      <c r="AF167" t="inlineStr"/>
      <c r="AG167" t="inlineStr"/>
      <c r="AH167" t="inlineStr"/>
      <c r="AI167" t="inlineStr"/>
      <c r="AJ167" t="inlineStr"/>
      <c r="AK167" t="inlineStr"/>
      <c r="AL167" t="inlineStr"/>
      <c r="AM167" t="inlineStr"/>
    </row>
    <row r="168">
      <c r="A168" t="inlineStr">
        <is>
          <t>099870B</t>
        </is>
      </c>
      <c r="B168" t="inlineStr">
        <is>
          <t>Bachelor of Media (Screen and Sound Production)/Bachelor of Arts</t>
        </is>
      </c>
      <c r="C168" t="inlineStr">
        <is>
          <t>Bachelor</t>
        </is>
      </c>
      <c r="D168" t="inlineStr">
        <is>
          <t>Undergraduate</t>
        </is>
      </c>
      <c r="E168" t="inlineStr">
        <is>
          <t>Page address no longer works</t>
        </is>
      </c>
      <c r="F168" t="inlineStr"/>
      <c r="G168" t="inlineStr">
        <is>
          <t>https://www.handbook.unsw.edu.au/undergraduate/programs/2026/3438</t>
        </is>
      </c>
      <c r="H168" t="inlineStr">
        <is>
          <t>Address no longer works</t>
        </is>
      </c>
      <c r="I168" t="inlineStr"/>
      <c r="J168" t="inlineStr"/>
      <c r="K168" t="inlineStr">
        <is>
          <t>Not sent to re-link</t>
        </is>
      </c>
      <c r="L168" t="inlineStr">
        <is>
          <t>Page found, being read</t>
        </is>
      </c>
      <c r="M168" t="inlineStr">
        <is>
          <t>Page found, being read</t>
        </is>
      </c>
      <c r="N168" t="inlineStr"/>
      <c r="O168" t="n">
        <v>0</v>
      </c>
      <c r="P168" t="inlineStr"/>
      <c r="Q168" t="inlineStr">
        <is>
          <t>Filled</t>
        </is>
      </c>
      <c r="R168" t="n">
        <v>6</v>
      </c>
      <c r="S168" t="inlineStr">
        <is>
          <t>Central English policy</t>
        </is>
      </c>
      <c r="T168" t="inlineStr">
        <is>
          <t>Central rule applies (value agrees)</t>
        </is>
      </c>
      <c r="U168" t="inlineStr"/>
      <c r="V168" t="inlineStr">
        <is>
          <t>Page found, being read</t>
        </is>
      </c>
      <c r="W168" t="inlineStr"/>
      <c r="X168" t="inlineStr"/>
      <c r="Y168" t="n">
        <v>0</v>
      </c>
      <c r="Z168" t="inlineStr">
        <is>
          <t>Yes</t>
        </is>
      </c>
      <c r="AA168" t="inlineStr">
        <is>
          <t>Not stated on course page</t>
        </is>
      </c>
      <c r="AB168" t="inlineStr"/>
      <c r="AC168" t="inlineStr">
        <is>
          <t>Skipped: no allowed source had a value</t>
        </is>
      </c>
      <c r="AD168" t="n">
        <v>0</v>
      </c>
      <c r="AE168" t="inlineStr"/>
      <c r="AF168" t="inlineStr"/>
      <c r="AG168" t="inlineStr"/>
      <c r="AH168" t="inlineStr"/>
      <c r="AI168" t="inlineStr"/>
      <c r="AJ168" t="inlineStr"/>
      <c r="AK168" t="inlineStr"/>
      <c r="AL168" t="inlineStr"/>
      <c r="AM168" t="inlineStr"/>
    </row>
    <row r="169">
      <c r="A169" t="inlineStr">
        <is>
          <t>082793E</t>
        </is>
      </c>
      <c r="B169" t="inlineStr">
        <is>
          <t>Bachelor of Media (Screen and Sound Production)/Bachelor of Law</t>
        </is>
      </c>
      <c r="C169" t="inlineStr">
        <is>
          <t>Bachelor</t>
        </is>
      </c>
      <c r="D169" t="inlineStr">
        <is>
          <t>Undergraduate</t>
        </is>
      </c>
      <c r="E169" t="inlineStr">
        <is>
          <t>Page address no longer works</t>
        </is>
      </c>
      <c r="F169" t="inlineStr"/>
      <c r="G169" t="inlineStr">
        <is>
          <t>https://www.handbook.unsw.edu.au/undergraduate/programs/2026/3479</t>
        </is>
      </c>
      <c r="H169" t="inlineStr">
        <is>
          <t>Address no longer works</t>
        </is>
      </c>
      <c r="I169" t="inlineStr"/>
      <c r="J169" t="inlineStr"/>
      <c r="K169" t="inlineStr">
        <is>
          <t>Not sent to re-link</t>
        </is>
      </c>
      <c r="L169" t="inlineStr">
        <is>
          <t>Page found, being read</t>
        </is>
      </c>
      <c r="M169" t="inlineStr">
        <is>
          <t>Page found, being read</t>
        </is>
      </c>
      <c r="N169" t="inlineStr"/>
      <c r="O169" t="n">
        <v>0</v>
      </c>
      <c r="P169" t="inlineStr"/>
      <c r="Q169" t="inlineStr">
        <is>
          <t>Filled</t>
        </is>
      </c>
      <c r="R169" t="n">
        <v>6</v>
      </c>
      <c r="S169" t="inlineStr">
        <is>
          <t>Central English policy</t>
        </is>
      </c>
      <c r="T169" t="inlineStr">
        <is>
          <t>Central rule applies (value agrees)</t>
        </is>
      </c>
      <c r="U169" t="inlineStr"/>
      <c r="V169" t="inlineStr">
        <is>
          <t>Page found, being read</t>
        </is>
      </c>
      <c r="W169" t="inlineStr"/>
      <c r="X169" t="inlineStr"/>
      <c r="Y169" t="n">
        <v>0</v>
      </c>
      <c r="Z169" t="inlineStr">
        <is>
          <t>Yes</t>
        </is>
      </c>
      <c r="AA169" t="inlineStr">
        <is>
          <t>Not stated on course page</t>
        </is>
      </c>
      <c r="AB169" t="inlineStr"/>
      <c r="AC169" t="inlineStr">
        <is>
          <t>Skipped: no allowed source had a value</t>
        </is>
      </c>
      <c r="AD169" t="n">
        <v>0</v>
      </c>
      <c r="AE169" t="inlineStr"/>
      <c r="AF169" t="inlineStr"/>
      <c r="AG169" t="inlineStr"/>
      <c r="AH169" t="inlineStr"/>
      <c r="AI169" t="inlineStr"/>
      <c r="AJ169" t="inlineStr"/>
      <c r="AK169" t="inlineStr"/>
      <c r="AL169" t="inlineStr"/>
      <c r="AM169" t="inlineStr"/>
    </row>
    <row r="170">
      <c r="A170" t="inlineStr">
        <is>
          <t>097694G</t>
        </is>
      </c>
      <c r="B170" t="inlineStr">
        <is>
          <t>Bachelor of Media Arts</t>
        </is>
      </c>
      <c r="C170" t="inlineStr">
        <is>
          <t>Bachelor</t>
        </is>
      </c>
      <c r="D170" t="inlineStr">
        <is>
          <t>Undergraduate</t>
        </is>
      </c>
      <c r="E170" t="inlineStr">
        <is>
          <t>Advertised: official page in place</t>
        </is>
      </c>
      <c r="F170" t="inlineStr">
        <is>
          <t>https://www.unsw.edu.au/study/undergraduate/bachelor-of-media-arts1</t>
        </is>
      </c>
      <c r="G170" t="inlineStr">
        <is>
          <t>https://www.unsw.edu.au/study/undergraduate/bachelor-of-media-arts1</t>
        </is>
      </c>
      <c r="H170" t="inlineStr">
        <is>
          <t>Read</t>
        </is>
      </c>
      <c r="I170" t="inlineStr">
        <is>
          <t>Exact title match</t>
        </is>
      </c>
      <c r="J170" t="inlineStr"/>
      <c r="K170" t="inlineStr">
        <is>
          <t>Not sent to re-link</t>
        </is>
      </c>
      <c r="L170" t="inlineStr">
        <is>
          <t>Filled</t>
        </is>
      </c>
      <c r="M170" t="inlineStr">
        <is>
          <t>Not stated on course page</t>
        </is>
      </c>
      <c r="N170" t="inlineStr"/>
      <c r="O170" t="n">
        <v>0</v>
      </c>
      <c r="P170" t="inlineStr"/>
      <c r="Q170" t="inlineStr">
        <is>
          <t>Filled</t>
        </is>
      </c>
      <c r="R170" t="n">
        <v>6</v>
      </c>
      <c r="S170" t="inlineStr">
        <is>
          <t>Central English policy</t>
        </is>
      </c>
      <c r="T170" t="inlineStr">
        <is>
          <t>Central rule applies (value agrees)</t>
        </is>
      </c>
      <c r="U170" t="inlineStr"/>
      <c r="V170" t="inlineStr">
        <is>
          <t>Not stated on course page</t>
        </is>
      </c>
      <c r="W170" t="inlineStr"/>
      <c r="X170" t="inlineStr"/>
      <c r="Y170" t="n">
        <v>2</v>
      </c>
      <c r="Z170" t="inlineStr">
        <is>
          <t>Yes</t>
        </is>
      </c>
      <c r="AA170" t="inlineStr">
        <is>
          <t>Filled</t>
        </is>
      </c>
      <c r="AB170" t="inlineStr">
        <is>
          <t>on campus</t>
        </is>
      </c>
      <c r="AC170" t="inlineStr"/>
      <c r="AD170" t="n">
        <v>0</v>
      </c>
      <c r="AE170" t="inlineStr"/>
      <c r="AF170" t="inlineStr"/>
      <c r="AG170" t="inlineStr"/>
      <c r="AH170" t="inlineStr">
        <is>
          <t>Yes</t>
        </is>
      </c>
      <c r="AI170" t="inlineStr"/>
      <c r="AJ170" t="inlineStr"/>
      <c r="AK170" t="inlineStr"/>
      <c r="AL170" t="inlineStr"/>
      <c r="AM170" t="inlineStr"/>
    </row>
    <row r="171">
      <c r="A171" t="inlineStr">
        <is>
          <t>077433E</t>
        </is>
      </c>
      <c r="B171" t="inlineStr">
        <is>
          <t>Bachelor of Media Arts (Honours)</t>
        </is>
      </c>
      <c r="C171" t="inlineStr">
        <is>
          <t>Bachelor Honours Degree</t>
        </is>
      </c>
      <c r="D171" t="inlineStr">
        <is>
          <t>Undergraduate</t>
        </is>
      </c>
      <c r="E171" t="inlineStr">
        <is>
          <t>Advertised: official page in place</t>
        </is>
      </c>
      <c r="F171" t="inlineStr">
        <is>
          <t>https://www.unsw.edu.au/study/undergraduate/bachelor-of-media-arts-honours</t>
        </is>
      </c>
      <c r="G171" t="inlineStr">
        <is>
          <t>https://www.unsw.edu.au/study/undergraduate/bachelor-of-media-arts-honours</t>
        </is>
      </c>
      <c r="H171" t="inlineStr">
        <is>
          <t>Read</t>
        </is>
      </c>
      <c r="I171" t="inlineStr">
        <is>
          <t>Exact title match</t>
        </is>
      </c>
      <c r="J171" t="inlineStr"/>
      <c r="K171" t="inlineStr">
        <is>
          <t>Not sent to re-link</t>
        </is>
      </c>
      <c r="L171" t="inlineStr">
        <is>
          <t>Filled</t>
        </is>
      </c>
      <c r="M171" t="inlineStr">
        <is>
          <t>Filled</t>
        </is>
      </c>
      <c r="N171" t="inlineStr">
        <is>
          <t>48000.00 2026</t>
        </is>
      </c>
      <c r="O171" t="n">
        <v>0</v>
      </c>
      <c r="P171" t="inlineStr">
        <is>
          <t>University adapter</t>
        </is>
      </c>
      <c r="Q171" t="inlineStr">
        <is>
          <t>Filled</t>
        </is>
      </c>
      <c r="R171" t="n">
        <v>6</v>
      </c>
      <c r="S171" t="inlineStr">
        <is>
          <t>Central English policy</t>
        </is>
      </c>
      <c r="T171" t="inlineStr">
        <is>
          <t>Central rule applies (value agrees)</t>
        </is>
      </c>
      <c r="U171" t="inlineStr"/>
      <c r="V171" t="inlineStr">
        <is>
          <t>Filled</t>
        </is>
      </c>
      <c r="W171" t="inlineStr">
        <is>
          <t>February</t>
        </is>
      </c>
      <c r="X171" t="inlineStr">
        <is>
          <t>University adapter</t>
        </is>
      </c>
      <c r="Y171" t="n">
        <v>0</v>
      </c>
      <c r="Z171" t="inlineStr">
        <is>
          <t>Yes</t>
        </is>
      </c>
      <c r="AA171" t="inlineStr">
        <is>
          <t>Filled</t>
        </is>
      </c>
      <c r="AB171" t="inlineStr">
        <is>
          <t>on campus</t>
        </is>
      </c>
      <c r="AC171" t="inlineStr"/>
      <c r="AD171" t="n">
        <v>0</v>
      </c>
      <c r="AE171" t="inlineStr"/>
      <c r="AF171" t="inlineStr"/>
      <c r="AG171" t="inlineStr"/>
      <c r="AH171" t="inlineStr"/>
      <c r="AI171" t="inlineStr"/>
      <c r="AJ171" t="inlineStr"/>
      <c r="AK171" t="inlineStr"/>
      <c r="AL171" t="inlineStr"/>
      <c r="AM171" t="inlineStr"/>
    </row>
    <row r="172">
      <c r="A172" t="inlineStr">
        <is>
          <t>097999A</t>
        </is>
      </c>
      <c r="B172" t="inlineStr">
        <is>
          <t>Bachelor of Media Arts (Honours)</t>
        </is>
      </c>
      <c r="C172" t="inlineStr">
        <is>
          <t>Bachelor Honours Degree</t>
        </is>
      </c>
      <c r="D172" t="inlineStr">
        <is>
          <t>Undergraduate</t>
        </is>
      </c>
      <c r="E172" t="inlineStr">
        <is>
          <t>Advertised: official page in place</t>
        </is>
      </c>
      <c r="F172" t="inlineStr">
        <is>
          <t>https://www.unsw.edu.au/study/undergraduate/bachelor-of-media-arts-honours</t>
        </is>
      </c>
      <c r="G172" t="inlineStr">
        <is>
          <t>https://www.unsw.edu.au/study/undergraduate/bachelor-of-media-arts-honours</t>
        </is>
      </c>
      <c r="H172" t="inlineStr">
        <is>
          <t>Read</t>
        </is>
      </c>
      <c r="I172" t="inlineStr">
        <is>
          <t>CRICOS code on page</t>
        </is>
      </c>
      <c r="J172" t="inlineStr"/>
      <c r="K172" t="inlineStr">
        <is>
          <t>Not sent to re-link</t>
        </is>
      </c>
      <c r="L172" t="inlineStr">
        <is>
          <t>Filled</t>
        </is>
      </c>
      <c r="M172" t="inlineStr">
        <is>
          <t>Filled</t>
        </is>
      </c>
      <c r="N172" t="inlineStr">
        <is>
          <t>48000.00 2026</t>
        </is>
      </c>
      <c r="O172" t="n">
        <v>0</v>
      </c>
      <c r="P172" t="inlineStr">
        <is>
          <t>University adapter</t>
        </is>
      </c>
      <c r="Q172" t="inlineStr">
        <is>
          <t>Filled</t>
        </is>
      </c>
      <c r="R172" t="n">
        <v>6</v>
      </c>
      <c r="S172" t="inlineStr">
        <is>
          <t>Central English policy</t>
        </is>
      </c>
      <c r="T172" t="inlineStr">
        <is>
          <t>Central rule applies (value agrees)</t>
        </is>
      </c>
      <c r="U172" t="inlineStr"/>
      <c r="V172" t="inlineStr">
        <is>
          <t>Filled</t>
        </is>
      </c>
      <c r="W172" t="inlineStr">
        <is>
          <t>February</t>
        </is>
      </c>
      <c r="X172" t="inlineStr">
        <is>
          <t>University adapter</t>
        </is>
      </c>
      <c r="Y172" t="n">
        <v>0</v>
      </c>
      <c r="Z172" t="inlineStr">
        <is>
          <t>Yes</t>
        </is>
      </c>
      <c r="AA172" t="inlineStr">
        <is>
          <t>Filled</t>
        </is>
      </c>
      <c r="AB172" t="inlineStr">
        <is>
          <t>on campus</t>
        </is>
      </c>
      <c r="AC172" t="inlineStr"/>
      <c r="AD172" t="n">
        <v>0</v>
      </c>
      <c r="AE172" t="inlineStr"/>
      <c r="AF172" t="inlineStr"/>
      <c r="AG172" t="inlineStr"/>
      <c r="AH172" t="inlineStr"/>
      <c r="AI172" t="inlineStr"/>
      <c r="AJ172" t="inlineStr"/>
      <c r="AK172" t="inlineStr"/>
      <c r="AL172" t="inlineStr"/>
      <c r="AM172" t="inlineStr"/>
    </row>
    <row r="173">
      <c r="A173" t="inlineStr">
        <is>
          <t>081432E</t>
        </is>
      </c>
      <c r="B173" t="inlineStr">
        <is>
          <t>Bachelor of Media Arts (Honours)/Bachelor of Education (Secondary)</t>
        </is>
      </c>
      <c r="C173" t="inlineStr">
        <is>
          <t>Bachelor Honours Degree</t>
        </is>
      </c>
      <c r="D173" t="inlineStr">
        <is>
          <t>Undergraduate</t>
        </is>
      </c>
      <c r="E173" t="inlineStr">
        <is>
          <t>No-page record (conjoint), awaiting review</t>
        </is>
      </c>
      <c r="F173" t="inlineStr"/>
      <c r="G173" t="inlineStr">
        <is>
          <t>https://www.unsw.edu.au/study/undergraduate/bachelor-of-arts-education-secondary</t>
        </is>
      </c>
      <c r="H173" t="inlineStr">
        <is>
          <t>Page is for another course</t>
        </is>
      </c>
      <c r="I173" t="inlineStr"/>
      <c r="J173" t="inlineStr">
        <is>
          <t>Conjoint (proposed)</t>
        </is>
      </c>
      <c r="K173" t="inlineStr">
        <is>
          <t>Finished, no page: no address from the university's address forms or stored lis</t>
        </is>
      </c>
      <c r="L173" t="inlineStr">
        <is>
          <t>Searching for course page</t>
        </is>
      </c>
      <c r="M173" t="inlineStr">
        <is>
          <t>Searching for course page</t>
        </is>
      </c>
      <c r="N173" t="inlineStr"/>
      <c r="O173" t="n">
        <v>0</v>
      </c>
      <c r="P173" t="inlineStr"/>
      <c r="Q173" t="inlineStr">
        <is>
          <t>Filled</t>
        </is>
      </c>
      <c r="R173" t="n">
        <v>6</v>
      </c>
      <c r="S173" t="inlineStr">
        <is>
          <t>Central English policy</t>
        </is>
      </c>
      <c r="T173" t="inlineStr">
        <is>
          <t>Central rule applies (value agrees)</t>
        </is>
      </c>
      <c r="U173" t="inlineStr"/>
      <c r="V173" t="inlineStr">
        <is>
          <t>Searching for course page</t>
        </is>
      </c>
      <c r="W173" t="inlineStr"/>
      <c r="X173" t="inlineStr"/>
      <c r="Y173" t="n">
        <v>0</v>
      </c>
      <c r="Z173" t="inlineStr">
        <is>
          <t>Yes</t>
        </is>
      </c>
      <c r="AA173" t="inlineStr">
        <is>
          <t>Not stated on course page</t>
        </is>
      </c>
      <c r="AB173" t="inlineStr"/>
      <c r="AC173" t="inlineStr">
        <is>
          <t>Skipped: no correct course page: the page found is for another course</t>
        </is>
      </c>
      <c r="AD173" t="n">
        <v>1</v>
      </c>
      <c r="AE173" t="inlineStr"/>
      <c r="AF173" t="inlineStr"/>
      <c r="AG173" t="inlineStr"/>
      <c r="AH173" t="inlineStr"/>
      <c r="AI173" t="inlineStr"/>
      <c r="AJ173" t="inlineStr"/>
      <c r="AK173" t="inlineStr"/>
      <c r="AL173" t="inlineStr"/>
      <c r="AM173" t="inlineStr">
        <is>
          <t>Yes</t>
        </is>
      </c>
    </row>
    <row r="174">
      <c r="A174" t="inlineStr">
        <is>
          <t>097997C</t>
        </is>
      </c>
      <c r="B174" t="inlineStr">
        <is>
          <t>Bachelor of Media Arts/Education (Secondary)</t>
        </is>
      </c>
      <c r="C174" t="inlineStr">
        <is>
          <t>Bachelor</t>
        </is>
      </c>
      <c r="D174" t="inlineStr">
        <is>
          <t>Undergraduate</t>
        </is>
      </c>
      <c r="E174" t="inlineStr">
        <is>
          <t>Page address no longer works</t>
        </is>
      </c>
      <c r="F174" t="inlineStr"/>
      <c r="G174" t="inlineStr">
        <is>
          <t>https://www.handbook.unsw.edu.au/undergraduate/programs/2026/4064</t>
        </is>
      </c>
      <c r="H174" t="inlineStr">
        <is>
          <t>Address no longer works</t>
        </is>
      </c>
      <c r="I174" t="inlineStr"/>
      <c r="J174" t="inlineStr"/>
      <c r="K174" t="inlineStr">
        <is>
          <t>Not sent to re-link</t>
        </is>
      </c>
      <c r="L174" t="inlineStr">
        <is>
          <t>Page found, being read</t>
        </is>
      </c>
      <c r="M174" t="inlineStr">
        <is>
          <t>Page found, being read</t>
        </is>
      </c>
      <c r="N174" t="inlineStr"/>
      <c r="O174" t="n">
        <v>0</v>
      </c>
      <c r="P174" t="inlineStr"/>
      <c r="Q174" t="inlineStr">
        <is>
          <t>Page found, being read</t>
        </is>
      </c>
      <c r="S174" t="inlineStr"/>
      <c r="T174" t="inlineStr">
        <is>
          <t>Held: double degree (its parts are at different levels)</t>
        </is>
      </c>
      <c r="U174" t="inlineStr"/>
      <c r="V174" t="inlineStr">
        <is>
          <t>Page found, being read</t>
        </is>
      </c>
      <c r="W174" t="inlineStr"/>
      <c r="X174" t="inlineStr"/>
      <c r="Y174" t="n">
        <v>0</v>
      </c>
      <c r="Z174" t="inlineStr">
        <is>
          <t>Yes</t>
        </is>
      </c>
      <c r="AA174" t="inlineStr">
        <is>
          <t>Not stated on course page</t>
        </is>
      </c>
      <c r="AB174" t="inlineStr"/>
      <c r="AC174" t="inlineStr">
        <is>
          <t>Skipped: no allowed source had a value</t>
        </is>
      </c>
      <c r="AD174" t="n">
        <v>0</v>
      </c>
      <c r="AE174" t="inlineStr"/>
      <c r="AF174" t="inlineStr"/>
      <c r="AG174" t="inlineStr"/>
      <c r="AH174" t="inlineStr"/>
      <c r="AI174" t="inlineStr"/>
      <c r="AJ174" t="inlineStr">
        <is>
          <t>Yes</t>
        </is>
      </c>
      <c r="AK174" t="inlineStr"/>
      <c r="AL174" t="inlineStr"/>
      <c r="AM174" t="inlineStr"/>
    </row>
    <row r="175">
      <c r="A175" t="inlineStr">
        <is>
          <t>064366G</t>
        </is>
      </c>
      <c r="B175" t="inlineStr">
        <is>
          <t>Bachelor of Media in Communication and Journalism</t>
        </is>
      </c>
      <c r="C175" t="inlineStr">
        <is>
          <t>Bachelor</t>
        </is>
      </c>
      <c r="D175" t="inlineStr">
        <is>
          <t>Undergraduate</t>
        </is>
      </c>
      <c r="E175" t="inlineStr">
        <is>
          <t>Page address no longer works</t>
        </is>
      </c>
      <c r="F175" t="inlineStr"/>
      <c r="G175" t="inlineStr">
        <is>
          <t>https://www.handbook.unsw.edu.au/undergraduate/programs/2026/3454</t>
        </is>
      </c>
      <c r="H175" t="inlineStr">
        <is>
          <t>Address no longer works</t>
        </is>
      </c>
      <c r="I175" t="inlineStr"/>
      <c r="J175" t="inlineStr"/>
      <c r="K175" t="inlineStr">
        <is>
          <t>Not sent to re-link</t>
        </is>
      </c>
      <c r="L175" t="inlineStr">
        <is>
          <t>Page found, being read</t>
        </is>
      </c>
      <c r="M175" t="inlineStr">
        <is>
          <t>Page found, being read</t>
        </is>
      </c>
      <c r="N175" t="inlineStr"/>
      <c r="O175" t="n">
        <v>0</v>
      </c>
      <c r="P175" t="inlineStr"/>
      <c r="Q175" t="inlineStr">
        <is>
          <t>Filled</t>
        </is>
      </c>
      <c r="R175" t="n">
        <v>6</v>
      </c>
      <c r="S175" t="inlineStr">
        <is>
          <t>Central English policy</t>
        </is>
      </c>
      <c r="T175" t="inlineStr">
        <is>
          <t>Central rule applies (value agrees)</t>
        </is>
      </c>
      <c r="U175" t="inlineStr"/>
      <c r="V175" t="inlineStr">
        <is>
          <t>Page found, being read</t>
        </is>
      </c>
      <c r="W175" t="inlineStr"/>
      <c r="X175" t="inlineStr"/>
      <c r="Y175" t="n">
        <v>0</v>
      </c>
      <c r="Z175" t="inlineStr">
        <is>
          <t>Yes</t>
        </is>
      </c>
      <c r="AA175" t="inlineStr">
        <is>
          <t>Not stated on course page</t>
        </is>
      </c>
      <c r="AB175" t="inlineStr"/>
      <c r="AC175" t="inlineStr">
        <is>
          <t>Skipped: no allowed source had a value</t>
        </is>
      </c>
      <c r="AD175" t="n">
        <v>0</v>
      </c>
      <c r="AE175" t="inlineStr"/>
      <c r="AF175" t="inlineStr"/>
      <c r="AG175" t="inlineStr"/>
      <c r="AH175" t="inlineStr"/>
      <c r="AI175" t="inlineStr"/>
      <c r="AJ175" t="inlineStr"/>
      <c r="AK175" t="inlineStr"/>
      <c r="AL175" t="inlineStr"/>
      <c r="AM175" t="inlineStr"/>
    </row>
    <row r="176">
      <c r="A176" t="inlineStr">
        <is>
          <t>072208K</t>
        </is>
      </c>
      <c r="B176" t="inlineStr">
        <is>
          <t>Bachelor of Media in Public Relations and Advertising</t>
        </is>
      </c>
      <c r="C176" t="inlineStr">
        <is>
          <t>Bachelor</t>
        </is>
      </c>
      <c r="D176" t="inlineStr">
        <is>
          <t>Undergraduate</t>
        </is>
      </c>
      <c r="E176" t="inlineStr">
        <is>
          <t>Advertised: official page in place</t>
        </is>
      </c>
      <c r="F176" t="inlineStr">
        <is>
          <t>https://www.unsw.edu.au/study/undergraduate/bachelor-of-media-in-public-relations-and-advertising-bengaluru</t>
        </is>
      </c>
      <c r="G176" t="inlineStr">
        <is>
          <t>https://www.unsw.edu.au/study/undergraduate/bachelor-of-media-in-public-relations-and-advertising-bengaluru</t>
        </is>
      </c>
      <c r="H176" t="inlineStr">
        <is>
          <t>Read</t>
        </is>
      </c>
      <c r="I176" t="inlineStr">
        <is>
          <t>Exact title match</t>
        </is>
      </c>
      <c r="J176" t="inlineStr"/>
      <c r="K176" t="inlineStr">
        <is>
          <t>Not sent to re-link</t>
        </is>
      </c>
      <c r="L176" t="inlineStr">
        <is>
          <t>Filled</t>
        </is>
      </c>
      <c r="M176" t="inlineStr">
        <is>
          <t>Not stated on course page</t>
        </is>
      </c>
      <c r="N176" t="inlineStr"/>
      <c r="O176" t="n">
        <v>0</v>
      </c>
      <c r="P176" t="inlineStr"/>
      <c r="Q176" t="inlineStr">
        <is>
          <t>Filled</t>
        </is>
      </c>
      <c r="R176" t="n">
        <v>6</v>
      </c>
      <c r="S176" t="inlineStr">
        <is>
          <t>Page reader</t>
        </is>
      </c>
      <c r="T176" t="inlineStr">
        <is>
          <t>Central rule applies (course value differs)</t>
        </is>
      </c>
      <c r="U176" t="inlineStr">
        <is>
          <t>Yes: course has IELTS 6.00, central rule says 6</t>
        </is>
      </c>
      <c r="V176" t="inlineStr">
        <is>
          <t>Filled</t>
        </is>
      </c>
      <c r="W176" t="inlineStr">
        <is>
          <t>August</t>
        </is>
      </c>
      <c r="X176" t="inlineStr">
        <is>
          <t>Page reader</t>
        </is>
      </c>
      <c r="Y176" t="n">
        <v>0</v>
      </c>
      <c r="Z176" t="inlineStr">
        <is>
          <t>Yes</t>
        </is>
      </c>
      <c r="AA176" t="inlineStr">
        <is>
          <t>Filled</t>
        </is>
      </c>
      <c r="AB176" t="inlineStr">
        <is>
          <t>on campus</t>
        </is>
      </c>
      <c r="AC176" t="inlineStr"/>
      <c r="AD176" t="n">
        <v>0</v>
      </c>
      <c r="AE176" t="inlineStr"/>
      <c r="AF176" t="inlineStr"/>
      <c r="AG176" t="inlineStr"/>
      <c r="AH176" t="inlineStr"/>
      <c r="AI176" t="inlineStr"/>
      <c r="AJ176" t="inlineStr"/>
      <c r="AK176" t="inlineStr"/>
      <c r="AL176" t="inlineStr"/>
      <c r="AM176" t="inlineStr"/>
    </row>
    <row r="177">
      <c r="A177" t="inlineStr">
        <is>
          <t>110753K</t>
        </is>
      </c>
      <c r="B177" t="inlineStr">
        <is>
          <t>Bachelor of Media/Bachelor of Arts</t>
        </is>
      </c>
      <c r="C177" t="inlineStr">
        <is>
          <t>Bachelor</t>
        </is>
      </c>
      <c r="D177" t="inlineStr">
        <is>
          <t>Undergraduate</t>
        </is>
      </c>
      <c r="E177" t="inlineStr">
        <is>
          <t>Advertised: official page in place</t>
        </is>
      </c>
      <c r="F177" t="inlineStr">
        <is>
          <t>https://www.unsw.edu.au/study/undergraduate/bachelor-of-media-arts1</t>
        </is>
      </c>
      <c r="G177" t="inlineStr">
        <is>
          <t>https://www.unsw.edu.au/study/undergraduate/bachelor-of-media-arts1</t>
        </is>
      </c>
      <c r="H177" t="inlineStr">
        <is>
          <t>Read</t>
        </is>
      </c>
      <c r="I177" t="inlineStr">
        <is>
          <t>CRICOS code on page</t>
        </is>
      </c>
      <c r="J177" t="inlineStr"/>
      <c r="K177" t="inlineStr">
        <is>
          <t>Not sent to re-link</t>
        </is>
      </c>
      <c r="L177" t="inlineStr">
        <is>
          <t>Filled</t>
        </is>
      </c>
      <c r="M177" t="inlineStr">
        <is>
          <t>Filled</t>
        </is>
      </c>
      <c r="N177" t="inlineStr">
        <is>
          <t>49000.00 2026</t>
        </is>
      </c>
      <c r="O177" t="n">
        <v>0</v>
      </c>
      <c r="P177" t="inlineStr">
        <is>
          <t>University adapter</t>
        </is>
      </c>
      <c r="Q177" t="inlineStr">
        <is>
          <t>Filled</t>
        </is>
      </c>
      <c r="R177" t="n">
        <v>6</v>
      </c>
      <c r="S177" t="inlineStr">
        <is>
          <t>Central English policy</t>
        </is>
      </c>
      <c r="T177" t="inlineStr">
        <is>
          <t>Central rule applies (value agrees)</t>
        </is>
      </c>
      <c r="U177" t="inlineStr"/>
      <c r="V177" t="inlineStr">
        <is>
          <t>Filled</t>
        </is>
      </c>
      <c r="W177" t="inlineStr">
        <is>
          <t>February, May, September</t>
        </is>
      </c>
      <c r="X177" t="inlineStr">
        <is>
          <t>University adapter</t>
        </is>
      </c>
      <c r="Y177" t="n">
        <v>0</v>
      </c>
      <c r="Z177" t="inlineStr">
        <is>
          <t>Yes</t>
        </is>
      </c>
      <c r="AA177" t="inlineStr">
        <is>
          <t>Filled</t>
        </is>
      </c>
      <c r="AB177" t="inlineStr">
        <is>
          <t>on campus</t>
        </is>
      </c>
      <c r="AC177" t="inlineStr"/>
      <c r="AD177" t="n">
        <v>0</v>
      </c>
      <c r="AE177" t="inlineStr"/>
      <c r="AF177" t="inlineStr"/>
      <c r="AG177" t="inlineStr"/>
      <c r="AH177" t="inlineStr"/>
      <c r="AI177" t="inlineStr"/>
      <c r="AJ177" t="inlineStr"/>
      <c r="AK177" t="inlineStr"/>
      <c r="AL177" t="inlineStr"/>
      <c r="AM177" t="inlineStr"/>
    </row>
    <row r="178">
      <c r="A178" t="inlineStr">
        <is>
          <t>110672M</t>
        </is>
      </c>
      <c r="B178" t="inlineStr">
        <is>
          <t>Bachelor of Media/Bachelor of Laws</t>
        </is>
      </c>
      <c r="C178" t="inlineStr">
        <is>
          <t>Bachelor</t>
        </is>
      </c>
      <c r="D178" t="inlineStr">
        <is>
          <t>Undergraduate</t>
        </is>
      </c>
      <c r="E178" t="inlineStr">
        <is>
          <t>Advertised: official page in place</t>
        </is>
      </c>
      <c r="F178" t="inlineStr">
        <is>
          <t>https://www.unsw.edu.au/study/undergraduate/bachelor-of-media-law</t>
        </is>
      </c>
      <c r="G178" t="inlineStr">
        <is>
          <t>https://www.unsw.edu.au/study/undergraduate/bachelor-of-media-law</t>
        </is>
      </c>
      <c r="H178" t="inlineStr">
        <is>
          <t>Read</t>
        </is>
      </c>
      <c r="I178" t="inlineStr">
        <is>
          <t>CRICOS code on page</t>
        </is>
      </c>
      <c r="J178" t="inlineStr"/>
      <c r="K178" t="inlineStr">
        <is>
          <t>Not sent to re-link</t>
        </is>
      </c>
      <c r="L178" t="inlineStr">
        <is>
          <t>Filled</t>
        </is>
      </c>
      <c r="M178" t="inlineStr">
        <is>
          <t>Filled</t>
        </is>
      </c>
      <c r="N178" t="inlineStr">
        <is>
          <t>53000.00 2026</t>
        </is>
      </c>
      <c r="O178" t="n">
        <v>0</v>
      </c>
      <c r="P178" t="inlineStr">
        <is>
          <t>University adapter</t>
        </is>
      </c>
      <c r="Q178" t="inlineStr">
        <is>
          <t>Filled</t>
        </is>
      </c>
      <c r="R178" t="n">
        <v>6</v>
      </c>
      <c r="S178" t="inlineStr">
        <is>
          <t>Central English policy</t>
        </is>
      </c>
      <c r="T178" t="inlineStr">
        <is>
          <t>Central rule applies (value agrees)</t>
        </is>
      </c>
      <c r="U178" t="inlineStr"/>
      <c r="V178" t="inlineStr">
        <is>
          <t>Filled</t>
        </is>
      </c>
      <c r="W178" t="inlineStr">
        <is>
          <t>February</t>
        </is>
      </c>
      <c r="X178" t="inlineStr">
        <is>
          <t>University adapter</t>
        </is>
      </c>
      <c r="Y178" t="n">
        <v>0</v>
      </c>
      <c r="Z178" t="inlineStr">
        <is>
          <t>Yes</t>
        </is>
      </c>
      <c r="AA178" t="inlineStr">
        <is>
          <t>Filled</t>
        </is>
      </c>
      <c r="AB178" t="inlineStr">
        <is>
          <t>on campus</t>
        </is>
      </c>
      <c r="AC178" t="inlineStr"/>
      <c r="AD178" t="n">
        <v>0</v>
      </c>
      <c r="AE178" t="inlineStr"/>
      <c r="AF178" t="inlineStr"/>
      <c r="AG178" t="inlineStr"/>
      <c r="AH178" t="inlineStr"/>
      <c r="AI178" t="inlineStr"/>
      <c r="AJ178" t="inlineStr"/>
      <c r="AK178" t="inlineStr"/>
      <c r="AL178" t="inlineStr"/>
      <c r="AM178" t="inlineStr"/>
    </row>
    <row r="179">
      <c r="A179" t="inlineStr">
        <is>
          <t>110673K</t>
        </is>
      </c>
      <c r="B179" t="inlineStr">
        <is>
          <t>Bachelor of Media/Bachelor of Laws (Honours)</t>
        </is>
      </c>
      <c r="C179" t="inlineStr">
        <is>
          <t>Bachelor</t>
        </is>
      </c>
      <c r="D179" t="inlineStr">
        <is>
          <t>Undergraduate</t>
        </is>
      </c>
      <c r="E179" t="inlineStr">
        <is>
          <t>No-page record (conjoint), awaiting review</t>
        </is>
      </c>
      <c r="F179" t="inlineStr"/>
      <c r="G179" t="inlineStr">
        <is>
          <t>https://www.unsw.edu.au/study/undergraduate/bachelor-of-media-honours</t>
        </is>
      </c>
      <c r="H179" t="inlineStr">
        <is>
          <t>Page is for another course</t>
        </is>
      </c>
      <c r="I179" t="inlineStr"/>
      <c r="J179" t="inlineStr">
        <is>
          <t>Conjoint (proposed)</t>
        </is>
      </c>
      <c r="K179" t="inlineStr">
        <is>
          <t>Finished, no page: no address from the university's address forms or stored lis</t>
        </is>
      </c>
      <c r="L179" t="inlineStr">
        <is>
          <t>Searching for course page</t>
        </is>
      </c>
      <c r="M179" t="inlineStr">
        <is>
          <t>Searching for course page</t>
        </is>
      </c>
      <c r="N179" t="inlineStr"/>
      <c r="O179" t="n">
        <v>0</v>
      </c>
      <c r="P179" t="inlineStr"/>
      <c r="Q179" t="inlineStr">
        <is>
          <t>Filled</t>
        </is>
      </c>
      <c r="R179" t="n">
        <v>6</v>
      </c>
      <c r="S179" t="inlineStr">
        <is>
          <t>Central English policy</t>
        </is>
      </c>
      <c r="T179" t="inlineStr">
        <is>
          <t>Central rule applies (value agrees)</t>
        </is>
      </c>
      <c r="U179" t="inlineStr"/>
      <c r="V179" t="inlineStr">
        <is>
          <t>Searching for course page</t>
        </is>
      </c>
      <c r="W179" t="inlineStr"/>
      <c r="X179" t="inlineStr"/>
      <c r="Y179" t="n">
        <v>0</v>
      </c>
      <c r="Z179" t="inlineStr">
        <is>
          <t>Yes</t>
        </is>
      </c>
      <c r="AA179" t="inlineStr">
        <is>
          <t>Not stated on course page</t>
        </is>
      </c>
      <c r="AB179" t="inlineStr"/>
      <c r="AC179" t="inlineStr">
        <is>
          <t>Skipped: no correct course page: the page found is for another course</t>
        </is>
      </c>
      <c r="AD179" t="n">
        <v>1</v>
      </c>
      <c r="AE179" t="inlineStr"/>
      <c r="AF179" t="inlineStr"/>
      <c r="AG179" t="inlineStr"/>
      <c r="AH179" t="inlineStr"/>
      <c r="AI179" t="inlineStr"/>
      <c r="AJ179" t="inlineStr"/>
      <c r="AK179" t="inlineStr"/>
      <c r="AL179" t="inlineStr"/>
      <c r="AM179" t="inlineStr">
        <is>
          <t>Yes</t>
        </is>
      </c>
    </row>
    <row r="180">
      <c r="A180" t="inlineStr">
        <is>
          <t>110678E</t>
        </is>
      </c>
      <c r="B180" t="inlineStr">
        <is>
          <t>Bachelor of Media/Bachelor of Social Sciences</t>
        </is>
      </c>
      <c r="C180" t="inlineStr">
        <is>
          <t>Bachelor</t>
        </is>
      </c>
      <c r="D180" t="inlineStr">
        <is>
          <t>Undergraduate</t>
        </is>
      </c>
      <c r="E180" t="inlineStr">
        <is>
          <t>Advertised: official page in place</t>
        </is>
      </c>
      <c r="F180" t="inlineStr">
        <is>
          <t>https://www.unsw.edu.au/study/undergraduate/bachelor-of-media-social-sciences</t>
        </is>
      </c>
      <c r="G180" t="inlineStr">
        <is>
          <t>https://www.unsw.edu.au/study/undergraduate/bachelor-of-media-social-sciences</t>
        </is>
      </c>
      <c r="H180" t="inlineStr">
        <is>
          <t>Read</t>
        </is>
      </c>
      <c r="I180" t="inlineStr">
        <is>
          <t>CRICOS code on page</t>
        </is>
      </c>
      <c r="J180" t="inlineStr"/>
      <c r="K180" t="inlineStr">
        <is>
          <t>Not sent to re-link</t>
        </is>
      </c>
      <c r="L180" t="inlineStr">
        <is>
          <t>Filled</t>
        </is>
      </c>
      <c r="M180" t="inlineStr">
        <is>
          <t>Filled</t>
        </is>
      </c>
      <c r="N180" t="inlineStr">
        <is>
          <t>48500.00 2026</t>
        </is>
      </c>
      <c r="O180" t="n">
        <v>0</v>
      </c>
      <c r="P180" t="inlineStr">
        <is>
          <t>University adapter</t>
        </is>
      </c>
      <c r="Q180" t="inlineStr">
        <is>
          <t>Filled</t>
        </is>
      </c>
      <c r="R180" t="n">
        <v>6</v>
      </c>
      <c r="S180" t="inlineStr">
        <is>
          <t>Central English policy</t>
        </is>
      </c>
      <c r="T180" t="inlineStr">
        <is>
          <t>Central rule applies (value agrees)</t>
        </is>
      </c>
      <c r="U180" t="inlineStr"/>
      <c r="V180" t="inlineStr">
        <is>
          <t>Filled</t>
        </is>
      </c>
      <c r="W180" t="inlineStr">
        <is>
          <t>February, May, September</t>
        </is>
      </c>
      <c r="X180" t="inlineStr">
        <is>
          <t>University adapter</t>
        </is>
      </c>
      <c r="Y180" t="n">
        <v>0</v>
      </c>
      <c r="Z180" t="inlineStr">
        <is>
          <t>Yes</t>
        </is>
      </c>
      <c r="AA180" t="inlineStr">
        <is>
          <t>Filled</t>
        </is>
      </c>
      <c r="AB180" t="inlineStr">
        <is>
          <t>on campus</t>
        </is>
      </c>
      <c r="AC180" t="inlineStr"/>
      <c r="AD180" t="n">
        <v>0</v>
      </c>
      <c r="AE180" t="inlineStr"/>
      <c r="AF180" t="inlineStr"/>
      <c r="AG180" t="inlineStr"/>
      <c r="AH180" t="inlineStr"/>
      <c r="AI180" t="inlineStr"/>
      <c r="AJ180" t="inlineStr"/>
      <c r="AK180" t="inlineStr"/>
      <c r="AL180" t="inlineStr"/>
      <c r="AM180" t="inlineStr"/>
    </row>
    <row r="181">
      <c r="A181" t="inlineStr">
        <is>
          <t>030459E</t>
        </is>
      </c>
      <c r="B181" t="inlineStr">
        <is>
          <t>Bachelor of Medical Science</t>
        </is>
      </c>
      <c r="C181" t="inlineStr">
        <is>
          <t>Bachelor</t>
        </is>
      </c>
      <c r="D181" t="inlineStr">
        <is>
          <t>Undergraduate</t>
        </is>
      </c>
      <c r="E181" t="inlineStr">
        <is>
          <t>Advertised: official page in place</t>
        </is>
      </c>
      <c r="F181" t="inlineStr">
        <is>
          <t>https://www.unsw.edu.au/study/undergraduate/bachelor-of-medical-science</t>
        </is>
      </c>
      <c r="G181" t="inlineStr">
        <is>
          <t>https://www.unsw.edu.au/study/undergraduate/bachelor-of-medical-science</t>
        </is>
      </c>
      <c r="H181" t="inlineStr">
        <is>
          <t>Read</t>
        </is>
      </c>
      <c r="I181" t="inlineStr">
        <is>
          <t>CRICOS code on page</t>
        </is>
      </c>
      <c r="J181" t="inlineStr"/>
      <c r="K181" t="inlineStr">
        <is>
          <t>Not sent to re-link</t>
        </is>
      </c>
      <c r="L181" t="inlineStr">
        <is>
          <t>Filled</t>
        </is>
      </c>
      <c r="M181" t="inlineStr">
        <is>
          <t>Filled</t>
        </is>
      </c>
      <c r="N181" t="inlineStr">
        <is>
          <t>62500.00 2026</t>
        </is>
      </c>
      <c r="O181" t="n">
        <v>0</v>
      </c>
      <c r="P181" t="inlineStr">
        <is>
          <t>University adapter</t>
        </is>
      </c>
      <c r="Q181" t="inlineStr">
        <is>
          <t>Filled</t>
        </is>
      </c>
      <c r="R181" t="n">
        <v>6</v>
      </c>
      <c r="S181" t="inlineStr">
        <is>
          <t>Central English policy</t>
        </is>
      </c>
      <c r="T181" t="inlineStr">
        <is>
          <t>Central rule applies (value agrees)</t>
        </is>
      </c>
      <c r="U181" t="inlineStr"/>
      <c r="V181" t="inlineStr">
        <is>
          <t>Filled</t>
        </is>
      </c>
      <c r="W181" t="inlineStr">
        <is>
          <t>February</t>
        </is>
      </c>
      <c r="X181" t="inlineStr">
        <is>
          <t>University adapter</t>
        </is>
      </c>
      <c r="Y181" t="n">
        <v>0</v>
      </c>
      <c r="Z181" t="inlineStr">
        <is>
          <t>Yes</t>
        </is>
      </c>
      <c r="AA181" t="inlineStr">
        <is>
          <t>Filled</t>
        </is>
      </c>
      <c r="AB181" t="inlineStr">
        <is>
          <t>on campus</t>
        </is>
      </c>
      <c r="AC181" t="inlineStr"/>
      <c r="AD181" t="n">
        <v>0</v>
      </c>
      <c r="AE181" t="inlineStr"/>
      <c r="AF181" t="inlineStr"/>
      <c r="AG181" t="inlineStr"/>
      <c r="AH181" t="inlineStr"/>
      <c r="AI181" t="inlineStr"/>
      <c r="AJ181" t="inlineStr"/>
      <c r="AK181" t="inlineStr"/>
      <c r="AL181" t="inlineStr"/>
      <c r="AM181" t="inlineStr"/>
    </row>
    <row r="182">
      <c r="A182" t="inlineStr">
        <is>
          <t>077423G</t>
        </is>
      </c>
      <c r="B182" t="inlineStr">
        <is>
          <t>Bachelor of Medical Studies/Doctor of Medicine</t>
        </is>
      </c>
      <c r="C182" t="inlineStr">
        <is>
          <t>Masters Degree (Coursework)</t>
        </is>
      </c>
      <c r="D182" t="inlineStr">
        <is>
          <t>Postgraduate coursework</t>
        </is>
      </c>
      <c r="E182" t="inlineStr">
        <is>
          <t>Advertised: official page in place</t>
        </is>
      </c>
      <c r="F182" t="inlineStr">
        <is>
          <t>https://www.unsw.edu.au/study/undergraduate/bachelor-of-medical-studies-doctor-of-medicine</t>
        </is>
      </c>
      <c r="G182" t="inlineStr">
        <is>
          <t>https://www.unsw.edu.au/study/undergraduate/bachelor-of-medical-studies-doctor-of-medicine</t>
        </is>
      </c>
      <c r="H182" t="inlineStr">
        <is>
          <t>Read</t>
        </is>
      </c>
      <c r="I182" t="inlineStr">
        <is>
          <t>CRICOS code on page</t>
        </is>
      </c>
      <c r="J182" t="inlineStr"/>
      <c r="K182" t="inlineStr">
        <is>
          <t>Not sent to re-link</t>
        </is>
      </c>
      <c r="L182" t="inlineStr">
        <is>
          <t>Filled</t>
        </is>
      </c>
      <c r="M182" t="inlineStr">
        <is>
          <t>Filled</t>
        </is>
      </c>
      <c r="N182" t="inlineStr">
        <is>
          <t>95500.00 2026</t>
        </is>
      </c>
      <c r="O182" t="n">
        <v>0</v>
      </c>
      <c r="P182" t="inlineStr">
        <is>
          <t>University adapter</t>
        </is>
      </c>
      <c r="Q182" t="inlineStr">
        <is>
          <t>Not stated on course page</t>
        </is>
      </c>
      <c r="S182" t="inlineStr"/>
      <c r="T182" t="inlineStr">
        <is>
          <t>Held: double degree (its parts are at different levels)</t>
        </is>
      </c>
      <c r="U182" t="inlineStr"/>
      <c r="V182" t="inlineStr">
        <is>
          <t>Filled</t>
        </is>
      </c>
      <c r="W182" t="inlineStr">
        <is>
          <t>February</t>
        </is>
      </c>
      <c r="X182" t="inlineStr">
        <is>
          <t>University adapter</t>
        </is>
      </c>
      <c r="Y182" t="n">
        <v>0</v>
      </c>
      <c r="Z182" t="inlineStr">
        <is>
          <t>No</t>
        </is>
      </c>
      <c r="AA182" t="inlineStr">
        <is>
          <t>Filled</t>
        </is>
      </c>
      <c r="AB182" t="inlineStr">
        <is>
          <t>on campus</t>
        </is>
      </c>
      <c r="AC182" t="inlineStr"/>
      <c r="AD182" t="n">
        <v>0</v>
      </c>
      <c r="AE182" t="inlineStr"/>
      <c r="AF182" t="inlineStr"/>
      <c r="AG182" t="inlineStr"/>
      <c r="AH182" t="inlineStr"/>
      <c r="AI182" t="inlineStr"/>
      <c r="AJ182" t="inlineStr">
        <is>
          <t>Yes</t>
        </is>
      </c>
      <c r="AK182" t="inlineStr"/>
      <c r="AL182" t="inlineStr"/>
      <c r="AM182" t="inlineStr"/>
    </row>
    <row r="183">
      <c r="A183" t="inlineStr">
        <is>
          <t>079181D</t>
        </is>
      </c>
      <c r="B183" t="inlineStr">
        <is>
          <t>Bachelor of Medical Studies/Doctor of Medicine/Bachelor of Arts</t>
        </is>
      </c>
      <c r="C183" t="inlineStr">
        <is>
          <t>Masters Degree (Coursework)</t>
        </is>
      </c>
      <c r="D183" t="inlineStr">
        <is>
          <t>Postgraduate coursework</t>
        </is>
      </c>
      <c r="E183" t="inlineStr">
        <is>
          <t>Advertised: official page in place</t>
        </is>
      </c>
      <c r="F183" t="inlineStr">
        <is>
          <t>https://www.unsw.edu.au/study/undergraduate/bachelor-of-medical-studies-doctor-of-medicine-arts</t>
        </is>
      </c>
      <c r="G183" t="inlineStr">
        <is>
          <t>https://www.unsw.edu.au/study/undergraduate/bachelor-of-medical-studies-doctor-of-medicine-arts</t>
        </is>
      </c>
      <c r="H183" t="inlineStr">
        <is>
          <t>Read</t>
        </is>
      </c>
      <c r="I183" t="inlineStr">
        <is>
          <t>CRICOS code on page</t>
        </is>
      </c>
      <c r="J183" t="inlineStr"/>
      <c r="K183" t="inlineStr">
        <is>
          <t>Not sent to re-link</t>
        </is>
      </c>
      <c r="L183" t="inlineStr">
        <is>
          <t>Filled</t>
        </is>
      </c>
      <c r="M183" t="inlineStr">
        <is>
          <t>Filled</t>
        </is>
      </c>
      <c r="N183" t="inlineStr">
        <is>
          <t>99500.00 2026</t>
        </is>
      </c>
      <c r="O183" t="n">
        <v>0</v>
      </c>
      <c r="P183" t="inlineStr">
        <is>
          <t>University adapter</t>
        </is>
      </c>
      <c r="Q183" t="inlineStr">
        <is>
          <t>Not stated on course page</t>
        </is>
      </c>
      <c r="S183" t="inlineStr"/>
      <c r="T183" t="inlineStr">
        <is>
          <t>Held: double degree (its parts are at different levels)</t>
        </is>
      </c>
      <c r="U183" t="inlineStr"/>
      <c r="V183" t="inlineStr">
        <is>
          <t>Filled</t>
        </is>
      </c>
      <c r="W183" t="inlineStr">
        <is>
          <t>February</t>
        </is>
      </c>
      <c r="X183" t="inlineStr">
        <is>
          <t>University adapter</t>
        </is>
      </c>
      <c r="Y183" t="n">
        <v>0</v>
      </c>
      <c r="Z183" t="inlineStr">
        <is>
          <t>No</t>
        </is>
      </c>
      <c r="AA183" t="inlineStr">
        <is>
          <t>Filled</t>
        </is>
      </c>
      <c r="AB183" t="inlineStr">
        <is>
          <t>on campus</t>
        </is>
      </c>
      <c r="AC183" t="inlineStr"/>
      <c r="AD183" t="n">
        <v>0</v>
      </c>
      <c r="AE183" t="inlineStr"/>
      <c r="AF183" t="inlineStr"/>
      <c r="AG183" t="inlineStr"/>
      <c r="AH183" t="inlineStr"/>
      <c r="AI183" t="inlineStr"/>
      <c r="AJ183" t="inlineStr">
        <is>
          <t>Yes</t>
        </is>
      </c>
      <c r="AK183" t="inlineStr"/>
      <c r="AL183" t="inlineStr"/>
      <c r="AM183" t="inlineStr"/>
    </row>
    <row r="184">
      <c r="A184" t="inlineStr">
        <is>
          <t>088848B</t>
        </is>
      </c>
      <c r="B184" t="inlineStr">
        <is>
          <t>Bachelor of Medicinal Chemistry (Honours)</t>
        </is>
      </c>
      <c r="C184" t="inlineStr">
        <is>
          <t>Bachelor Honours Degree</t>
        </is>
      </c>
      <c r="D184" t="inlineStr">
        <is>
          <t>Undergraduate</t>
        </is>
      </c>
      <c r="E184" t="inlineStr">
        <is>
          <t>Advertised: official page in place</t>
        </is>
      </c>
      <c r="F184" t="inlineStr">
        <is>
          <t>https://www.unsw.edu.au/study/undergraduate/bachelor-of-medicinal-chemistry-honours</t>
        </is>
      </c>
      <c r="G184" t="inlineStr">
        <is>
          <t>https://www.unsw.edu.au/study/undergraduate/bachelor-of-medicinal-chemistry-honours</t>
        </is>
      </c>
      <c r="H184" t="inlineStr">
        <is>
          <t>Read</t>
        </is>
      </c>
      <c r="I184" t="inlineStr">
        <is>
          <t>CRICOS code on page</t>
        </is>
      </c>
      <c r="J184" t="inlineStr"/>
      <c r="K184" t="inlineStr">
        <is>
          <t>Not sent to re-link</t>
        </is>
      </c>
      <c r="L184" t="inlineStr">
        <is>
          <t>Filled</t>
        </is>
      </c>
      <c r="M184" t="inlineStr">
        <is>
          <t>Filled</t>
        </is>
      </c>
      <c r="N184" t="inlineStr">
        <is>
          <t>61500.00 2026</t>
        </is>
      </c>
      <c r="O184" t="n">
        <v>0</v>
      </c>
      <c r="P184" t="inlineStr">
        <is>
          <t>University adapter</t>
        </is>
      </c>
      <c r="Q184" t="inlineStr">
        <is>
          <t>Filled</t>
        </is>
      </c>
      <c r="R184" t="n">
        <v>6</v>
      </c>
      <c r="S184" t="inlineStr">
        <is>
          <t>Central English policy</t>
        </is>
      </c>
      <c r="T184" t="inlineStr">
        <is>
          <t>Central rule applies (value agrees)</t>
        </is>
      </c>
      <c r="U184" t="inlineStr"/>
      <c r="V184" t="inlineStr">
        <is>
          <t>Filled</t>
        </is>
      </c>
      <c r="W184" t="inlineStr">
        <is>
          <t>February, May, September</t>
        </is>
      </c>
      <c r="X184" t="inlineStr">
        <is>
          <t>University adapter</t>
        </is>
      </c>
      <c r="Y184" t="n">
        <v>0</v>
      </c>
      <c r="Z184" t="inlineStr">
        <is>
          <t>Yes</t>
        </is>
      </c>
      <c r="AA184" t="inlineStr">
        <is>
          <t>Filled</t>
        </is>
      </c>
      <c r="AB184" t="inlineStr">
        <is>
          <t>on campus</t>
        </is>
      </c>
      <c r="AC184" t="inlineStr"/>
      <c r="AD184" t="n">
        <v>0</v>
      </c>
      <c r="AE184" t="inlineStr"/>
      <c r="AF184" t="inlineStr"/>
      <c r="AG184" t="inlineStr"/>
      <c r="AH184" t="inlineStr"/>
      <c r="AI184" t="inlineStr"/>
      <c r="AJ184" t="inlineStr"/>
      <c r="AK184" t="inlineStr"/>
      <c r="AL184" t="inlineStr"/>
      <c r="AM184" t="inlineStr"/>
    </row>
    <row r="185">
      <c r="A185" t="inlineStr">
        <is>
          <t>088863C</t>
        </is>
      </c>
      <c r="B185" t="inlineStr">
        <is>
          <t>Bachelor of Medicinal Chemistry (Honours)/Bachelor of Laws</t>
        </is>
      </c>
      <c r="C185" t="inlineStr">
        <is>
          <t>Bachelor Honours Degree</t>
        </is>
      </c>
      <c r="D185" t="inlineStr">
        <is>
          <t>Undergraduate</t>
        </is>
      </c>
      <c r="E185" t="inlineStr">
        <is>
          <t>Advertised: official page in place</t>
        </is>
      </c>
      <c r="F185" t="inlineStr">
        <is>
          <t>https://www.unsw.edu.au/study/undergraduate/bachelor-of-medicinal-chemistry-honours-law</t>
        </is>
      </c>
      <c r="G185" t="inlineStr">
        <is>
          <t>https://www.unsw.edu.au/study/undergraduate/bachelor-of-medicinal-chemistry-honours-law</t>
        </is>
      </c>
      <c r="H185" t="inlineStr">
        <is>
          <t>Read</t>
        </is>
      </c>
      <c r="I185" t="inlineStr">
        <is>
          <t>CRICOS code on page</t>
        </is>
      </c>
      <c r="J185" t="inlineStr"/>
      <c r="K185" t="inlineStr">
        <is>
          <t>Not sent to re-link</t>
        </is>
      </c>
      <c r="L185" t="inlineStr">
        <is>
          <t>Filled</t>
        </is>
      </c>
      <c r="M185" t="inlineStr">
        <is>
          <t>Filled</t>
        </is>
      </c>
      <c r="N185" t="inlineStr">
        <is>
          <t>56000.00 2026</t>
        </is>
      </c>
      <c r="O185" t="n">
        <v>0</v>
      </c>
      <c r="P185" t="inlineStr">
        <is>
          <t>University adapter</t>
        </is>
      </c>
      <c r="Q185" t="inlineStr">
        <is>
          <t>Filled</t>
        </is>
      </c>
      <c r="R185" t="n">
        <v>6</v>
      </c>
      <c r="S185" t="inlineStr">
        <is>
          <t>Central English policy</t>
        </is>
      </c>
      <c r="T185" t="inlineStr">
        <is>
          <t>Central rule applies (value agrees)</t>
        </is>
      </c>
      <c r="U185" t="inlineStr"/>
      <c r="V185" t="inlineStr">
        <is>
          <t>Filled</t>
        </is>
      </c>
      <c r="W185" t="inlineStr">
        <is>
          <t>February</t>
        </is>
      </c>
      <c r="X185" t="inlineStr">
        <is>
          <t>University adapter</t>
        </is>
      </c>
      <c r="Y185" t="n">
        <v>0</v>
      </c>
      <c r="Z185" t="inlineStr">
        <is>
          <t>Yes</t>
        </is>
      </c>
      <c r="AA185" t="inlineStr">
        <is>
          <t>Filled</t>
        </is>
      </c>
      <c r="AB185" t="inlineStr">
        <is>
          <t>on campus</t>
        </is>
      </c>
      <c r="AC185" t="inlineStr"/>
      <c r="AD185" t="n">
        <v>0</v>
      </c>
      <c r="AE185" t="inlineStr"/>
      <c r="AF185" t="inlineStr"/>
      <c r="AG185" t="inlineStr"/>
      <c r="AH185" t="inlineStr"/>
      <c r="AI185" t="inlineStr"/>
      <c r="AJ185" t="inlineStr"/>
      <c r="AK185" t="inlineStr"/>
      <c r="AL185" t="inlineStr"/>
      <c r="AM185" t="inlineStr"/>
    </row>
    <row r="186">
      <c r="A186" t="inlineStr">
        <is>
          <t>000812G</t>
        </is>
      </c>
      <c r="B186" t="inlineStr">
        <is>
          <t>Bachelor of Music</t>
        </is>
      </c>
      <c r="C186" t="inlineStr">
        <is>
          <t>Bachelor</t>
        </is>
      </c>
      <c r="D186" t="inlineStr">
        <is>
          <t>Undergraduate</t>
        </is>
      </c>
      <c r="E186" t="inlineStr">
        <is>
          <t>Page address no longer works</t>
        </is>
      </c>
      <c r="F186" t="inlineStr"/>
      <c r="G186" t="inlineStr">
        <is>
          <t>https://www.handbook.unsw.edu.au/undergraduate/programs/2026/3436</t>
        </is>
      </c>
      <c r="H186" t="inlineStr">
        <is>
          <t>Address no longer works</t>
        </is>
      </c>
      <c r="I186" t="inlineStr"/>
      <c r="J186" t="inlineStr"/>
      <c r="K186" t="inlineStr">
        <is>
          <t>Finished, no page: no address from the university's address forms or stored lis</t>
        </is>
      </c>
      <c r="L186" t="inlineStr">
        <is>
          <t>Not stated on course page</t>
        </is>
      </c>
      <c r="M186" t="inlineStr">
        <is>
          <t>Not stated on course page</t>
        </is>
      </c>
      <c r="N186" t="inlineStr"/>
      <c r="O186" t="n">
        <v>0</v>
      </c>
      <c r="P186" t="inlineStr"/>
      <c r="Q186" t="inlineStr">
        <is>
          <t>Filled</t>
        </is>
      </c>
      <c r="R186" t="n">
        <v>6</v>
      </c>
      <c r="S186" t="inlineStr">
        <is>
          <t>Central English policy</t>
        </is>
      </c>
      <c r="T186" t="inlineStr">
        <is>
          <t>Central rule applies (value agrees)</t>
        </is>
      </c>
      <c r="U186" t="inlineStr"/>
      <c r="V186" t="inlineStr">
        <is>
          <t>Not stated on course page</t>
        </is>
      </c>
      <c r="W186" t="inlineStr"/>
      <c r="X186" t="inlineStr"/>
      <c r="Y186" t="n">
        <v>2</v>
      </c>
      <c r="Z186" t="inlineStr">
        <is>
          <t>Yes</t>
        </is>
      </c>
      <c r="AA186" t="inlineStr">
        <is>
          <t>Filled</t>
        </is>
      </c>
      <c r="AB186" t="inlineStr">
        <is>
          <t>on campus</t>
        </is>
      </c>
      <c r="AC186" t="inlineStr"/>
      <c r="AD186" t="n">
        <v>0</v>
      </c>
      <c r="AE186" t="inlineStr"/>
      <c r="AF186" t="inlineStr"/>
      <c r="AG186" t="inlineStr"/>
      <c r="AH186" t="inlineStr"/>
      <c r="AI186" t="inlineStr"/>
      <c r="AJ186" t="inlineStr"/>
      <c r="AK186" t="inlineStr"/>
      <c r="AL186" t="inlineStr"/>
      <c r="AM186" t="inlineStr"/>
    </row>
    <row r="187">
      <c r="A187" t="inlineStr">
        <is>
          <t>082790G</t>
        </is>
      </c>
      <c r="B187" t="inlineStr">
        <is>
          <t>Bachelor of Music (Honours)</t>
        </is>
      </c>
      <c r="C187" t="inlineStr">
        <is>
          <t>Bachelor Honours Degree</t>
        </is>
      </c>
      <c r="D187" t="inlineStr">
        <is>
          <t>Undergraduate</t>
        </is>
      </c>
      <c r="E187" t="inlineStr">
        <is>
          <t>Advertised: official page in place</t>
        </is>
      </c>
      <c r="F187" t="inlineStr">
        <is>
          <t>https://www.unsw.edu.au/study/undergraduate/bachelor-of-music-honours</t>
        </is>
      </c>
      <c r="G187" t="inlineStr">
        <is>
          <t>https://www.unsw.edu.au/study/undergraduate/bachelor-of-music-honours</t>
        </is>
      </c>
      <c r="H187" t="inlineStr">
        <is>
          <t>Read</t>
        </is>
      </c>
      <c r="I187" t="inlineStr">
        <is>
          <t>CRICOS code on page</t>
        </is>
      </c>
      <c r="J187" t="inlineStr"/>
      <c r="K187" t="inlineStr">
        <is>
          <t>Not sent to re-link</t>
        </is>
      </c>
      <c r="L187" t="inlineStr">
        <is>
          <t>Filled</t>
        </is>
      </c>
      <c r="M187" t="inlineStr">
        <is>
          <t>Filled</t>
        </is>
      </c>
      <c r="N187" t="inlineStr">
        <is>
          <t>48500.00 2026</t>
        </is>
      </c>
      <c r="O187" t="n">
        <v>0</v>
      </c>
      <c r="P187" t="inlineStr">
        <is>
          <t>University adapter</t>
        </is>
      </c>
      <c r="Q187" t="inlineStr">
        <is>
          <t>Filled</t>
        </is>
      </c>
      <c r="R187" t="n">
        <v>6</v>
      </c>
      <c r="S187" t="inlineStr">
        <is>
          <t>Central English policy</t>
        </is>
      </c>
      <c r="T187" t="inlineStr">
        <is>
          <t>Central rule applies (value agrees)</t>
        </is>
      </c>
      <c r="U187" t="inlineStr"/>
      <c r="V187" t="inlineStr">
        <is>
          <t>Filled</t>
        </is>
      </c>
      <c r="W187" t="inlineStr">
        <is>
          <t>February</t>
        </is>
      </c>
      <c r="X187" t="inlineStr">
        <is>
          <t>University adapter</t>
        </is>
      </c>
      <c r="Y187" t="n">
        <v>0</v>
      </c>
      <c r="Z187" t="inlineStr">
        <is>
          <t>Yes</t>
        </is>
      </c>
      <c r="AA187" t="inlineStr">
        <is>
          <t>Filled</t>
        </is>
      </c>
      <c r="AB187" t="inlineStr">
        <is>
          <t>on campus</t>
        </is>
      </c>
      <c r="AC187" t="inlineStr"/>
      <c r="AD187" t="n">
        <v>0</v>
      </c>
      <c r="AE187" t="inlineStr"/>
      <c r="AF187" t="inlineStr"/>
      <c r="AG187" t="inlineStr"/>
      <c r="AH187" t="inlineStr"/>
      <c r="AI187" t="inlineStr"/>
      <c r="AJ187" t="inlineStr"/>
      <c r="AK187" t="inlineStr"/>
      <c r="AL187" t="inlineStr"/>
      <c r="AM187" t="inlineStr"/>
    </row>
    <row r="188">
      <c r="A188" t="inlineStr">
        <is>
          <t>106820E</t>
        </is>
      </c>
      <c r="B188" t="inlineStr">
        <is>
          <t>Bachelor of Music (Honours)</t>
        </is>
      </c>
      <c r="C188" t="inlineStr">
        <is>
          <t>Bachelor Honours Degree</t>
        </is>
      </c>
      <c r="D188" t="inlineStr">
        <is>
          <t>Undergraduate</t>
        </is>
      </c>
      <c r="E188" t="inlineStr">
        <is>
          <t>Advertised: official page in place</t>
        </is>
      </c>
      <c r="F188" t="inlineStr">
        <is>
          <t>https://www.unsw.edu.au/study/undergraduate/bachelor-of-music-honours</t>
        </is>
      </c>
      <c r="G188" t="inlineStr">
        <is>
          <t>https://www.unsw.edu.au/study/undergraduate/bachelor-of-music-honours</t>
        </is>
      </c>
      <c r="H188" t="inlineStr">
        <is>
          <t>Read</t>
        </is>
      </c>
      <c r="I188" t="inlineStr">
        <is>
          <t>Exact title match</t>
        </is>
      </c>
      <c r="J188" t="inlineStr"/>
      <c r="K188" t="inlineStr">
        <is>
          <t>Not sent to re-link</t>
        </is>
      </c>
      <c r="L188" t="inlineStr">
        <is>
          <t>Filled</t>
        </is>
      </c>
      <c r="M188" t="inlineStr">
        <is>
          <t>Filled</t>
        </is>
      </c>
      <c r="N188" t="inlineStr">
        <is>
          <t>48500.00 2026</t>
        </is>
      </c>
      <c r="O188" t="n">
        <v>0</v>
      </c>
      <c r="P188" t="inlineStr">
        <is>
          <t>University adapter</t>
        </is>
      </c>
      <c r="Q188" t="inlineStr">
        <is>
          <t>Filled</t>
        </is>
      </c>
      <c r="R188" t="n">
        <v>6</v>
      </c>
      <c r="S188" t="inlineStr">
        <is>
          <t>Central English policy</t>
        </is>
      </c>
      <c r="T188" t="inlineStr">
        <is>
          <t>Central rule applies (value agrees)</t>
        </is>
      </c>
      <c r="U188" t="inlineStr"/>
      <c r="V188" t="inlineStr">
        <is>
          <t>Filled</t>
        </is>
      </c>
      <c r="W188" t="inlineStr">
        <is>
          <t>February</t>
        </is>
      </c>
      <c r="X188" t="inlineStr">
        <is>
          <t>University adapter</t>
        </is>
      </c>
      <c r="Y188" t="n">
        <v>0</v>
      </c>
      <c r="Z188" t="inlineStr">
        <is>
          <t>Yes</t>
        </is>
      </c>
      <c r="AA188" t="inlineStr">
        <is>
          <t>Filled</t>
        </is>
      </c>
      <c r="AB188" t="inlineStr">
        <is>
          <t>on campus</t>
        </is>
      </c>
      <c r="AC188" t="inlineStr"/>
      <c r="AD188" t="n">
        <v>0</v>
      </c>
      <c r="AE188" t="inlineStr"/>
      <c r="AF188" t="inlineStr"/>
      <c r="AG188" t="inlineStr"/>
      <c r="AH188" t="inlineStr"/>
      <c r="AI188" t="inlineStr"/>
      <c r="AJ188" t="inlineStr"/>
      <c r="AK188" t="inlineStr"/>
      <c r="AL188" t="inlineStr"/>
      <c r="AM188" t="inlineStr"/>
    </row>
    <row r="189">
      <c r="A189" t="inlineStr">
        <is>
          <t>106819J</t>
        </is>
      </c>
      <c r="B189" t="inlineStr">
        <is>
          <t>Bachelor of Music (Honours) / Bachelor of Engineering (Honours)</t>
        </is>
      </c>
      <c r="C189" t="inlineStr">
        <is>
          <t>Bachelor Honours Degree</t>
        </is>
      </c>
      <c r="D189" t="inlineStr">
        <is>
          <t>Undergraduate</t>
        </is>
      </c>
      <c r="E189" t="inlineStr">
        <is>
          <t>Page address no longer works</t>
        </is>
      </c>
      <c r="F189" t="inlineStr"/>
      <c r="G189" t="inlineStr">
        <is>
          <t>https://www.handbook.unsw.edu.au/undergraduate/programs/2026/3769</t>
        </is>
      </c>
      <c r="H189" t="inlineStr">
        <is>
          <t>Address no longer works</t>
        </is>
      </c>
      <c r="I189" t="inlineStr"/>
      <c r="J189" t="inlineStr"/>
      <c r="K189" t="inlineStr">
        <is>
          <t>Not sent to re-link</t>
        </is>
      </c>
      <c r="L189" t="inlineStr">
        <is>
          <t>Page found, being read</t>
        </is>
      </c>
      <c r="M189" t="inlineStr">
        <is>
          <t>Page found, being read</t>
        </is>
      </c>
      <c r="N189" t="inlineStr"/>
      <c r="O189" t="n">
        <v>0</v>
      </c>
      <c r="P189" t="inlineStr"/>
      <c r="Q189" t="inlineStr">
        <is>
          <t>Filled</t>
        </is>
      </c>
      <c r="R189" t="n">
        <v>6</v>
      </c>
      <c r="S189" t="inlineStr">
        <is>
          <t>Central English policy</t>
        </is>
      </c>
      <c r="T189" t="inlineStr">
        <is>
          <t>Central rule applies (value agrees)</t>
        </is>
      </c>
      <c r="U189" t="inlineStr"/>
      <c r="V189" t="inlineStr">
        <is>
          <t>Page found, being read</t>
        </is>
      </c>
      <c r="W189" t="inlineStr"/>
      <c r="X189" t="inlineStr"/>
      <c r="Y189" t="n">
        <v>0</v>
      </c>
      <c r="Z189" t="inlineStr">
        <is>
          <t>Yes</t>
        </is>
      </c>
      <c r="AA189" t="inlineStr">
        <is>
          <t>Not stated on course page</t>
        </is>
      </c>
      <c r="AB189" t="inlineStr"/>
      <c r="AC189" t="inlineStr">
        <is>
          <t>Skipped: no allowed source had a value</t>
        </is>
      </c>
      <c r="AD189" t="n">
        <v>0</v>
      </c>
      <c r="AE189" t="inlineStr"/>
      <c r="AF189" t="inlineStr"/>
      <c r="AG189" t="inlineStr"/>
      <c r="AH189" t="inlineStr"/>
      <c r="AI189" t="inlineStr"/>
      <c r="AJ189" t="inlineStr"/>
      <c r="AK189" t="inlineStr"/>
      <c r="AL189" t="inlineStr"/>
      <c r="AM189" t="inlineStr"/>
    </row>
    <row r="190">
      <c r="A190" t="inlineStr">
        <is>
          <t>085134E</t>
        </is>
      </c>
      <c r="B190" t="inlineStr">
        <is>
          <t>Bachelor of Music (Honours) / Bachelor of Laws</t>
        </is>
      </c>
      <c r="C190" t="inlineStr">
        <is>
          <t>Bachelor Honours Degree</t>
        </is>
      </c>
      <c r="D190" t="inlineStr">
        <is>
          <t>Undergraduate</t>
        </is>
      </c>
      <c r="E190" t="inlineStr">
        <is>
          <t>Page address no longer works</t>
        </is>
      </c>
      <c r="F190" t="inlineStr"/>
      <c r="G190" t="inlineStr">
        <is>
          <t>https://www.handbook.unsw.edu.au/undergraduate/programs/2026/4779</t>
        </is>
      </c>
      <c r="H190" t="inlineStr">
        <is>
          <t>Address no longer works</t>
        </is>
      </c>
      <c r="I190" t="inlineStr"/>
      <c r="J190" t="inlineStr"/>
      <c r="K190" t="inlineStr">
        <is>
          <t>Not sent to re-link</t>
        </is>
      </c>
      <c r="L190" t="inlineStr">
        <is>
          <t>Page found, being read</t>
        </is>
      </c>
      <c r="M190" t="inlineStr">
        <is>
          <t>Page found, being read</t>
        </is>
      </c>
      <c r="N190" t="inlineStr"/>
      <c r="O190" t="n">
        <v>0</v>
      </c>
      <c r="P190" t="inlineStr"/>
      <c r="Q190" t="inlineStr">
        <is>
          <t>Filled</t>
        </is>
      </c>
      <c r="R190" t="n">
        <v>6</v>
      </c>
      <c r="S190" t="inlineStr">
        <is>
          <t>Central English policy</t>
        </is>
      </c>
      <c r="T190" t="inlineStr">
        <is>
          <t>Central rule applies (value agrees)</t>
        </is>
      </c>
      <c r="U190" t="inlineStr"/>
      <c r="V190" t="inlineStr">
        <is>
          <t>Page found, being read</t>
        </is>
      </c>
      <c r="W190" t="inlineStr"/>
      <c r="X190" t="inlineStr"/>
      <c r="Y190" t="n">
        <v>0</v>
      </c>
      <c r="Z190" t="inlineStr">
        <is>
          <t>Yes</t>
        </is>
      </c>
      <c r="AA190" t="inlineStr">
        <is>
          <t>Not stated on course page</t>
        </is>
      </c>
      <c r="AB190" t="inlineStr"/>
      <c r="AC190" t="inlineStr">
        <is>
          <t>Skipped: no allowed source had a value</t>
        </is>
      </c>
      <c r="AD190" t="n">
        <v>0</v>
      </c>
      <c r="AE190" t="inlineStr"/>
      <c r="AF190" t="inlineStr"/>
      <c r="AG190" t="inlineStr"/>
      <c r="AH190" t="inlineStr"/>
      <c r="AI190" t="inlineStr"/>
      <c r="AJ190" t="inlineStr"/>
      <c r="AK190" t="inlineStr"/>
      <c r="AL190" t="inlineStr"/>
      <c r="AM190" t="inlineStr"/>
    </row>
    <row r="191">
      <c r="A191" t="inlineStr">
        <is>
          <t>106818K</t>
        </is>
      </c>
      <c r="B191" t="inlineStr">
        <is>
          <t>Bachelor of Music (Honours) / Bachelor of Media (Communication and Journalism)</t>
        </is>
      </c>
      <c r="C191" t="inlineStr">
        <is>
          <t>Bachelor Honours Degree</t>
        </is>
      </c>
      <c r="D191" t="inlineStr">
        <is>
          <t>Undergraduate</t>
        </is>
      </c>
      <c r="E191" t="inlineStr">
        <is>
          <t>Page address no longer works</t>
        </is>
      </c>
      <c r="F191" t="inlineStr"/>
      <c r="G191" t="inlineStr">
        <is>
          <t>https://www.handbook.unsw.edu.au/undergraduate/programs/2026/3455</t>
        </is>
      </c>
      <c r="H191" t="inlineStr">
        <is>
          <t>Address no longer works</t>
        </is>
      </c>
      <c r="I191" t="inlineStr"/>
      <c r="J191" t="inlineStr"/>
      <c r="K191" t="inlineStr">
        <is>
          <t>Not sent to re-link</t>
        </is>
      </c>
      <c r="L191" t="inlineStr">
        <is>
          <t>Page found, being read</t>
        </is>
      </c>
      <c r="M191" t="inlineStr">
        <is>
          <t>Page found, being read</t>
        </is>
      </c>
      <c r="N191" t="inlineStr"/>
      <c r="O191" t="n">
        <v>0</v>
      </c>
      <c r="P191" t="inlineStr"/>
      <c r="Q191" t="inlineStr">
        <is>
          <t>Filled</t>
        </is>
      </c>
      <c r="R191" t="n">
        <v>6</v>
      </c>
      <c r="S191" t="inlineStr">
        <is>
          <t>Central English policy</t>
        </is>
      </c>
      <c r="T191" t="inlineStr">
        <is>
          <t>Central rule applies (value agrees)</t>
        </is>
      </c>
      <c r="U191" t="inlineStr"/>
      <c r="V191" t="inlineStr">
        <is>
          <t>Page found, being read</t>
        </is>
      </c>
      <c r="W191" t="inlineStr"/>
      <c r="X191" t="inlineStr"/>
      <c r="Y191" t="n">
        <v>0</v>
      </c>
      <c r="Z191" t="inlineStr">
        <is>
          <t>Yes</t>
        </is>
      </c>
      <c r="AA191" t="inlineStr">
        <is>
          <t>Not stated on course page</t>
        </is>
      </c>
      <c r="AB191" t="inlineStr"/>
      <c r="AC191" t="inlineStr">
        <is>
          <t>Skipped: no allowed source had a value</t>
        </is>
      </c>
      <c r="AD191" t="n">
        <v>0</v>
      </c>
      <c r="AE191" t="inlineStr"/>
      <c r="AF191" t="inlineStr"/>
      <c r="AG191" t="inlineStr"/>
      <c r="AH191" t="inlineStr"/>
      <c r="AI191" t="inlineStr"/>
      <c r="AJ191" t="inlineStr"/>
      <c r="AK191" t="inlineStr"/>
      <c r="AL191" t="inlineStr"/>
      <c r="AM191" t="inlineStr"/>
    </row>
    <row r="192">
      <c r="A192" t="inlineStr">
        <is>
          <t>106817M</t>
        </is>
      </c>
      <c r="B192" t="inlineStr">
        <is>
          <t>Bachelor of Music (Honours) / Bachelor of Media (Public Relations and Advertising)</t>
        </is>
      </c>
      <c r="C192" t="inlineStr">
        <is>
          <t>Bachelor Honours Degree</t>
        </is>
      </c>
      <c r="D192" t="inlineStr">
        <is>
          <t>Undergraduate</t>
        </is>
      </c>
      <c r="E192" t="inlineStr">
        <is>
          <t>Page address no longer works</t>
        </is>
      </c>
      <c r="F192" t="inlineStr"/>
      <c r="G192" t="inlineStr">
        <is>
          <t>https://www.handbook.unsw.edu.au/undergraduate/programs/2026/3453</t>
        </is>
      </c>
      <c r="H192" t="inlineStr">
        <is>
          <t>Address no longer works</t>
        </is>
      </c>
      <c r="I192" t="inlineStr"/>
      <c r="J192" t="inlineStr"/>
      <c r="K192" t="inlineStr">
        <is>
          <t>Not sent to re-link</t>
        </is>
      </c>
      <c r="L192" t="inlineStr">
        <is>
          <t>Page found, being read</t>
        </is>
      </c>
      <c r="M192" t="inlineStr">
        <is>
          <t>Page found, being read</t>
        </is>
      </c>
      <c r="N192" t="inlineStr"/>
      <c r="O192" t="n">
        <v>0</v>
      </c>
      <c r="P192" t="inlineStr"/>
      <c r="Q192" t="inlineStr">
        <is>
          <t>Filled</t>
        </is>
      </c>
      <c r="R192" t="n">
        <v>6</v>
      </c>
      <c r="S192" t="inlineStr">
        <is>
          <t>Central English policy</t>
        </is>
      </c>
      <c r="T192" t="inlineStr">
        <is>
          <t>Central rule applies (value agrees)</t>
        </is>
      </c>
      <c r="U192" t="inlineStr"/>
      <c r="V192" t="inlineStr">
        <is>
          <t>Page found, being read</t>
        </is>
      </c>
      <c r="W192" t="inlineStr"/>
      <c r="X192" t="inlineStr"/>
      <c r="Y192" t="n">
        <v>0</v>
      </c>
      <c r="Z192" t="inlineStr">
        <is>
          <t>Yes</t>
        </is>
      </c>
      <c r="AA192" t="inlineStr">
        <is>
          <t>Not stated on course page</t>
        </is>
      </c>
      <c r="AB192" t="inlineStr"/>
      <c r="AC192" t="inlineStr">
        <is>
          <t>Skipped: no allowed source had a value</t>
        </is>
      </c>
      <c r="AD192" t="n">
        <v>0</v>
      </c>
      <c r="AE192" t="inlineStr"/>
      <c r="AF192" t="inlineStr"/>
      <c r="AG192" t="inlineStr"/>
      <c r="AH192" t="inlineStr"/>
      <c r="AI192" t="inlineStr"/>
      <c r="AJ192" t="inlineStr"/>
      <c r="AK192" t="inlineStr"/>
      <c r="AL192" t="inlineStr"/>
      <c r="AM192" t="inlineStr"/>
    </row>
    <row r="193">
      <c r="A193" t="inlineStr">
        <is>
          <t>106821D</t>
        </is>
      </c>
      <c r="B193" t="inlineStr">
        <is>
          <t>Bachelor of Music (Honours) / Law (Honours)</t>
        </is>
      </c>
      <c r="C193" t="inlineStr">
        <is>
          <t>Bachelor Honours Degree</t>
        </is>
      </c>
      <c r="D193" t="inlineStr">
        <is>
          <t>Undergraduate</t>
        </is>
      </c>
      <c r="E193" t="inlineStr">
        <is>
          <t>Page address no longer works</t>
        </is>
      </c>
      <c r="F193" t="inlineStr"/>
      <c r="G193" t="inlineStr">
        <is>
          <t>https://www.handbook.unsw.edu.au/undergraduate/programs/2026/3440</t>
        </is>
      </c>
      <c r="H193" t="inlineStr">
        <is>
          <t>Address no longer works</t>
        </is>
      </c>
      <c r="I193" t="inlineStr"/>
      <c r="J193" t="inlineStr"/>
      <c r="K193" t="inlineStr">
        <is>
          <t>Not sent to re-link</t>
        </is>
      </c>
      <c r="L193" t="inlineStr">
        <is>
          <t>Page found, being read</t>
        </is>
      </c>
      <c r="M193" t="inlineStr">
        <is>
          <t>Page found, being read</t>
        </is>
      </c>
      <c r="N193" t="inlineStr"/>
      <c r="O193" t="n">
        <v>0</v>
      </c>
      <c r="P193" t="inlineStr"/>
      <c r="Q193" t="inlineStr">
        <is>
          <t>Page found, being read</t>
        </is>
      </c>
      <c r="S193" t="inlineStr"/>
      <c r="T193" t="inlineStr">
        <is>
          <t>Held: double degree (its parts are at different levels)</t>
        </is>
      </c>
      <c r="U193" t="inlineStr"/>
      <c r="V193" t="inlineStr">
        <is>
          <t>Page found, being read</t>
        </is>
      </c>
      <c r="W193" t="inlineStr"/>
      <c r="X193" t="inlineStr"/>
      <c r="Y193" t="n">
        <v>0</v>
      </c>
      <c r="Z193" t="inlineStr">
        <is>
          <t>Yes</t>
        </is>
      </c>
      <c r="AA193" t="inlineStr">
        <is>
          <t>Not stated on course page</t>
        </is>
      </c>
      <c r="AB193" t="inlineStr"/>
      <c r="AC193" t="inlineStr">
        <is>
          <t>Skipped: no allowed source had a value</t>
        </is>
      </c>
      <c r="AD193" t="n">
        <v>0</v>
      </c>
      <c r="AE193" t="inlineStr"/>
      <c r="AF193" t="inlineStr"/>
      <c r="AG193" t="inlineStr"/>
      <c r="AH193" t="inlineStr"/>
      <c r="AI193" t="inlineStr"/>
      <c r="AJ193" t="inlineStr">
        <is>
          <t>Yes</t>
        </is>
      </c>
      <c r="AK193" t="inlineStr"/>
      <c r="AL193" t="inlineStr"/>
      <c r="AM193" t="inlineStr"/>
    </row>
    <row r="194">
      <c r="A194" t="inlineStr">
        <is>
          <t>088852F</t>
        </is>
      </c>
      <c r="B194" t="inlineStr">
        <is>
          <t>Bachelor of Music (Honours)/Bachelor of Advanced Science (Honours)</t>
        </is>
      </c>
      <c r="C194" t="inlineStr">
        <is>
          <t>Bachelor Honours Degree</t>
        </is>
      </c>
      <c r="D194" t="inlineStr">
        <is>
          <t>Undergraduate</t>
        </is>
      </c>
      <c r="E194" t="inlineStr">
        <is>
          <t>Page address no longer works</t>
        </is>
      </c>
      <c r="F194" t="inlineStr"/>
      <c r="G194" t="inlineStr">
        <is>
          <t>https://www.handbook.unsw.edu.au/undergraduate/programs/2026/3472</t>
        </is>
      </c>
      <c r="H194" t="inlineStr">
        <is>
          <t>Address no longer works</t>
        </is>
      </c>
      <c r="I194" t="inlineStr"/>
      <c r="J194" t="inlineStr"/>
      <c r="K194" t="inlineStr">
        <is>
          <t>Not sent to re-link</t>
        </is>
      </c>
      <c r="L194" t="inlineStr">
        <is>
          <t>Page found, being read</t>
        </is>
      </c>
      <c r="M194" t="inlineStr">
        <is>
          <t>Page found, being read</t>
        </is>
      </c>
      <c r="N194" t="inlineStr"/>
      <c r="O194" t="n">
        <v>0</v>
      </c>
      <c r="P194" t="inlineStr"/>
      <c r="Q194" t="inlineStr">
        <is>
          <t>Filled</t>
        </is>
      </c>
      <c r="R194" t="n">
        <v>6</v>
      </c>
      <c r="S194" t="inlineStr">
        <is>
          <t>Central English policy</t>
        </is>
      </c>
      <c r="T194" t="inlineStr">
        <is>
          <t>Central rule applies (value agrees)</t>
        </is>
      </c>
      <c r="U194" t="inlineStr"/>
      <c r="V194" t="inlineStr">
        <is>
          <t>Page found, being read</t>
        </is>
      </c>
      <c r="W194" t="inlineStr"/>
      <c r="X194" t="inlineStr"/>
      <c r="Y194" t="n">
        <v>0</v>
      </c>
      <c r="Z194" t="inlineStr">
        <is>
          <t>Yes</t>
        </is>
      </c>
      <c r="AA194" t="inlineStr">
        <is>
          <t>Not stated on course page</t>
        </is>
      </c>
      <c r="AB194" t="inlineStr"/>
      <c r="AC194" t="inlineStr">
        <is>
          <t>Skipped: no allowed source had a value</t>
        </is>
      </c>
      <c r="AD194" t="n">
        <v>0</v>
      </c>
      <c r="AE194" t="inlineStr"/>
      <c r="AF194" t="inlineStr"/>
      <c r="AG194" t="inlineStr"/>
      <c r="AH194" t="inlineStr"/>
      <c r="AI194" t="inlineStr"/>
      <c r="AJ194" t="inlineStr"/>
      <c r="AK194" t="inlineStr"/>
      <c r="AL194" t="inlineStr"/>
      <c r="AM194" t="inlineStr"/>
    </row>
    <row r="195">
      <c r="A195" t="inlineStr">
        <is>
          <t>085937C</t>
        </is>
      </c>
      <c r="B195" t="inlineStr">
        <is>
          <t>Bachelor of Music (Honours)/Bachelor of Commerce</t>
        </is>
      </c>
      <c r="C195" t="inlineStr">
        <is>
          <t>Bachelor Honours Degree</t>
        </is>
      </c>
      <c r="D195" t="inlineStr">
        <is>
          <t>Undergraduate</t>
        </is>
      </c>
      <c r="E195" t="inlineStr">
        <is>
          <t>Page address no longer works</t>
        </is>
      </c>
      <c r="F195" t="inlineStr"/>
      <c r="G195" t="inlineStr">
        <is>
          <t>https://www.handbook.unsw.edu.au/undergraduate/programs/2026/3473</t>
        </is>
      </c>
      <c r="H195" t="inlineStr">
        <is>
          <t>Address no longer works</t>
        </is>
      </c>
      <c r="I195" t="inlineStr"/>
      <c r="J195" t="inlineStr"/>
      <c r="K195" t="inlineStr">
        <is>
          <t>Not sent to re-link</t>
        </is>
      </c>
      <c r="L195" t="inlineStr">
        <is>
          <t>Page found, being read</t>
        </is>
      </c>
      <c r="M195" t="inlineStr">
        <is>
          <t>Page found, being read</t>
        </is>
      </c>
      <c r="N195" t="inlineStr"/>
      <c r="O195" t="n">
        <v>0</v>
      </c>
      <c r="P195" t="inlineStr"/>
      <c r="Q195" t="inlineStr">
        <is>
          <t>Filled</t>
        </is>
      </c>
      <c r="R195" t="n">
        <v>6</v>
      </c>
      <c r="S195" t="inlineStr">
        <is>
          <t>Central English policy</t>
        </is>
      </c>
      <c r="T195" t="inlineStr">
        <is>
          <t>Central rule applies (value agrees)</t>
        </is>
      </c>
      <c r="U195" t="inlineStr"/>
      <c r="V195" t="inlineStr">
        <is>
          <t>Page found, being read</t>
        </is>
      </c>
      <c r="W195" t="inlineStr"/>
      <c r="X195" t="inlineStr"/>
      <c r="Y195" t="n">
        <v>0</v>
      </c>
      <c r="Z195" t="inlineStr">
        <is>
          <t>Yes</t>
        </is>
      </c>
      <c r="AA195" t="inlineStr">
        <is>
          <t>Not stated on course page</t>
        </is>
      </c>
      <c r="AB195" t="inlineStr"/>
      <c r="AC195" t="inlineStr">
        <is>
          <t>Skipped: no allowed source had a value</t>
        </is>
      </c>
      <c r="AD195" t="n">
        <v>0</v>
      </c>
      <c r="AE195" t="inlineStr"/>
      <c r="AF195" t="inlineStr"/>
      <c r="AG195" t="inlineStr"/>
      <c r="AH195" t="inlineStr"/>
      <c r="AI195" t="inlineStr"/>
      <c r="AJ195" t="inlineStr"/>
      <c r="AK195" t="inlineStr"/>
      <c r="AL195" t="inlineStr"/>
      <c r="AM195" t="inlineStr"/>
    </row>
    <row r="196">
      <c r="A196" t="inlineStr">
        <is>
          <t>085913M</t>
        </is>
      </c>
      <c r="B196" t="inlineStr">
        <is>
          <t>Bachelor of Music (Honours)/Bachelor of Education (Secondary)</t>
        </is>
      </c>
      <c r="C196" t="inlineStr">
        <is>
          <t>Bachelor Honours Degree</t>
        </is>
      </c>
      <c r="D196" t="inlineStr">
        <is>
          <t>Undergraduate</t>
        </is>
      </c>
      <c r="E196" t="inlineStr">
        <is>
          <t>Page address no longer works</t>
        </is>
      </c>
      <c r="F196" t="inlineStr"/>
      <c r="G196" t="inlineStr">
        <is>
          <t>https://www.handbook.unsw.edu.au/undergraduate/programs/2026/3470</t>
        </is>
      </c>
      <c r="H196" t="inlineStr">
        <is>
          <t>Address no longer works</t>
        </is>
      </c>
      <c r="I196" t="inlineStr"/>
      <c r="J196" t="inlineStr"/>
      <c r="K196" t="inlineStr">
        <is>
          <t>Not sent to re-link</t>
        </is>
      </c>
      <c r="L196" t="inlineStr">
        <is>
          <t>Page found, being read</t>
        </is>
      </c>
      <c r="M196" t="inlineStr">
        <is>
          <t>Page found, being read</t>
        </is>
      </c>
      <c r="N196" t="inlineStr"/>
      <c r="O196" t="n">
        <v>0</v>
      </c>
      <c r="P196" t="inlineStr"/>
      <c r="Q196" t="inlineStr">
        <is>
          <t>Filled</t>
        </is>
      </c>
      <c r="R196" t="n">
        <v>6</v>
      </c>
      <c r="S196" t="inlineStr">
        <is>
          <t>Central English policy</t>
        </is>
      </c>
      <c r="T196" t="inlineStr">
        <is>
          <t>Central rule applies (value agrees)</t>
        </is>
      </c>
      <c r="U196" t="inlineStr"/>
      <c r="V196" t="inlineStr">
        <is>
          <t>Page found, being read</t>
        </is>
      </c>
      <c r="W196" t="inlineStr"/>
      <c r="X196" t="inlineStr"/>
      <c r="Y196" t="n">
        <v>0</v>
      </c>
      <c r="Z196" t="inlineStr">
        <is>
          <t>Yes</t>
        </is>
      </c>
      <c r="AA196" t="inlineStr">
        <is>
          <t>Not stated on course page</t>
        </is>
      </c>
      <c r="AB196" t="inlineStr"/>
      <c r="AC196" t="inlineStr">
        <is>
          <t>Skipped: no allowed source had a value</t>
        </is>
      </c>
      <c r="AD196" t="n">
        <v>0</v>
      </c>
      <c r="AE196" t="inlineStr"/>
      <c r="AF196" t="inlineStr"/>
      <c r="AG196" t="inlineStr"/>
      <c r="AH196" t="inlineStr"/>
      <c r="AI196" t="inlineStr"/>
      <c r="AJ196" t="inlineStr"/>
      <c r="AK196" t="inlineStr"/>
      <c r="AL196" t="inlineStr"/>
      <c r="AM196" t="inlineStr"/>
    </row>
    <row r="197">
      <c r="A197" t="inlineStr">
        <is>
          <t>085654C</t>
        </is>
      </c>
      <c r="B197" t="inlineStr">
        <is>
          <t>Bachelor of Music (Honours)/Bachelor of Media (Screen and Sound Production)</t>
        </is>
      </c>
      <c r="C197" t="inlineStr">
        <is>
          <t>Bachelor Honours Degree</t>
        </is>
      </c>
      <c r="D197" t="inlineStr">
        <is>
          <t>Undergraduate</t>
        </is>
      </c>
      <c r="E197" t="inlineStr">
        <is>
          <t>Page address no longer works</t>
        </is>
      </c>
      <c r="F197" t="inlineStr"/>
      <c r="G197" t="inlineStr">
        <is>
          <t>https://www.handbook.unsw.edu.au/undergraduate/programs/2026/3468</t>
        </is>
      </c>
      <c r="H197" t="inlineStr">
        <is>
          <t>Address no longer works</t>
        </is>
      </c>
      <c r="I197" t="inlineStr"/>
      <c r="J197" t="inlineStr"/>
      <c r="K197" t="inlineStr">
        <is>
          <t>Finished, no page: no address from the university's address forms or stored lis</t>
        </is>
      </c>
      <c r="L197" t="inlineStr">
        <is>
          <t>Page found, being read</t>
        </is>
      </c>
      <c r="M197" t="inlineStr">
        <is>
          <t>Page found, being read</t>
        </is>
      </c>
      <c r="N197" t="inlineStr"/>
      <c r="O197" t="n">
        <v>0</v>
      </c>
      <c r="P197" t="inlineStr"/>
      <c r="Q197" t="inlineStr">
        <is>
          <t>Filled</t>
        </is>
      </c>
      <c r="R197" t="n">
        <v>6</v>
      </c>
      <c r="S197" t="inlineStr">
        <is>
          <t>Central English policy</t>
        </is>
      </c>
      <c r="T197" t="inlineStr">
        <is>
          <t>Central rule applies (value agrees)</t>
        </is>
      </c>
      <c r="U197" t="inlineStr"/>
      <c r="V197" t="inlineStr">
        <is>
          <t>Page found, being read</t>
        </is>
      </c>
      <c r="W197" t="inlineStr"/>
      <c r="X197" t="inlineStr"/>
      <c r="Y197" t="n">
        <v>0</v>
      </c>
      <c r="Z197" t="inlineStr">
        <is>
          <t>Yes</t>
        </is>
      </c>
      <c r="AA197" t="inlineStr">
        <is>
          <t>Not stated on course page</t>
        </is>
      </c>
      <c r="AB197" t="inlineStr"/>
      <c r="AC197" t="inlineStr">
        <is>
          <t>Skipped: the page does not state it</t>
        </is>
      </c>
      <c r="AD197" t="n">
        <v>0</v>
      </c>
      <c r="AE197" t="inlineStr"/>
      <c r="AF197" t="inlineStr"/>
      <c r="AG197" t="inlineStr"/>
      <c r="AH197" t="inlineStr"/>
      <c r="AI197" t="inlineStr"/>
      <c r="AJ197" t="inlineStr"/>
      <c r="AK197" t="inlineStr"/>
      <c r="AL197" t="inlineStr"/>
      <c r="AM197" t="inlineStr"/>
    </row>
    <row r="198">
      <c r="A198" t="inlineStr">
        <is>
          <t>085914K</t>
        </is>
      </c>
      <c r="B198" t="inlineStr">
        <is>
          <t>Bachelor of Music (Honours)/Bachelor of Science</t>
        </is>
      </c>
      <c r="C198" t="inlineStr">
        <is>
          <t>Bachelor Honours Degree</t>
        </is>
      </c>
      <c r="D198" t="inlineStr">
        <is>
          <t>Undergraduate</t>
        </is>
      </c>
      <c r="E198" t="inlineStr">
        <is>
          <t>Page address no longer works</t>
        </is>
      </c>
      <c r="F198" t="inlineStr"/>
      <c r="G198" t="inlineStr">
        <is>
          <t>https://www.handbook.unsw.edu.au/undergraduate/programs/2026/3471</t>
        </is>
      </c>
      <c r="H198" t="inlineStr">
        <is>
          <t>Address no longer works</t>
        </is>
      </c>
      <c r="I198" t="inlineStr"/>
      <c r="J198" t="inlineStr"/>
      <c r="K198" t="inlineStr">
        <is>
          <t>Not sent to re-link</t>
        </is>
      </c>
      <c r="L198" t="inlineStr">
        <is>
          <t>Page found, being read</t>
        </is>
      </c>
      <c r="M198" t="inlineStr">
        <is>
          <t>Page found, being read</t>
        </is>
      </c>
      <c r="N198" t="inlineStr"/>
      <c r="O198" t="n">
        <v>0</v>
      </c>
      <c r="P198" t="inlineStr"/>
      <c r="Q198" t="inlineStr">
        <is>
          <t>Filled</t>
        </is>
      </c>
      <c r="R198" t="n">
        <v>6</v>
      </c>
      <c r="S198" t="inlineStr">
        <is>
          <t>Central English policy</t>
        </is>
      </c>
      <c r="T198" t="inlineStr">
        <is>
          <t>Central rule applies (value agrees)</t>
        </is>
      </c>
      <c r="U198" t="inlineStr"/>
      <c r="V198" t="inlineStr">
        <is>
          <t>Page found, being read</t>
        </is>
      </c>
      <c r="W198" t="inlineStr"/>
      <c r="X198" t="inlineStr"/>
      <c r="Y198" t="n">
        <v>0</v>
      </c>
      <c r="Z198" t="inlineStr">
        <is>
          <t>Yes</t>
        </is>
      </c>
      <c r="AA198" t="inlineStr">
        <is>
          <t>Not stated on course page</t>
        </is>
      </c>
      <c r="AB198" t="inlineStr"/>
      <c r="AC198" t="inlineStr">
        <is>
          <t>Skipped: no allowed source had a value</t>
        </is>
      </c>
      <c r="AD198" t="n">
        <v>0</v>
      </c>
      <c r="AE198" t="inlineStr"/>
      <c r="AF198" t="inlineStr"/>
      <c r="AG198" t="inlineStr"/>
      <c r="AH198" t="inlineStr"/>
      <c r="AI198" t="inlineStr"/>
      <c r="AJ198" t="inlineStr"/>
      <c r="AK198" t="inlineStr"/>
      <c r="AL198" t="inlineStr"/>
      <c r="AM198" t="inlineStr"/>
    </row>
    <row r="199">
      <c r="A199" t="inlineStr">
        <is>
          <t>088849A</t>
        </is>
      </c>
      <c r="B199" t="inlineStr">
        <is>
          <t>Bachelor of Music/Bachelor of Advanced Science (Honours)</t>
        </is>
      </c>
      <c r="C199" t="inlineStr">
        <is>
          <t>Bachelor Honours Degree</t>
        </is>
      </c>
      <c r="D199" t="inlineStr">
        <is>
          <t>Undergraduate</t>
        </is>
      </c>
      <c r="E199" t="inlineStr">
        <is>
          <t>Page address no longer works</t>
        </is>
      </c>
      <c r="F199" t="inlineStr"/>
      <c r="G199" t="inlineStr">
        <is>
          <t>https://www.handbook.unsw.edu.au/undergraduate/programs/2026/3472</t>
        </is>
      </c>
      <c r="H199" t="inlineStr">
        <is>
          <t>Address no longer works</t>
        </is>
      </c>
      <c r="I199" t="inlineStr"/>
      <c r="J199" t="inlineStr"/>
      <c r="K199" t="inlineStr">
        <is>
          <t>Not sent to re-link</t>
        </is>
      </c>
      <c r="L199" t="inlineStr">
        <is>
          <t>Page found, being read</t>
        </is>
      </c>
      <c r="M199" t="inlineStr">
        <is>
          <t>Page found, being read</t>
        </is>
      </c>
      <c r="N199" t="inlineStr"/>
      <c r="O199" t="n">
        <v>0</v>
      </c>
      <c r="P199" t="inlineStr"/>
      <c r="Q199" t="inlineStr">
        <is>
          <t>Filled</t>
        </is>
      </c>
      <c r="R199" t="n">
        <v>6</v>
      </c>
      <c r="S199" t="inlineStr">
        <is>
          <t>Central English policy</t>
        </is>
      </c>
      <c r="T199" t="inlineStr">
        <is>
          <t>Central rule applies (value agrees)</t>
        </is>
      </c>
      <c r="U199" t="inlineStr"/>
      <c r="V199" t="inlineStr">
        <is>
          <t>Page found, being read</t>
        </is>
      </c>
      <c r="W199" t="inlineStr"/>
      <c r="X199" t="inlineStr"/>
      <c r="Y199" t="n">
        <v>0</v>
      </c>
      <c r="Z199" t="inlineStr">
        <is>
          <t>Yes</t>
        </is>
      </c>
      <c r="AA199" t="inlineStr">
        <is>
          <t>Not stated on course page</t>
        </is>
      </c>
      <c r="AB199" t="inlineStr"/>
      <c r="AC199" t="inlineStr">
        <is>
          <t>Skipped: no allowed source had a value</t>
        </is>
      </c>
      <c r="AD199" t="n">
        <v>0</v>
      </c>
      <c r="AE199" t="inlineStr"/>
      <c r="AF199" t="inlineStr"/>
      <c r="AG199" t="inlineStr"/>
      <c r="AH199" t="inlineStr"/>
      <c r="AI199" t="inlineStr"/>
      <c r="AJ199" t="inlineStr"/>
      <c r="AK199" t="inlineStr"/>
      <c r="AL199" t="inlineStr"/>
      <c r="AM199" t="inlineStr"/>
    </row>
    <row r="200">
      <c r="A200" t="inlineStr">
        <is>
          <t>077757G</t>
        </is>
      </c>
      <c r="B200" t="inlineStr">
        <is>
          <t>Bachelor of Music/Bachelor of Arts</t>
        </is>
      </c>
      <c r="C200" t="inlineStr">
        <is>
          <t>Bachelor</t>
        </is>
      </c>
      <c r="D200" t="inlineStr">
        <is>
          <t>Undergraduate</t>
        </is>
      </c>
      <c r="E200" t="inlineStr">
        <is>
          <t>Page address no longer works</t>
        </is>
      </c>
      <c r="F200" t="inlineStr"/>
      <c r="G200" t="inlineStr">
        <is>
          <t>https://www.handbook.unsw.edu.au/undergraduate/programs/2026/3474</t>
        </is>
      </c>
      <c r="H200" t="inlineStr">
        <is>
          <t>Address no longer works</t>
        </is>
      </c>
      <c r="I200" t="inlineStr"/>
      <c r="J200" t="inlineStr"/>
      <c r="K200" t="inlineStr">
        <is>
          <t>Finished, no page: no address from the university's address forms or stored lis</t>
        </is>
      </c>
      <c r="L200" t="inlineStr">
        <is>
          <t>Page found, being read</t>
        </is>
      </c>
      <c r="M200" t="inlineStr">
        <is>
          <t>Page found, being read</t>
        </is>
      </c>
      <c r="N200" t="inlineStr"/>
      <c r="O200" t="n">
        <v>0</v>
      </c>
      <c r="P200" t="inlineStr"/>
      <c r="Q200" t="inlineStr">
        <is>
          <t>Filled</t>
        </is>
      </c>
      <c r="R200" t="n">
        <v>6</v>
      </c>
      <c r="S200" t="inlineStr">
        <is>
          <t>Central English policy</t>
        </is>
      </c>
      <c r="T200" t="inlineStr">
        <is>
          <t>Central rule applies (value agrees)</t>
        </is>
      </c>
      <c r="U200" t="inlineStr"/>
      <c r="V200" t="inlineStr">
        <is>
          <t>Page found, being read</t>
        </is>
      </c>
      <c r="W200" t="inlineStr"/>
      <c r="X200" t="inlineStr"/>
      <c r="Y200" t="n">
        <v>0</v>
      </c>
      <c r="Z200" t="inlineStr">
        <is>
          <t>Yes</t>
        </is>
      </c>
      <c r="AA200" t="inlineStr">
        <is>
          <t>Not stated on course page</t>
        </is>
      </c>
      <c r="AB200" t="inlineStr"/>
      <c r="AC200" t="inlineStr">
        <is>
          <t>Skipped: the page does not state it</t>
        </is>
      </c>
      <c r="AD200" t="n">
        <v>0</v>
      </c>
      <c r="AE200" t="inlineStr"/>
      <c r="AF200" t="inlineStr"/>
      <c r="AG200" t="inlineStr"/>
      <c r="AH200" t="inlineStr"/>
      <c r="AI200" t="inlineStr"/>
      <c r="AJ200" t="inlineStr"/>
      <c r="AK200" t="inlineStr"/>
      <c r="AL200" t="inlineStr"/>
      <c r="AM200" t="inlineStr"/>
    </row>
    <row r="201">
      <c r="A201" t="inlineStr">
        <is>
          <t>082208E</t>
        </is>
      </c>
      <c r="B201" t="inlineStr">
        <is>
          <t>Bachelor of Music/Bachelor of Commerce</t>
        </is>
      </c>
      <c r="C201" t="inlineStr">
        <is>
          <t>Bachelor</t>
        </is>
      </c>
      <c r="D201" t="inlineStr">
        <is>
          <t>Undergraduate</t>
        </is>
      </c>
      <c r="E201" t="inlineStr">
        <is>
          <t>Page address no longer works</t>
        </is>
      </c>
      <c r="F201" t="inlineStr"/>
      <c r="G201" t="inlineStr">
        <is>
          <t>https://www.handbook.unsw.edu.au/undergraduate/programs/2026/3473</t>
        </is>
      </c>
      <c r="H201" t="inlineStr">
        <is>
          <t>Address no longer works</t>
        </is>
      </c>
      <c r="I201" t="inlineStr"/>
      <c r="J201" t="inlineStr"/>
      <c r="K201" t="inlineStr">
        <is>
          <t>Finished, no page: no address from the university's address forms or stored lis</t>
        </is>
      </c>
      <c r="L201" t="inlineStr">
        <is>
          <t>Page found, being read</t>
        </is>
      </c>
      <c r="M201" t="inlineStr">
        <is>
          <t>Page found, being read</t>
        </is>
      </c>
      <c r="N201" t="inlineStr"/>
      <c r="O201" t="n">
        <v>0</v>
      </c>
      <c r="P201" t="inlineStr"/>
      <c r="Q201" t="inlineStr">
        <is>
          <t>Filled</t>
        </is>
      </c>
      <c r="R201" t="n">
        <v>6</v>
      </c>
      <c r="S201" t="inlineStr">
        <is>
          <t>Central English policy</t>
        </is>
      </c>
      <c r="T201" t="inlineStr">
        <is>
          <t>Central rule applies (value agrees)</t>
        </is>
      </c>
      <c r="U201" t="inlineStr"/>
      <c r="V201" t="inlineStr">
        <is>
          <t>Page found, being read</t>
        </is>
      </c>
      <c r="W201" t="inlineStr"/>
      <c r="X201" t="inlineStr"/>
      <c r="Y201" t="n">
        <v>0</v>
      </c>
      <c r="Z201" t="inlineStr">
        <is>
          <t>Yes</t>
        </is>
      </c>
      <c r="AA201" t="inlineStr">
        <is>
          <t>Not stated on course page</t>
        </is>
      </c>
      <c r="AB201" t="inlineStr"/>
      <c r="AC201" t="inlineStr">
        <is>
          <t>Skipped: the page does not state it</t>
        </is>
      </c>
      <c r="AD201" t="n">
        <v>0</v>
      </c>
      <c r="AE201" t="inlineStr"/>
      <c r="AF201" t="inlineStr"/>
      <c r="AG201" t="inlineStr"/>
      <c r="AH201" t="inlineStr"/>
      <c r="AI201" t="inlineStr"/>
      <c r="AJ201" t="inlineStr"/>
      <c r="AK201" t="inlineStr"/>
      <c r="AL201" t="inlineStr"/>
      <c r="AM201" t="inlineStr"/>
    </row>
    <row r="202">
      <c r="A202" t="inlineStr">
        <is>
          <t>077758F</t>
        </is>
      </c>
      <c r="B202" t="inlineStr">
        <is>
          <t>Bachelor of Music/Bachelor of Education (Secondary)</t>
        </is>
      </c>
      <c r="C202" t="inlineStr">
        <is>
          <t>Bachelor</t>
        </is>
      </c>
      <c r="D202" t="inlineStr">
        <is>
          <t>Undergraduate</t>
        </is>
      </c>
      <c r="E202" t="inlineStr">
        <is>
          <t>Page address no longer works</t>
        </is>
      </c>
      <c r="F202" t="inlineStr"/>
      <c r="G202" t="inlineStr">
        <is>
          <t>https://www.handbook.unsw.edu.au/undergraduate/programs/2026/3470</t>
        </is>
      </c>
      <c r="H202" t="inlineStr">
        <is>
          <t>Address no longer works</t>
        </is>
      </c>
      <c r="I202" t="inlineStr"/>
      <c r="J202" t="inlineStr"/>
      <c r="K202" t="inlineStr">
        <is>
          <t>Finished, no page: no address from the university's address forms or stored lis</t>
        </is>
      </c>
      <c r="L202" t="inlineStr">
        <is>
          <t>Page found, being read</t>
        </is>
      </c>
      <c r="M202" t="inlineStr">
        <is>
          <t>Page found, being read</t>
        </is>
      </c>
      <c r="N202" t="inlineStr"/>
      <c r="O202" t="n">
        <v>0</v>
      </c>
      <c r="P202" t="inlineStr"/>
      <c r="Q202" t="inlineStr">
        <is>
          <t>Filled</t>
        </is>
      </c>
      <c r="R202" t="n">
        <v>6</v>
      </c>
      <c r="S202" t="inlineStr">
        <is>
          <t>Central English policy</t>
        </is>
      </c>
      <c r="T202" t="inlineStr">
        <is>
          <t>Central rule applies (value agrees)</t>
        </is>
      </c>
      <c r="U202" t="inlineStr"/>
      <c r="V202" t="inlineStr">
        <is>
          <t>Page found, being read</t>
        </is>
      </c>
      <c r="W202" t="inlineStr"/>
      <c r="X202" t="inlineStr"/>
      <c r="Y202" t="n">
        <v>0</v>
      </c>
      <c r="Z202" t="inlineStr">
        <is>
          <t>Yes</t>
        </is>
      </c>
      <c r="AA202" t="inlineStr">
        <is>
          <t>Not stated on course page</t>
        </is>
      </c>
      <c r="AB202" t="inlineStr"/>
      <c r="AC202" t="inlineStr">
        <is>
          <t>Skipped: the page does not state it</t>
        </is>
      </c>
      <c r="AD202" t="n">
        <v>0</v>
      </c>
      <c r="AE202" t="inlineStr"/>
      <c r="AF202" t="inlineStr"/>
      <c r="AG202" t="inlineStr"/>
      <c r="AH202" t="inlineStr"/>
      <c r="AI202" t="inlineStr"/>
      <c r="AJ202" t="inlineStr"/>
      <c r="AK202" t="inlineStr"/>
      <c r="AL202" t="inlineStr"/>
      <c r="AM202" t="inlineStr"/>
    </row>
    <row r="203">
      <c r="A203" t="inlineStr">
        <is>
          <t>082785E</t>
        </is>
      </c>
      <c r="B203" t="inlineStr">
        <is>
          <t>Bachelor of Music/Bachelor of Engineering (Honours)</t>
        </is>
      </c>
      <c r="C203" t="inlineStr">
        <is>
          <t>Bachelor Honours Degree</t>
        </is>
      </c>
      <c r="D203" t="inlineStr">
        <is>
          <t>Undergraduate</t>
        </is>
      </c>
      <c r="E203" t="inlineStr">
        <is>
          <t>Page address no longer works</t>
        </is>
      </c>
      <c r="F203" t="inlineStr"/>
      <c r="G203" t="inlineStr">
        <is>
          <t>https://www.handbook.unsw.edu.au/undergraduate/programs/2026/3769</t>
        </is>
      </c>
      <c r="H203" t="inlineStr">
        <is>
          <t>Address no longer works</t>
        </is>
      </c>
      <c r="I203" t="inlineStr"/>
      <c r="J203" t="inlineStr"/>
      <c r="K203" t="inlineStr">
        <is>
          <t>Not sent to re-link</t>
        </is>
      </c>
      <c r="L203" t="inlineStr">
        <is>
          <t>Page found, being read</t>
        </is>
      </c>
      <c r="M203" t="inlineStr">
        <is>
          <t>Page found, being read</t>
        </is>
      </c>
      <c r="N203" t="inlineStr"/>
      <c r="O203" t="n">
        <v>0</v>
      </c>
      <c r="P203" t="inlineStr"/>
      <c r="Q203" t="inlineStr">
        <is>
          <t>Filled</t>
        </is>
      </c>
      <c r="R203" t="n">
        <v>6</v>
      </c>
      <c r="S203" t="inlineStr">
        <is>
          <t>Central English policy</t>
        </is>
      </c>
      <c r="T203" t="inlineStr">
        <is>
          <t>Central rule applies (value agrees)</t>
        </is>
      </c>
      <c r="U203" t="inlineStr"/>
      <c r="V203" t="inlineStr">
        <is>
          <t>Page found, being read</t>
        </is>
      </c>
      <c r="W203" t="inlineStr"/>
      <c r="X203" t="inlineStr"/>
      <c r="Y203" t="n">
        <v>0</v>
      </c>
      <c r="Z203" t="inlineStr">
        <is>
          <t>Yes</t>
        </is>
      </c>
      <c r="AA203" t="inlineStr">
        <is>
          <t>Not stated on course page</t>
        </is>
      </c>
      <c r="AB203" t="inlineStr"/>
      <c r="AC203" t="inlineStr">
        <is>
          <t>Skipped: no allowed source had a value</t>
        </is>
      </c>
      <c r="AD203" t="n">
        <v>0</v>
      </c>
      <c r="AE203" t="inlineStr"/>
      <c r="AF203" t="inlineStr"/>
      <c r="AG203" t="inlineStr"/>
      <c r="AH203" t="inlineStr"/>
      <c r="AI203" t="inlineStr"/>
      <c r="AJ203" t="inlineStr"/>
      <c r="AK203" t="inlineStr"/>
      <c r="AL203" t="inlineStr"/>
      <c r="AM203" t="inlineStr"/>
    </row>
    <row r="204">
      <c r="A204" t="inlineStr">
        <is>
          <t>085128C</t>
        </is>
      </c>
      <c r="B204" t="inlineStr">
        <is>
          <t>Bachelor of Music/Bachelor of Laws</t>
        </is>
      </c>
      <c r="C204" t="inlineStr">
        <is>
          <t>Bachelor</t>
        </is>
      </c>
      <c r="D204" t="inlineStr">
        <is>
          <t>Undergraduate</t>
        </is>
      </c>
      <c r="E204" t="inlineStr">
        <is>
          <t>Page address no longer works</t>
        </is>
      </c>
      <c r="F204" t="inlineStr"/>
      <c r="G204" t="inlineStr">
        <is>
          <t>https://www.handbook.unsw.edu.au/undergraduate/programs/2026/4779</t>
        </is>
      </c>
      <c r="H204" t="inlineStr">
        <is>
          <t>Address no longer works</t>
        </is>
      </c>
      <c r="I204" t="inlineStr"/>
      <c r="J204" t="inlineStr"/>
      <c r="K204" t="inlineStr">
        <is>
          <t>Finished, no page: no address from the university's address forms or stored lis</t>
        </is>
      </c>
      <c r="L204" t="inlineStr">
        <is>
          <t>Page found, being read</t>
        </is>
      </c>
      <c r="M204" t="inlineStr">
        <is>
          <t>Page found, being read</t>
        </is>
      </c>
      <c r="N204" t="inlineStr"/>
      <c r="O204" t="n">
        <v>0</v>
      </c>
      <c r="P204" t="inlineStr"/>
      <c r="Q204" t="inlineStr">
        <is>
          <t>Filled</t>
        </is>
      </c>
      <c r="R204" t="n">
        <v>6</v>
      </c>
      <c r="S204" t="inlineStr">
        <is>
          <t>Central English policy</t>
        </is>
      </c>
      <c r="T204" t="inlineStr">
        <is>
          <t>Central rule applies (value agrees)</t>
        </is>
      </c>
      <c r="U204" t="inlineStr"/>
      <c r="V204" t="inlineStr">
        <is>
          <t>Page found, being read</t>
        </is>
      </c>
      <c r="W204" t="inlineStr"/>
      <c r="X204" t="inlineStr"/>
      <c r="Y204" t="n">
        <v>0</v>
      </c>
      <c r="Z204" t="inlineStr">
        <is>
          <t>Yes</t>
        </is>
      </c>
      <c r="AA204" t="inlineStr">
        <is>
          <t>Not stated on course page</t>
        </is>
      </c>
      <c r="AB204" t="inlineStr"/>
      <c r="AC204" t="inlineStr">
        <is>
          <t>Skipped: the page does not state it</t>
        </is>
      </c>
      <c r="AD204" t="n">
        <v>0</v>
      </c>
      <c r="AE204" t="inlineStr"/>
      <c r="AF204" t="inlineStr"/>
      <c r="AG204" t="inlineStr"/>
      <c r="AH204" t="inlineStr"/>
      <c r="AI204" t="inlineStr"/>
      <c r="AJ204" t="inlineStr"/>
      <c r="AK204" t="inlineStr"/>
      <c r="AL204" t="inlineStr"/>
      <c r="AM204" t="inlineStr"/>
    </row>
    <row r="205">
      <c r="A205" t="inlineStr">
        <is>
          <t>083247A</t>
        </is>
      </c>
      <c r="B205" t="inlineStr">
        <is>
          <t>Bachelor of Music/Bachelor of Media (Communication and Journalism)</t>
        </is>
      </c>
      <c r="C205" t="inlineStr">
        <is>
          <t>Bachelor</t>
        </is>
      </c>
      <c r="D205" t="inlineStr">
        <is>
          <t>Undergraduate</t>
        </is>
      </c>
      <c r="E205" t="inlineStr">
        <is>
          <t>Page address no longer works</t>
        </is>
      </c>
      <c r="F205" t="inlineStr"/>
      <c r="G205" t="inlineStr">
        <is>
          <t>https://www.handbook.unsw.edu.au/undergraduate/programs/2026/3455</t>
        </is>
      </c>
      <c r="H205" t="inlineStr">
        <is>
          <t>Address no longer works</t>
        </is>
      </c>
      <c r="I205" t="inlineStr"/>
      <c r="J205" t="inlineStr"/>
      <c r="K205" t="inlineStr">
        <is>
          <t>Finished, no page: no address from the university's address forms or stored lis</t>
        </is>
      </c>
      <c r="L205" t="inlineStr">
        <is>
          <t>Page found, being read</t>
        </is>
      </c>
      <c r="M205" t="inlineStr">
        <is>
          <t>Page found, being read</t>
        </is>
      </c>
      <c r="N205" t="inlineStr"/>
      <c r="O205" t="n">
        <v>0</v>
      </c>
      <c r="P205" t="inlineStr"/>
      <c r="Q205" t="inlineStr">
        <is>
          <t>Filled</t>
        </is>
      </c>
      <c r="R205" t="n">
        <v>6</v>
      </c>
      <c r="S205" t="inlineStr">
        <is>
          <t>Central English policy</t>
        </is>
      </c>
      <c r="T205" t="inlineStr">
        <is>
          <t>Central rule applies (value agrees)</t>
        </is>
      </c>
      <c r="U205" t="inlineStr"/>
      <c r="V205" t="inlineStr">
        <is>
          <t>Page found, being read</t>
        </is>
      </c>
      <c r="W205" t="inlineStr"/>
      <c r="X205" t="inlineStr"/>
      <c r="Y205" t="n">
        <v>0</v>
      </c>
      <c r="Z205" t="inlineStr">
        <is>
          <t>Yes</t>
        </is>
      </c>
      <c r="AA205" t="inlineStr">
        <is>
          <t>Not stated on course page</t>
        </is>
      </c>
      <c r="AB205" t="inlineStr"/>
      <c r="AC205" t="inlineStr">
        <is>
          <t>Skipped: the page does not state it</t>
        </is>
      </c>
      <c r="AD205" t="n">
        <v>0</v>
      </c>
      <c r="AE205" t="inlineStr"/>
      <c r="AF205" t="inlineStr"/>
      <c r="AG205" t="inlineStr"/>
      <c r="AH205" t="inlineStr"/>
      <c r="AI205" t="inlineStr"/>
      <c r="AJ205" t="inlineStr"/>
      <c r="AK205" t="inlineStr"/>
      <c r="AL205" t="inlineStr"/>
      <c r="AM205" t="inlineStr"/>
    </row>
    <row r="206">
      <c r="A206" t="inlineStr">
        <is>
          <t>083231J</t>
        </is>
      </c>
      <c r="B206" t="inlineStr">
        <is>
          <t>Bachelor of Music/Bachelor of Media (Public Relations and Advertising)</t>
        </is>
      </c>
      <c r="C206" t="inlineStr">
        <is>
          <t>Bachelor</t>
        </is>
      </c>
      <c r="D206" t="inlineStr">
        <is>
          <t>Undergraduate</t>
        </is>
      </c>
      <c r="E206" t="inlineStr">
        <is>
          <t>Page address no longer works</t>
        </is>
      </c>
      <c r="F206" t="inlineStr"/>
      <c r="G206" t="inlineStr">
        <is>
          <t>https://www.handbook.unsw.edu.au/undergraduate/programs/2026/3578</t>
        </is>
      </c>
      <c r="H206" t="inlineStr">
        <is>
          <t>Address no longer works</t>
        </is>
      </c>
      <c r="I206" t="inlineStr"/>
      <c r="J206" t="inlineStr"/>
      <c r="K206" t="inlineStr">
        <is>
          <t>Finished, no page: no address from the university's address forms or stored lis</t>
        </is>
      </c>
      <c r="L206" t="inlineStr">
        <is>
          <t>Page found, being read</t>
        </is>
      </c>
      <c r="M206" t="inlineStr">
        <is>
          <t>Page found, being read</t>
        </is>
      </c>
      <c r="N206" t="inlineStr"/>
      <c r="O206" t="n">
        <v>0</v>
      </c>
      <c r="P206" t="inlineStr"/>
      <c r="Q206" t="inlineStr">
        <is>
          <t>Filled</t>
        </is>
      </c>
      <c r="R206" t="n">
        <v>6</v>
      </c>
      <c r="S206" t="inlineStr">
        <is>
          <t>Central English policy</t>
        </is>
      </c>
      <c r="T206" t="inlineStr">
        <is>
          <t>Central rule applies (value agrees)</t>
        </is>
      </c>
      <c r="U206" t="inlineStr"/>
      <c r="V206" t="inlineStr">
        <is>
          <t>Page found, being read</t>
        </is>
      </c>
      <c r="W206" t="inlineStr"/>
      <c r="X206" t="inlineStr"/>
      <c r="Y206" t="n">
        <v>0</v>
      </c>
      <c r="Z206" t="inlineStr">
        <is>
          <t>Yes</t>
        </is>
      </c>
      <c r="AA206" t="inlineStr">
        <is>
          <t>Not stated on course page</t>
        </is>
      </c>
      <c r="AB206" t="inlineStr"/>
      <c r="AC206" t="inlineStr">
        <is>
          <t>Skipped: the page does not state it</t>
        </is>
      </c>
      <c r="AD206" t="n">
        <v>0</v>
      </c>
      <c r="AE206" t="inlineStr"/>
      <c r="AF206" t="inlineStr"/>
      <c r="AG206" t="inlineStr"/>
      <c r="AH206" t="inlineStr"/>
      <c r="AI206" t="inlineStr"/>
      <c r="AJ206" t="inlineStr"/>
      <c r="AK206" t="inlineStr"/>
      <c r="AL206" t="inlineStr"/>
      <c r="AM206" t="inlineStr"/>
    </row>
    <row r="207">
      <c r="A207" t="inlineStr">
        <is>
          <t>083239A</t>
        </is>
      </c>
      <c r="B207" t="inlineStr">
        <is>
          <t>Bachelor of Music/Bachelor of Media (Screen and Sound Production)</t>
        </is>
      </c>
      <c r="C207" t="inlineStr">
        <is>
          <t>Bachelor</t>
        </is>
      </c>
      <c r="D207" t="inlineStr">
        <is>
          <t>Undergraduate</t>
        </is>
      </c>
      <c r="E207" t="inlineStr">
        <is>
          <t>Page address no longer works</t>
        </is>
      </c>
      <c r="F207" t="inlineStr"/>
      <c r="G207" t="inlineStr">
        <is>
          <t>https://www.handbook.unsw.edu.au/undergraduate/programs/2026/3468</t>
        </is>
      </c>
      <c r="H207" t="inlineStr">
        <is>
          <t>Address no longer works</t>
        </is>
      </c>
      <c r="I207" t="inlineStr"/>
      <c r="J207" t="inlineStr"/>
      <c r="K207" t="inlineStr">
        <is>
          <t>Not sent to re-link</t>
        </is>
      </c>
      <c r="L207" t="inlineStr">
        <is>
          <t>Page found, being read</t>
        </is>
      </c>
      <c r="M207" t="inlineStr">
        <is>
          <t>Page found, being read</t>
        </is>
      </c>
      <c r="N207" t="inlineStr"/>
      <c r="O207" t="n">
        <v>0</v>
      </c>
      <c r="P207" t="inlineStr"/>
      <c r="Q207" t="inlineStr">
        <is>
          <t>Filled</t>
        </is>
      </c>
      <c r="R207" t="n">
        <v>6</v>
      </c>
      <c r="S207" t="inlineStr">
        <is>
          <t>Central English policy</t>
        </is>
      </c>
      <c r="T207" t="inlineStr">
        <is>
          <t>Central rule applies (value agrees)</t>
        </is>
      </c>
      <c r="U207" t="inlineStr"/>
      <c r="V207" t="inlineStr">
        <is>
          <t>Page found, being read</t>
        </is>
      </c>
      <c r="W207" t="inlineStr"/>
      <c r="X207" t="inlineStr"/>
      <c r="Y207" t="n">
        <v>0</v>
      </c>
      <c r="Z207" t="inlineStr">
        <is>
          <t>Yes</t>
        </is>
      </c>
      <c r="AA207" t="inlineStr">
        <is>
          <t>Not stated on course page</t>
        </is>
      </c>
      <c r="AB207" t="inlineStr"/>
      <c r="AC207" t="inlineStr">
        <is>
          <t>Skipped: no allowed source had a value</t>
        </is>
      </c>
      <c r="AD207" t="n">
        <v>0</v>
      </c>
      <c r="AE207" t="inlineStr"/>
      <c r="AF207" t="inlineStr"/>
      <c r="AG207" t="inlineStr"/>
      <c r="AH207" t="inlineStr"/>
      <c r="AI207" t="inlineStr"/>
      <c r="AJ207" t="inlineStr"/>
      <c r="AK207" t="inlineStr"/>
      <c r="AL207" t="inlineStr"/>
      <c r="AM207" t="inlineStr"/>
    </row>
    <row r="208">
      <c r="A208" t="inlineStr">
        <is>
          <t>078545M</t>
        </is>
      </c>
      <c r="B208" t="inlineStr">
        <is>
          <t>Bachelor of Music/Bachelor of Science</t>
        </is>
      </c>
      <c r="C208" t="inlineStr">
        <is>
          <t>Bachelor</t>
        </is>
      </c>
      <c r="D208" t="inlineStr">
        <is>
          <t>Undergraduate</t>
        </is>
      </c>
      <c r="E208" t="inlineStr">
        <is>
          <t>Page address no longer works</t>
        </is>
      </c>
      <c r="F208" t="inlineStr"/>
      <c r="G208" t="inlineStr">
        <is>
          <t>https://www.handbook.unsw.edu.au/undergraduate/programs/2026/3471</t>
        </is>
      </c>
      <c r="H208" t="inlineStr">
        <is>
          <t>Address no longer works</t>
        </is>
      </c>
      <c r="I208" t="inlineStr"/>
      <c r="J208" t="inlineStr"/>
      <c r="K208" t="inlineStr">
        <is>
          <t>Finished, no page: no address from the university's address forms or stored lis</t>
        </is>
      </c>
      <c r="L208" t="inlineStr">
        <is>
          <t>Page found, being read</t>
        </is>
      </c>
      <c r="M208" t="inlineStr">
        <is>
          <t>Page found, being read</t>
        </is>
      </c>
      <c r="N208" t="inlineStr"/>
      <c r="O208" t="n">
        <v>0</v>
      </c>
      <c r="P208" t="inlineStr"/>
      <c r="Q208" t="inlineStr">
        <is>
          <t>Filled</t>
        </is>
      </c>
      <c r="R208" t="n">
        <v>6</v>
      </c>
      <c r="S208" t="inlineStr">
        <is>
          <t>Central English policy</t>
        </is>
      </c>
      <c r="T208" t="inlineStr">
        <is>
          <t>Central rule applies (value agrees)</t>
        </is>
      </c>
      <c r="U208" t="inlineStr"/>
      <c r="V208" t="inlineStr">
        <is>
          <t>Page found, being read</t>
        </is>
      </c>
      <c r="W208" t="inlineStr"/>
      <c r="X208" t="inlineStr"/>
      <c r="Y208" t="n">
        <v>0</v>
      </c>
      <c r="Z208" t="inlineStr">
        <is>
          <t>Yes</t>
        </is>
      </c>
      <c r="AA208" t="inlineStr">
        <is>
          <t>Not stated on course page</t>
        </is>
      </c>
      <c r="AB208" t="inlineStr"/>
      <c r="AC208" t="inlineStr">
        <is>
          <t>Skipped: the page does not state it</t>
        </is>
      </c>
      <c r="AD208" t="n">
        <v>0</v>
      </c>
      <c r="AE208" t="inlineStr"/>
      <c r="AF208" t="inlineStr"/>
      <c r="AG208" t="inlineStr"/>
      <c r="AH208" t="inlineStr"/>
      <c r="AI208" t="inlineStr"/>
      <c r="AJ208" t="inlineStr"/>
      <c r="AK208" t="inlineStr"/>
      <c r="AL208" t="inlineStr"/>
      <c r="AM208" t="inlineStr"/>
    </row>
    <row r="209">
      <c r="A209" t="inlineStr">
        <is>
          <t>088847C</t>
        </is>
      </c>
      <c r="B209" t="inlineStr">
        <is>
          <t>Bachelor of Nanoscience (Honours)</t>
        </is>
      </c>
      <c r="C209" t="inlineStr">
        <is>
          <t>Bachelor Honours Degree</t>
        </is>
      </c>
      <c r="D209" t="inlineStr">
        <is>
          <t>Undergraduate</t>
        </is>
      </c>
      <c r="E209" t="inlineStr">
        <is>
          <t>Held: page found is for another course</t>
        </is>
      </c>
      <c r="F209" t="inlineStr"/>
      <c r="G209" t="inlineStr">
        <is>
          <t>https://www.unsw.edu.au/study/undergraduate/bachelor-of-advanced-science-honours</t>
        </is>
      </c>
      <c r="H209" t="inlineStr">
        <is>
          <t>Page is for another course</t>
        </is>
      </c>
      <c r="I209" t="inlineStr"/>
      <c r="J209" t="inlineStr"/>
      <c r="K209" t="inlineStr">
        <is>
          <t>Finished, no page: no address from the university's address forms or stored lis</t>
        </is>
      </c>
      <c r="L209" t="inlineStr">
        <is>
          <t>Searching for course page</t>
        </is>
      </c>
      <c r="M209" t="inlineStr">
        <is>
          <t>Searching for course page</t>
        </is>
      </c>
      <c r="N209" t="inlineStr"/>
      <c r="O209" t="n">
        <v>0</v>
      </c>
      <c r="P209" t="inlineStr"/>
      <c r="Q209" t="inlineStr">
        <is>
          <t>Filled</t>
        </is>
      </c>
      <c r="R209" t="n">
        <v>6</v>
      </c>
      <c r="S209" t="inlineStr">
        <is>
          <t>Central English policy</t>
        </is>
      </c>
      <c r="T209" t="inlineStr">
        <is>
          <t>Central rule applies (value agrees)</t>
        </is>
      </c>
      <c r="U209" t="inlineStr"/>
      <c r="V209" t="inlineStr">
        <is>
          <t>Searching for course page</t>
        </is>
      </c>
      <c r="W209" t="inlineStr"/>
      <c r="X209" t="inlineStr"/>
      <c r="Y209" t="n">
        <v>0</v>
      </c>
      <c r="Z209" t="inlineStr">
        <is>
          <t>Yes</t>
        </is>
      </c>
      <c r="AA209" t="inlineStr">
        <is>
          <t>Not stated on course page</t>
        </is>
      </c>
      <c r="AB209" t="inlineStr"/>
      <c r="AC209" t="inlineStr">
        <is>
          <t>Skipped: no correct course page: the page found is for another course</t>
        </is>
      </c>
      <c r="AD209" t="n">
        <v>1</v>
      </c>
      <c r="AE209" t="inlineStr"/>
      <c r="AF209" t="inlineStr"/>
      <c r="AG209" t="inlineStr"/>
      <c r="AH209" t="inlineStr"/>
      <c r="AI209" t="inlineStr"/>
      <c r="AJ209" t="inlineStr"/>
      <c r="AK209" t="inlineStr"/>
      <c r="AL209" t="inlineStr"/>
      <c r="AM209" t="inlineStr"/>
    </row>
    <row r="210">
      <c r="A210" t="inlineStr">
        <is>
          <t>109397B</t>
        </is>
      </c>
      <c r="B210" t="inlineStr">
        <is>
          <t>Bachelor of Nutrition / Master of Dietetics and Food Innovation</t>
        </is>
      </c>
      <c r="C210" t="inlineStr">
        <is>
          <t>Masters Degree (Coursework)</t>
        </is>
      </c>
      <c r="D210" t="inlineStr">
        <is>
          <t>Postgraduate coursework</t>
        </is>
      </c>
      <c r="E210" t="inlineStr">
        <is>
          <t>Advertised: official page in place</t>
        </is>
      </c>
      <c r="F210" t="inlineStr">
        <is>
          <t>https://www.unsw.edu.au/study/undergraduate/bachelor-of-nutrition-master-of-dietetics-and-food-innovation</t>
        </is>
      </c>
      <c r="G210" t="inlineStr">
        <is>
          <t>https://www.unsw.edu.au/study/undergraduate/bachelor-of-nutrition-master-of-dietetics-and-food-innovation</t>
        </is>
      </c>
      <c r="H210" t="inlineStr">
        <is>
          <t>Read</t>
        </is>
      </c>
      <c r="I210" t="inlineStr">
        <is>
          <t>CRICOS code on page</t>
        </is>
      </c>
      <c r="J210" t="inlineStr"/>
      <c r="K210" t="inlineStr">
        <is>
          <t>Not sent to re-link</t>
        </is>
      </c>
      <c r="L210" t="inlineStr">
        <is>
          <t>Filled</t>
        </is>
      </c>
      <c r="M210" t="inlineStr">
        <is>
          <t>Filled</t>
        </is>
      </c>
      <c r="N210" t="inlineStr">
        <is>
          <t>63000.00 2026</t>
        </is>
      </c>
      <c r="O210" t="n">
        <v>0</v>
      </c>
      <c r="P210" t="inlineStr">
        <is>
          <t>University adapter</t>
        </is>
      </c>
      <c r="Q210" t="inlineStr">
        <is>
          <t>Not stated on course page</t>
        </is>
      </c>
      <c r="S210" t="inlineStr"/>
      <c r="T210" t="inlineStr">
        <is>
          <t>Held: double degree (its parts are at different levels)</t>
        </is>
      </c>
      <c r="U210" t="inlineStr"/>
      <c r="V210" t="inlineStr">
        <is>
          <t>Filled</t>
        </is>
      </c>
      <c r="W210" t="inlineStr">
        <is>
          <t>February</t>
        </is>
      </c>
      <c r="X210" t="inlineStr">
        <is>
          <t>University adapter</t>
        </is>
      </c>
      <c r="Y210" t="n">
        <v>0</v>
      </c>
      <c r="Z210" t="inlineStr">
        <is>
          <t>No</t>
        </is>
      </c>
      <c r="AA210" t="inlineStr">
        <is>
          <t>Filled</t>
        </is>
      </c>
      <c r="AB210" t="inlineStr">
        <is>
          <t>on campus</t>
        </is>
      </c>
      <c r="AC210" t="inlineStr"/>
      <c r="AD210" t="n">
        <v>0</v>
      </c>
      <c r="AE210" t="inlineStr"/>
      <c r="AF210" t="inlineStr"/>
      <c r="AG210" t="inlineStr"/>
      <c r="AH210" t="inlineStr"/>
      <c r="AI210" t="inlineStr"/>
      <c r="AJ210" t="inlineStr">
        <is>
          <t>Yes</t>
        </is>
      </c>
      <c r="AK210" t="inlineStr"/>
      <c r="AL210" t="inlineStr"/>
      <c r="AM210" t="inlineStr"/>
    </row>
    <row r="211">
      <c r="A211" t="inlineStr">
        <is>
          <t>121398M</t>
        </is>
      </c>
      <c r="B211" t="inlineStr">
        <is>
          <t>Bachelor of Pharmaceutical Medicine / Doctor of Pharmacy</t>
        </is>
      </c>
      <c r="C211" t="inlineStr">
        <is>
          <t>Masters Degree (Extended)</t>
        </is>
      </c>
      <c r="D211" t="inlineStr">
        <is>
          <t>Postgraduate coursework</t>
        </is>
      </c>
      <c r="E211" t="inlineStr">
        <is>
          <t>Advertised: official page in place</t>
        </is>
      </c>
      <c r="F211" t="inlineStr">
        <is>
          <t>https://www.unsw.edu.au/study/undergraduate/bachelor-of-pharmaceutical-medicine-doctor-of-pharmacy</t>
        </is>
      </c>
      <c r="G211" t="inlineStr">
        <is>
          <t>https://www.unsw.edu.au/study/undergraduate/bachelor-of-pharmaceutical-medicine-doctor-of-pharmacy</t>
        </is>
      </c>
      <c r="H211" t="inlineStr">
        <is>
          <t>Read</t>
        </is>
      </c>
      <c r="I211" t="inlineStr">
        <is>
          <t>CRICOS code on page</t>
        </is>
      </c>
      <c r="J211" t="inlineStr"/>
      <c r="K211" t="inlineStr">
        <is>
          <t>Not sent to re-link</t>
        </is>
      </c>
      <c r="L211" t="inlineStr">
        <is>
          <t>Filled</t>
        </is>
      </c>
      <c r="M211" t="inlineStr">
        <is>
          <t>Filled</t>
        </is>
      </c>
      <c r="N211" t="inlineStr">
        <is>
          <t>63000.00 2026</t>
        </is>
      </c>
      <c r="O211" t="n">
        <v>0</v>
      </c>
      <c r="P211" t="inlineStr">
        <is>
          <t>University adapter</t>
        </is>
      </c>
      <c r="Q211" t="inlineStr">
        <is>
          <t>Not stated on course page</t>
        </is>
      </c>
      <c r="S211" t="inlineStr"/>
      <c r="T211" t="inlineStr">
        <is>
          <t>Held: double degree (its parts are at different levels)</t>
        </is>
      </c>
      <c r="U211" t="inlineStr"/>
      <c r="V211" t="inlineStr">
        <is>
          <t>Filled</t>
        </is>
      </c>
      <c r="W211" t="inlineStr">
        <is>
          <t>February</t>
        </is>
      </c>
      <c r="X211" t="inlineStr">
        <is>
          <t>University adapter</t>
        </is>
      </c>
      <c r="Y211" t="n">
        <v>0</v>
      </c>
      <c r="Z211" t="inlineStr">
        <is>
          <t>No</t>
        </is>
      </c>
      <c r="AA211" t="inlineStr">
        <is>
          <t>Filled</t>
        </is>
      </c>
      <c r="AB211" t="inlineStr">
        <is>
          <t>on campus</t>
        </is>
      </c>
      <c r="AC211" t="inlineStr"/>
      <c r="AD211" t="n">
        <v>0</v>
      </c>
      <c r="AE211" t="inlineStr"/>
      <c r="AF211" t="inlineStr"/>
      <c r="AG211" t="inlineStr"/>
      <c r="AH211" t="inlineStr"/>
      <c r="AI211" t="inlineStr"/>
      <c r="AJ211" t="inlineStr">
        <is>
          <t>Yes</t>
        </is>
      </c>
      <c r="AK211" t="inlineStr"/>
      <c r="AL211" t="inlineStr"/>
      <c r="AM211" t="inlineStr"/>
    </row>
    <row r="212">
      <c r="A212" t="inlineStr">
        <is>
          <t>109398A</t>
        </is>
      </c>
      <c r="B212" t="inlineStr">
        <is>
          <t>Bachelor of Pharmaceutical Medicine / Master of Pharmacy</t>
        </is>
      </c>
      <c r="C212" t="inlineStr">
        <is>
          <t>Masters Degree (Coursework)</t>
        </is>
      </c>
      <c r="D212" t="inlineStr">
        <is>
          <t>Postgraduate coursework</t>
        </is>
      </c>
      <c r="E212" t="inlineStr">
        <is>
          <t>Advertised: official page in place</t>
        </is>
      </c>
      <c r="F212" t="inlineStr">
        <is>
          <t>https://www.handbook.unsw.edu.au/undergraduate/programs/2026/3895</t>
        </is>
      </c>
      <c r="G212" t="inlineStr">
        <is>
          <t>https://www.handbook.unsw.edu.au/undergraduate/programs/2026/3895</t>
        </is>
      </c>
      <c r="H212" t="inlineStr">
        <is>
          <t>Read</t>
        </is>
      </c>
      <c r="I212" t="inlineStr">
        <is>
          <t>CRICOS code on page</t>
        </is>
      </c>
      <c r="J212" t="inlineStr"/>
      <c r="K212" t="inlineStr">
        <is>
          <t>Not sent to re-link</t>
        </is>
      </c>
      <c r="L212" t="inlineStr">
        <is>
          <t>Filled</t>
        </is>
      </c>
      <c r="M212" t="inlineStr">
        <is>
          <t>Not stated on course page</t>
        </is>
      </c>
      <c r="N212" t="inlineStr"/>
      <c r="O212" t="n">
        <v>0</v>
      </c>
      <c r="P212" t="inlineStr"/>
      <c r="Q212" t="inlineStr">
        <is>
          <t>Not stated on course page</t>
        </is>
      </c>
      <c r="S212" t="inlineStr"/>
      <c r="T212" t="inlineStr">
        <is>
          <t>Held: double degree (its parts are at different levels)</t>
        </is>
      </c>
      <c r="U212" t="inlineStr"/>
      <c r="V212" t="inlineStr">
        <is>
          <t>Filled</t>
        </is>
      </c>
      <c r="W212" t="inlineStr">
        <is>
          <t>February</t>
        </is>
      </c>
      <c r="X212" t="inlineStr">
        <is>
          <t>University adapter</t>
        </is>
      </c>
      <c r="Y212" t="n">
        <v>0</v>
      </c>
      <c r="Z212" t="inlineStr">
        <is>
          <t>No</t>
        </is>
      </c>
      <c r="AA212" t="inlineStr">
        <is>
          <t>Filled</t>
        </is>
      </c>
      <c r="AB212" t="inlineStr">
        <is>
          <t>on campus</t>
        </is>
      </c>
      <c r="AC212" t="inlineStr"/>
      <c r="AD212" t="n">
        <v>0</v>
      </c>
      <c r="AE212" t="inlineStr"/>
      <c r="AF212" t="inlineStr"/>
      <c r="AG212" t="inlineStr"/>
      <c r="AH212" t="inlineStr"/>
      <c r="AI212" t="inlineStr"/>
      <c r="AJ212" t="inlineStr">
        <is>
          <t>Yes</t>
        </is>
      </c>
      <c r="AK212" t="inlineStr"/>
      <c r="AL212" t="inlineStr"/>
      <c r="AM212" t="inlineStr"/>
    </row>
    <row r="213">
      <c r="A213" t="inlineStr">
        <is>
          <t>098376B</t>
        </is>
      </c>
      <c r="B213" t="inlineStr">
        <is>
          <t>Bachelor of Politics, Philosophy and Economics</t>
        </is>
      </c>
      <c r="C213" t="inlineStr">
        <is>
          <t>Bachelor</t>
        </is>
      </c>
      <c r="D213" t="inlineStr">
        <is>
          <t>Undergraduate</t>
        </is>
      </c>
      <c r="E213" t="inlineStr">
        <is>
          <t>Advertised: official page in place</t>
        </is>
      </c>
      <c r="F213" t="inlineStr">
        <is>
          <t>https://www.unsw.edu.au/study/undergraduate/bachelor-of-politics-philosophy-and-economics</t>
        </is>
      </c>
      <c r="G213" t="inlineStr">
        <is>
          <t>https://www.unsw.edu.au/study/undergraduate/bachelor-of-politics-philosophy-and-economics</t>
        </is>
      </c>
      <c r="H213" t="inlineStr">
        <is>
          <t>Read</t>
        </is>
      </c>
      <c r="I213" t="inlineStr">
        <is>
          <t>CRICOS code on page</t>
        </is>
      </c>
      <c r="J213" t="inlineStr"/>
      <c r="K213" t="inlineStr">
        <is>
          <t>Not sent to re-link</t>
        </is>
      </c>
      <c r="L213" t="inlineStr">
        <is>
          <t>Filled</t>
        </is>
      </c>
      <c r="M213" t="inlineStr">
        <is>
          <t>Filled</t>
        </is>
      </c>
      <c r="N213" t="inlineStr">
        <is>
          <t>51000.00 2026</t>
        </is>
      </c>
      <c r="O213" t="n">
        <v>0</v>
      </c>
      <c r="P213" t="inlineStr">
        <is>
          <t>University adapter</t>
        </is>
      </c>
      <c r="Q213" t="inlineStr">
        <is>
          <t>Filled</t>
        </is>
      </c>
      <c r="R213" t="n">
        <v>6</v>
      </c>
      <c r="S213" t="inlineStr">
        <is>
          <t>Central English policy</t>
        </is>
      </c>
      <c r="T213" t="inlineStr">
        <is>
          <t>Central rule applies (value agrees)</t>
        </is>
      </c>
      <c r="U213" t="inlineStr"/>
      <c r="V213" t="inlineStr">
        <is>
          <t>Filled</t>
        </is>
      </c>
      <c r="W213" t="inlineStr">
        <is>
          <t>February, September</t>
        </is>
      </c>
      <c r="X213" t="inlineStr">
        <is>
          <t>University adapter</t>
        </is>
      </c>
      <c r="Y213" t="n">
        <v>0</v>
      </c>
      <c r="Z213" t="inlineStr">
        <is>
          <t>Yes</t>
        </is>
      </c>
      <c r="AA213" t="inlineStr">
        <is>
          <t>Filled</t>
        </is>
      </c>
      <c r="AB213" t="inlineStr">
        <is>
          <t>on campus</t>
        </is>
      </c>
      <c r="AC213" t="inlineStr"/>
      <c r="AD213" t="n">
        <v>0</v>
      </c>
      <c r="AE213" t="inlineStr"/>
      <c r="AF213" t="inlineStr"/>
      <c r="AG213" t="inlineStr"/>
      <c r="AH213" t="inlineStr"/>
      <c r="AI213" t="inlineStr"/>
      <c r="AJ213" t="inlineStr"/>
      <c r="AK213" t="inlineStr"/>
      <c r="AL213" t="inlineStr"/>
      <c r="AM213" t="inlineStr"/>
    </row>
    <row r="214">
      <c r="A214" t="inlineStr">
        <is>
          <t>099869F</t>
        </is>
      </c>
      <c r="B214" t="inlineStr">
        <is>
          <t>Bachelor of Politics, Philosophy and Economics/Bachelor of Laws</t>
        </is>
      </c>
      <c r="C214" t="inlineStr">
        <is>
          <t>Bachelor</t>
        </is>
      </c>
      <c r="D214" t="inlineStr">
        <is>
          <t>Undergraduate</t>
        </is>
      </c>
      <c r="E214" t="inlineStr">
        <is>
          <t>Advertised: official page in place</t>
        </is>
      </c>
      <c r="F214" t="inlineStr">
        <is>
          <t>https://www.unsw.edu.au/study/undergraduate/bachelor-of-politics-philosophy-and-economics-law</t>
        </is>
      </c>
      <c r="G214" t="inlineStr">
        <is>
          <t>https://www.unsw.edu.au/study/undergraduate/bachelor-of-politics-philosophy-and-economics-law</t>
        </is>
      </c>
      <c r="H214" t="inlineStr">
        <is>
          <t>Read</t>
        </is>
      </c>
      <c r="I214" t="inlineStr">
        <is>
          <t>CRICOS code on page</t>
        </is>
      </c>
      <c r="J214" t="inlineStr"/>
      <c r="K214" t="inlineStr">
        <is>
          <t>Not sent to re-link</t>
        </is>
      </c>
      <c r="L214" t="inlineStr">
        <is>
          <t>Filled</t>
        </is>
      </c>
      <c r="M214" t="inlineStr">
        <is>
          <t>Filled</t>
        </is>
      </c>
      <c r="N214" t="inlineStr">
        <is>
          <t>53000.00 2026</t>
        </is>
      </c>
      <c r="O214" t="n">
        <v>0</v>
      </c>
      <c r="P214" t="inlineStr">
        <is>
          <t>University adapter</t>
        </is>
      </c>
      <c r="Q214" t="inlineStr">
        <is>
          <t>Filled</t>
        </is>
      </c>
      <c r="R214" t="n">
        <v>6</v>
      </c>
      <c r="S214" t="inlineStr">
        <is>
          <t>Central English policy</t>
        </is>
      </c>
      <c r="T214" t="inlineStr">
        <is>
          <t>Central rule applies (value agrees)</t>
        </is>
      </c>
      <c r="U214" t="inlineStr"/>
      <c r="V214" t="inlineStr">
        <is>
          <t>Filled</t>
        </is>
      </c>
      <c r="W214" t="inlineStr">
        <is>
          <t>February</t>
        </is>
      </c>
      <c r="X214" t="inlineStr">
        <is>
          <t>University adapter</t>
        </is>
      </c>
      <c r="Y214" t="n">
        <v>0</v>
      </c>
      <c r="Z214" t="inlineStr">
        <is>
          <t>Yes</t>
        </is>
      </c>
      <c r="AA214" t="inlineStr">
        <is>
          <t>Filled</t>
        </is>
      </c>
      <c r="AB214" t="inlineStr">
        <is>
          <t>on campus</t>
        </is>
      </c>
      <c r="AC214" t="inlineStr"/>
      <c r="AD214" t="n">
        <v>0</v>
      </c>
      <c r="AE214" t="inlineStr"/>
      <c r="AF214" t="inlineStr"/>
      <c r="AG214" t="inlineStr"/>
      <c r="AH214" t="inlineStr"/>
      <c r="AI214" t="inlineStr"/>
      <c r="AJ214" t="inlineStr"/>
      <c r="AK214" t="inlineStr"/>
      <c r="AL214" t="inlineStr"/>
      <c r="AM214" t="inlineStr"/>
    </row>
    <row r="215">
      <c r="A215" t="inlineStr">
        <is>
          <t>072206A</t>
        </is>
      </c>
      <c r="B215" t="inlineStr">
        <is>
          <t>Bachelor of Psychological Science</t>
        </is>
      </c>
      <c r="C215" t="inlineStr">
        <is>
          <t>Bachelor</t>
        </is>
      </c>
      <c r="D215" t="inlineStr">
        <is>
          <t>Undergraduate</t>
        </is>
      </c>
      <c r="E215" t="inlineStr">
        <is>
          <t>Advertised: official page in place</t>
        </is>
      </c>
      <c r="F215" t="inlineStr">
        <is>
          <t>https://www.unsw.edu.au/study/undergraduate/bachelor-of-psychological-science</t>
        </is>
      </c>
      <c r="G215" t="inlineStr">
        <is>
          <t>https://www.unsw.edu.au/study/undergraduate/bachelor-of-psychological-science</t>
        </is>
      </c>
      <c r="H215" t="inlineStr">
        <is>
          <t>Read</t>
        </is>
      </c>
      <c r="I215" t="inlineStr">
        <is>
          <t>CRICOS code on page</t>
        </is>
      </c>
      <c r="J215" t="inlineStr"/>
      <c r="K215" t="inlineStr">
        <is>
          <t>Not sent to re-link</t>
        </is>
      </c>
      <c r="L215" t="inlineStr">
        <is>
          <t>Filled</t>
        </is>
      </c>
      <c r="M215" t="inlineStr">
        <is>
          <t>Filled</t>
        </is>
      </c>
      <c r="N215" t="inlineStr">
        <is>
          <t>58500.00 2026</t>
        </is>
      </c>
      <c r="O215" t="n">
        <v>0</v>
      </c>
      <c r="P215" t="inlineStr">
        <is>
          <t>University adapter</t>
        </is>
      </c>
      <c r="Q215" t="inlineStr">
        <is>
          <t>Filled</t>
        </is>
      </c>
      <c r="R215" t="n">
        <v>6</v>
      </c>
      <c r="S215" t="inlineStr">
        <is>
          <t>Central English policy</t>
        </is>
      </c>
      <c r="T215" t="inlineStr">
        <is>
          <t>Central rule applies (value agrees)</t>
        </is>
      </c>
      <c r="U215" t="inlineStr"/>
      <c r="V215" t="inlineStr">
        <is>
          <t>Filled</t>
        </is>
      </c>
      <c r="W215" t="inlineStr">
        <is>
          <t>February, September</t>
        </is>
      </c>
      <c r="X215" t="inlineStr">
        <is>
          <t>University adapter</t>
        </is>
      </c>
      <c r="Y215" t="n">
        <v>0</v>
      </c>
      <c r="Z215" t="inlineStr">
        <is>
          <t>Yes</t>
        </is>
      </c>
      <c r="AA215" t="inlineStr">
        <is>
          <t>Filled</t>
        </is>
      </c>
      <c r="AB215" t="inlineStr">
        <is>
          <t>on campus</t>
        </is>
      </c>
      <c r="AC215" t="inlineStr"/>
      <c r="AD215" t="n">
        <v>0</v>
      </c>
      <c r="AE215" t="inlineStr"/>
      <c r="AF215" t="inlineStr"/>
      <c r="AG215" t="inlineStr"/>
      <c r="AH215" t="inlineStr"/>
      <c r="AI215" t="inlineStr"/>
      <c r="AJ215" t="inlineStr"/>
      <c r="AK215" t="inlineStr"/>
      <c r="AL215" t="inlineStr"/>
      <c r="AM215" t="inlineStr"/>
    </row>
    <row r="216">
      <c r="A216" t="inlineStr">
        <is>
          <t>085130J</t>
        </is>
      </c>
      <c r="B216" t="inlineStr">
        <is>
          <t>Bachelor of Psychological Science (Honours)</t>
        </is>
      </c>
      <c r="C216" t="inlineStr">
        <is>
          <t>Bachelor Honours Degree</t>
        </is>
      </c>
      <c r="D216" t="inlineStr">
        <is>
          <t>Undergraduate</t>
        </is>
      </c>
      <c r="E216" t="inlineStr">
        <is>
          <t>Advertised: official page in place</t>
        </is>
      </c>
      <c r="F216" t="inlineStr">
        <is>
          <t>https://www.unsw.edu.au/study/undergraduate/bachelor-of-psychological-science-honours</t>
        </is>
      </c>
      <c r="G216" t="inlineStr">
        <is>
          <t>https://www.unsw.edu.au/study/undergraduate/bachelor-of-psychological-science-honours</t>
        </is>
      </c>
      <c r="H216" t="inlineStr">
        <is>
          <t>Read</t>
        </is>
      </c>
      <c r="I216" t="inlineStr">
        <is>
          <t>CRICOS code on page</t>
        </is>
      </c>
      <c r="J216" t="inlineStr"/>
      <c r="K216" t="inlineStr">
        <is>
          <t>Not sent to re-link</t>
        </is>
      </c>
      <c r="L216" t="inlineStr">
        <is>
          <t>Filled</t>
        </is>
      </c>
      <c r="M216" t="inlineStr">
        <is>
          <t>Filled</t>
        </is>
      </c>
      <c r="N216" t="inlineStr">
        <is>
          <t>62500.00 2026</t>
        </is>
      </c>
      <c r="O216" t="n">
        <v>0</v>
      </c>
      <c r="P216" t="inlineStr">
        <is>
          <t>University adapter</t>
        </is>
      </c>
      <c r="Q216" t="inlineStr">
        <is>
          <t>Filled</t>
        </is>
      </c>
      <c r="R216" t="n">
        <v>6</v>
      </c>
      <c r="S216" t="inlineStr">
        <is>
          <t>Central English policy</t>
        </is>
      </c>
      <c r="T216" t="inlineStr">
        <is>
          <t>Central rule applies (value agrees)</t>
        </is>
      </c>
      <c r="U216" t="inlineStr"/>
      <c r="V216" t="inlineStr">
        <is>
          <t>Filled</t>
        </is>
      </c>
      <c r="W216" t="inlineStr">
        <is>
          <t>February</t>
        </is>
      </c>
      <c r="X216" t="inlineStr">
        <is>
          <t>University adapter</t>
        </is>
      </c>
      <c r="Y216" t="n">
        <v>1</v>
      </c>
      <c r="Z216" t="inlineStr">
        <is>
          <t>Yes</t>
        </is>
      </c>
      <c r="AA216" t="inlineStr">
        <is>
          <t>Filled</t>
        </is>
      </c>
      <c r="AB216" t="inlineStr">
        <is>
          <t>on campus</t>
        </is>
      </c>
      <c r="AC216" t="inlineStr"/>
      <c r="AD216" t="n">
        <v>0</v>
      </c>
      <c r="AE216" t="inlineStr"/>
      <c r="AF216" t="inlineStr"/>
      <c r="AG216" t="inlineStr"/>
      <c r="AH216" t="inlineStr"/>
      <c r="AI216" t="inlineStr"/>
      <c r="AJ216" t="inlineStr"/>
      <c r="AK216" t="inlineStr"/>
      <c r="AL216" t="inlineStr"/>
      <c r="AM216" t="inlineStr"/>
    </row>
    <row r="217">
      <c r="A217" t="inlineStr">
        <is>
          <t>088765E</t>
        </is>
      </c>
      <c r="B217" t="inlineStr">
        <is>
          <t>Bachelor of Psychological Science/Bachelor of Laws</t>
        </is>
      </c>
      <c r="C217" t="inlineStr">
        <is>
          <t>Bachelor</t>
        </is>
      </c>
      <c r="D217" t="inlineStr">
        <is>
          <t>Undergraduate</t>
        </is>
      </c>
      <c r="E217" t="inlineStr">
        <is>
          <t>Advertised: official page in place</t>
        </is>
      </c>
      <c r="F217" t="inlineStr">
        <is>
          <t>https://www.unsw.edu.au/study/undergraduate/bachelor-of-psychological-science-law</t>
        </is>
      </c>
      <c r="G217" t="inlineStr">
        <is>
          <t>https://www.unsw.edu.au/study/undergraduate/bachelor-of-psychological-science-law</t>
        </is>
      </c>
      <c r="H217" t="inlineStr">
        <is>
          <t>Read</t>
        </is>
      </c>
      <c r="I217" t="inlineStr">
        <is>
          <t>CRICOS code on page</t>
        </is>
      </c>
      <c r="J217" t="inlineStr"/>
      <c r="K217" t="inlineStr">
        <is>
          <t>Not sent to re-link</t>
        </is>
      </c>
      <c r="L217" t="inlineStr">
        <is>
          <t>Filled</t>
        </is>
      </c>
      <c r="M217" t="inlineStr">
        <is>
          <t>Filled</t>
        </is>
      </c>
      <c r="N217" t="inlineStr">
        <is>
          <t>61000.00 2026</t>
        </is>
      </c>
      <c r="O217" t="n">
        <v>0</v>
      </c>
      <c r="P217" t="inlineStr">
        <is>
          <t>University adapter</t>
        </is>
      </c>
      <c r="Q217" t="inlineStr">
        <is>
          <t>Filled</t>
        </is>
      </c>
      <c r="R217" t="n">
        <v>6</v>
      </c>
      <c r="S217" t="inlineStr">
        <is>
          <t>Central English policy</t>
        </is>
      </c>
      <c r="T217" t="inlineStr">
        <is>
          <t>Central rule applies (value agrees)</t>
        </is>
      </c>
      <c r="U217" t="inlineStr"/>
      <c r="V217" t="inlineStr">
        <is>
          <t>Filled</t>
        </is>
      </c>
      <c r="W217" t="inlineStr">
        <is>
          <t>February</t>
        </is>
      </c>
      <c r="X217" t="inlineStr">
        <is>
          <t>University adapter</t>
        </is>
      </c>
      <c r="Y217" t="n">
        <v>0</v>
      </c>
      <c r="Z217" t="inlineStr">
        <is>
          <t>Yes</t>
        </is>
      </c>
      <c r="AA217" t="inlineStr">
        <is>
          <t>Filled</t>
        </is>
      </c>
      <c r="AB217" t="inlineStr">
        <is>
          <t>on campus</t>
        </is>
      </c>
      <c r="AC217" t="inlineStr"/>
      <c r="AD217" t="n">
        <v>0</v>
      </c>
      <c r="AE217" t="inlineStr"/>
      <c r="AF217" t="inlineStr"/>
      <c r="AG217" t="inlineStr"/>
      <c r="AH217" t="inlineStr"/>
      <c r="AI217" t="inlineStr"/>
      <c r="AJ217" t="inlineStr"/>
      <c r="AK217" t="inlineStr"/>
      <c r="AL217" t="inlineStr"/>
      <c r="AM217" t="inlineStr"/>
    </row>
    <row r="218">
      <c r="A218" t="inlineStr">
        <is>
          <t>088874M</t>
        </is>
      </c>
      <c r="B218" t="inlineStr">
        <is>
          <t>Bachelor of Psychology (Honours)</t>
        </is>
      </c>
      <c r="C218" t="inlineStr">
        <is>
          <t>Bachelor Honours Degree</t>
        </is>
      </c>
      <c r="D218" t="inlineStr">
        <is>
          <t>Undergraduate</t>
        </is>
      </c>
      <c r="E218" t="inlineStr">
        <is>
          <t>Advertised: official page in place</t>
        </is>
      </c>
      <c r="F218" t="inlineStr">
        <is>
          <t>https://www.unsw.edu.au/study/undergraduate/bachelor-of-psychology-honours</t>
        </is>
      </c>
      <c r="G218" t="inlineStr">
        <is>
          <t>https://www.unsw.edu.au/study/undergraduate/bachelor-of-psychology-honours</t>
        </is>
      </c>
      <c r="H218" t="inlineStr">
        <is>
          <t>Read</t>
        </is>
      </c>
      <c r="I218" t="inlineStr">
        <is>
          <t>CRICOS code on page</t>
        </is>
      </c>
      <c r="J218" t="inlineStr"/>
      <c r="K218" t="inlineStr">
        <is>
          <t>Not sent to re-link</t>
        </is>
      </c>
      <c r="L218" t="inlineStr">
        <is>
          <t>Filled</t>
        </is>
      </c>
      <c r="M218" t="inlineStr">
        <is>
          <t>Filled</t>
        </is>
      </c>
      <c r="N218" t="inlineStr">
        <is>
          <t>61000.00 2026</t>
        </is>
      </c>
      <c r="O218" t="n">
        <v>0</v>
      </c>
      <c r="P218" t="inlineStr">
        <is>
          <t>University adapter</t>
        </is>
      </c>
      <c r="Q218" t="inlineStr">
        <is>
          <t>Filled</t>
        </is>
      </c>
      <c r="R218" t="n">
        <v>6</v>
      </c>
      <c r="S218" t="inlineStr">
        <is>
          <t>Central English policy</t>
        </is>
      </c>
      <c r="T218" t="inlineStr">
        <is>
          <t>Central rule applies (value agrees)</t>
        </is>
      </c>
      <c r="U218" t="inlineStr"/>
      <c r="V218" t="inlineStr">
        <is>
          <t>Filled</t>
        </is>
      </c>
      <c r="W218" t="inlineStr">
        <is>
          <t>February</t>
        </is>
      </c>
      <c r="X218" t="inlineStr">
        <is>
          <t>University adapter</t>
        </is>
      </c>
      <c r="Y218" t="n">
        <v>0</v>
      </c>
      <c r="Z218" t="inlineStr">
        <is>
          <t>Yes</t>
        </is>
      </c>
      <c r="AA218" t="inlineStr">
        <is>
          <t>Filled</t>
        </is>
      </c>
      <c r="AB218" t="inlineStr">
        <is>
          <t>on campus</t>
        </is>
      </c>
      <c r="AC218" t="inlineStr"/>
      <c r="AD218" t="n">
        <v>0</v>
      </c>
      <c r="AE218" t="inlineStr"/>
      <c r="AF218" t="inlineStr"/>
      <c r="AG218" t="inlineStr"/>
      <c r="AH218" t="inlineStr"/>
      <c r="AI218" t="inlineStr"/>
      <c r="AJ218" t="inlineStr"/>
      <c r="AK218" t="inlineStr"/>
      <c r="AL218" t="inlineStr"/>
      <c r="AM218" t="inlineStr"/>
    </row>
    <row r="219">
      <c r="A219" t="inlineStr">
        <is>
          <t>088835G</t>
        </is>
      </c>
      <c r="B219" t="inlineStr">
        <is>
          <t>Bachelor of Psychology (Honours)/Bachelor of Laws</t>
        </is>
      </c>
      <c r="C219" t="inlineStr">
        <is>
          <t>Bachelor Honours Degree</t>
        </is>
      </c>
      <c r="D219" t="inlineStr">
        <is>
          <t>Undergraduate</t>
        </is>
      </c>
      <c r="E219" t="inlineStr">
        <is>
          <t>Advertised: official page in place</t>
        </is>
      </c>
      <c r="F219" t="inlineStr">
        <is>
          <t>https://www.unsw.edu.au/study/undergraduate/bachelor-of-psychology-honours-law</t>
        </is>
      </c>
      <c r="G219" t="inlineStr">
        <is>
          <t>https://www.unsw.edu.au/study/undergraduate/bachelor-of-psychology-honours-law</t>
        </is>
      </c>
      <c r="H219" t="inlineStr">
        <is>
          <t>Read</t>
        </is>
      </c>
      <c r="I219" t="inlineStr">
        <is>
          <t>CRICOS code on page</t>
        </is>
      </c>
      <c r="J219" t="inlineStr"/>
      <c r="K219" t="inlineStr">
        <is>
          <t>Not sent to re-link</t>
        </is>
      </c>
      <c r="L219" t="inlineStr">
        <is>
          <t>Filled</t>
        </is>
      </c>
      <c r="M219" t="inlineStr">
        <is>
          <t>Filled</t>
        </is>
      </c>
      <c r="N219" t="inlineStr">
        <is>
          <t>60500.00 2026</t>
        </is>
      </c>
      <c r="O219" t="n">
        <v>0</v>
      </c>
      <c r="P219" t="inlineStr">
        <is>
          <t>University adapter</t>
        </is>
      </c>
      <c r="Q219" t="inlineStr">
        <is>
          <t>Filled</t>
        </is>
      </c>
      <c r="R219" t="n">
        <v>6</v>
      </c>
      <c r="S219" t="inlineStr">
        <is>
          <t>Central English policy</t>
        </is>
      </c>
      <c r="T219" t="inlineStr">
        <is>
          <t>Central rule applies (value agrees)</t>
        </is>
      </c>
      <c r="U219" t="inlineStr"/>
      <c r="V219" t="inlineStr">
        <is>
          <t>Filled</t>
        </is>
      </c>
      <c r="W219" t="inlineStr">
        <is>
          <t>February</t>
        </is>
      </c>
      <c r="X219" t="inlineStr">
        <is>
          <t>University adapter</t>
        </is>
      </c>
      <c r="Y219" t="n">
        <v>0</v>
      </c>
      <c r="Z219" t="inlineStr">
        <is>
          <t>Yes</t>
        </is>
      </c>
      <c r="AA219" t="inlineStr">
        <is>
          <t>Filled</t>
        </is>
      </c>
      <c r="AB219" t="inlineStr">
        <is>
          <t>on campus</t>
        </is>
      </c>
      <c r="AC219" t="inlineStr"/>
      <c r="AD219" t="n">
        <v>0</v>
      </c>
      <c r="AE219" t="inlineStr"/>
      <c r="AF219" t="inlineStr"/>
      <c r="AG219" t="inlineStr"/>
      <c r="AH219" t="inlineStr"/>
      <c r="AI219" t="inlineStr"/>
      <c r="AJ219" t="inlineStr"/>
      <c r="AK219" t="inlineStr"/>
      <c r="AL219" t="inlineStr"/>
      <c r="AM219" t="inlineStr"/>
    </row>
    <row r="220">
      <c r="A220" t="inlineStr">
        <is>
          <t>116678A</t>
        </is>
      </c>
      <c r="B220" t="inlineStr">
        <is>
          <t>Bachelor of Public Health</t>
        </is>
      </c>
      <c r="C220" t="inlineStr">
        <is>
          <t>Bachelor</t>
        </is>
      </c>
      <c r="D220" t="inlineStr">
        <is>
          <t>Undergraduate</t>
        </is>
      </c>
      <c r="E220" t="inlineStr">
        <is>
          <t>Page address no longer works</t>
        </is>
      </c>
      <c r="F220" t="inlineStr"/>
      <c r="G220" t="inlineStr">
        <is>
          <t>https://www.handbook.unsw.edu.au/undergraduate/programs/2026/3881</t>
        </is>
      </c>
      <c r="H220" t="inlineStr">
        <is>
          <t>Address no longer works</t>
        </is>
      </c>
      <c r="I220" t="inlineStr"/>
      <c r="J220" t="inlineStr"/>
      <c r="K220" t="inlineStr">
        <is>
          <t>Not sent to re-link</t>
        </is>
      </c>
      <c r="L220" t="inlineStr">
        <is>
          <t>Page found, being read</t>
        </is>
      </c>
      <c r="M220" t="inlineStr">
        <is>
          <t>Page found, being read</t>
        </is>
      </c>
      <c r="N220" t="inlineStr"/>
      <c r="O220" t="n">
        <v>0</v>
      </c>
      <c r="P220" t="inlineStr"/>
      <c r="Q220" t="inlineStr">
        <is>
          <t>Filled</t>
        </is>
      </c>
      <c r="R220" t="n">
        <v>6</v>
      </c>
      <c r="S220" t="inlineStr">
        <is>
          <t>Central English policy</t>
        </is>
      </c>
      <c r="T220" t="inlineStr">
        <is>
          <t>Central rule applies (value agrees)</t>
        </is>
      </c>
      <c r="U220" t="inlineStr"/>
      <c r="V220" t="inlineStr">
        <is>
          <t>Page found, being read</t>
        </is>
      </c>
      <c r="W220" t="inlineStr"/>
      <c r="X220" t="inlineStr"/>
      <c r="Y220" t="n">
        <v>0</v>
      </c>
      <c r="Z220" t="inlineStr">
        <is>
          <t>Yes</t>
        </is>
      </c>
      <c r="AA220" t="inlineStr">
        <is>
          <t>Not stated on course page</t>
        </is>
      </c>
      <c r="AB220" t="inlineStr"/>
      <c r="AC220" t="inlineStr">
        <is>
          <t>Skipped: no allowed source had a value</t>
        </is>
      </c>
      <c r="AD220" t="n">
        <v>0</v>
      </c>
      <c r="AE220" t="inlineStr"/>
      <c r="AF220" t="inlineStr"/>
      <c r="AG220" t="inlineStr"/>
      <c r="AH220" t="inlineStr"/>
      <c r="AI220" t="inlineStr"/>
      <c r="AJ220" t="inlineStr"/>
      <c r="AK220" t="inlineStr"/>
      <c r="AL220" t="inlineStr"/>
      <c r="AM220" t="inlineStr"/>
    </row>
    <row r="221">
      <c r="A221" t="inlineStr">
        <is>
          <t>015780K</t>
        </is>
      </c>
      <c r="B221" t="inlineStr">
        <is>
          <t>Bachelor of Science</t>
        </is>
      </c>
      <c r="C221" t="inlineStr">
        <is>
          <t>Bachelor</t>
        </is>
      </c>
      <c r="D221" t="inlineStr">
        <is>
          <t>Undergraduate</t>
        </is>
      </c>
      <c r="E221" t="inlineStr">
        <is>
          <t>Advertised: official page in place</t>
        </is>
      </c>
      <c r="F221" t="inlineStr">
        <is>
          <t>https://www.unsw.edu.au/study/undergraduate/bachelor-of-science</t>
        </is>
      </c>
      <c r="G221" t="inlineStr">
        <is>
          <t>https://www.unsw.edu.au/study/undergraduate/bachelor-of-science</t>
        </is>
      </c>
      <c r="H221" t="inlineStr">
        <is>
          <t>Read</t>
        </is>
      </c>
      <c r="I221" t="inlineStr">
        <is>
          <t>CRICOS code on page</t>
        </is>
      </c>
      <c r="J221" t="inlineStr"/>
      <c r="K221" t="inlineStr">
        <is>
          <t>Not sent to re-link</t>
        </is>
      </c>
      <c r="L221" t="inlineStr">
        <is>
          <t>Filled</t>
        </is>
      </c>
      <c r="M221" t="inlineStr">
        <is>
          <t>Filled</t>
        </is>
      </c>
      <c r="N221" t="inlineStr">
        <is>
          <t>61000.00 2026</t>
        </is>
      </c>
      <c r="O221" t="n">
        <v>0</v>
      </c>
      <c r="P221" t="inlineStr">
        <is>
          <t>University adapter</t>
        </is>
      </c>
      <c r="Q221" t="inlineStr">
        <is>
          <t>Filled</t>
        </is>
      </c>
      <c r="R221" t="n">
        <v>6</v>
      </c>
      <c r="S221" t="inlineStr">
        <is>
          <t>Central English policy</t>
        </is>
      </c>
      <c r="T221" t="inlineStr">
        <is>
          <t>Central rule applies (value agrees)</t>
        </is>
      </c>
      <c r="U221" t="inlineStr"/>
      <c r="V221" t="inlineStr">
        <is>
          <t>Filled</t>
        </is>
      </c>
      <c r="W221" t="inlineStr">
        <is>
          <t>February, May, September</t>
        </is>
      </c>
      <c r="X221" t="inlineStr">
        <is>
          <t>University adapter</t>
        </is>
      </c>
      <c r="Y221" t="n">
        <v>0</v>
      </c>
      <c r="Z221" t="inlineStr">
        <is>
          <t>Yes</t>
        </is>
      </c>
      <c r="AA221" t="inlineStr">
        <is>
          <t>Filled</t>
        </is>
      </c>
      <c r="AB221" t="inlineStr">
        <is>
          <t>on campus</t>
        </is>
      </c>
      <c r="AC221" t="inlineStr"/>
      <c r="AD221" t="n">
        <v>0</v>
      </c>
      <c r="AE221" t="inlineStr"/>
      <c r="AF221" t="inlineStr"/>
      <c r="AG221" t="inlineStr"/>
      <c r="AH221" t="inlineStr"/>
      <c r="AI221" t="inlineStr"/>
      <c r="AJ221" t="inlineStr"/>
      <c r="AK221" t="inlineStr"/>
      <c r="AL221" t="inlineStr"/>
      <c r="AM221" t="inlineStr"/>
    </row>
    <row r="222">
      <c r="A222" t="inlineStr">
        <is>
          <t>015784F</t>
        </is>
      </c>
      <c r="B222" t="inlineStr">
        <is>
          <t>Bachelor of Science - Computer Science</t>
        </is>
      </c>
      <c r="C222" t="inlineStr">
        <is>
          <t>Bachelor</t>
        </is>
      </c>
      <c r="D222" t="inlineStr">
        <is>
          <t>Undergraduate</t>
        </is>
      </c>
      <c r="E222" t="inlineStr">
        <is>
          <t>Advertised: official page in place</t>
        </is>
      </c>
      <c r="F222" t="inlineStr">
        <is>
          <t>https://www.unsw.edu.au/study/undergraduate/bachelor-of-computer-science</t>
        </is>
      </c>
      <c r="G222" t="inlineStr">
        <is>
          <t>https://www.unsw.edu.au/study/undergraduate/bachelor-of-computer-science</t>
        </is>
      </c>
      <c r="H222" t="inlineStr">
        <is>
          <t>Read</t>
        </is>
      </c>
      <c r="I222" t="inlineStr">
        <is>
          <t>CRICOS code on page</t>
        </is>
      </c>
      <c r="J222" t="inlineStr"/>
      <c r="K222" t="inlineStr">
        <is>
          <t>Not sent to re-link</t>
        </is>
      </c>
      <c r="L222" t="inlineStr">
        <is>
          <t>Filled</t>
        </is>
      </c>
      <c r="M222" t="inlineStr">
        <is>
          <t>Filled</t>
        </is>
      </c>
      <c r="N222" t="inlineStr">
        <is>
          <t>61000.00 2026</t>
        </is>
      </c>
      <c r="O222" t="n">
        <v>0</v>
      </c>
      <c r="P222" t="inlineStr">
        <is>
          <t>University adapter</t>
        </is>
      </c>
      <c r="Q222" t="inlineStr">
        <is>
          <t>Filled</t>
        </is>
      </c>
      <c r="R222" t="n">
        <v>6</v>
      </c>
      <c r="S222" t="inlineStr">
        <is>
          <t>Central English policy</t>
        </is>
      </c>
      <c r="T222" t="inlineStr">
        <is>
          <t>Central rule applies (value agrees)</t>
        </is>
      </c>
      <c r="U222" t="inlineStr"/>
      <c r="V222" t="inlineStr">
        <is>
          <t>Filled</t>
        </is>
      </c>
      <c r="W222" t="inlineStr">
        <is>
          <t>February, May, September</t>
        </is>
      </c>
      <c r="X222" t="inlineStr">
        <is>
          <t>University adapter</t>
        </is>
      </c>
      <c r="Y222" t="n">
        <v>0</v>
      </c>
      <c r="Z222" t="inlineStr">
        <is>
          <t>Yes</t>
        </is>
      </c>
      <c r="AA222" t="inlineStr">
        <is>
          <t>Filled</t>
        </is>
      </c>
      <c r="AB222" t="inlineStr">
        <is>
          <t>on campus</t>
        </is>
      </c>
      <c r="AC222" t="inlineStr"/>
      <c r="AD222" t="n">
        <v>0</v>
      </c>
      <c r="AE222" t="inlineStr"/>
      <c r="AF222" t="inlineStr"/>
      <c r="AG222" t="inlineStr"/>
      <c r="AH222" t="inlineStr"/>
      <c r="AI222" t="inlineStr"/>
      <c r="AJ222" t="inlineStr"/>
      <c r="AK222" t="inlineStr"/>
      <c r="AL222" t="inlineStr"/>
      <c r="AM222" t="inlineStr"/>
    </row>
    <row r="223">
      <c r="A223" t="inlineStr">
        <is>
          <t>088875K</t>
        </is>
      </c>
      <c r="B223" t="inlineStr">
        <is>
          <t>Bachelor of Science (Advanced Mathematics) (Honours)/Bachelor of Arts</t>
        </is>
      </c>
      <c r="C223" t="inlineStr">
        <is>
          <t>Bachelor Honours Degree</t>
        </is>
      </c>
      <c r="D223" t="inlineStr">
        <is>
          <t>Undergraduate</t>
        </is>
      </c>
      <c r="E223" t="inlineStr">
        <is>
          <t>Advertised: official page in place</t>
        </is>
      </c>
      <c r="F223" t="inlineStr">
        <is>
          <t>https://www.unsw.edu.au/study/undergraduate/bachelor-of-science-advanced-mathematics-honours-arts</t>
        </is>
      </c>
      <c r="G223" t="inlineStr">
        <is>
          <t>https://www.unsw.edu.au/study/undergraduate/bachelor-of-science-advanced-mathematics-honours-arts</t>
        </is>
      </c>
      <c r="H223" t="inlineStr">
        <is>
          <t>Read</t>
        </is>
      </c>
      <c r="I223" t="inlineStr">
        <is>
          <t>CRICOS code on page</t>
        </is>
      </c>
      <c r="J223" t="inlineStr"/>
      <c r="K223" t="inlineStr">
        <is>
          <t>Not sent to re-link</t>
        </is>
      </c>
      <c r="L223" t="inlineStr">
        <is>
          <t>Filled</t>
        </is>
      </c>
      <c r="M223" t="inlineStr">
        <is>
          <t>Filled</t>
        </is>
      </c>
      <c r="N223" t="inlineStr">
        <is>
          <t>62500.00 2026</t>
        </is>
      </c>
      <c r="O223" t="n">
        <v>0</v>
      </c>
      <c r="P223" t="inlineStr">
        <is>
          <t>University adapter</t>
        </is>
      </c>
      <c r="Q223" t="inlineStr">
        <is>
          <t>Filled</t>
        </is>
      </c>
      <c r="R223" t="n">
        <v>6</v>
      </c>
      <c r="S223" t="inlineStr">
        <is>
          <t>Central English policy</t>
        </is>
      </c>
      <c r="T223" t="inlineStr">
        <is>
          <t>Central rule applies (value agrees)</t>
        </is>
      </c>
      <c r="U223" t="inlineStr"/>
      <c r="V223" t="inlineStr">
        <is>
          <t>Filled</t>
        </is>
      </c>
      <c r="W223" t="inlineStr">
        <is>
          <t>February, May, September</t>
        </is>
      </c>
      <c r="X223" t="inlineStr">
        <is>
          <t>University adapter</t>
        </is>
      </c>
      <c r="Y223" t="n">
        <v>0</v>
      </c>
      <c r="Z223" t="inlineStr">
        <is>
          <t>Yes</t>
        </is>
      </c>
      <c r="AA223" t="inlineStr">
        <is>
          <t>Filled</t>
        </is>
      </c>
      <c r="AB223" t="inlineStr">
        <is>
          <t>on campus</t>
        </is>
      </c>
      <c r="AC223" t="inlineStr"/>
      <c r="AD223" t="n">
        <v>0</v>
      </c>
      <c r="AE223" t="inlineStr"/>
      <c r="AF223" t="inlineStr"/>
      <c r="AG223" t="inlineStr"/>
      <c r="AH223" t="inlineStr"/>
      <c r="AI223" t="inlineStr"/>
      <c r="AJ223" t="inlineStr"/>
      <c r="AK223" t="inlineStr"/>
      <c r="AL223" t="inlineStr"/>
      <c r="AM223" t="inlineStr"/>
    </row>
    <row r="224">
      <c r="A224" t="inlineStr">
        <is>
          <t>088864B</t>
        </is>
      </c>
      <c r="B224" t="inlineStr">
        <is>
          <t>Bachelor of Science (Advanced Mathematics) (Honours)/Bachelor of Engineering (Honours)</t>
        </is>
      </c>
      <c r="C224" t="inlineStr">
        <is>
          <t>Bachelor Honours Degree</t>
        </is>
      </c>
      <c r="D224" t="inlineStr">
        <is>
          <t>Undergraduate</t>
        </is>
      </c>
      <c r="E224" t="inlineStr">
        <is>
          <t>Advertised: official page in place</t>
        </is>
      </c>
      <c r="F224" t="inlineStr">
        <is>
          <t>https://www.unsw.edu.au/study/undergraduate/bachelor-of-science-advanced-mathematics-honours-engineering-honours</t>
        </is>
      </c>
      <c r="G224" t="inlineStr">
        <is>
          <t>https://www.unsw.edu.au/study/undergraduate/bachelor-of-science-advanced-mathematics-honours-engineering-honours</t>
        </is>
      </c>
      <c r="H224" t="inlineStr">
        <is>
          <t>Read</t>
        </is>
      </c>
      <c r="I224" t="inlineStr">
        <is>
          <t>CRICOS code on page</t>
        </is>
      </c>
      <c r="J224" t="inlineStr"/>
      <c r="K224" t="inlineStr">
        <is>
          <t>Not sent to re-link</t>
        </is>
      </c>
      <c r="L224" t="inlineStr">
        <is>
          <t>Filled</t>
        </is>
      </c>
      <c r="M224" t="inlineStr">
        <is>
          <t>Filled</t>
        </is>
      </c>
      <c r="N224" t="inlineStr">
        <is>
          <t>62000.00 2026</t>
        </is>
      </c>
      <c r="O224" t="n">
        <v>0</v>
      </c>
      <c r="P224" t="inlineStr">
        <is>
          <t>University adapter</t>
        </is>
      </c>
      <c r="Q224" t="inlineStr">
        <is>
          <t>Filled</t>
        </is>
      </c>
      <c r="R224" t="n">
        <v>6</v>
      </c>
      <c r="S224" t="inlineStr">
        <is>
          <t>Central English policy</t>
        </is>
      </c>
      <c r="T224" t="inlineStr">
        <is>
          <t>Central rule applies (value agrees)</t>
        </is>
      </c>
      <c r="U224" t="inlineStr"/>
      <c r="V224" t="inlineStr">
        <is>
          <t>Filled</t>
        </is>
      </c>
      <c r="W224" t="inlineStr">
        <is>
          <t>February, September</t>
        </is>
      </c>
      <c r="X224" t="inlineStr">
        <is>
          <t>University adapter</t>
        </is>
      </c>
      <c r="Y224" t="n">
        <v>0</v>
      </c>
      <c r="Z224" t="inlineStr">
        <is>
          <t>Yes</t>
        </is>
      </c>
      <c r="AA224" t="inlineStr">
        <is>
          <t>Filled</t>
        </is>
      </c>
      <c r="AB224" t="inlineStr">
        <is>
          <t>on campus</t>
        </is>
      </c>
      <c r="AC224" t="inlineStr"/>
      <c r="AD224" t="n">
        <v>0</v>
      </c>
      <c r="AE224" t="inlineStr"/>
      <c r="AF224" t="inlineStr"/>
      <c r="AG224" t="inlineStr"/>
      <c r="AH224" t="inlineStr"/>
      <c r="AI224" t="inlineStr"/>
      <c r="AJ224" t="inlineStr"/>
      <c r="AK224" t="inlineStr"/>
      <c r="AL224" t="inlineStr"/>
      <c r="AM224" t="inlineStr"/>
    </row>
    <row r="225">
      <c r="A225" t="inlineStr">
        <is>
          <t>088862D</t>
        </is>
      </c>
      <c r="B225" t="inlineStr">
        <is>
          <t>Bachelor of Science (Advanced Mathematics) (Honours)/Bachelor of Laws</t>
        </is>
      </c>
      <c r="C225" t="inlineStr">
        <is>
          <t>Bachelor Honours Degree</t>
        </is>
      </c>
      <c r="D225" t="inlineStr">
        <is>
          <t>Undergraduate</t>
        </is>
      </c>
      <c r="E225" t="inlineStr">
        <is>
          <t>Advertised: official page in place</t>
        </is>
      </c>
      <c r="F225" t="inlineStr">
        <is>
          <t>https://www.unsw.edu.au/study/undergraduate/bachelor-of-science-advanced-mathematics-honours-law</t>
        </is>
      </c>
      <c r="G225" t="inlineStr">
        <is>
          <t>https://www.unsw.edu.au/study/undergraduate/bachelor-of-science-advanced-mathematics-honours-law</t>
        </is>
      </c>
      <c r="H225" t="inlineStr">
        <is>
          <t>Read</t>
        </is>
      </c>
      <c r="I225" t="inlineStr">
        <is>
          <t>CRICOS code on page</t>
        </is>
      </c>
      <c r="J225" t="inlineStr"/>
      <c r="K225" t="inlineStr">
        <is>
          <t>Not sent to re-link</t>
        </is>
      </c>
      <c r="L225" t="inlineStr">
        <is>
          <t>Filled</t>
        </is>
      </c>
      <c r="M225" t="inlineStr">
        <is>
          <t>Filled</t>
        </is>
      </c>
      <c r="N225" t="inlineStr">
        <is>
          <t>56000.00 2026</t>
        </is>
      </c>
      <c r="O225" t="n">
        <v>0</v>
      </c>
      <c r="P225" t="inlineStr">
        <is>
          <t>University adapter</t>
        </is>
      </c>
      <c r="Q225" t="inlineStr">
        <is>
          <t>Filled</t>
        </is>
      </c>
      <c r="R225" t="n">
        <v>6</v>
      </c>
      <c r="S225" t="inlineStr">
        <is>
          <t>Central English policy</t>
        </is>
      </c>
      <c r="T225" t="inlineStr">
        <is>
          <t>Central rule applies (value agrees)</t>
        </is>
      </c>
      <c r="U225" t="inlineStr"/>
      <c r="V225" t="inlineStr">
        <is>
          <t>Filled</t>
        </is>
      </c>
      <c r="W225" t="inlineStr">
        <is>
          <t>February</t>
        </is>
      </c>
      <c r="X225" t="inlineStr">
        <is>
          <t>University adapter</t>
        </is>
      </c>
      <c r="Y225" t="n">
        <v>0</v>
      </c>
      <c r="Z225" t="inlineStr">
        <is>
          <t>Yes</t>
        </is>
      </c>
      <c r="AA225" t="inlineStr">
        <is>
          <t>Filled</t>
        </is>
      </c>
      <c r="AB225" t="inlineStr">
        <is>
          <t>on campus</t>
        </is>
      </c>
      <c r="AC225" t="inlineStr"/>
      <c r="AD225" t="n">
        <v>0</v>
      </c>
      <c r="AE225" t="inlineStr"/>
      <c r="AF225" t="inlineStr"/>
      <c r="AG225" t="inlineStr"/>
      <c r="AH225" t="inlineStr"/>
      <c r="AI225" t="inlineStr"/>
      <c r="AJ225" t="inlineStr"/>
      <c r="AK225" t="inlineStr"/>
      <c r="AL225" t="inlineStr"/>
      <c r="AM225" t="inlineStr"/>
    </row>
    <row r="226">
      <c r="A226" t="inlineStr">
        <is>
          <t>088865A</t>
        </is>
      </c>
      <c r="B226" t="inlineStr">
        <is>
          <t>Bachelor of Science (Advanced Mathematics) (Honours)/Bachelor of Science (Computer Science)</t>
        </is>
      </c>
      <c r="C226" t="inlineStr">
        <is>
          <t>Bachelor Honours Degree</t>
        </is>
      </c>
      <c r="D226" t="inlineStr">
        <is>
          <t>Undergraduate</t>
        </is>
      </c>
      <c r="E226" t="inlineStr">
        <is>
          <t>Advertised: official page in place</t>
        </is>
      </c>
      <c r="F226" t="inlineStr">
        <is>
          <t>https://www.unsw.edu.au/study/undergraduate/bachelor-of-advanced-mathematics-honours-computer-science</t>
        </is>
      </c>
      <c r="G226" t="inlineStr">
        <is>
          <t>https://www.unsw.edu.au/study/undergraduate/bachelor-of-advanced-mathematics-honours-computer-science</t>
        </is>
      </c>
      <c r="H226" t="inlineStr">
        <is>
          <t>Read</t>
        </is>
      </c>
      <c r="I226" t="inlineStr">
        <is>
          <t>CRICOS code on page</t>
        </is>
      </c>
      <c r="J226" t="inlineStr"/>
      <c r="K226" t="inlineStr">
        <is>
          <t>Not sent to re-link</t>
        </is>
      </c>
      <c r="L226" t="inlineStr">
        <is>
          <t>Filled</t>
        </is>
      </c>
      <c r="M226" t="inlineStr">
        <is>
          <t>Filled</t>
        </is>
      </c>
      <c r="N226" t="inlineStr">
        <is>
          <t>62000.00 2026</t>
        </is>
      </c>
      <c r="O226" t="n">
        <v>0</v>
      </c>
      <c r="P226" t="inlineStr">
        <is>
          <t>University adapter</t>
        </is>
      </c>
      <c r="Q226" t="inlineStr">
        <is>
          <t>Filled</t>
        </is>
      </c>
      <c r="R226" t="n">
        <v>6</v>
      </c>
      <c r="S226" t="inlineStr">
        <is>
          <t>Central English policy</t>
        </is>
      </c>
      <c r="T226" t="inlineStr">
        <is>
          <t>Central rule applies (value agrees)</t>
        </is>
      </c>
      <c r="U226" t="inlineStr"/>
      <c r="V226" t="inlineStr">
        <is>
          <t>Filled</t>
        </is>
      </c>
      <c r="W226" t="inlineStr">
        <is>
          <t>February, May, September</t>
        </is>
      </c>
      <c r="X226" t="inlineStr">
        <is>
          <t>University adapter</t>
        </is>
      </c>
      <c r="Y226" t="n">
        <v>0</v>
      </c>
      <c r="Z226" t="inlineStr">
        <is>
          <t>Yes</t>
        </is>
      </c>
      <c r="AA226" t="inlineStr">
        <is>
          <t>Filled</t>
        </is>
      </c>
      <c r="AB226" t="inlineStr">
        <is>
          <t>on campus</t>
        </is>
      </c>
      <c r="AC226" t="inlineStr"/>
      <c r="AD226" t="n">
        <v>0</v>
      </c>
      <c r="AE226" t="inlineStr"/>
      <c r="AF226" t="inlineStr"/>
      <c r="AG226" t="inlineStr"/>
      <c r="AH226" t="inlineStr"/>
      <c r="AI226" t="inlineStr"/>
      <c r="AJ226" t="inlineStr"/>
      <c r="AK226" t="inlineStr"/>
      <c r="AL226" t="inlineStr"/>
      <c r="AM226" t="inlineStr"/>
    </row>
    <row r="227">
      <c r="A227" t="inlineStr">
        <is>
          <t>085131G</t>
        </is>
      </c>
      <c r="B227" t="inlineStr">
        <is>
          <t>Bachelor of Science (Advanced Mathematics) / Bachelor of Science (Computer Science)</t>
        </is>
      </c>
      <c r="C227" t="inlineStr">
        <is>
          <t>Bachelor</t>
        </is>
      </c>
      <c r="D227" t="inlineStr">
        <is>
          <t>Undergraduate</t>
        </is>
      </c>
      <c r="E227" t="inlineStr">
        <is>
          <t>No-page record (conjoint), awaiting review</t>
        </is>
      </c>
      <c r="F227" t="inlineStr"/>
      <c r="G227" t="inlineStr">
        <is>
          <t>https://www.handbook.unsw.edu.au/undergraduate/programs/2026/3781</t>
        </is>
      </c>
      <c r="H227" t="inlineStr">
        <is>
          <t>Page is for another course</t>
        </is>
      </c>
      <c r="I227" t="inlineStr"/>
      <c r="J227" t="inlineStr">
        <is>
          <t>Conjoint (proposed)</t>
        </is>
      </c>
      <c r="K227" t="inlineStr">
        <is>
          <t>Finished, no page: no address from the university's address forms or stored lis</t>
        </is>
      </c>
      <c r="L227" t="inlineStr">
        <is>
          <t>Searching for course page</t>
        </is>
      </c>
      <c r="M227" t="inlineStr">
        <is>
          <t>Searching for course page</t>
        </is>
      </c>
      <c r="N227" t="inlineStr"/>
      <c r="O227" t="n">
        <v>0</v>
      </c>
      <c r="P227" t="inlineStr"/>
      <c r="Q227" t="inlineStr">
        <is>
          <t>Filled</t>
        </is>
      </c>
      <c r="R227" t="n">
        <v>6</v>
      </c>
      <c r="S227" t="inlineStr">
        <is>
          <t>Central English policy</t>
        </is>
      </c>
      <c r="T227" t="inlineStr">
        <is>
          <t>Central rule applies (value agrees)</t>
        </is>
      </c>
      <c r="U227" t="inlineStr"/>
      <c r="V227" t="inlineStr">
        <is>
          <t>Searching for course page</t>
        </is>
      </c>
      <c r="W227" t="inlineStr"/>
      <c r="X227" t="inlineStr"/>
      <c r="Y227" t="n">
        <v>0</v>
      </c>
      <c r="Z227" t="inlineStr">
        <is>
          <t>Yes</t>
        </is>
      </c>
      <c r="AA227" t="inlineStr">
        <is>
          <t>Not stated on course page</t>
        </is>
      </c>
      <c r="AB227" t="inlineStr"/>
      <c r="AC227" t="inlineStr">
        <is>
          <t>Skipped: no correct course page: the page found is for another course</t>
        </is>
      </c>
      <c r="AD227" t="n">
        <v>1</v>
      </c>
      <c r="AE227" t="inlineStr"/>
      <c r="AF227" t="inlineStr"/>
      <c r="AG227" t="inlineStr"/>
      <c r="AH227" t="inlineStr"/>
      <c r="AI227" t="inlineStr"/>
      <c r="AJ227" t="inlineStr"/>
      <c r="AK227" t="inlineStr"/>
      <c r="AL227" t="inlineStr"/>
      <c r="AM227" t="inlineStr">
        <is>
          <t>Yes</t>
        </is>
      </c>
    </row>
    <row r="228">
      <c r="A228" t="inlineStr">
        <is>
          <t>088843G</t>
        </is>
      </c>
      <c r="B228" t="inlineStr">
        <is>
          <t>Bachelor of Science (Advanced Mathematics)(Honours)</t>
        </is>
      </c>
      <c r="C228" t="inlineStr">
        <is>
          <t>Bachelor Honours Degree</t>
        </is>
      </c>
      <c r="D228" t="inlineStr">
        <is>
          <t>Undergraduate</t>
        </is>
      </c>
      <c r="E228" t="inlineStr">
        <is>
          <t>Advertised: official page in place</t>
        </is>
      </c>
      <c r="F228" t="inlineStr">
        <is>
          <t>https://www.unsw.edu.au/study/undergraduate/bachelor-of-science-advanced-mathematics-honours</t>
        </is>
      </c>
      <c r="G228" t="inlineStr">
        <is>
          <t>https://www.unsw.edu.au/study/undergraduate/bachelor-of-science-advanced-mathematics-honours</t>
        </is>
      </c>
      <c r="H228" t="inlineStr">
        <is>
          <t>Read</t>
        </is>
      </c>
      <c r="I228" t="inlineStr">
        <is>
          <t>CRICOS code on page</t>
        </is>
      </c>
      <c r="J228" t="inlineStr"/>
      <c r="K228" t="inlineStr">
        <is>
          <t>Not sent to re-link</t>
        </is>
      </c>
      <c r="L228" t="inlineStr">
        <is>
          <t>Filled</t>
        </is>
      </c>
      <c r="M228" t="inlineStr">
        <is>
          <t>Filled</t>
        </is>
      </c>
      <c r="N228" t="inlineStr">
        <is>
          <t>61000.00 2026</t>
        </is>
      </c>
      <c r="O228" t="n">
        <v>0</v>
      </c>
      <c r="P228" t="inlineStr">
        <is>
          <t>University adapter</t>
        </is>
      </c>
      <c r="Q228" t="inlineStr">
        <is>
          <t>Filled</t>
        </is>
      </c>
      <c r="R228" t="n">
        <v>6</v>
      </c>
      <c r="S228" t="inlineStr">
        <is>
          <t>Central English policy</t>
        </is>
      </c>
      <c r="T228" t="inlineStr">
        <is>
          <t>Central rule applies (value agrees)</t>
        </is>
      </c>
      <c r="U228" t="inlineStr"/>
      <c r="V228" t="inlineStr">
        <is>
          <t>Filled</t>
        </is>
      </c>
      <c r="W228" t="inlineStr">
        <is>
          <t>February, May, September</t>
        </is>
      </c>
      <c r="X228" t="inlineStr">
        <is>
          <t>University adapter</t>
        </is>
      </c>
      <c r="Y228" t="n">
        <v>0</v>
      </c>
      <c r="Z228" t="inlineStr">
        <is>
          <t>Yes</t>
        </is>
      </c>
      <c r="AA228" t="inlineStr">
        <is>
          <t>Filled</t>
        </is>
      </c>
      <c r="AB228" t="inlineStr">
        <is>
          <t>on campus</t>
        </is>
      </c>
      <c r="AC228" t="inlineStr"/>
      <c r="AD228" t="n">
        <v>0</v>
      </c>
      <c r="AE228" t="inlineStr"/>
      <c r="AF228" t="inlineStr"/>
      <c r="AG228" t="inlineStr"/>
      <c r="AH228" t="inlineStr"/>
      <c r="AI228" t="inlineStr"/>
      <c r="AJ228" t="inlineStr"/>
      <c r="AK228" t="inlineStr"/>
      <c r="AL228" t="inlineStr"/>
      <c r="AM228" t="inlineStr"/>
    </row>
    <row r="229">
      <c r="A229" t="inlineStr">
        <is>
          <t>085132G</t>
        </is>
      </c>
      <c r="B229" t="inlineStr">
        <is>
          <t>Bachelor of Science (Advanced) / Bachelor of Science (Computer Science)</t>
        </is>
      </c>
      <c r="C229" t="inlineStr">
        <is>
          <t>Bachelor</t>
        </is>
      </c>
      <c r="D229" t="inlineStr">
        <is>
          <t>Undergraduate</t>
        </is>
      </c>
      <c r="E229" t="inlineStr">
        <is>
          <t>No-page record (conjoint), awaiting review</t>
        </is>
      </c>
      <c r="F229" t="inlineStr"/>
      <c r="G229" t="inlineStr">
        <is>
          <t>https://www.handbook.unsw.edu.au/undergraduate/programs/2026/3782</t>
        </is>
      </c>
      <c r="H229" t="inlineStr">
        <is>
          <t>Page is for another course</t>
        </is>
      </c>
      <c r="I229" t="inlineStr"/>
      <c r="J229" t="inlineStr">
        <is>
          <t>Conjoint (proposed)</t>
        </is>
      </c>
      <c r="K229" t="inlineStr">
        <is>
          <t>Finished, no page: no address from the university's address forms or stored lis</t>
        </is>
      </c>
      <c r="L229" t="inlineStr">
        <is>
          <t>Searching for course page</t>
        </is>
      </c>
      <c r="M229" t="inlineStr">
        <is>
          <t>Searching for course page</t>
        </is>
      </c>
      <c r="N229" t="inlineStr"/>
      <c r="O229" t="n">
        <v>0</v>
      </c>
      <c r="P229" t="inlineStr"/>
      <c r="Q229" t="inlineStr">
        <is>
          <t>Filled</t>
        </is>
      </c>
      <c r="R229" t="n">
        <v>6</v>
      </c>
      <c r="S229" t="inlineStr">
        <is>
          <t>Central English policy</t>
        </is>
      </c>
      <c r="T229" t="inlineStr">
        <is>
          <t>Central rule applies (value agrees)</t>
        </is>
      </c>
      <c r="U229" t="inlineStr"/>
      <c r="V229" t="inlineStr">
        <is>
          <t>Searching for course page</t>
        </is>
      </c>
      <c r="W229" t="inlineStr"/>
      <c r="X229" t="inlineStr"/>
      <c r="Y229" t="n">
        <v>0</v>
      </c>
      <c r="Z229" t="inlineStr">
        <is>
          <t>Yes</t>
        </is>
      </c>
      <c r="AA229" t="inlineStr">
        <is>
          <t>Not stated on course page</t>
        </is>
      </c>
      <c r="AB229" t="inlineStr"/>
      <c r="AC229" t="inlineStr">
        <is>
          <t>Skipped: no correct course page: the page found is for another course</t>
        </is>
      </c>
      <c r="AD229" t="n">
        <v>1</v>
      </c>
      <c r="AE229" t="inlineStr"/>
      <c r="AF229" t="inlineStr"/>
      <c r="AG229" t="inlineStr"/>
      <c r="AH229" t="inlineStr"/>
      <c r="AI229" t="inlineStr"/>
      <c r="AJ229" t="inlineStr"/>
      <c r="AK229" t="inlineStr"/>
      <c r="AL229" t="inlineStr"/>
      <c r="AM229" t="inlineStr">
        <is>
          <t>Yes</t>
        </is>
      </c>
    </row>
    <row r="230">
      <c r="A230" t="inlineStr">
        <is>
          <t>081525M</t>
        </is>
      </c>
      <c r="B230" t="inlineStr">
        <is>
          <t>Bachelor of Science (Advanced)/Bachelor of Engineering (Honours)</t>
        </is>
      </c>
      <c r="C230" t="inlineStr">
        <is>
          <t>Bachelor Honours Degree</t>
        </is>
      </c>
      <c r="D230" t="inlineStr">
        <is>
          <t>Undergraduate</t>
        </is>
      </c>
      <c r="E230" t="inlineStr">
        <is>
          <t>No-page record (conjoint), awaiting review</t>
        </is>
      </c>
      <c r="F230" t="inlineStr"/>
      <c r="G230" t="inlineStr">
        <is>
          <t>https://www.handbook.unsw.edu.au/undergraduate/programs/2026/3962</t>
        </is>
      </c>
      <c r="H230" t="inlineStr">
        <is>
          <t>Page is for another course</t>
        </is>
      </c>
      <c r="I230" t="inlineStr"/>
      <c r="J230" t="inlineStr">
        <is>
          <t>Conjoint (proposed)</t>
        </is>
      </c>
      <c r="K230" t="inlineStr">
        <is>
          <t>Finished, no page: no address from the university's address forms or stored lis</t>
        </is>
      </c>
      <c r="L230" t="inlineStr">
        <is>
          <t>Searching for course page</t>
        </is>
      </c>
      <c r="M230" t="inlineStr">
        <is>
          <t>Searching for course page</t>
        </is>
      </c>
      <c r="N230" t="inlineStr"/>
      <c r="O230" t="n">
        <v>0</v>
      </c>
      <c r="P230" t="inlineStr"/>
      <c r="Q230" t="inlineStr">
        <is>
          <t>Filled</t>
        </is>
      </c>
      <c r="R230" t="n">
        <v>6</v>
      </c>
      <c r="S230" t="inlineStr">
        <is>
          <t>Central English policy</t>
        </is>
      </c>
      <c r="T230" t="inlineStr">
        <is>
          <t>Central rule applies (value agrees)</t>
        </is>
      </c>
      <c r="U230" t="inlineStr"/>
      <c r="V230" t="inlineStr">
        <is>
          <t>Searching for course page</t>
        </is>
      </c>
      <c r="W230" t="inlineStr"/>
      <c r="X230" t="inlineStr"/>
      <c r="Y230" t="n">
        <v>0</v>
      </c>
      <c r="Z230" t="inlineStr">
        <is>
          <t>Yes</t>
        </is>
      </c>
      <c r="AA230" t="inlineStr">
        <is>
          <t>Not stated on course page</t>
        </is>
      </c>
      <c r="AB230" t="inlineStr"/>
      <c r="AC230" t="inlineStr">
        <is>
          <t>Skipped: no correct course page: the page found is for another course</t>
        </is>
      </c>
      <c r="AD230" t="n">
        <v>1</v>
      </c>
      <c r="AE230" t="inlineStr"/>
      <c r="AF230" t="inlineStr"/>
      <c r="AG230" t="inlineStr"/>
      <c r="AH230" t="inlineStr"/>
      <c r="AI230" t="inlineStr"/>
      <c r="AJ230" t="inlineStr"/>
      <c r="AK230" t="inlineStr"/>
      <c r="AL230" t="inlineStr"/>
      <c r="AM230" t="inlineStr">
        <is>
          <t>Yes</t>
        </is>
      </c>
    </row>
    <row r="231">
      <c r="A231" t="inlineStr">
        <is>
          <t>052229D</t>
        </is>
      </c>
      <c r="B231" t="inlineStr">
        <is>
          <t>Bachelor of Science (Computer Science) / B Arts</t>
        </is>
      </c>
      <c r="C231" t="inlineStr">
        <is>
          <t>Bachelor</t>
        </is>
      </c>
      <c r="D231" t="inlineStr">
        <is>
          <t>Undergraduate</t>
        </is>
      </c>
      <c r="E231" t="inlineStr">
        <is>
          <t>Advertised: official page in place</t>
        </is>
      </c>
      <c r="F231" t="inlineStr">
        <is>
          <t>https://www.unsw.edu.au/study/undergraduate/bachelor-of-computer-science-arts</t>
        </is>
      </c>
      <c r="G231" t="inlineStr">
        <is>
          <t>https://www.unsw.edu.au/study/undergraduate/bachelor-of-computer-science-arts</t>
        </is>
      </c>
      <c r="H231" t="inlineStr">
        <is>
          <t>Read</t>
        </is>
      </c>
      <c r="I231" t="inlineStr">
        <is>
          <t>CRICOS code on page</t>
        </is>
      </c>
      <c r="J231" t="inlineStr"/>
      <c r="K231" t="inlineStr">
        <is>
          <t>Not sent to re-link</t>
        </is>
      </c>
      <c r="L231" t="inlineStr">
        <is>
          <t>Filled</t>
        </is>
      </c>
      <c r="M231" t="inlineStr">
        <is>
          <t>Filled</t>
        </is>
      </c>
      <c r="N231" t="inlineStr">
        <is>
          <t>55500.00 2026</t>
        </is>
      </c>
      <c r="O231" t="n">
        <v>0</v>
      </c>
      <c r="P231" t="inlineStr">
        <is>
          <t>University adapter</t>
        </is>
      </c>
      <c r="Q231" t="inlineStr">
        <is>
          <t>Not stated on course page</t>
        </is>
      </c>
      <c r="S231" t="inlineStr"/>
      <c r="T231" t="inlineStr">
        <is>
          <t>Held: double degree (its parts are at different levels)</t>
        </is>
      </c>
      <c r="U231" t="inlineStr"/>
      <c r="V231" t="inlineStr">
        <is>
          <t>Filled</t>
        </is>
      </c>
      <c r="W231" t="inlineStr">
        <is>
          <t>February, May, September</t>
        </is>
      </c>
      <c r="X231" t="inlineStr">
        <is>
          <t>University adapter</t>
        </is>
      </c>
      <c r="Y231" t="n">
        <v>0</v>
      </c>
      <c r="Z231" t="inlineStr">
        <is>
          <t>Yes</t>
        </is>
      </c>
      <c r="AA231" t="inlineStr">
        <is>
          <t>Filled</t>
        </is>
      </c>
      <c r="AB231" t="inlineStr">
        <is>
          <t>on campus</t>
        </is>
      </c>
      <c r="AC231" t="inlineStr"/>
      <c r="AD231" t="n">
        <v>0</v>
      </c>
      <c r="AE231" t="inlineStr"/>
      <c r="AF231" t="inlineStr"/>
      <c r="AG231" t="inlineStr"/>
      <c r="AH231" t="inlineStr"/>
      <c r="AI231" t="inlineStr"/>
      <c r="AJ231" t="inlineStr">
        <is>
          <t>Yes</t>
        </is>
      </c>
      <c r="AK231" t="inlineStr"/>
      <c r="AL231" t="inlineStr"/>
      <c r="AM231" t="inlineStr"/>
    </row>
    <row r="232">
      <c r="A232" t="inlineStr">
        <is>
          <t>070768E</t>
        </is>
      </c>
      <c r="B232" t="inlineStr">
        <is>
          <t>Bachelor of Science (Computer Science)/ Bachelor of Laws</t>
        </is>
      </c>
      <c r="C232" t="inlineStr">
        <is>
          <t>Bachelor</t>
        </is>
      </c>
      <c r="D232" t="inlineStr">
        <is>
          <t>Undergraduate</t>
        </is>
      </c>
      <c r="E232" t="inlineStr">
        <is>
          <t>Advertised: official page in place</t>
        </is>
      </c>
      <c r="F232" t="inlineStr">
        <is>
          <t>https://www.unsw.edu.au/study/undergraduate/bachelor-of-computer-science-law</t>
        </is>
      </c>
      <c r="G232" t="inlineStr">
        <is>
          <t>https://www.unsw.edu.au/study/undergraduate/bachelor-of-computer-science-law</t>
        </is>
      </c>
      <c r="H232" t="inlineStr">
        <is>
          <t>Read</t>
        </is>
      </c>
      <c r="I232" t="inlineStr">
        <is>
          <t>CRICOS code on page</t>
        </is>
      </c>
      <c r="J232" t="inlineStr"/>
      <c r="K232" t="inlineStr">
        <is>
          <t>Not sent to re-link</t>
        </is>
      </c>
      <c r="L232" t="inlineStr">
        <is>
          <t>Filled</t>
        </is>
      </c>
      <c r="M232" t="inlineStr">
        <is>
          <t>Filled</t>
        </is>
      </c>
      <c r="N232" t="inlineStr">
        <is>
          <t>59500.00 2026</t>
        </is>
      </c>
      <c r="O232" t="n">
        <v>0</v>
      </c>
      <c r="P232" t="inlineStr">
        <is>
          <t>University adapter</t>
        </is>
      </c>
      <c r="Q232" t="inlineStr">
        <is>
          <t>Filled</t>
        </is>
      </c>
      <c r="R232" t="n">
        <v>6</v>
      </c>
      <c r="S232" t="inlineStr">
        <is>
          <t>Central English policy</t>
        </is>
      </c>
      <c r="T232" t="inlineStr">
        <is>
          <t>Central rule applies (value agrees)</t>
        </is>
      </c>
      <c r="U232" t="inlineStr"/>
      <c r="V232" t="inlineStr">
        <is>
          <t>Filled</t>
        </is>
      </c>
      <c r="W232" t="inlineStr">
        <is>
          <t>February</t>
        </is>
      </c>
      <c r="X232" t="inlineStr">
        <is>
          <t>University adapter</t>
        </is>
      </c>
      <c r="Y232" t="n">
        <v>0</v>
      </c>
      <c r="Z232" t="inlineStr">
        <is>
          <t>Yes</t>
        </is>
      </c>
      <c r="AA232" t="inlineStr">
        <is>
          <t>Filled</t>
        </is>
      </c>
      <c r="AB232" t="inlineStr">
        <is>
          <t>on campus</t>
        </is>
      </c>
      <c r="AC232" t="inlineStr"/>
      <c r="AD232" t="n">
        <v>0</v>
      </c>
      <c r="AE232" t="inlineStr"/>
      <c r="AF232" t="inlineStr"/>
      <c r="AG232" t="inlineStr"/>
      <c r="AH232" t="inlineStr"/>
      <c r="AI232" t="inlineStr"/>
      <c r="AJ232" t="inlineStr"/>
      <c r="AK232" t="inlineStr"/>
      <c r="AL232" t="inlineStr"/>
      <c r="AM232" t="inlineStr"/>
    </row>
    <row r="233">
      <c r="A233" t="inlineStr">
        <is>
          <t>077759E</t>
        </is>
      </c>
      <c r="B233" t="inlineStr">
        <is>
          <t>Bachelor of Science (Computer Science)/Bachelor of Media Arts (Honours)</t>
        </is>
      </c>
      <c r="C233" t="inlineStr">
        <is>
          <t>Bachelor Honours Degree</t>
        </is>
      </c>
      <c r="D233" t="inlineStr">
        <is>
          <t>Undergraduate</t>
        </is>
      </c>
      <c r="E233" t="inlineStr">
        <is>
          <t>No-page record (conjoint), awaiting review</t>
        </is>
      </c>
      <c r="F233" t="inlineStr"/>
      <c r="G233" t="inlineStr">
        <is>
          <t>https://www.handbook.unsw.edu.au/undergraduate/programs/2026/3922</t>
        </is>
      </c>
      <c r="H233" t="inlineStr">
        <is>
          <t>Page is for another course</t>
        </is>
      </c>
      <c r="I233" t="inlineStr"/>
      <c r="J233" t="inlineStr">
        <is>
          <t>Conjoint (proposed)</t>
        </is>
      </c>
      <c r="K233" t="inlineStr">
        <is>
          <t>Finished, no page: no address from the university's address forms or stored lis</t>
        </is>
      </c>
      <c r="L233" t="inlineStr">
        <is>
          <t>Searching for course page</t>
        </is>
      </c>
      <c r="M233" t="inlineStr">
        <is>
          <t>Searching for course page</t>
        </is>
      </c>
      <c r="N233" t="inlineStr"/>
      <c r="O233" t="n">
        <v>0</v>
      </c>
      <c r="P233" t="inlineStr"/>
      <c r="Q233" t="inlineStr">
        <is>
          <t>Filled</t>
        </is>
      </c>
      <c r="R233" t="n">
        <v>6</v>
      </c>
      <c r="S233" t="inlineStr">
        <is>
          <t>Central English policy</t>
        </is>
      </c>
      <c r="T233" t="inlineStr">
        <is>
          <t>Central rule applies (value agrees)</t>
        </is>
      </c>
      <c r="U233" t="inlineStr"/>
      <c r="V233" t="inlineStr">
        <is>
          <t>Searching for course page</t>
        </is>
      </c>
      <c r="W233" t="inlineStr"/>
      <c r="X233" t="inlineStr"/>
      <c r="Y233" t="n">
        <v>0</v>
      </c>
      <c r="Z233" t="inlineStr">
        <is>
          <t>Yes</t>
        </is>
      </c>
      <c r="AA233" t="inlineStr">
        <is>
          <t>Not stated on course page</t>
        </is>
      </c>
      <c r="AB233" t="inlineStr"/>
      <c r="AC233" t="inlineStr">
        <is>
          <t>Skipped: no correct course page: the page found is for another course</t>
        </is>
      </c>
      <c r="AD233" t="n">
        <v>0</v>
      </c>
      <c r="AE233" t="inlineStr"/>
      <c r="AF233" t="inlineStr"/>
      <c r="AG233" t="inlineStr"/>
      <c r="AH233" t="inlineStr"/>
      <c r="AI233" t="inlineStr"/>
      <c r="AJ233" t="inlineStr"/>
      <c r="AK233" t="inlineStr"/>
      <c r="AL233" t="inlineStr"/>
      <c r="AM233" t="inlineStr">
        <is>
          <t>Yes</t>
        </is>
      </c>
    </row>
    <row r="234">
      <c r="A234" t="inlineStr">
        <is>
          <t>080283K</t>
        </is>
      </c>
      <c r="B234" t="inlineStr">
        <is>
          <t>Bachelor of Science (Honours)</t>
        </is>
      </c>
      <c r="C234" t="inlineStr">
        <is>
          <t>Bachelor Honours Degree</t>
        </is>
      </c>
      <c r="D234" t="inlineStr">
        <is>
          <t>Undergraduate</t>
        </is>
      </c>
      <c r="E234" t="inlineStr">
        <is>
          <t>Advertised: official page in place</t>
        </is>
      </c>
      <c r="F234" t="inlineStr">
        <is>
          <t>https://www.unsw.edu.au/study/undergraduate/bachelor-of-science-honours</t>
        </is>
      </c>
      <c r="G234" t="inlineStr">
        <is>
          <t>https://www.unsw.edu.au/study/undergraduate/bachelor-of-science-honours</t>
        </is>
      </c>
      <c r="H234" t="inlineStr">
        <is>
          <t>Read</t>
        </is>
      </c>
      <c r="I234" t="inlineStr">
        <is>
          <t>CRICOS code on page</t>
        </is>
      </c>
      <c r="J234" t="inlineStr"/>
      <c r="K234" t="inlineStr">
        <is>
          <t>Not sent to re-link</t>
        </is>
      </c>
      <c r="L234" t="inlineStr">
        <is>
          <t>Filled</t>
        </is>
      </c>
      <c r="M234" t="inlineStr">
        <is>
          <t>Filled</t>
        </is>
      </c>
      <c r="N234" t="inlineStr">
        <is>
          <t>63000.00 2026</t>
        </is>
      </c>
      <c r="O234" t="n">
        <v>0</v>
      </c>
      <c r="P234" t="inlineStr">
        <is>
          <t>University adapter</t>
        </is>
      </c>
      <c r="Q234" t="inlineStr">
        <is>
          <t>Filled</t>
        </is>
      </c>
      <c r="R234" t="n">
        <v>6</v>
      </c>
      <c r="S234" t="inlineStr">
        <is>
          <t>Central English policy</t>
        </is>
      </c>
      <c r="T234" t="inlineStr">
        <is>
          <t>Central rule applies (value agrees)</t>
        </is>
      </c>
      <c r="U234" t="inlineStr"/>
      <c r="V234" t="inlineStr">
        <is>
          <t>Filled</t>
        </is>
      </c>
      <c r="W234" t="inlineStr">
        <is>
          <t>February, May, September</t>
        </is>
      </c>
      <c r="X234" t="inlineStr">
        <is>
          <t>University adapter</t>
        </is>
      </c>
      <c r="Y234" t="n">
        <v>0</v>
      </c>
      <c r="Z234" t="inlineStr">
        <is>
          <t>Yes</t>
        </is>
      </c>
      <c r="AA234" t="inlineStr">
        <is>
          <t>Filled</t>
        </is>
      </c>
      <c r="AB234" t="inlineStr">
        <is>
          <t>on campus</t>
        </is>
      </c>
      <c r="AC234" t="inlineStr"/>
      <c r="AD234" t="n">
        <v>0</v>
      </c>
      <c r="AE234" t="inlineStr"/>
      <c r="AF234" t="inlineStr"/>
      <c r="AG234" t="inlineStr"/>
      <c r="AH234" t="inlineStr"/>
      <c r="AI234" t="inlineStr"/>
      <c r="AJ234" t="inlineStr"/>
      <c r="AK234" t="inlineStr"/>
      <c r="AL234" t="inlineStr"/>
      <c r="AM234" t="inlineStr"/>
    </row>
    <row r="235">
      <c r="A235" t="inlineStr">
        <is>
          <t>096379D</t>
        </is>
      </c>
      <c r="B235" t="inlineStr">
        <is>
          <t>Bachelor of Science (Honours)</t>
        </is>
      </c>
      <c r="C235" t="inlineStr">
        <is>
          <t>Bachelor Honours Degree</t>
        </is>
      </c>
      <c r="D235" t="inlineStr">
        <is>
          <t>Undergraduate</t>
        </is>
      </c>
      <c r="E235" t="inlineStr">
        <is>
          <t>Advertised: official page in place</t>
        </is>
      </c>
      <c r="F235" t="inlineStr">
        <is>
          <t>https://www.unsw.edu.au/study/undergraduate/bachelor-of-science-honours</t>
        </is>
      </c>
      <c r="G235" t="inlineStr">
        <is>
          <t>https://www.unsw.edu.au/study/undergraduate/bachelor-of-science-honours</t>
        </is>
      </c>
      <c r="H235" t="inlineStr">
        <is>
          <t>Read</t>
        </is>
      </c>
      <c r="I235" t="inlineStr">
        <is>
          <t>Exact title match</t>
        </is>
      </c>
      <c r="J235" t="inlineStr"/>
      <c r="K235" t="inlineStr">
        <is>
          <t>Not sent to re-link</t>
        </is>
      </c>
      <c r="L235" t="inlineStr">
        <is>
          <t>Filled</t>
        </is>
      </c>
      <c r="M235" t="inlineStr">
        <is>
          <t>Filled</t>
        </is>
      </c>
      <c r="N235" t="inlineStr">
        <is>
          <t>63000.00 2026</t>
        </is>
      </c>
      <c r="O235" t="n">
        <v>0</v>
      </c>
      <c r="P235" t="inlineStr">
        <is>
          <t>University adapter</t>
        </is>
      </c>
      <c r="Q235" t="inlineStr">
        <is>
          <t>Filled</t>
        </is>
      </c>
      <c r="R235" t="n">
        <v>6</v>
      </c>
      <c r="S235" t="inlineStr">
        <is>
          <t>Central English policy</t>
        </is>
      </c>
      <c r="T235" t="inlineStr">
        <is>
          <t>Central rule applies (value agrees)</t>
        </is>
      </c>
      <c r="U235" t="inlineStr"/>
      <c r="V235" t="inlineStr">
        <is>
          <t>Filled</t>
        </is>
      </c>
      <c r="W235" t="inlineStr">
        <is>
          <t>February, May, September</t>
        </is>
      </c>
      <c r="X235" t="inlineStr">
        <is>
          <t>University adapter</t>
        </is>
      </c>
      <c r="Y235" t="n">
        <v>0</v>
      </c>
      <c r="Z235" t="inlineStr">
        <is>
          <t>Yes</t>
        </is>
      </c>
      <c r="AA235" t="inlineStr">
        <is>
          <t>Filled</t>
        </is>
      </c>
      <c r="AB235" t="inlineStr">
        <is>
          <t>on campus</t>
        </is>
      </c>
      <c r="AC235" t="inlineStr"/>
      <c r="AD235" t="n">
        <v>0</v>
      </c>
      <c r="AE235" t="inlineStr"/>
      <c r="AF235" t="inlineStr"/>
      <c r="AG235" t="inlineStr"/>
      <c r="AH235" t="inlineStr"/>
      <c r="AI235" t="inlineStr"/>
      <c r="AJ235" t="inlineStr"/>
      <c r="AK235" t="inlineStr"/>
      <c r="AL235" t="inlineStr"/>
      <c r="AM235" t="inlineStr"/>
    </row>
    <row r="236">
      <c r="A236" t="inlineStr">
        <is>
          <t>068780E</t>
        </is>
      </c>
      <c r="B236" t="inlineStr">
        <is>
          <t>Bachelor of Science (International)</t>
        </is>
      </c>
      <c r="C236" t="inlineStr">
        <is>
          <t>Bachelor</t>
        </is>
      </c>
      <c r="D236" t="inlineStr">
        <is>
          <t>Undergraduate</t>
        </is>
      </c>
      <c r="E236" t="inlineStr">
        <is>
          <t>Page address no longer works</t>
        </is>
      </c>
      <c r="F236" t="inlineStr"/>
      <c r="G236" t="inlineStr">
        <is>
          <t>https://www.unsw.edu.au/study/undergraduate/bachelor-of-science-international?studentType&amp;</t>
        </is>
      </c>
      <c r="H236" t="inlineStr">
        <is>
          <t>Address no longer works</t>
        </is>
      </c>
      <c r="I236" t="inlineStr"/>
      <c r="J236" t="inlineStr"/>
      <c r="K236" t="inlineStr">
        <is>
          <t>Finished, no page: every candidate address was refused by the reader or did not</t>
        </is>
      </c>
      <c r="L236" t="inlineStr">
        <is>
          <t>Page found, being read</t>
        </is>
      </c>
      <c r="M236" t="inlineStr">
        <is>
          <t>Page found, being read</t>
        </is>
      </c>
      <c r="N236" t="inlineStr"/>
      <c r="O236" t="n">
        <v>0</v>
      </c>
      <c r="P236" t="inlineStr"/>
      <c r="Q236" t="inlineStr">
        <is>
          <t>Filled</t>
        </is>
      </c>
      <c r="R236" t="n">
        <v>6</v>
      </c>
      <c r="S236" t="inlineStr">
        <is>
          <t>Central English policy</t>
        </is>
      </c>
      <c r="T236" t="inlineStr">
        <is>
          <t>Central rule applies (value agrees)</t>
        </is>
      </c>
      <c r="U236" t="inlineStr"/>
      <c r="V236" t="inlineStr">
        <is>
          <t>Page found, being read</t>
        </is>
      </c>
      <c r="W236" t="inlineStr"/>
      <c r="X236" t="inlineStr"/>
      <c r="Y236" t="n">
        <v>0</v>
      </c>
      <c r="Z236" t="inlineStr">
        <is>
          <t>Yes</t>
        </is>
      </c>
      <c r="AA236" t="inlineStr">
        <is>
          <t>Not stated on course page</t>
        </is>
      </c>
      <c r="AB236" t="inlineStr"/>
      <c r="AC236" t="inlineStr">
        <is>
          <t>Skipped: the page does not state it</t>
        </is>
      </c>
      <c r="AD236" t="n">
        <v>0</v>
      </c>
      <c r="AE236" t="inlineStr"/>
      <c r="AF236" t="inlineStr"/>
      <c r="AG236" t="inlineStr"/>
      <c r="AH236" t="inlineStr"/>
      <c r="AI236" t="inlineStr"/>
      <c r="AJ236" t="inlineStr"/>
      <c r="AK236" t="inlineStr"/>
      <c r="AL236" t="inlineStr"/>
      <c r="AM236" t="inlineStr"/>
    </row>
    <row r="237">
      <c r="A237" t="inlineStr">
        <is>
          <t>107252B</t>
        </is>
      </c>
      <c r="B237" t="inlineStr">
        <is>
          <t>Bachelor of Science (Medicine)</t>
        </is>
      </c>
      <c r="C237" t="inlineStr">
        <is>
          <t>Bachelor</t>
        </is>
      </c>
      <c r="D237" t="inlineStr">
        <is>
          <t>Undergraduate</t>
        </is>
      </c>
      <c r="E237" t="inlineStr">
        <is>
          <t>Held: page found is for another course</t>
        </is>
      </c>
      <c r="F237" t="inlineStr"/>
      <c r="G237" t="inlineStr">
        <is>
          <t>https://www.unsw.edu.au/study/undergraduate/bachelor-of-science</t>
        </is>
      </c>
      <c r="H237" t="inlineStr">
        <is>
          <t>Page is for another course</t>
        </is>
      </c>
      <c r="I237" t="inlineStr"/>
      <c r="J237" t="inlineStr"/>
      <c r="K237" t="inlineStr">
        <is>
          <t>Finished, no page: no address from the university's address forms or stored lis</t>
        </is>
      </c>
      <c r="L237" t="inlineStr">
        <is>
          <t>Searching for course page</t>
        </is>
      </c>
      <c r="M237" t="inlineStr">
        <is>
          <t>Searching for course page</t>
        </is>
      </c>
      <c r="N237" t="inlineStr"/>
      <c r="O237" t="n">
        <v>0</v>
      </c>
      <c r="P237" t="inlineStr"/>
      <c r="Q237" t="inlineStr">
        <is>
          <t>Filled</t>
        </is>
      </c>
      <c r="R237" t="n">
        <v>6</v>
      </c>
      <c r="S237" t="inlineStr">
        <is>
          <t>Central English policy</t>
        </is>
      </c>
      <c r="T237" t="inlineStr">
        <is>
          <t>Central rule applies (value agrees)</t>
        </is>
      </c>
      <c r="U237" t="inlineStr"/>
      <c r="V237" t="inlineStr">
        <is>
          <t>Searching for course page</t>
        </is>
      </c>
      <c r="W237" t="inlineStr"/>
      <c r="X237" t="inlineStr"/>
      <c r="Y237" t="n">
        <v>0</v>
      </c>
      <c r="Z237" t="inlineStr">
        <is>
          <t>Yes</t>
        </is>
      </c>
      <c r="AA237" t="inlineStr">
        <is>
          <t>Not stated on course page</t>
        </is>
      </c>
      <c r="AB237" t="inlineStr"/>
      <c r="AC237" t="inlineStr">
        <is>
          <t>Skipped: no correct course page: the page found is for another course</t>
        </is>
      </c>
      <c r="AD237" t="n">
        <v>1</v>
      </c>
      <c r="AE237" t="inlineStr"/>
      <c r="AF237" t="inlineStr"/>
      <c r="AG237" t="inlineStr"/>
      <c r="AH237" t="inlineStr"/>
      <c r="AI237" t="inlineStr"/>
      <c r="AJ237" t="inlineStr"/>
      <c r="AK237" t="inlineStr"/>
      <c r="AL237" t="inlineStr"/>
      <c r="AM237" t="inlineStr"/>
    </row>
    <row r="238">
      <c r="A238" t="inlineStr">
        <is>
          <t>015786D</t>
        </is>
      </c>
      <c r="B238" t="inlineStr">
        <is>
          <t>Bachelor of Science (Medicine) Honours</t>
        </is>
      </c>
      <c r="C238" t="inlineStr">
        <is>
          <t>Bachelor Honours Degree</t>
        </is>
      </c>
      <c r="D238" t="inlineStr">
        <is>
          <t>Undergraduate</t>
        </is>
      </c>
      <c r="E238" t="inlineStr">
        <is>
          <t>Advertised: official page in place</t>
        </is>
      </c>
      <c r="F238" t="inlineStr">
        <is>
          <t>https://www.handbook.unsw.edu.au/undergraduate/programs/2026/3831</t>
        </is>
      </c>
      <c r="G238" t="inlineStr">
        <is>
          <t>https://www.handbook.unsw.edu.au/undergraduate/programs/2026/3831</t>
        </is>
      </c>
      <c r="H238" t="inlineStr">
        <is>
          <t>Read</t>
        </is>
      </c>
      <c r="I238" t="inlineStr">
        <is>
          <t>CRICOS code on page</t>
        </is>
      </c>
      <c r="J238" t="inlineStr"/>
      <c r="K238" t="inlineStr">
        <is>
          <t>Not sent to re-link</t>
        </is>
      </c>
      <c r="L238" t="inlineStr">
        <is>
          <t>Filled</t>
        </is>
      </c>
      <c r="M238" t="inlineStr">
        <is>
          <t>Not stated on course page</t>
        </is>
      </c>
      <c r="N238" t="inlineStr"/>
      <c r="O238" t="n">
        <v>0</v>
      </c>
      <c r="P238" t="inlineStr"/>
      <c r="Q238" t="inlineStr">
        <is>
          <t>Filled</t>
        </is>
      </c>
      <c r="R238" t="n">
        <v>6</v>
      </c>
      <c r="S238" t="inlineStr">
        <is>
          <t>Central English policy</t>
        </is>
      </c>
      <c r="T238" t="inlineStr">
        <is>
          <t>Central rule applies (value agrees)</t>
        </is>
      </c>
      <c r="U238" t="inlineStr"/>
      <c r="V238" t="inlineStr">
        <is>
          <t>Filled</t>
        </is>
      </c>
      <c r="W238" t="inlineStr">
        <is>
          <t>February</t>
        </is>
      </c>
      <c r="X238" t="inlineStr">
        <is>
          <t>University adapter</t>
        </is>
      </c>
      <c r="Y238" t="n">
        <v>0</v>
      </c>
      <c r="Z238" t="inlineStr">
        <is>
          <t>Yes</t>
        </is>
      </c>
      <c r="AA238" t="inlineStr">
        <is>
          <t>Filled</t>
        </is>
      </c>
      <c r="AB238" t="inlineStr">
        <is>
          <t>online</t>
        </is>
      </c>
      <c r="AC238" t="inlineStr"/>
      <c r="AD238" t="n">
        <v>0</v>
      </c>
      <c r="AE238" t="inlineStr"/>
      <c r="AF238" t="inlineStr"/>
      <c r="AG238" t="inlineStr"/>
      <c r="AH238" t="inlineStr"/>
      <c r="AI238" t="inlineStr"/>
      <c r="AJ238" t="inlineStr"/>
      <c r="AK238" t="inlineStr"/>
      <c r="AL238" t="inlineStr"/>
      <c r="AM238" t="inlineStr"/>
    </row>
    <row r="239">
      <c r="A239" t="inlineStr">
        <is>
          <t>015787C</t>
        </is>
      </c>
      <c r="B239" t="inlineStr">
        <is>
          <t>Bachelor of Science / Bachelor of Arts</t>
        </is>
      </c>
      <c r="C239" t="inlineStr">
        <is>
          <t>Bachelor</t>
        </is>
      </c>
      <c r="D239" t="inlineStr">
        <is>
          <t>Undergraduate</t>
        </is>
      </c>
      <c r="E239" t="inlineStr">
        <is>
          <t>Advertised: official page in place</t>
        </is>
      </c>
      <c r="F239" t="inlineStr">
        <is>
          <t>https://www.unsw.edu.au/study/undergraduate/bachelor-of-science-arts</t>
        </is>
      </c>
      <c r="G239" t="inlineStr">
        <is>
          <t>https://www.unsw.edu.au/study/undergraduate/bachelor-of-science-arts</t>
        </is>
      </c>
      <c r="H239" t="inlineStr">
        <is>
          <t>Read</t>
        </is>
      </c>
      <c r="I239" t="inlineStr">
        <is>
          <t>CRICOS code on page</t>
        </is>
      </c>
      <c r="J239" t="inlineStr"/>
      <c r="K239" t="inlineStr">
        <is>
          <t>Not sent to re-link</t>
        </is>
      </c>
      <c r="L239" t="inlineStr">
        <is>
          <t>Filled</t>
        </is>
      </c>
      <c r="M239" t="inlineStr">
        <is>
          <t>Filled</t>
        </is>
      </c>
      <c r="N239" t="inlineStr">
        <is>
          <t>55500.00 2026</t>
        </is>
      </c>
      <c r="O239" t="n">
        <v>0</v>
      </c>
      <c r="P239" t="inlineStr">
        <is>
          <t>University adapter</t>
        </is>
      </c>
      <c r="Q239" t="inlineStr">
        <is>
          <t>Filled</t>
        </is>
      </c>
      <c r="R239" t="n">
        <v>6</v>
      </c>
      <c r="S239" t="inlineStr">
        <is>
          <t>Central English policy</t>
        </is>
      </c>
      <c r="T239" t="inlineStr">
        <is>
          <t>Central rule applies (value agrees)</t>
        </is>
      </c>
      <c r="U239" t="inlineStr"/>
      <c r="V239" t="inlineStr">
        <is>
          <t>Filled</t>
        </is>
      </c>
      <c r="W239" t="inlineStr">
        <is>
          <t>February, May, September</t>
        </is>
      </c>
      <c r="X239" t="inlineStr">
        <is>
          <t>University adapter</t>
        </is>
      </c>
      <c r="Y239" t="n">
        <v>0</v>
      </c>
      <c r="Z239" t="inlineStr">
        <is>
          <t>Yes</t>
        </is>
      </c>
      <c r="AA239" t="inlineStr">
        <is>
          <t>Filled</t>
        </is>
      </c>
      <c r="AB239" t="inlineStr">
        <is>
          <t>on campus</t>
        </is>
      </c>
      <c r="AC239" t="inlineStr"/>
      <c r="AD239" t="n">
        <v>0</v>
      </c>
      <c r="AE239" t="inlineStr"/>
      <c r="AF239" t="inlineStr"/>
      <c r="AG239" t="inlineStr"/>
      <c r="AH239" t="inlineStr"/>
      <c r="AI239" t="inlineStr"/>
      <c r="AJ239" t="inlineStr"/>
      <c r="AK239" t="inlineStr"/>
      <c r="AL239" t="inlineStr"/>
      <c r="AM239" t="inlineStr"/>
    </row>
    <row r="240">
      <c r="A240" t="inlineStr">
        <is>
          <t>015779C</t>
        </is>
      </c>
      <c r="B240" t="inlineStr">
        <is>
          <t>Bachelor of Science / Bachelor of Laws</t>
        </is>
      </c>
      <c r="C240" t="inlineStr">
        <is>
          <t>Bachelor</t>
        </is>
      </c>
      <c r="D240" t="inlineStr">
        <is>
          <t>Undergraduate</t>
        </is>
      </c>
      <c r="E240" t="inlineStr">
        <is>
          <t>Advertised: official page in place</t>
        </is>
      </c>
      <c r="F240" t="inlineStr">
        <is>
          <t>https://www.unsw.edu.au/study/undergraduate/bachelor-of-science-law</t>
        </is>
      </c>
      <c r="G240" t="inlineStr">
        <is>
          <t>https://www.unsw.edu.au/study/undergraduate/bachelor-of-science-law</t>
        </is>
      </c>
      <c r="H240" t="inlineStr">
        <is>
          <t>Read</t>
        </is>
      </c>
      <c r="I240" t="inlineStr">
        <is>
          <t>CRICOS code on page</t>
        </is>
      </c>
      <c r="J240" t="inlineStr"/>
      <c r="K240" t="inlineStr">
        <is>
          <t>Not sent to re-link</t>
        </is>
      </c>
      <c r="L240" t="inlineStr">
        <is>
          <t>Filled</t>
        </is>
      </c>
      <c r="M240" t="inlineStr">
        <is>
          <t>Filled</t>
        </is>
      </c>
      <c r="N240" t="inlineStr">
        <is>
          <t>60500.00 2026</t>
        </is>
      </c>
      <c r="O240" t="n">
        <v>0</v>
      </c>
      <c r="P240" t="inlineStr">
        <is>
          <t>University adapter</t>
        </is>
      </c>
      <c r="Q240" t="inlineStr">
        <is>
          <t>Filled</t>
        </is>
      </c>
      <c r="R240" t="n">
        <v>6</v>
      </c>
      <c r="S240" t="inlineStr">
        <is>
          <t>Central English policy</t>
        </is>
      </c>
      <c r="T240" t="inlineStr">
        <is>
          <t>Central rule applies (value agrees)</t>
        </is>
      </c>
      <c r="U240" t="inlineStr"/>
      <c r="V240" t="inlineStr">
        <is>
          <t>Filled</t>
        </is>
      </c>
      <c r="W240" t="inlineStr">
        <is>
          <t>February</t>
        </is>
      </c>
      <c r="X240" t="inlineStr">
        <is>
          <t>University adapter</t>
        </is>
      </c>
      <c r="Y240" t="n">
        <v>0</v>
      </c>
      <c r="Z240" t="inlineStr">
        <is>
          <t>Yes</t>
        </is>
      </c>
      <c r="AA240" t="inlineStr">
        <is>
          <t>Filled</t>
        </is>
      </c>
      <c r="AB240" t="inlineStr">
        <is>
          <t>on campus</t>
        </is>
      </c>
      <c r="AC240" t="inlineStr"/>
      <c r="AD240" t="n">
        <v>0</v>
      </c>
      <c r="AE240" t="inlineStr"/>
      <c r="AF240" t="inlineStr"/>
      <c r="AG240" t="inlineStr"/>
      <c r="AH240" t="inlineStr"/>
      <c r="AI240" t="inlineStr"/>
      <c r="AJ240" t="inlineStr"/>
      <c r="AK240" t="inlineStr"/>
      <c r="AL240" t="inlineStr"/>
      <c r="AM240" t="inlineStr"/>
    </row>
    <row r="241">
      <c r="A241" t="inlineStr">
        <is>
          <t>077431G</t>
        </is>
      </c>
      <c r="B241" t="inlineStr">
        <is>
          <t>Bachelor of Science and Business</t>
        </is>
      </c>
      <c r="C241" t="inlineStr">
        <is>
          <t>Bachelor</t>
        </is>
      </c>
      <c r="D241" t="inlineStr">
        <is>
          <t>Undergraduate</t>
        </is>
      </c>
      <c r="E241" t="inlineStr">
        <is>
          <t>Page address no longer works</t>
        </is>
      </c>
      <c r="F241" t="inlineStr"/>
      <c r="G241" t="inlineStr">
        <is>
          <t>https://www.handbook.unsw.edu.au/undergraduate/programs/2026/4772</t>
        </is>
      </c>
      <c r="H241" t="inlineStr">
        <is>
          <t>Address no longer works</t>
        </is>
      </c>
      <c r="I241" t="inlineStr"/>
      <c r="J241" t="inlineStr"/>
      <c r="K241" t="inlineStr">
        <is>
          <t>Not sent to re-link</t>
        </is>
      </c>
      <c r="L241" t="inlineStr">
        <is>
          <t>Page found, being read</t>
        </is>
      </c>
      <c r="M241" t="inlineStr">
        <is>
          <t>Page found, being read</t>
        </is>
      </c>
      <c r="N241" t="inlineStr"/>
      <c r="O241" t="n">
        <v>0</v>
      </c>
      <c r="P241" t="inlineStr"/>
      <c r="Q241" t="inlineStr">
        <is>
          <t>Filled</t>
        </is>
      </c>
      <c r="R241" t="n">
        <v>6</v>
      </c>
      <c r="S241" t="inlineStr">
        <is>
          <t>Central English policy</t>
        </is>
      </c>
      <c r="T241" t="inlineStr">
        <is>
          <t>Central rule applies (value agrees)</t>
        </is>
      </c>
      <c r="U241" t="inlineStr"/>
      <c r="V241" t="inlineStr">
        <is>
          <t>Page found, being read</t>
        </is>
      </c>
      <c r="W241" t="inlineStr"/>
      <c r="X241" t="inlineStr"/>
      <c r="Y241" t="n">
        <v>0</v>
      </c>
      <c r="Z241" t="inlineStr">
        <is>
          <t>Yes</t>
        </is>
      </c>
      <c r="AA241" t="inlineStr">
        <is>
          <t>Not stated on course page</t>
        </is>
      </c>
      <c r="AB241" t="inlineStr"/>
      <c r="AC241" t="inlineStr">
        <is>
          <t>Skipped: no allowed source had a value</t>
        </is>
      </c>
      <c r="AD241" t="n">
        <v>0</v>
      </c>
      <c r="AE241" t="inlineStr"/>
      <c r="AF241" t="inlineStr"/>
      <c r="AG241" t="inlineStr"/>
      <c r="AH241" t="inlineStr"/>
      <c r="AI241" t="inlineStr"/>
      <c r="AJ241" t="inlineStr"/>
      <c r="AK241" t="inlineStr"/>
      <c r="AL241" t="inlineStr"/>
      <c r="AM241" t="inlineStr"/>
    </row>
    <row r="242">
      <c r="A242" t="inlineStr">
        <is>
          <t>080475B</t>
        </is>
      </c>
      <c r="B242" t="inlineStr">
        <is>
          <t>Bachelor of Science and Business/Bachelor of Laws</t>
        </is>
      </c>
      <c r="C242" t="inlineStr">
        <is>
          <t>Bachelor</t>
        </is>
      </c>
      <c r="D242" t="inlineStr">
        <is>
          <t>Undergraduate</t>
        </is>
      </c>
      <c r="E242" t="inlineStr">
        <is>
          <t>Page address no longer works</t>
        </is>
      </c>
      <c r="F242" t="inlineStr"/>
      <c r="G242" t="inlineStr">
        <is>
          <t>https://www.handbook.unsw.edu.au/undergraduate/programs/2026/4772</t>
        </is>
      </c>
      <c r="H242" t="inlineStr">
        <is>
          <t>Address no longer works</t>
        </is>
      </c>
      <c r="I242" t="inlineStr"/>
      <c r="J242" t="inlineStr"/>
      <c r="K242" t="inlineStr">
        <is>
          <t>Not sent to re-link</t>
        </is>
      </c>
      <c r="L242" t="inlineStr">
        <is>
          <t>Page found, being read</t>
        </is>
      </c>
      <c r="M242" t="inlineStr">
        <is>
          <t>Page found, being read</t>
        </is>
      </c>
      <c r="N242" t="inlineStr"/>
      <c r="O242" t="n">
        <v>0</v>
      </c>
      <c r="P242" t="inlineStr"/>
      <c r="Q242" t="inlineStr">
        <is>
          <t>Filled</t>
        </is>
      </c>
      <c r="R242" t="n">
        <v>6</v>
      </c>
      <c r="S242" t="inlineStr">
        <is>
          <t>Central English policy</t>
        </is>
      </c>
      <c r="T242" t="inlineStr">
        <is>
          <t>Central rule applies (value agrees)</t>
        </is>
      </c>
      <c r="U242" t="inlineStr"/>
      <c r="V242" t="inlineStr">
        <is>
          <t>Page found, being read</t>
        </is>
      </c>
      <c r="W242" t="inlineStr"/>
      <c r="X242" t="inlineStr"/>
      <c r="Y242" t="n">
        <v>0</v>
      </c>
      <c r="Z242" t="inlineStr">
        <is>
          <t>Yes</t>
        </is>
      </c>
      <c r="AA242" t="inlineStr">
        <is>
          <t>Not stated on course page</t>
        </is>
      </c>
      <c r="AB242" t="inlineStr"/>
      <c r="AC242" t="inlineStr">
        <is>
          <t>Skipped: no allowed source had a value</t>
        </is>
      </c>
      <c r="AD242" t="n">
        <v>0</v>
      </c>
      <c r="AE242" t="inlineStr"/>
      <c r="AF242" t="inlineStr"/>
      <c r="AG242" t="inlineStr"/>
      <c r="AH242" t="inlineStr"/>
      <c r="AI242" t="inlineStr"/>
      <c r="AJ242" t="inlineStr"/>
      <c r="AK242" t="inlineStr"/>
      <c r="AL242" t="inlineStr"/>
      <c r="AM242" t="inlineStr"/>
    </row>
    <row r="243">
      <c r="A243" t="inlineStr">
        <is>
          <t>075263A</t>
        </is>
      </c>
      <c r="B243" t="inlineStr">
        <is>
          <t>Bachelor of Science/ Bachelor of Education</t>
        </is>
      </c>
      <c r="C243" t="inlineStr">
        <is>
          <t>Bachelor</t>
        </is>
      </c>
      <c r="D243" t="inlineStr">
        <is>
          <t>Undergraduate</t>
        </is>
      </c>
      <c r="E243" t="inlineStr">
        <is>
          <t>Advertised: official page in place</t>
        </is>
      </c>
      <c r="F243" t="inlineStr">
        <is>
          <t>https://www.unsw.edu.au/study/undergraduate/bachelor-of-science-education-secondary</t>
        </is>
      </c>
      <c r="G243" t="inlineStr">
        <is>
          <t>https://www.unsw.edu.au/study/undergraduate/bachelor-of-science-education-secondary</t>
        </is>
      </c>
      <c r="H243" t="inlineStr">
        <is>
          <t>Read</t>
        </is>
      </c>
      <c r="I243" t="inlineStr">
        <is>
          <t>CRICOS code on page</t>
        </is>
      </c>
      <c r="J243" t="inlineStr"/>
      <c r="K243" t="inlineStr">
        <is>
          <t>Not sent to re-link</t>
        </is>
      </c>
      <c r="L243" t="inlineStr">
        <is>
          <t>Filled</t>
        </is>
      </c>
      <c r="M243" t="inlineStr">
        <is>
          <t>Filled</t>
        </is>
      </c>
      <c r="N243" t="inlineStr">
        <is>
          <t>58000.00 2026</t>
        </is>
      </c>
      <c r="O243" t="n">
        <v>0</v>
      </c>
      <c r="P243" t="inlineStr">
        <is>
          <t>University adapter</t>
        </is>
      </c>
      <c r="Q243" t="inlineStr">
        <is>
          <t>Filled</t>
        </is>
      </c>
      <c r="R243" t="n">
        <v>6</v>
      </c>
      <c r="S243" t="inlineStr">
        <is>
          <t>Central English policy</t>
        </is>
      </c>
      <c r="T243" t="inlineStr">
        <is>
          <t>Central rule applies (value agrees)</t>
        </is>
      </c>
      <c r="U243" t="inlineStr"/>
      <c r="V243" t="inlineStr">
        <is>
          <t>Filled</t>
        </is>
      </c>
      <c r="W243" t="inlineStr">
        <is>
          <t>February, September</t>
        </is>
      </c>
      <c r="X243" t="inlineStr">
        <is>
          <t>University adapter</t>
        </is>
      </c>
      <c r="Y243" t="n">
        <v>0</v>
      </c>
      <c r="Z243" t="inlineStr">
        <is>
          <t>Yes</t>
        </is>
      </c>
      <c r="AA243" t="inlineStr">
        <is>
          <t>Filled</t>
        </is>
      </c>
      <c r="AB243" t="inlineStr">
        <is>
          <t>on campus</t>
        </is>
      </c>
      <c r="AC243" t="inlineStr"/>
      <c r="AD243" t="n">
        <v>0</v>
      </c>
      <c r="AE243" t="inlineStr"/>
      <c r="AF243" t="inlineStr"/>
      <c r="AG243" t="inlineStr"/>
      <c r="AH243" t="inlineStr"/>
      <c r="AI243" t="inlineStr"/>
      <c r="AJ243" t="inlineStr"/>
      <c r="AK243" t="inlineStr"/>
      <c r="AL243" t="inlineStr"/>
      <c r="AM243" t="inlineStr"/>
    </row>
    <row r="244">
      <c r="A244" t="inlineStr">
        <is>
          <t>085167G</t>
        </is>
      </c>
      <c r="B244" t="inlineStr">
        <is>
          <t>Bachelor of Science/Bachelor of Fine Arts</t>
        </is>
      </c>
      <c r="C244" t="inlineStr">
        <is>
          <t>Bachelor</t>
        </is>
      </c>
      <c r="D244" t="inlineStr">
        <is>
          <t>Undergraduate</t>
        </is>
      </c>
      <c r="E244" t="inlineStr">
        <is>
          <t>No-page record (conjoint), awaiting review</t>
        </is>
      </c>
      <c r="F244" t="inlineStr"/>
      <c r="G244" t="inlineStr">
        <is>
          <t>https://www.unsw.edu.au/study/undergraduate/bachelor-of-science-fine-arts1</t>
        </is>
      </c>
      <c r="H244" t="inlineStr">
        <is>
          <t>Page is for another course</t>
        </is>
      </c>
      <c r="I244" t="inlineStr"/>
      <c r="J244" t="inlineStr">
        <is>
          <t>Conjoint (proposed)</t>
        </is>
      </c>
      <c r="K244" t="inlineStr">
        <is>
          <t>Finished, no page: no address from the university's address forms or stored lis</t>
        </is>
      </c>
      <c r="L244" t="inlineStr">
        <is>
          <t>Searching for course page</t>
        </is>
      </c>
      <c r="M244" t="inlineStr">
        <is>
          <t>Searching for course page</t>
        </is>
      </c>
      <c r="N244" t="inlineStr"/>
      <c r="O244" t="n">
        <v>0</v>
      </c>
      <c r="P244" t="inlineStr"/>
      <c r="Q244" t="inlineStr">
        <is>
          <t>Filled</t>
        </is>
      </c>
      <c r="R244" t="n">
        <v>6</v>
      </c>
      <c r="S244" t="inlineStr">
        <is>
          <t>Central English policy</t>
        </is>
      </c>
      <c r="T244" t="inlineStr">
        <is>
          <t>Central rule applies (value agrees)</t>
        </is>
      </c>
      <c r="U244" t="inlineStr"/>
      <c r="V244" t="inlineStr">
        <is>
          <t>Searching for course page</t>
        </is>
      </c>
      <c r="W244" t="inlineStr"/>
      <c r="X244" t="inlineStr"/>
      <c r="Y244" t="n">
        <v>0</v>
      </c>
      <c r="Z244" t="inlineStr">
        <is>
          <t>Yes</t>
        </is>
      </c>
      <c r="AA244" t="inlineStr">
        <is>
          <t>Not stated on course page</t>
        </is>
      </c>
      <c r="AB244" t="inlineStr"/>
      <c r="AC244" t="inlineStr">
        <is>
          <t>Skipped: no correct course page: the page found is for another course</t>
        </is>
      </c>
      <c r="AD244" t="n">
        <v>0</v>
      </c>
      <c r="AE244" t="inlineStr"/>
      <c r="AF244" t="inlineStr"/>
      <c r="AG244" t="inlineStr"/>
      <c r="AH244" t="inlineStr"/>
      <c r="AI244" t="inlineStr"/>
      <c r="AJ244" t="inlineStr"/>
      <c r="AK244" t="inlineStr"/>
      <c r="AL244" t="inlineStr"/>
      <c r="AM244" t="inlineStr">
        <is>
          <t>Yes</t>
        </is>
      </c>
    </row>
    <row r="245">
      <c r="A245" t="inlineStr">
        <is>
          <t>110684G</t>
        </is>
      </c>
      <c r="B245" t="inlineStr">
        <is>
          <t>Bachelor of Science/Bachelor of Fine Arts</t>
        </is>
      </c>
      <c r="C245" t="inlineStr">
        <is>
          <t>Bachelor</t>
        </is>
      </c>
      <c r="D245" t="inlineStr">
        <is>
          <t>Undergraduate</t>
        </is>
      </c>
      <c r="E245" t="inlineStr">
        <is>
          <t>Advertised: official page in place</t>
        </is>
      </c>
      <c r="F245" t="inlineStr">
        <is>
          <t>https://www.unsw.edu.au/study/undergraduate/bachelor-of-science-fine-arts1</t>
        </is>
      </c>
      <c r="G245" t="inlineStr">
        <is>
          <t>https://www.unsw.edu.au/study/undergraduate/bachelor-of-science-fine-arts1</t>
        </is>
      </c>
      <c r="H245" t="inlineStr">
        <is>
          <t>Read</t>
        </is>
      </c>
      <c r="I245" t="inlineStr">
        <is>
          <t>CRICOS code on page</t>
        </is>
      </c>
      <c r="J245" t="inlineStr"/>
      <c r="K245" t="inlineStr">
        <is>
          <t>Not sent to re-link</t>
        </is>
      </c>
      <c r="L245" t="inlineStr">
        <is>
          <t>Filled</t>
        </is>
      </c>
      <c r="M245" t="inlineStr">
        <is>
          <t>Filled</t>
        </is>
      </c>
      <c r="N245" t="inlineStr">
        <is>
          <t>60000.00 2026</t>
        </is>
      </c>
      <c r="O245" t="n">
        <v>0</v>
      </c>
      <c r="P245" t="inlineStr">
        <is>
          <t>University adapter</t>
        </is>
      </c>
      <c r="Q245" t="inlineStr">
        <is>
          <t>Filled</t>
        </is>
      </c>
      <c r="R245" t="n">
        <v>6</v>
      </c>
      <c r="S245" t="inlineStr">
        <is>
          <t>Central English policy</t>
        </is>
      </c>
      <c r="T245" t="inlineStr">
        <is>
          <t>Central rule applies (value agrees)</t>
        </is>
      </c>
      <c r="U245" t="inlineStr"/>
      <c r="V245" t="inlineStr">
        <is>
          <t>Filled</t>
        </is>
      </c>
      <c r="W245" t="inlineStr">
        <is>
          <t>February, May, September</t>
        </is>
      </c>
      <c r="X245" t="inlineStr">
        <is>
          <t>University adapter</t>
        </is>
      </c>
      <c r="Y245" t="n">
        <v>0</v>
      </c>
      <c r="Z245" t="inlineStr">
        <is>
          <t>Yes</t>
        </is>
      </c>
      <c r="AA245" t="inlineStr">
        <is>
          <t>Filled</t>
        </is>
      </c>
      <c r="AB245" t="inlineStr">
        <is>
          <t>on campus</t>
        </is>
      </c>
      <c r="AC245" t="inlineStr"/>
      <c r="AD245" t="n">
        <v>0</v>
      </c>
      <c r="AE245" t="inlineStr"/>
      <c r="AF245" t="inlineStr"/>
      <c r="AG245" t="inlineStr"/>
      <c r="AH245" t="inlineStr"/>
      <c r="AI245" t="inlineStr"/>
      <c r="AJ245" t="inlineStr"/>
      <c r="AK245" t="inlineStr"/>
      <c r="AL245" t="inlineStr"/>
      <c r="AM245" t="inlineStr"/>
    </row>
    <row r="246">
      <c r="A246" t="inlineStr">
        <is>
          <t>098446D</t>
        </is>
      </c>
      <c r="B246" t="inlineStr">
        <is>
          <t>Bachelor of Science/Bachelor of Media Arts</t>
        </is>
      </c>
      <c r="C246" t="inlineStr">
        <is>
          <t>Bachelor</t>
        </is>
      </c>
      <c r="D246" t="inlineStr">
        <is>
          <t>Undergraduate</t>
        </is>
      </c>
      <c r="E246" t="inlineStr">
        <is>
          <t>Page address no longer works</t>
        </is>
      </c>
      <c r="F246" t="inlineStr"/>
      <c r="G246" t="inlineStr">
        <is>
          <t>https://www.handbook.unsw.edu.au/undergraduate/programs/2026/3791</t>
        </is>
      </c>
      <c r="H246" t="inlineStr">
        <is>
          <t>Address no longer works</t>
        </is>
      </c>
      <c r="I246" t="inlineStr"/>
      <c r="J246" t="inlineStr"/>
      <c r="K246" t="inlineStr">
        <is>
          <t>Finished, no page: no address from the university's address forms or stored lis</t>
        </is>
      </c>
      <c r="L246" t="inlineStr">
        <is>
          <t>Page found, being read</t>
        </is>
      </c>
      <c r="M246" t="inlineStr">
        <is>
          <t>Page found, being read</t>
        </is>
      </c>
      <c r="N246" t="inlineStr"/>
      <c r="O246" t="n">
        <v>0</v>
      </c>
      <c r="P246" t="inlineStr"/>
      <c r="Q246" t="inlineStr">
        <is>
          <t>Filled</t>
        </is>
      </c>
      <c r="R246" t="n">
        <v>6</v>
      </c>
      <c r="S246" t="inlineStr">
        <is>
          <t>Central English policy</t>
        </is>
      </c>
      <c r="T246" t="inlineStr">
        <is>
          <t>Central rule applies (value agrees)</t>
        </is>
      </c>
      <c r="U246" t="inlineStr"/>
      <c r="V246" t="inlineStr">
        <is>
          <t>Page found, being read</t>
        </is>
      </c>
      <c r="W246" t="inlineStr"/>
      <c r="X246" t="inlineStr"/>
      <c r="Y246" t="n">
        <v>0</v>
      </c>
      <c r="Z246" t="inlineStr">
        <is>
          <t>Yes</t>
        </is>
      </c>
      <c r="AA246" t="inlineStr">
        <is>
          <t>Not stated on course page</t>
        </is>
      </c>
      <c r="AB246" t="inlineStr"/>
      <c r="AC246" t="inlineStr">
        <is>
          <t>Skipped: no allowed source had a value</t>
        </is>
      </c>
      <c r="AD246" t="n">
        <v>1</v>
      </c>
      <c r="AE246" t="inlineStr"/>
      <c r="AF246" t="inlineStr"/>
      <c r="AG246" t="inlineStr"/>
      <c r="AH246" t="inlineStr"/>
      <c r="AI246" t="inlineStr"/>
      <c r="AJ246" t="inlineStr"/>
      <c r="AK246" t="inlineStr"/>
      <c r="AL246" t="inlineStr"/>
      <c r="AM246" t="inlineStr"/>
    </row>
    <row r="247">
      <c r="A247" t="inlineStr">
        <is>
          <t>048749C</t>
        </is>
      </c>
      <c r="B247" t="inlineStr">
        <is>
          <t>Bachelor of Science/Bachelor of Science (Computer Science)</t>
        </is>
      </c>
      <c r="C247" t="inlineStr">
        <is>
          <t>Bachelor</t>
        </is>
      </c>
      <c r="D247" t="inlineStr">
        <is>
          <t>Undergraduate</t>
        </is>
      </c>
      <c r="E247" t="inlineStr">
        <is>
          <t>Advertised: official page in place</t>
        </is>
      </c>
      <c r="F247" t="inlineStr">
        <is>
          <t>https://www.unsw.edu.au/study/undergraduate/bachelor-of-science-computer-science</t>
        </is>
      </c>
      <c r="G247" t="inlineStr">
        <is>
          <t>https://www.unsw.edu.au/study/undergraduate/bachelor-of-science-computer-science</t>
        </is>
      </c>
      <c r="H247" t="inlineStr">
        <is>
          <t>Read</t>
        </is>
      </c>
      <c r="I247" t="inlineStr">
        <is>
          <t>CRICOS code on page</t>
        </is>
      </c>
      <c r="J247" t="inlineStr"/>
      <c r="K247" t="inlineStr">
        <is>
          <t>Not sent to re-link</t>
        </is>
      </c>
      <c r="L247" t="inlineStr">
        <is>
          <t>Filled</t>
        </is>
      </c>
      <c r="M247" t="inlineStr">
        <is>
          <t>Filled</t>
        </is>
      </c>
      <c r="N247" t="inlineStr">
        <is>
          <t>61500.00 2026</t>
        </is>
      </c>
      <c r="O247" t="n">
        <v>0</v>
      </c>
      <c r="P247" t="inlineStr">
        <is>
          <t>University adapter</t>
        </is>
      </c>
      <c r="Q247" t="inlineStr">
        <is>
          <t>Filled</t>
        </is>
      </c>
      <c r="R247" t="n">
        <v>6</v>
      </c>
      <c r="S247" t="inlineStr">
        <is>
          <t>Central English policy</t>
        </is>
      </c>
      <c r="T247" t="inlineStr">
        <is>
          <t>Central rule applies (value agrees)</t>
        </is>
      </c>
      <c r="U247" t="inlineStr"/>
      <c r="V247" t="inlineStr">
        <is>
          <t>Filled</t>
        </is>
      </c>
      <c r="W247" t="inlineStr">
        <is>
          <t>February, May, September</t>
        </is>
      </c>
      <c r="X247" t="inlineStr">
        <is>
          <t>University adapter</t>
        </is>
      </c>
      <c r="Y247" t="n">
        <v>0</v>
      </c>
      <c r="Z247" t="inlineStr">
        <is>
          <t>Yes</t>
        </is>
      </c>
      <c r="AA247" t="inlineStr">
        <is>
          <t>Filled</t>
        </is>
      </c>
      <c r="AB247" t="inlineStr">
        <is>
          <t>on campus</t>
        </is>
      </c>
      <c r="AC247" t="inlineStr"/>
      <c r="AD247" t="n">
        <v>0</v>
      </c>
      <c r="AE247" t="inlineStr"/>
      <c r="AF247" t="inlineStr"/>
      <c r="AG247" t="inlineStr"/>
      <c r="AH247" t="inlineStr"/>
      <c r="AI247" t="inlineStr"/>
      <c r="AJ247" t="inlineStr"/>
      <c r="AK247" t="inlineStr"/>
      <c r="AL247" t="inlineStr"/>
      <c r="AM247" t="inlineStr"/>
    </row>
    <row r="248">
      <c r="A248" t="inlineStr">
        <is>
          <t>078549G</t>
        </is>
      </c>
      <c r="B248" t="inlineStr">
        <is>
          <t>Bachelor of Science/Bachelor of Social Science</t>
        </is>
      </c>
      <c r="C248" t="inlineStr">
        <is>
          <t>Bachelor</t>
        </is>
      </c>
      <c r="D248" t="inlineStr">
        <is>
          <t>Undergraduate</t>
        </is>
      </c>
      <c r="E248" t="inlineStr">
        <is>
          <t>Page address no longer works</t>
        </is>
      </c>
      <c r="F248" t="inlineStr"/>
      <c r="G248" t="inlineStr">
        <is>
          <t>https://www.handbook.unsw.edu.au/undergraduate/programs/2026/3324</t>
        </is>
      </c>
      <c r="H248" t="inlineStr">
        <is>
          <t>Address no longer works</t>
        </is>
      </c>
      <c r="I248" t="inlineStr"/>
      <c r="J248" t="inlineStr"/>
      <c r="K248" t="inlineStr">
        <is>
          <t>Not sent to re-link</t>
        </is>
      </c>
      <c r="L248" t="inlineStr">
        <is>
          <t>Page found, being read</t>
        </is>
      </c>
      <c r="M248" t="inlineStr">
        <is>
          <t>Page found, being read</t>
        </is>
      </c>
      <c r="N248" t="inlineStr"/>
      <c r="O248" t="n">
        <v>0</v>
      </c>
      <c r="P248" t="inlineStr"/>
      <c r="Q248" t="inlineStr">
        <is>
          <t>Filled</t>
        </is>
      </c>
      <c r="R248" t="n">
        <v>6</v>
      </c>
      <c r="S248" t="inlineStr">
        <is>
          <t>Central English policy</t>
        </is>
      </c>
      <c r="T248" t="inlineStr">
        <is>
          <t>Central rule applies (value agrees)</t>
        </is>
      </c>
      <c r="U248" t="inlineStr"/>
      <c r="V248" t="inlineStr">
        <is>
          <t>Page found, being read</t>
        </is>
      </c>
      <c r="W248" t="inlineStr"/>
      <c r="X248" t="inlineStr"/>
      <c r="Y248" t="n">
        <v>0</v>
      </c>
      <c r="Z248" t="inlineStr">
        <is>
          <t>Yes</t>
        </is>
      </c>
      <c r="AA248" t="inlineStr">
        <is>
          <t>Not stated on course page</t>
        </is>
      </c>
      <c r="AB248" t="inlineStr"/>
      <c r="AC248" t="inlineStr">
        <is>
          <t>Skipped: no allowed source had a value</t>
        </is>
      </c>
      <c r="AD248" t="n">
        <v>0</v>
      </c>
      <c r="AE248" t="inlineStr"/>
      <c r="AF248" t="inlineStr"/>
      <c r="AG248" t="inlineStr"/>
      <c r="AH248" t="inlineStr"/>
      <c r="AI248" t="inlineStr"/>
      <c r="AJ248" t="inlineStr"/>
      <c r="AK248" t="inlineStr"/>
      <c r="AL248" t="inlineStr"/>
      <c r="AM248" t="inlineStr"/>
    </row>
    <row r="249">
      <c r="A249" t="inlineStr">
        <is>
          <t>110685F</t>
        </is>
      </c>
      <c r="B249" t="inlineStr">
        <is>
          <t>Bachelor of Science/Bachelor of Social Sciences</t>
        </is>
      </c>
      <c r="C249" t="inlineStr">
        <is>
          <t>Bachelor</t>
        </is>
      </c>
      <c r="D249" t="inlineStr">
        <is>
          <t>Undergraduate</t>
        </is>
      </c>
      <c r="E249" t="inlineStr">
        <is>
          <t>Advertised: official page in place</t>
        </is>
      </c>
      <c r="F249" t="inlineStr">
        <is>
          <t>https://www.unsw.edu.au/study/undergraduate/bachelor-of-science-social-science1</t>
        </is>
      </c>
      <c r="G249" t="inlineStr">
        <is>
          <t>https://www.unsw.edu.au/study/undergraduate/bachelor-of-science-social-science1</t>
        </is>
      </c>
      <c r="H249" t="inlineStr">
        <is>
          <t>Read</t>
        </is>
      </c>
      <c r="I249" t="inlineStr">
        <is>
          <t>CRICOS code on page</t>
        </is>
      </c>
      <c r="J249" t="inlineStr"/>
      <c r="K249" t="inlineStr">
        <is>
          <t>Not sent to re-link</t>
        </is>
      </c>
      <c r="L249" t="inlineStr">
        <is>
          <t>Filled</t>
        </is>
      </c>
      <c r="M249" t="inlineStr">
        <is>
          <t>Filled</t>
        </is>
      </c>
      <c r="N249" t="inlineStr">
        <is>
          <t>61500.00 2026</t>
        </is>
      </c>
      <c r="O249" t="n">
        <v>0</v>
      </c>
      <c r="P249" t="inlineStr">
        <is>
          <t>University adapter</t>
        </is>
      </c>
      <c r="Q249" t="inlineStr">
        <is>
          <t>Filled</t>
        </is>
      </c>
      <c r="R249" t="n">
        <v>6</v>
      </c>
      <c r="S249" t="inlineStr">
        <is>
          <t>Central English policy</t>
        </is>
      </c>
      <c r="T249" t="inlineStr">
        <is>
          <t>Central rule applies (value agrees)</t>
        </is>
      </c>
      <c r="U249" t="inlineStr"/>
      <c r="V249" t="inlineStr">
        <is>
          <t>Filled</t>
        </is>
      </c>
      <c r="W249" t="inlineStr">
        <is>
          <t>February, May, September</t>
        </is>
      </c>
      <c r="X249" t="inlineStr">
        <is>
          <t>University adapter</t>
        </is>
      </c>
      <c r="Y249" t="n">
        <v>0</v>
      </c>
      <c r="Z249" t="inlineStr">
        <is>
          <t>Yes</t>
        </is>
      </c>
      <c r="AA249" t="inlineStr">
        <is>
          <t>Filled</t>
        </is>
      </c>
      <c r="AB249" t="inlineStr">
        <is>
          <t>on campus</t>
        </is>
      </c>
      <c r="AC249" t="inlineStr"/>
      <c r="AD249" t="n">
        <v>0</v>
      </c>
      <c r="AE249" t="inlineStr"/>
      <c r="AF249" t="inlineStr"/>
      <c r="AG249" t="inlineStr"/>
      <c r="AH249" t="inlineStr"/>
      <c r="AI249" t="inlineStr"/>
      <c r="AJ249" t="inlineStr"/>
      <c r="AK249" t="inlineStr"/>
      <c r="AL249" t="inlineStr"/>
      <c r="AM249" t="inlineStr"/>
    </row>
    <row r="250">
      <c r="A250" t="inlineStr">
        <is>
          <t>001917B</t>
        </is>
      </c>
      <c r="B250" t="inlineStr">
        <is>
          <t>Bachelor of Social Science</t>
        </is>
      </c>
      <c r="C250" t="inlineStr">
        <is>
          <t>Bachelor</t>
        </is>
      </c>
      <c r="D250" t="inlineStr">
        <is>
          <t>Undergraduate</t>
        </is>
      </c>
      <c r="E250" t="inlineStr">
        <is>
          <t>Page address no longer works</t>
        </is>
      </c>
      <c r="F250" t="inlineStr"/>
      <c r="G250" t="inlineStr">
        <is>
          <t>https://www.handbook.unsw.edu.au/undergraduate/programs/2026/3321</t>
        </is>
      </c>
      <c r="H250" t="inlineStr">
        <is>
          <t>Address no longer works</t>
        </is>
      </c>
      <c r="I250" t="inlineStr"/>
      <c r="J250" t="inlineStr"/>
      <c r="K250" t="inlineStr">
        <is>
          <t>Finished, no page: no address from the university's address forms or stored lis</t>
        </is>
      </c>
      <c r="L250" t="inlineStr">
        <is>
          <t>Not stated on course page</t>
        </is>
      </c>
      <c r="M250" t="inlineStr">
        <is>
          <t>Not stated on course page</t>
        </is>
      </c>
      <c r="N250" t="inlineStr"/>
      <c r="O250" t="n">
        <v>0</v>
      </c>
      <c r="P250" t="inlineStr"/>
      <c r="Q250" t="inlineStr">
        <is>
          <t>Filled</t>
        </is>
      </c>
      <c r="R250" t="n">
        <v>6</v>
      </c>
      <c r="S250" t="inlineStr">
        <is>
          <t>Central English policy</t>
        </is>
      </c>
      <c r="T250" t="inlineStr">
        <is>
          <t>Central rule applies (value agrees)</t>
        </is>
      </c>
      <c r="U250" t="inlineStr"/>
      <c r="V250" t="inlineStr">
        <is>
          <t>Waiting for AI reading (Layer 3, now retired)</t>
        </is>
      </c>
      <c r="W250" t="inlineStr"/>
      <c r="X250" t="inlineStr"/>
      <c r="Y250" t="n">
        <v>2</v>
      </c>
      <c r="Z250" t="inlineStr">
        <is>
          <t>Yes</t>
        </is>
      </c>
      <c r="AA250" t="inlineStr">
        <is>
          <t>Filled</t>
        </is>
      </c>
      <c r="AB250" t="inlineStr">
        <is>
          <t>on campus</t>
        </is>
      </c>
      <c r="AC250" t="inlineStr"/>
      <c r="AD250" t="n">
        <v>0</v>
      </c>
      <c r="AE250" t="inlineStr"/>
      <c r="AF250" t="inlineStr"/>
      <c r="AG250" t="inlineStr">
        <is>
          <t>Yes</t>
        </is>
      </c>
      <c r="AH250" t="inlineStr"/>
      <c r="AI250" t="inlineStr"/>
      <c r="AJ250" t="inlineStr"/>
      <c r="AK250" t="inlineStr"/>
      <c r="AL250" t="inlineStr"/>
      <c r="AM250" t="inlineStr"/>
    </row>
    <row r="251">
      <c r="A251" t="inlineStr">
        <is>
          <t>083250F</t>
        </is>
      </c>
      <c r="B251" t="inlineStr">
        <is>
          <t>Bachelor of Social Science (Honours)</t>
        </is>
      </c>
      <c r="C251" t="inlineStr">
        <is>
          <t>Bachelor Honours Degree</t>
        </is>
      </c>
      <c r="D251" t="inlineStr">
        <is>
          <t>Undergraduate</t>
        </is>
      </c>
      <c r="E251" t="inlineStr">
        <is>
          <t>Advertised: official page in place</t>
        </is>
      </c>
      <c r="F251" t="inlineStr">
        <is>
          <t>https://www.unsw.edu.au/study/undergraduate/bachelor-of-social-science-honours</t>
        </is>
      </c>
      <c r="G251" t="inlineStr">
        <is>
          <t>https://www.unsw.edu.au/study/undergraduate/bachelor-of-social-science-honours</t>
        </is>
      </c>
      <c r="H251" t="inlineStr">
        <is>
          <t>Read</t>
        </is>
      </c>
      <c r="I251" t="inlineStr">
        <is>
          <t>CRICOS code on page</t>
        </is>
      </c>
      <c r="J251" t="inlineStr"/>
      <c r="K251" t="inlineStr">
        <is>
          <t>Not sent to re-link</t>
        </is>
      </c>
      <c r="L251" t="inlineStr">
        <is>
          <t>Filled</t>
        </is>
      </c>
      <c r="M251" t="inlineStr">
        <is>
          <t>Filled</t>
        </is>
      </c>
      <c r="N251" t="inlineStr">
        <is>
          <t>49000.00 2026</t>
        </is>
      </c>
      <c r="O251" t="n">
        <v>0</v>
      </c>
      <c r="P251" t="inlineStr">
        <is>
          <t>University adapter</t>
        </is>
      </c>
      <c r="Q251" t="inlineStr">
        <is>
          <t>Filled</t>
        </is>
      </c>
      <c r="R251" t="n">
        <v>6</v>
      </c>
      <c r="S251" t="inlineStr">
        <is>
          <t>Central English policy</t>
        </is>
      </c>
      <c r="T251" t="inlineStr">
        <is>
          <t>Central rule applies (value agrees)</t>
        </is>
      </c>
      <c r="U251" t="inlineStr"/>
      <c r="V251" t="inlineStr">
        <is>
          <t>Filled</t>
        </is>
      </c>
      <c r="W251" t="inlineStr">
        <is>
          <t>February</t>
        </is>
      </c>
      <c r="X251" t="inlineStr">
        <is>
          <t>University adapter</t>
        </is>
      </c>
      <c r="Y251" t="n">
        <v>0</v>
      </c>
      <c r="Z251" t="inlineStr">
        <is>
          <t>Yes</t>
        </is>
      </c>
      <c r="AA251" t="inlineStr">
        <is>
          <t>Filled</t>
        </is>
      </c>
      <c r="AB251" t="inlineStr">
        <is>
          <t>on campus</t>
        </is>
      </c>
      <c r="AC251" t="inlineStr"/>
      <c r="AD251" t="n">
        <v>0</v>
      </c>
      <c r="AE251" t="inlineStr"/>
      <c r="AF251" t="inlineStr"/>
      <c r="AG251" t="inlineStr"/>
      <c r="AH251" t="inlineStr"/>
      <c r="AI251" t="inlineStr"/>
      <c r="AJ251" t="inlineStr"/>
      <c r="AK251" t="inlineStr"/>
      <c r="AL251" t="inlineStr"/>
      <c r="AM251" t="inlineStr"/>
    </row>
    <row r="252">
      <c r="A252" t="inlineStr">
        <is>
          <t>110657K</t>
        </is>
      </c>
      <c r="B252" t="inlineStr">
        <is>
          <t>Bachelor of Social Sciences</t>
        </is>
      </c>
      <c r="C252" t="inlineStr">
        <is>
          <t>Bachelor</t>
        </is>
      </c>
      <c r="D252" t="inlineStr">
        <is>
          <t>Undergraduate</t>
        </is>
      </c>
      <c r="E252" t="inlineStr">
        <is>
          <t>Advertised: official page in place</t>
        </is>
      </c>
      <c r="F252" t="inlineStr">
        <is>
          <t>https://www.unsw.edu.au/study/undergraduate/bachelor-of-social-sciences</t>
        </is>
      </c>
      <c r="G252" t="inlineStr">
        <is>
          <t>https://www.unsw.edu.au/study/undergraduate/bachelor-of-social-sciences</t>
        </is>
      </c>
      <c r="H252" t="inlineStr">
        <is>
          <t>Read</t>
        </is>
      </c>
      <c r="I252" t="inlineStr">
        <is>
          <t>CRICOS code on page</t>
        </is>
      </c>
      <c r="J252" t="inlineStr"/>
      <c r="K252" t="inlineStr">
        <is>
          <t>Not sent to re-link</t>
        </is>
      </c>
      <c r="L252" t="inlineStr">
        <is>
          <t>Filled</t>
        </is>
      </c>
      <c r="M252" t="inlineStr">
        <is>
          <t>Filled</t>
        </is>
      </c>
      <c r="N252" t="inlineStr">
        <is>
          <t>52000.00 2026</t>
        </is>
      </c>
      <c r="O252" t="n">
        <v>0</v>
      </c>
      <c r="P252" t="inlineStr">
        <is>
          <t>University adapter</t>
        </is>
      </c>
      <c r="Q252" t="inlineStr">
        <is>
          <t>Filled</t>
        </is>
      </c>
      <c r="R252" t="n">
        <v>6</v>
      </c>
      <c r="S252" t="inlineStr">
        <is>
          <t>Central English policy</t>
        </is>
      </c>
      <c r="T252" t="inlineStr">
        <is>
          <t>Central rule applies (value agrees)</t>
        </is>
      </c>
      <c r="U252" t="inlineStr"/>
      <c r="V252" t="inlineStr">
        <is>
          <t>Filled</t>
        </is>
      </c>
      <c r="W252" t="inlineStr">
        <is>
          <t>February, May, September</t>
        </is>
      </c>
      <c r="X252" t="inlineStr">
        <is>
          <t>University adapter</t>
        </is>
      </c>
      <c r="Y252" t="n">
        <v>0</v>
      </c>
      <c r="Z252" t="inlineStr">
        <is>
          <t>Yes</t>
        </is>
      </c>
      <c r="AA252" t="inlineStr">
        <is>
          <t>Filled</t>
        </is>
      </c>
      <c r="AB252" t="inlineStr">
        <is>
          <t>on campus</t>
        </is>
      </c>
      <c r="AC252" t="inlineStr"/>
      <c r="AD252" t="n">
        <v>0</v>
      </c>
      <c r="AE252" t="inlineStr"/>
      <c r="AF252" t="inlineStr"/>
      <c r="AG252" t="inlineStr"/>
      <c r="AH252" t="inlineStr"/>
      <c r="AI252" t="inlineStr"/>
      <c r="AJ252" t="inlineStr"/>
      <c r="AK252" t="inlineStr"/>
      <c r="AL252" t="inlineStr"/>
      <c r="AM252" t="inlineStr"/>
    </row>
    <row r="253">
      <c r="A253" t="inlineStr">
        <is>
          <t>110660D</t>
        </is>
      </c>
      <c r="B253" t="inlineStr">
        <is>
          <t>Bachelor of Social Sciences/Bachelor of Laws</t>
        </is>
      </c>
      <c r="C253" t="inlineStr">
        <is>
          <t>Bachelor</t>
        </is>
      </c>
      <c r="D253" t="inlineStr">
        <is>
          <t>Undergraduate</t>
        </is>
      </c>
      <c r="E253" t="inlineStr">
        <is>
          <t>Advertised: official page in place</t>
        </is>
      </c>
      <c r="F253" t="inlineStr">
        <is>
          <t>https://www.unsw.edu.au/study/undergraduate/bachelor-of-social-science-law1</t>
        </is>
      </c>
      <c r="G253" t="inlineStr">
        <is>
          <t>https://www.unsw.edu.au/study/undergraduate/bachelor-of-social-science-law1</t>
        </is>
      </c>
      <c r="H253" t="inlineStr">
        <is>
          <t>Read</t>
        </is>
      </c>
      <c r="I253" t="inlineStr">
        <is>
          <t>CRICOS code on page</t>
        </is>
      </c>
      <c r="J253" t="inlineStr"/>
      <c r="K253" t="inlineStr">
        <is>
          <t>Not sent to re-link</t>
        </is>
      </c>
      <c r="L253" t="inlineStr">
        <is>
          <t>Filled</t>
        </is>
      </c>
      <c r="M253" t="inlineStr">
        <is>
          <t>Filled</t>
        </is>
      </c>
      <c r="N253" t="inlineStr">
        <is>
          <t>51500.00 2026</t>
        </is>
      </c>
      <c r="O253" t="n">
        <v>0</v>
      </c>
      <c r="P253" t="inlineStr">
        <is>
          <t>University adapter</t>
        </is>
      </c>
      <c r="Q253" t="inlineStr">
        <is>
          <t>Filled</t>
        </is>
      </c>
      <c r="R253" t="n">
        <v>6</v>
      </c>
      <c r="S253" t="inlineStr">
        <is>
          <t>Central English policy</t>
        </is>
      </c>
      <c r="T253" t="inlineStr">
        <is>
          <t>Central rule applies (value agrees)</t>
        </is>
      </c>
      <c r="U253" t="inlineStr"/>
      <c r="V253" t="inlineStr">
        <is>
          <t>Filled</t>
        </is>
      </c>
      <c r="W253" t="inlineStr">
        <is>
          <t>February</t>
        </is>
      </c>
      <c r="X253" t="inlineStr">
        <is>
          <t>University adapter</t>
        </is>
      </c>
      <c r="Y253" t="n">
        <v>0</v>
      </c>
      <c r="Z253" t="inlineStr">
        <is>
          <t>Yes</t>
        </is>
      </c>
      <c r="AA253" t="inlineStr">
        <is>
          <t>Filled</t>
        </is>
      </c>
      <c r="AB253" t="inlineStr">
        <is>
          <t>on campus</t>
        </is>
      </c>
      <c r="AC253" t="inlineStr"/>
      <c r="AD253" t="n">
        <v>0</v>
      </c>
      <c r="AE253" t="inlineStr"/>
      <c r="AF253" t="inlineStr"/>
      <c r="AG253" t="inlineStr"/>
      <c r="AH253" t="inlineStr"/>
      <c r="AI253" t="inlineStr"/>
      <c r="AJ253" t="inlineStr"/>
      <c r="AK253" t="inlineStr"/>
      <c r="AL253" t="inlineStr"/>
      <c r="AM253" t="inlineStr"/>
    </row>
    <row r="254">
      <c r="A254" t="inlineStr">
        <is>
          <t>110661C</t>
        </is>
      </c>
      <c r="B254" t="inlineStr">
        <is>
          <t>Bachelor of Social Sciences/Bachelor of Laws (Honours)</t>
        </is>
      </c>
      <c r="C254" t="inlineStr">
        <is>
          <t>Bachelor Honours Degree</t>
        </is>
      </c>
      <c r="D254" t="inlineStr">
        <is>
          <t>Undergraduate</t>
        </is>
      </c>
      <c r="E254" t="inlineStr">
        <is>
          <t>No-page record (conjoint), awaiting review</t>
        </is>
      </c>
      <c r="F254" t="inlineStr"/>
      <c r="G254" t="inlineStr">
        <is>
          <t>https://www.handbook.unsw.edu.au/undergraduate/programs/2026/4701</t>
        </is>
      </c>
      <c r="H254" t="inlineStr">
        <is>
          <t>Page is for another course</t>
        </is>
      </c>
      <c r="I254" t="inlineStr"/>
      <c r="J254" t="inlineStr">
        <is>
          <t>Conjoint (proposed)</t>
        </is>
      </c>
      <c r="K254" t="inlineStr">
        <is>
          <t>Finished, no page: no address from the university's address forms or stored lis</t>
        </is>
      </c>
      <c r="L254" t="inlineStr">
        <is>
          <t>Searching for course page</t>
        </is>
      </c>
      <c r="M254" t="inlineStr">
        <is>
          <t>Searching for course page</t>
        </is>
      </c>
      <c r="N254" t="inlineStr"/>
      <c r="O254" t="n">
        <v>0</v>
      </c>
      <c r="P254" t="inlineStr"/>
      <c r="Q254" t="inlineStr">
        <is>
          <t>Filled</t>
        </is>
      </c>
      <c r="R254" t="n">
        <v>6</v>
      </c>
      <c r="S254" t="inlineStr">
        <is>
          <t>Central English policy</t>
        </is>
      </c>
      <c r="T254" t="inlineStr">
        <is>
          <t>Central rule applies (value agrees)</t>
        </is>
      </c>
      <c r="U254" t="inlineStr"/>
      <c r="V254" t="inlineStr">
        <is>
          <t>Searching for course page</t>
        </is>
      </c>
      <c r="W254" t="inlineStr"/>
      <c r="X254" t="inlineStr"/>
      <c r="Y254" t="n">
        <v>0</v>
      </c>
      <c r="Z254" t="inlineStr">
        <is>
          <t>Yes</t>
        </is>
      </c>
      <c r="AA254" t="inlineStr">
        <is>
          <t>Not stated on course page</t>
        </is>
      </c>
      <c r="AB254" t="inlineStr"/>
      <c r="AC254" t="inlineStr">
        <is>
          <t>Skipped: no correct course page: the page found is for another course</t>
        </is>
      </c>
      <c r="AD254" t="n">
        <v>0</v>
      </c>
      <c r="AE254" t="inlineStr"/>
      <c r="AF254" t="inlineStr"/>
      <c r="AG254" t="inlineStr"/>
      <c r="AH254" t="inlineStr"/>
      <c r="AI254" t="inlineStr"/>
      <c r="AJ254" t="inlineStr"/>
      <c r="AK254" t="inlineStr"/>
      <c r="AL254" t="inlineStr"/>
      <c r="AM254" t="inlineStr">
        <is>
          <t>Yes</t>
        </is>
      </c>
    </row>
    <row r="255">
      <c r="A255" t="inlineStr">
        <is>
          <t>000831E</t>
        </is>
      </c>
      <c r="B255" t="inlineStr">
        <is>
          <t>Bachelor of Social Work (Honours)</t>
        </is>
      </c>
      <c r="C255" t="inlineStr">
        <is>
          <t>Bachelor Honours Degree</t>
        </is>
      </c>
      <c r="D255" t="inlineStr">
        <is>
          <t>Undergraduate</t>
        </is>
      </c>
      <c r="E255" t="inlineStr">
        <is>
          <t>Advertised: official page in place</t>
        </is>
      </c>
      <c r="F255" t="inlineStr">
        <is>
          <t>https://www.unsw.edu.au/study/undergraduate/bachelor-of-social-work-honours</t>
        </is>
      </c>
      <c r="G255" t="inlineStr">
        <is>
          <t>https://www.unsw.edu.au/study/undergraduate/bachelor-of-social-work-honours</t>
        </is>
      </c>
      <c r="H255" t="inlineStr">
        <is>
          <t>Read</t>
        </is>
      </c>
      <c r="I255" t="inlineStr">
        <is>
          <t>CRICOS code on page</t>
        </is>
      </c>
      <c r="J255" t="inlineStr"/>
      <c r="K255" t="inlineStr">
        <is>
          <t>Not sent to re-link</t>
        </is>
      </c>
      <c r="L255" t="inlineStr">
        <is>
          <t>Filled</t>
        </is>
      </c>
      <c r="M255" t="inlineStr">
        <is>
          <t>Filled</t>
        </is>
      </c>
      <c r="N255" t="inlineStr">
        <is>
          <t>50000.00 2026</t>
        </is>
      </c>
      <c r="O255" t="n">
        <v>0</v>
      </c>
      <c r="P255" t="inlineStr">
        <is>
          <t>University adapter</t>
        </is>
      </c>
      <c r="Q255" t="inlineStr">
        <is>
          <t>Filled</t>
        </is>
      </c>
      <c r="R255" t="n">
        <v>7</v>
      </c>
      <c r="S255" t="inlineStr">
        <is>
          <t>Page reader</t>
        </is>
      </c>
      <c r="T255" t="inlineStr">
        <is>
          <t>Central rule applies (course value differs)</t>
        </is>
      </c>
      <c r="U255" t="inlineStr">
        <is>
          <t>Yes: course has IELTS 7.00, central rule says 6</t>
        </is>
      </c>
      <c r="V255" t="inlineStr">
        <is>
          <t>Filled</t>
        </is>
      </c>
      <c r="W255" t="inlineStr">
        <is>
          <t>February, May</t>
        </is>
      </c>
      <c r="X255" t="inlineStr">
        <is>
          <t>University adapter</t>
        </is>
      </c>
      <c r="Y255" t="n">
        <v>0</v>
      </c>
      <c r="Z255" t="inlineStr">
        <is>
          <t>Yes</t>
        </is>
      </c>
      <c r="AA255" t="inlineStr">
        <is>
          <t>Filled</t>
        </is>
      </c>
      <c r="AB255" t="inlineStr">
        <is>
          <t>on campus</t>
        </is>
      </c>
      <c r="AC255" t="inlineStr"/>
      <c r="AD255" t="n">
        <v>0</v>
      </c>
      <c r="AE255" t="inlineStr"/>
      <c r="AF255" t="inlineStr"/>
      <c r="AG255" t="inlineStr"/>
      <c r="AH255" t="inlineStr"/>
      <c r="AI255" t="inlineStr"/>
      <c r="AJ255" t="inlineStr"/>
      <c r="AK255" t="inlineStr"/>
      <c r="AL255" t="inlineStr"/>
      <c r="AM255" t="inlineStr"/>
    </row>
    <row r="256">
      <c r="A256" t="inlineStr">
        <is>
          <t>074888J</t>
        </is>
      </c>
      <c r="B256" t="inlineStr">
        <is>
          <t>Bachelor of Social Work (Honours)/Bachelor of Arts</t>
        </is>
      </c>
      <c r="C256" t="inlineStr">
        <is>
          <t>Bachelor Honours Degree</t>
        </is>
      </c>
      <c r="D256" t="inlineStr">
        <is>
          <t>Undergraduate</t>
        </is>
      </c>
      <c r="E256" t="inlineStr">
        <is>
          <t>Advertised: official page in place</t>
        </is>
      </c>
      <c r="F256" t="inlineStr">
        <is>
          <t>https://www.unsw.edu.au/study/undergraduate/bachelor-of-social-work-arts</t>
        </is>
      </c>
      <c r="G256" t="inlineStr">
        <is>
          <t>https://www.unsw.edu.au/study/undergraduate/bachelor-of-social-work-arts</t>
        </is>
      </c>
      <c r="H256" t="inlineStr">
        <is>
          <t>Read</t>
        </is>
      </c>
      <c r="I256" t="inlineStr">
        <is>
          <t>CRICOS code on page</t>
        </is>
      </c>
      <c r="J256" t="inlineStr"/>
      <c r="K256" t="inlineStr">
        <is>
          <t>Not sent to re-link</t>
        </is>
      </c>
      <c r="L256" t="inlineStr">
        <is>
          <t>Filled</t>
        </is>
      </c>
      <c r="M256" t="inlineStr">
        <is>
          <t>Filled</t>
        </is>
      </c>
      <c r="N256" t="inlineStr">
        <is>
          <t>52000.00 2026</t>
        </is>
      </c>
      <c r="O256" t="n">
        <v>0</v>
      </c>
      <c r="P256" t="inlineStr">
        <is>
          <t>University adapter</t>
        </is>
      </c>
      <c r="Q256" t="inlineStr">
        <is>
          <t>Filled</t>
        </is>
      </c>
      <c r="R256" t="n">
        <v>6</v>
      </c>
      <c r="S256" t="inlineStr">
        <is>
          <t>Central English policy</t>
        </is>
      </c>
      <c r="T256" t="inlineStr">
        <is>
          <t>Central rule applies (value agrees)</t>
        </is>
      </c>
      <c r="U256" t="inlineStr"/>
      <c r="V256" t="inlineStr">
        <is>
          <t>Filled</t>
        </is>
      </c>
      <c r="W256" t="inlineStr">
        <is>
          <t>February, May</t>
        </is>
      </c>
      <c r="X256" t="inlineStr">
        <is>
          <t>University adapter</t>
        </is>
      </c>
      <c r="Y256" t="n">
        <v>0</v>
      </c>
      <c r="Z256" t="inlineStr">
        <is>
          <t>Yes</t>
        </is>
      </c>
      <c r="AA256" t="inlineStr">
        <is>
          <t>Filled</t>
        </is>
      </c>
      <c r="AB256" t="inlineStr">
        <is>
          <t>on campus</t>
        </is>
      </c>
      <c r="AC256" t="inlineStr"/>
      <c r="AD256" t="n">
        <v>0</v>
      </c>
      <c r="AE256" t="inlineStr"/>
      <c r="AF256" t="inlineStr"/>
      <c r="AG256" t="inlineStr"/>
      <c r="AH256" t="inlineStr"/>
      <c r="AI256" t="inlineStr"/>
      <c r="AJ256" t="inlineStr"/>
      <c r="AK256" t="inlineStr"/>
      <c r="AL256" t="inlineStr"/>
      <c r="AM256" t="inlineStr"/>
    </row>
    <row r="257">
      <c r="A257" t="inlineStr">
        <is>
          <t>082207F</t>
        </is>
      </c>
      <c r="B257" t="inlineStr">
        <is>
          <t>Bachelor of Social Work (Honours)/Bachelor of Criminology and Criminal Justice</t>
        </is>
      </c>
      <c r="C257" t="inlineStr">
        <is>
          <t>Bachelor Honours Degree</t>
        </is>
      </c>
      <c r="D257" t="inlineStr">
        <is>
          <t>Undergraduate</t>
        </is>
      </c>
      <c r="E257" t="inlineStr">
        <is>
          <t>Advertised: official page in place</t>
        </is>
      </c>
      <c r="F257" t="inlineStr">
        <is>
          <t>https://www.unsw.edu.au/study/undergraduate/bachelor-of-social-work-honours-criminology-and-criminal-justice</t>
        </is>
      </c>
      <c r="G257" t="inlineStr">
        <is>
          <t>https://www.unsw.edu.au/study/undergraduate/bachelor-of-social-work-honours-criminology-and-criminal-justice</t>
        </is>
      </c>
      <c r="H257" t="inlineStr">
        <is>
          <t>Read</t>
        </is>
      </c>
      <c r="I257" t="inlineStr">
        <is>
          <t>CRICOS code on page</t>
        </is>
      </c>
      <c r="J257" t="inlineStr"/>
      <c r="K257" t="inlineStr">
        <is>
          <t>Not sent to re-link</t>
        </is>
      </c>
      <c r="L257" t="inlineStr">
        <is>
          <t>Filled</t>
        </is>
      </c>
      <c r="M257" t="inlineStr">
        <is>
          <t>Filled</t>
        </is>
      </c>
      <c r="N257" t="inlineStr">
        <is>
          <t>47500.00 2026</t>
        </is>
      </c>
      <c r="O257" t="n">
        <v>0</v>
      </c>
      <c r="P257" t="inlineStr">
        <is>
          <t>University adapter</t>
        </is>
      </c>
      <c r="Q257" t="inlineStr">
        <is>
          <t>Filled</t>
        </is>
      </c>
      <c r="R257" t="n">
        <v>6</v>
      </c>
      <c r="S257" t="inlineStr">
        <is>
          <t>Central English policy</t>
        </is>
      </c>
      <c r="T257" t="inlineStr">
        <is>
          <t>Central rule applies (value agrees)</t>
        </is>
      </c>
      <c r="U257" t="inlineStr"/>
      <c r="V257" t="inlineStr">
        <is>
          <t>Filled</t>
        </is>
      </c>
      <c r="W257" t="inlineStr">
        <is>
          <t>February, May</t>
        </is>
      </c>
      <c r="X257" t="inlineStr">
        <is>
          <t>University adapter</t>
        </is>
      </c>
      <c r="Y257" t="n">
        <v>0</v>
      </c>
      <c r="Z257" t="inlineStr">
        <is>
          <t>Yes</t>
        </is>
      </c>
      <c r="AA257" t="inlineStr">
        <is>
          <t>Filled</t>
        </is>
      </c>
      <c r="AB257" t="inlineStr">
        <is>
          <t>on campus</t>
        </is>
      </c>
      <c r="AC257" t="inlineStr"/>
      <c r="AD257" t="n">
        <v>0</v>
      </c>
      <c r="AE257" t="inlineStr"/>
      <c r="AF257" t="inlineStr"/>
      <c r="AG257" t="inlineStr"/>
      <c r="AH257" t="inlineStr"/>
      <c r="AI257" t="inlineStr"/>
      <c r="AJ257" t="inlineStr"/>
      <c r="AK257" t="inlineStr"/>
      <c r="AL257" t="inlineStr"/>
      <c r="AM257" t="inlineStr"/>
    </row>
    <row r="258">
      <c r="A258" t="inlineStr">
        <is>
          <t>074887K</t>
        </is>
      </c>
      <c r="B258" t="inlineStr">
        <is>
          <t>Bachelor of Social Work (Honours)/Bachelor of Laws</t>
        </is>
      </c>
      <c r="C258" t="inlineStr">
        <is>
          <t>Bachelor Honours Degree</t>
        </is>
      </c>
      <c r="D258" t="inlineStr">
        <is>
          <t>Undergraduate</t>
        </is>
      </c>
      <c r="E258" t="inlineStr">
        <is>
          <t>Advertised: official page in place</t>
        </is>
      </c>
      <c r="F258" t="inlineStr">
        <is>
          <t>https://www.unsw.edu.au/study/undergraduate/bachelor-of-social-work-honours-law</t>
        </is>
      </c>
      <c r="G258" t="inlineStr">
        <is>
          <t>https://www.unsw.edu.au/study/undergraduate/bachelor-of-social-work-honours-law</t>
        </is>
      </c>
      <c r="H258" t="inlineStr">
        <is>
          <t>Read</t>
        </is>
      </c>
      <c r="I258" t="inlineStr">
        <is>
          <t>CRICOS code on page</t>
        </is>
      </c>
      <c r="J258" t="inlineStr"/>
      <c r="K258" t="inlineStr">
        <is>
          <t>Not sent to re-link</t>
        </is>
      </c>
      <c r="L258" t="inlineStr">
        <is>
          <t>Filled</t>
        </is>
      </c>
      <c r="M258" t="inlineStr">
        <is>
          <t>Filled</t>
        </is>
      </c>
      <c r="N258" t="inlineStr">
        <is>
          <t>52000.00 2026</t>
        </is>
      </c>
      <c r="O258" t="n">
        <v>0</v>
      </c>
      <c r="P258" t="inlineStr">
        <is>
          <t>University adapter</t>
        </is>
      </c>
      <c r="Q258" t="inlineStr">
        <is>
          <t>Filled</t>
        </is>
      </c>
      <c r="R258" t="n">
        <v>6</v>
      </c>
      <c r="S258" t="inlineStr">
        <is>
          <t>Central English policy</t>
        </is>
      </c>
      <c r="T258" t="inlineStr">
        <is>
          <t>Central rule applies (value agrees)</t>
        </is>
      </c>
      <c r="U258" t="inlineStr"/>
      <c r="V258" t="inlineStr">
        <is>
          <t>Filled</t>
        </is>
      </c>
      <c r="W258" t="inlineStr">
        <is>
          <t>February</t>
        </is>
      </c>
      <c r="X258" t="inlineStr">
        <is>
          <t>University adapter</t>
        </is>
      </c>
      <c r="Y258" t="n">
        <v>0</v>
      </c>
      <c r="Z258" t="inlineStr">
        <is>
          <t>Yes</t>
        </is>
      </c>
      <c r="AA258" t="inlineStr">
        <is>
          <t>Filled</t>
        </is>
      </c>
      <c r="AB258" t="inlineStr">
        <is>
          <t>on campus</t>
        </is>
      </c>
      <c r="AC258" t="inlineStr"/>
      <c r="AD258" t="n">
        <v>0</v>
      </c>
      <c r="AE258" t="inlineStr"/>
      <c r="AF258" t="inlineStr"/>
      <c r="AG258" t="inlineStr"/>
      <c r="AH258" t="inlineStr"/>
      <c r="AI258" t="inlineStr"/>
      <c r="AJ258" t="inlineStr"/>
      <c r="AK258" t="inlineStr"/>
      <c r="AL258" t="inlineStr"/>
      <c r="AM258" t="inlineStr"/>
    </row>
    <row r="259">
      <c r="A259" t="inlineStr">
        <is>
          <t>082197C</t>
        </is>
      </c>
      <c r="B259" t="inlineStr">
        <is>
          <t>Bachelor of Social Work (Honours)/Bachelor of Social Science</t>
        </is>
      </c>
      <c r="C259" t="inlineStr">
        <is>
          <t>Bachelor Honours Degree</t>
        </is>
      </c>
      <c r="D259" t="inlineStr">
        <is>
          <t>Undergraduate</t>
        </is>
      </c>
      <c r="E259" t="inlineStr">
        <is>
          <t>Page address no longer works</t>
        </is>
      </c>
      <c r="F259" t="inlineStr"/>
      <c r="G259" t="inlineStr">
        <is>
          <t>https://www.handbook.unsw.edu.au/undergraduate/programs/2026/3322</t>
        </is>
      </c>
      <c r="H259" t="inlineStr">
        <is>
          <t>Address no longer works</t>
        </is>
      </c>
      <c r="I259" t="inlineStr"/>
      <c r="J259" t="inlineStr"/>
      <c r="K259" t="inlineStr">
        <is>
          <t>Not sent to re-link</t>
        </is>
      </c>
      <c r="L259" t="inlineStr">
        <is>
          <t>Page found, being read</t>
        </is>
      </c>
      <c r="M259" t="inlineStr">
        <is>
          <t>Page found, being read</t>
        </is>
      </c>
      <c r="N259" t="inlineStr"/>
      <c r="O259" t="n">
        <v>0</v>
      </c>
      <c r="P259" t="inlineStr"/>
      <c r="Q259" t="inlineStr">
        <is>
          <t>Filled</t>
        </is>
      </c>
      <c r="R259" t="n">
        <v>6</v>
      </c>
      <c r="S259" t="inlineStr">
        <is>
          <t>Central English policy</t>
        </is>
      </c>
      <c r="T259" t="inlineStr">
        <is>
          <t>Central rule applies (value agrees)</t>
        </is>
      </c>
      <c r="U259" t="inlineStr"/>
      <c r="V259" t="inlineStr">
        <is>
          <t>Page found, being read</t>
        </is>
      </c>
      <c r="W259" t="inlineStr"/>
      <c r="X259" t="inlineStr"/>
      <c r="Y259" t="n">
        <v>0</v>
      </c>
      <c r="Z259" t="inlineStr">
        <is>
          <t>Yes</t>
        </is>
      </c>
      <c r="AA259" t="inlineStr">
        <is>
          <t>Not stated on course page</t>
        </is>
      </c>
      <c r="AB259" t="inlineStr"/>
      <c r="AC259" t="inlineStr">
        <is>
          <t>Skipped: no allowed source had a value</t>
        </is>
      </c>
      <c r="AD259" t="n">
        <v>0</v>
      </c>
      <c r="AE259" t="inlineStr"/>
      <c r="AF259" t="inlineStr"/>
      <c r="AG259" t="inlineStr"/>
      <c r="AH259" t="inlineStr"/>
      <c r="AI259" t="inlineStr"/>
      <c r="AJ259" t="inlineStr"/>
      <c r="AK259" t="inlineStr"/>
      <c r="AL259" t="inlineStr"/>
      <c r="AM259" t="inlineStr"/>
    </row>
    <row r="260">
      <c r="A260" t="inlineStr">
        <is>
          <t>110659H</t>
        </is>
      </c>
      <c r="B260" t="inlineStr">
        <is>
          <t>Bachelor of Social Work (Honours)/Bachelor of Social Sciences</t>
        </is>
      </c>
      <c r="C260" t="inlineStr">
        <is>
          <t>Bachelor Honours Degree</t>
        </is>
      </c>
      <c r="D260" t="inlineStr">
        <is>
          <t>Undergraduate</t>
        </is>
      </c>
      <c r="E260" t="inlineStr">
        <is>
          <t>Advertised: official page in place</t>
        </is>
      </c>
      <c r="F260" t="inlineStr">
        <is>
          <t>https://www.unsw.edu.au/study/undergraduate/bachelor-of-social-work-honours-social-sciences</t>
        </is>
      </c>
      <c r="G260" t="inlineStr">
        <is>
          <t>https://www.unsw.edu.au/study/undergraduate/bachelor-of-social-work-honours-social-sciences</t>
        </is>
      </c>
      <c r="H260" t="inlineStr">
        <is>
          <t>Read</t>
        </is>
      </c>
      <c r="I260" t="inlineStr">
        <is>
          <t>CRICOS code on page</t>
        </is>
      </c>
      <c r="J260" t="inlineStr"/>
      <c r="K260" t="inlineStr">
        <is>
          <t>Not sent to re-link</t>
        </is>
      </c>
      <c r="L260" t="inlineStr">
        <is>
          <t>Filled</t>
        </is>
      </c>
      <c r="M260" t="inlineStr">
        <is>
          <t>Filled</t>
        </is>
      </c>
      <c r="N260" t="inlineStr">
        <is>
          <t>50000.00 2026</t>
        </is>
      </c>
      <c r="O260" t="n">
        <v>0</v>
      </c>
      <c r="P260" t="inlineStr">
        <is>
          <t>University adapter</t>
        </is>
      </c>
      <c r="Q260" t="inlineStr">
        <is>
          <t>Filled</t>
        </is>
      </c>
      <c r="R260" t="n">
        <v>6</v>
      </c>
      <c r="S260" t="inlineStr">
        <is>
          <t>Central English policy</t>
        </is>
      </c>
      <c r="T260" t="inlineStr">
        <is>
          <t>Central rule applies (value agrees)</t>
        </is>
      </c>
      <c r="U260" t="inlineStr"/>
      <c r="V260" t="inlineStr">
        <is>
          <t>Filled</t>
        </is>
      </c>
      <c r="W260" t="inlineStr">
        <is>
          <t>February, May</t>
        </is>
      </c>
      <c r="X260" t="inlineStr">
        <is>
          <t>University adapter</t>
        </is>
      </c>
      <c r="Y260" t="n">
        <v>0</v>
      </c>
      <c r="Z260" t="inlineStr">
        <is>
          <t>Yes</t>
        </is>
      </c>
      <c r="AA260" t="inlineStr">
        <is>
          <t>Filled</t>
        </is>
      </c>
      <c r="AB260" t="inlineStr">
        <is>
          <t>on campus</t>
        </is>
      </c>
      <c r="AC260" t="inlineStr"/>
      <c r="AD260" t="n">
        <v>0</v>
      </c>
      <c r="AE260" t="inlineStr"/>
      <c r="AF260" t="inlineStr"/>
      <c r="AG260" t="inlineStr"/>
      <c r="AH260" t="inlineStr"/>
      <c r="AI260" t="inlineStr"/>
      <c r="AJ260" t="inlineStr"/>
      <c r="AK260" t="inlineStr"/>
      <c r="AL260" t="inlineStr"/>
      <c r="AM260" t="inlineStr"/>
    </row>
    <row r="261">
      <c r="A261" t="inlineStr">
        <is>
          <t>092962K</t>
        </is>
      </c>
      <c r="B261" t="inlineStr">
        <is>
          <t>Bachelor of Vision Science</t>
        </is>
      </c>
      <c r="C261" t="inlineStr">
        <is>
          <t>Bachelor</t>
        </is>
      </c>
      <c r="D261" t="inlineStr">
        <is>
          <t>Undergraduate</t>
        </is>
      </c>
      <c r="E261" t="inlineStr">
        <is>
          <t>Advertised: official page in place</t>
        </is>
      </c>
      <c r="F261" t="inlineStr">
        <is>
          <t>https://www.unsw.edu.au/study/undergraduate/bachelor-of-vision-science</t>
        </is>
      </c>
      <c r="G261" t="inlineStr">
        <is>
          <t>https://www.unsw.edu.au/study/undergraduate/bachelor-of-vision-science</t>
        </is>
      </c>
      <c r="H261" t="inlineStr">
        <is>
          <t>Read</t>
        </is>
      </c>
      <c r="I261" t="inlineStr">
        <is>
          <t>CRICOS code on page</t>
        </is>
      </c>
      <c r="J261" t="inlineStr"/>
      <c r="K261" t="inlineStr">
        <is>
          <t>Not sent to re-link</t>
        </is>
      </c>
      <c r="L261" t="inlineStr">
        <is>
          <t>Filled</t>
        </is>
      </c>
      <c r="M261" t="inlineStr">
        <is>
          <t>Filled</t>
        </is>
      </c>
      <c r="N261" t="inlineStr">
        <is>
          <t>62500.00 2026</t>
        </is>
      </c>
      <c r="O261" t="n">
        <v>0</v>
      </c>
      <c r="P261" t="inlineStr">
        <is>
          <t>University adapter</t>
        </is>
      </c>
      <c r="Q261" t="inlineStr">
        <is>
          <t>Filled</t>
        </is>
      </c>
      <c r="R261" t="n">
        <v>6</v>
      </c>
      <c r="S261" t="inlineStr">
        <is>
          <t>Central English policy</t>
        </is>
      </c>
      <c r="T261" t="inlineStr">
        <is>
          <t>Central rule applies (value agrees)</t>
        </is>
      </c>
      <c r="U261" t="inlineStr"/>
      <c r="V261" t="inlineStr">
        <is>
          <t>Filled</t>
        </is>
      </c>
      <c r="W261" t="inlineStr">
        <is>
          <t>February</t>
        </is>
      </c>
      <c r="X261" t="inlineStr">
        <is>
          <t>University adapter</t>
        </is>
      </c>
      <c r="Y261" t="n">
        <v>0</v>
      </c>
      <c r="Z261" t="inlineStr">
        <is>
          <t>Yes</t>
        </is>
      </c>
      <c r="AA261" t="inlineStr">
        <is>
          <t>Filled</t>
        </is>
      </c>
      <c r="AB261" t="inlineStr">
        <is>
          <t>on campus</t>
        </is>
      </c>
      <c r="AC261" t="inlineStr"/>
      <c r="AD261" t="n">
        <v>0</v>
      </c>
      <c r="AE261" t="inlineStr"/>
      <c r="AF261" t="inlineStr"/>
      <c r="AG261" t="inlineStr"/>
      <c r="AH261" t="inlineStr"/>
      <c r="AI261" t="inlineStr"/>
      <c r="AJ261" t="inlineStr"/>
      <c r="AK261" t="inlineStr"/>
      <c r="AL261" t="inlineStr"/>
      <c r="AM261" t="inlineStr"/>
    </row>
    <row r="262">
      <c r="A262" t="inlineStr">
        <is>
          <t>092960A</t>
        </is>
      </c>
      <c r="B262" t="inlineStr">
        <is>
          <t>Bachelor of Vision Science/Master of Clinical Optometry</t>
        </is>
      </c>
      <c r="C262" t="inlineStr">
        <is>
          <t>Masters Degree (Coursework)</t>
        </is>
      </c>
      <c r="D262" t="inlineStr">
        <is>
          <t>Postgraduate coursework</t>
        </is>
      </c>
      <c r="E262" t="inlineStr">
        <is>
          <t>Advertised: official page in place</t>
        </is>
      </c>
      <c r="F262" t="inlineStr">
        <is>
          <t>https://www.unsw.edu.au/study/undergraduate/bachelor-of-vision-science-clinical-optometry</t>
        </is>
      </c>
      <c r="G262" t="inlineStr">
        <is>
          <t>https://www.unsw.edu.au/study/undergraduate/bachelor-of-vision-science-clinical-optometry</t>
        </is>
      </c>
      <c r="H262" t="inlineStr">
        <is>
          <t>Read</t>
        </is>
      </c>
      <c r="I262" t="inlineStr">
        <is>
          <t>CRICOS code on page</t>
        </is>
      </c>
      <c r="J262" t="inlineStr"/>
      <c r="K262" t="inlineStr">
        <is>
          <t>Not sent to re-link</t>
        </is>
      </c>
      <c r="L262" t="inlineStr">
        <is>
          <t>Filled</t>
        </is>
      </c>
      <c r="M262" t="inlineStr">
        <is>
          <t>Filled</t>
        </is>
      </c>
      <c r="N262" t="inlineStr">
        <is>
          <t>63000.00 2026</t>
        </is>
      </c>
      <c r="O262" t="n">
        <v>0</v>
      </c>
      <c r="P262" t="inlineStr">
        <is>
          <t>University adapter</t>
        </is>
      </c>
      <c r="Q262" t="inlineStr">
        <is>
          <t>Not stated on course page</t>
        </is>
      </c>
      <c r="S262" t="inlineStr"/>
      <c r="T262" t="inlineStr">
        <is>
          <t>Held: double degree (its parts are at different levels)</t>
        </is>
      </c>
      <c r="U262" t="inlineStr"/>
      <c r="V262" t="inlineStr">
        <is>
          <t>Filled</t>
        </is>
      </c>
      <c r="W262" t="inlineStr">
        <is>
          <t>February</t>
        </is>
      </c>
      <c r="X262" t="inlineStr">
        <is>
          <t>University adapter</t>
        </is>
      </c>
      <c r="Y262" t="n">
        <v>0</v>
      </c>
      <c r="Z262" t="inlineStr">
        <is>
          <t>No</t>
        </is>
      </c>
      <c r="AA262" t="inlineStr">
        <is>
          <t>Filled</t>
        </is>
      </c>
      <c r="AB262" t="inlineStr">
        <is>
          <t>on campus</t>
        </is>
      </c>
      <c r="AC262" t="inlineStr"/>
      <c r="AD262" t="n">
        <v>0</v>
      </c>
      <c r="AE262" t="inlineStr"/>
      <c r="AF262" t="inlineStr"/>
      <c r="AG262" t="inlineStr"/>
      <c r="AH262" t="inlineStr"/>
      <c r="AI262" t="inlineStr"/>
      <c r="AJ262" t="inlineStr">
        <is>
          <t>Yes</t>
        </is>
      </c>
      <c r="AK262" t="inlineStr"/>
      <c r="AL262" t="inlineStr"/>
      <c r="AM262" t="inlineStr"/>
    </row>
    <row r="263">
      <c r="A263" t="inlineStr">
        <is>
          <t>065349M</t>
        </is>
      </c>
      <c r="B263" t="inlineStr">
        <is>
          <t>Combined Master of Arts and Social Sciences</t>
        </is>
      </c>
      <c r="C263" t="inlineStr">
        <is>
          <t>Masters Degree (Coursework)</t>
        </is>
      </c>
      <c r="D263" t="inlineStr">
        <is>
          <t>Postgraduate coursework</t>
        </is>
      </c>
      <c r="E263" t="inlineStr">
        <is>
          <t>Advertised: official page in place</t>
        </is>
      </c>
      <c r="F263" t="inlineStr">
        <is>
          <t>https://www.unsw.edu.au/study/postgraduate/master-arts-social-sciences-combined</t>
        </is>
      </c>
      <c r="G263" t="inlineStr">
        <is>
          <t>https://www.unsw.edu.au/study/postgraduate/master-arts-social-sciences-combined</t>
        </is>
      </c>
      <c r="H263" t="inlineStr">
        <is>
          <t>Read</t>
        </is>
      </c>
      <c r="I263" t="inlineStr">
        <is>
          <t>CRICOS code on page</t>
        </is>
      </c>
      <c r="J263" t="inlineStr"/>
      <c r="K263" t="inlineStr">
        <is>
          <t>Not sent to re-link</t>
        </is>
      </c>
      <c r="L263" t="inlineStr">
        <is>
          <t>Filled</t>
        </is>
      </c>
      <c r="M263" t="inlineStr">
        <is>
          <t>Filled</t>
        </is>
      </c>
      <c r="N263" t="inlineStr">
        <is>
          <t>48000.00 2026</t>
        </is>
      </c>
      <c r="O263" t="n">
        <v>0</v>
      </c>
      <c r="P263" t="inlineStr">
        <is>
          <t>University adapter</t>
        </is>
      </c>
      <c r="Q263" t="inlineStr">
        <is>
          <t>Filled</t>
        </is>
      </c>
      <c r="R263" t="n">
        <v>6</v>
      </c>
      <c r="S263" t="inlineStr">
        <is>
          <t>Central English policy</t>
        </is>
      </c>
      <c r="T263" t="inlineStr">
        <is>
          <t>Central rule applies (value agrees)</t>
        </is>
      </c>
      <c r="U263" t="inlineStr"/>
      <c r="V263" t="inlineStr">
        <is>
          <t>Filled</t>
        </is>
      </c>
      <c r="W263" t="inlineStr">
        <is>
          <t>February, September</t>
        </is>
      </c>
      <c r="X263" t="inlineStr">
        <is>
          <t>University adapter</t>
        </is>
      </c>
      <c r="Y263" t="n">
        <v>0</v>
      </c>
      <c r="Z263" t="inlineStr">
        <is>
          <t>No</t>
        </is>
      </c>
      <c r="AA263" t="inlineStr">
        <is>
          <t>Filled</t>
        </is>
      </c>
      <c r="AB263" t="inlineStr">
        <is>
          <t>on campus</t>
        </is>
      </c>
      <c r="AC263" t="inlineStr"/>
      <c r="AD263" t="n">
        <v>0</v>
      </c>
      <c r="AE263" t="inlineStr"/>
      <c r="AF263" t="inlineStr"/>
      <c r="AG263" t="inlineStr"/>
      <c r="AH263" t="inlineStr"/>
      <c r="AI263" t="inlineStr"/>
      <c r="AJ263" t="inlineStr"/>
      <c r="AK263" t="inlineStr"/>
      <c r="AL263" t="inlineStr"/>
      <c r="AM263" t="inlineStr"/>
    </row>
    <row r="264">
      <c r="A264" t="inlineStr">
        <is>
          <t>051358C</t>
        </is>
      </c>
      <c r="B264" t="inlineStr">
        <is>
          <t>Cotutelle PHD program</t>
        </is>
      </c>
      <c r="C264" t="inlineStr">
        <is>
          <t>Doctorate / PhD</t>
        </is>
      </c>
      <c r="D264" t="inlineStr">
        <is>
          <t>Research degree</t>
        </is>
      </c>
      <c r="E264" t="inlineStr">
        <is>
          <t>Held: page found is for another course</t>
        </is>
      </c>
      <c r="F264" t="inlineStr"/>
      <c r="G264" t="inlineStr">
        <is>
          <t>https://legacy.handbook.unsw.edu.au/research/programs/2012/1099.html</t>
        </is>
      </c>
      <c r="H264" t="inlineStr">
        <is>
          <t>Page is for another course</t>
        </is>
      </c>
      <c r="I264" t="inlineStr"/>
      <c r="J264" t="inlineStr"/>
      <c r="K264" t="inlineStr">
        <is>
          <t>Finished, no page: no address from the university's address forms or stored lis</t>
        </is>
      </c>
      <c r="L264" t="inlineStr">
        <is>
          <t>Searching for course page</t>
        </is>
      </c>
      <c r="M264" t="inlineStr">
        <is>
          <t>Searching for course page</t>
        </is>
      </c>
      <c r="N264" t="inlineStr"/>
      <c r="O264" t="n">
        <v>0</v>
      </c>
      <c r="P264" t="inlineStr"/>
      <c r="Q264" t="inlineStr">
        <is>
          <t>Searching for course page</t>
        </is>
      </c>
      <c r="S264" t="inlineStr"/>
      <c r="T264" t="inlineStr">
        <is>
          <t>Held: research degree (the policy states no research requirement)</t>
        </is>
      </c>
      <c r="U264" t="inlineStr"/>
      <c r="V264" t="inlineStr">
        <is>
          <t>Searching for course page</t>
        </is>
      </c>
      <c r="W264" t="inlineStr"/>
      <c r="X264" t="inlineStr"/>
      <c r="Y264" t="n">
        <v>0</v>
      </c>
      <c r="Z264" t="inlineStr">
        <is>
          <t>No</t>
        </is>
      </c>
      <c r="AA264" t="inlineStr">
        <is>
          <t>Not stated on course page</t>
        </is>
      </c>
      <c r="AB264" t="inlineStr"/>
      <c r="AC264" t="inlineStr">
        <is>
          <t>Skipped: no correct course page: the page found is for another course</t>
        </is>
      </c>
      <c r="AD264" t="n">
        <v>1</v>
      </c>
      <c r="AE264" t="inlineStr"/>
      <c r="AF264" t="inlineStr"/>
      <c r="AG264" t="inlineStr"/>
      <c r="AH264" t="inlineStr"/>
      <c r="AI264" t="inlineStr"/>
      <c r="AJ264" t="inlineStr">
        <is>
          <t>Yes</t>
        </is>
      </c>
      <c r="AK264" t="inlineStr"/>
      <c r="AL264" t="inlineStr"/>
      <c r="AM264" t="inlineStr"/>
    </row>
    <row r="265">
      <c r="A265" t="inlineStr">
        <is>
          <t>051363F</t>
        </is>
      </c>
      <c r="B265" t="inlineStr">
        <is>
          <t>Cotutelle PHD program</t>
        </is>
      </c>
      <c r="C265" t="inlineStr">
        <is>
          <t>Doctorate / PhD</t>
        </is>
      </c>
      <c r="D265" t="inlineStr">
        <is>
          <t>Research degree</t>
        </is>
      </c>
      <c r="E265" t="inlineStr">
        <is>
          <t>Held: page found is for another course</t>
        </is>
      </c>
      <c r="F265" t="inlineStr"/>
      <c r="G265" t="inlineStr">
        <is>
          <t>https://legacy.handbook.unsw.edu.au/research/programs/2012/1099.html</t>
        </is>
      </c>
      <c r="H265" t="inlineStr">
        <is>
          <t>Page is for another course</t>
        </is>
      </c>
      <c r="I265" t="inlineStr"/>
      <c r="J265" t="inlineStr"/>
      <c r="K265" t="inlineStr">
        <is>
          <t>Finished, no page: no address from the university's address forms or stored lis</t>
        </is>
      </c>
      <c r="L265" t="inlineStr">
        <is>
          <t>Searching for course page</t>
        </is>
      </c>
      <c r="M265" t="inlineStr">
        <is>
          <t>Searching for course page</t>
        </is>
      </c>
      <c r="N265" t="inlineStr"/>
      <c r="O265" t="n">
        <v>0</v>
      </c>
      <c r="P265" t="inlineStr"/>
      <c r="Q265" t="inlineStr">
        <is>
          <t>Searching for course page</t>
        </is>
      </c>
      <c r="S265" t="inlineStr"/>
      <c r="T265" t="inlineStr">
        <is>
          <t>Held: research degree (the policy states no research requirement)</t>
        </is>
      </c>
      <c r="U265" t="inlineStr"/>
      <c r="V265" t="inlineStr">
        <is>
          <t>Searching for course page</t>
        </is>
      </c>
      <c r="W265" t="inlineStr"/>
      <c r="X265" t="inlineStr"/>
      <c r="Y265" t="n">
        <v>0</v>
      </c>
      <c r="Z265" t="inlineStr">
        <is>
          <t>No</t>
        </is>
      </c>
      <c r="AA265" t="inlineStr">
        <is>
          <t>Not stated on course page</t>
        </is>
      </c>
      <c r="AB265" t="inlineStr"/>
      <c r="AC265" t="inlineStr">
        <is>
          <t>Skipped: the page does not state it</t>
        </is>
      </c>
      <c r="AD265" t="n">
        <v>0</v>
      </c>
      <c r="AE265" t="inlineStr"/>
      <c r="AF265" t="inlineStr"/>
      <c r="AG265" t="inlineStr"/>
      <c r="AH265" t="inlineStr"/>
      <c r="AI265" t="inlineStr"/>
      <c r="AJ265" t="inlineStr">
        <is>
          <t>Yes</t>
        </is>
      </c>
      <c r="AK265" t="inlineStr"/>
      <c r="AL265" t="inlineStr"/>
      <c r="AM265" t="inlineStr"/>
    </row>
    <row r="266">
      <c r="A266" t="inlineStr">
        <is>
          <t>053751M</t>
        </is>
      </c>
      <c r="B266" t="inlineStr">
        <is>
          <t>Cotutelle PHD program</t>
        </is>
      </c>
      <c r="C266" t="inlineStr">
        <is>
          <t>Doctorate / PhD</t>
        </is>
      </c>
      <c r="D266" t="inlineStr">
        <is>
          <t>Research degree</t>
        </is>
      </c>
      <c r="E266" t="inlineStr">
        <is>
          <t>Held: page found is for another course</t>
        </is>
      </c>
      <c r="F266" t="inlineStr"/>
      <c r="G266" t="inlineStr">
        <is>
          <t>https://legacy.handbook.unsw.edu.au/research/programs/2012/1099.html</t>
        </is>
      </c>
      <c r="H266" t="inlineStr">
        <is>
          <t>Page is for another course</t>
        </is>
      </c>
      <c r="I266" t="inlineStr"/>
      <c r="J266" t="inlineStr"/>
      <c r="K266" t="inlineStr">
        <is>
          <t>Finished, no page: no address from the university's address forms or stored lis</t>
        </is>
      </c>
      <c r="L266" t="inlineStr">
        <is>
          <t>Searching for course page</t>
        </is>
      </c>
      <c r="M266" t="inlineStr">
        <is>
          <t>Searching for course page</t>
        </is>
      </c>
      <c r="N266" t="inlineStr"/>
      <c r="O266" t="n">
        <v>0</v>
      </c>
      <c r="P266" t="inlineStr"/>
      <c r="Q266" t="inlineStr">
        <is>
          <t>Searching for course page</t>
        </is>
      </c>
      <c r="S266" t="inlineStr"/>
      <c r="T266" t="inlineStr">
        <is>
          <t>Held: research degree (the policy states no research requirement)</t>
        </is>
      </c>
      <c r="U266" t="inlineStr"/>
      <c r="V266" t="inlineStr">
        <is>
          <t>Searching for course page</t>
        </is>
      </c>
      <c r="W266" t="inlineStr"/>
      <c r="X266" t="inlineStr"/>
      <c r="Y266" t="n">
        <v>0</v>
      </c>
      <c r="Z266" t="inlineStr">
        <is>
          <t>No</t>
        </is>
      </c>
      <c r="AA266" t="inlineStr">
        <is>
          <t>Not stated on course page</t>
        </is>
      </c>
      <c r="AB266" t="inlineStr"/>
      <c r="AC266" t="inlineStr">
        <is>
          <t>Skipped: no correct course page: the page found is for another course</t>
        </is>
      </c>
      <c r="AD266" t="n">
        <v>1</v>
      </c>
      <c r="AE266" t="inlineStr"/>
      <c r="AF266" t="inlineStr"/>
      <c r="AG266" t="inlineStr"/>
      <c r="AH266" t="inlineStr"/>
      <c r="AI266" t="inlineStr"/>
      <c r="AJ266" t="inlineStr">
        <is>
          <t>Yes</t>
        </is>
      </c>
      <c r="AK266" t="inlineStr"/>
      <c r="AL266" t="inlineStr"/>
      <c r="AM266" t="inlineStr"/>
    </row>
    <row r="267">
      <c r="A267" t="inlineStr">
        <is>
          <t>053634E</t>
        </is>
      </c>
      <c r="B267" t="inlineStr">
        <is>
          <t>Cotutelle PHD program</t>
        </is>
      </c>
      <c r="C267" t="inlineStr">
        <is>
          <t>Doctorate / PhD</t>
        </is>
      </c>
      <c r="D267" t="inlineStr">
        <is>
          <t>Research degree</t>
        </is>
      </c>
      <c r="E267" t="inlineStr">
        <is>
          <t>Held: page found is for another course</t>
        </is>
      </c>
      <c r="F267" t="inlineStr"/>
      <c r="G267" t="inlineStr">
        <is>
          <t>https://legacy.handbook.unsw.edu.au/research/programs/2012/1099.html</t>
        </is>
      </c>
      <c r="H267" t="inlineStr">
        <is>
          <t>Page is for another course</t>
        </is>
      </c>
      <c r="I267" t="inlineStr"/>
      <c r="J267" t="inlineStr"/>
      <c r="K267" t="inlineStr">
        <is>
          <t>Finished, no page: no address from the university's address forms or stored lis</t>
        </is>
      </c>
      <c r="L267" t="inlineStr">
        <is>
          <t>Searching for course page</t>
        </is>
      </c>
      <c r="M267" t="inlineStr">
        <is>
          <t>Searching for course page</t>
        </is>
      </c>
      <c r="N267" t="inlineStr"/>
      <c r="O267" t="n">
        <v>0</v>
      </c>
      <c r="P267" t="inlineStr"/>
      <c r="Q267" t="inlineStr">
        <is>
          <t>Searching for course page</t>
        </is>
      </c>
      <c r="S267" t="inlineStr"/>
      <c r="T267" t="inlineStr">
        <is>
          <t>Held: research degree (the policy states no research requirement)</t>
        </is>
      </c>
      <c r="U267" t="inlineStr"/>
      <c r="V267" t="inlineStr">
        <is>
          <t>Searching for course page</t>
        </is>
      </c>
      <c r="W267" t="inlineStr"/>
      <c r="X267" t="inlineStr"/>
      <c r="Y267" t="n">
        <v>0</v>
      </c>
      <c r="Z267" t="inlineStr">
        <is>
          <t>No</t>
        </is>
      </c>
      <c r="AA267" t="inlineStr">
        <is>
          <t>Not stated on course page</t>
        </is>
      </c>
      <c r="AB267" t="inlineStr"/>
      <c r="AC267" t="inlineStr">
        <is>
          <t>Skipped: the page does not state it</t>
        </is>
      </c>
      <c r="AD267" t="n">
        <v>0</v>
      </c>
      <c r="AE267" t="inlineStr"/>
      <c r="AF267" t="inlineStr"/>
      <c r="AG267" t="inlineStr"/>
      <c r="AH267" t="inlineStr"/>
      <c r="AI267" t="inlineStr"/>
      <c r="AJ267" t="inlineStr">
        <is>
          <t>Yes</t>
        </is>
      </c>
      <c r="AK267" t="inlineStr"/>
      <c r="AL267" t="inlineStr"/>
      <c r="AM267" t="inlineStr"/>
    </row>
    <row r="268">
      <c r="A268" t="inlineStr">
        <is>
          <t>053635D</t>
        </is>
      </c>
      <c r="B268" t="inlineStr">
        <is>
          <t>Cotutelle PHD program</t>
        </is>
      </c>
      <c r="C268" t="inlineStr">
        <is>
          <t>Doctorate / PhD</t>
        </is>
      </c>
      <c r="D268" t="inlineStr">
        <is>
          <t>Research degree</t>
        </is>
      </c>
      <c r="E268" t="inlineStr">
        <is>
          <t>Held: page found is for another course</t>
        </is>
      </c>
      <c r="F268" t="inlineStr"/>
      <c r="G268" t="inlineStr">
        <is>
          <t>https://legacy.handbook.unsw.edu.au/research/programs/2012/1099.html</t>
        </is>
      </c>
      <c r="H268" t="inlineStr">
        <is>
          <t>Page is for another course</t>
        </is>
      </c>
      <c r="I268" t="inlineStr"/>
      <c r="J268" t="inlineStr"/>
      <c r="K268" t="inlineStr">
        <is>
          <t>Finished, no page: no address from the university's address forms or stored lis</t>
        </is>
      </c>
      <c r="L268" t="inlineStr">
        <is>
          <t>Searching for course page</t>
        </is>
      </c>
      <c r="M268" t="inlineStr">
        <is>
          <t>Searching for course page</t>
        </is>
      </c>
      <c r="N268" t="inlineStr"/>
      <c r="O268" t="n">
        <v>0</v>
      </c>
      <c r="P268" t="inlineStr"/>
      <c r="Q268" t="inlineStr">
        <is>
          <t>Searching for course page</t>
        </is>
      </c>
      <c r="S268" t="inlineStr"/>
      <c r="T268" t="inlineStr">
        <is>
          <t>Held: research degree (the policy states no research requirement)</t>
        </is>
      </c>
      <c r="U268" t="inlineStr"/>
      <c r="V268" t="inlineStr">
        <is>
          <t>Searching for course page</t>
        </is>
      </c>
      <c r="W268" t="inlineStr"/>
      <c r="X268" t="inlineStr"/>
      <c r="Y268" t="n">
        <v>0</v>
      </c>
      <c r="Z268" t="inlineStr">
        <is>
          <t>No</t>
        </is>
      </c>
      <c r="AA268" t="inlineStr">
        <is>
          <t>Not stated on course page</t>
        </is>
      </c>
      <c r="AB268" t="inlineStr"/>
      <c r="AC268" t="inlineStr">
        <is>
          <t>Skipped: the page does not state it</t>
        </is>
      </c>
      <c r="AD268" t="n">
        <v>0</v>
      </c>
      <c r="AE268" t="inlineStr"/>
      <c r="AF268" t="inlineStr"/>
      <c r="AG268" t="inlineStr"/>
      <c r="AH268" t="inlineStr"/>
      <c r="AI268" t="inlineStr"/>
      <c r="AJ268" t="inlineStr">
        <is>
          <t>Yes</t>
        </is>
      </c>
      <c r="AK268" t="inlineStr"/>
      <c r="AL268" t="inlineStr"/>
      <c r="AM268" t="inlineStr"/>
    </row>
    <row r="269">
      <c r="A269" t="inlineStr">
        <is>
          <t>051359B</t>
        </is>
      </c>
      <c r="B269" t="inlineStr">
        <is>
          <t>Cotutelle PHD program</t>
        </is>
      </c>
      <c r="C269" t="inlineStr">
        <is>
          <t>Doctorate / PhD</t>
        </is>
      </c>
      <c r="D269" t="inlineStr">
        <is>
          <t>Research degree</t>
        </is>
      </c>
      <c r="E269" t="inlineStr">
        <is>
          <t>Held: page found is for another course</t>
        </is>
      </c>
      <c r="F269" t="inlineStr"/>
      <c r="G269" t="inlineStr">
        <is>
          <t>https://legacy.handbook.unsw.edu.au/research/programs/2012/1099.html</t>
        </is>
      </c>
      <c r="H269" t="inlineStr">
        <is>
          <t>Page is for another course</t>
        </is>
      </c>
      <c r="I269" t="inlineStr"/>
      <c r="J269" t="inlineStr"/>
      <c r="K269" t="inlineStr">
        <is>
          <t>Finished, no page: no address from the university's address forms or stored lis</t>
        </is>
      </c>
      <c r="L269" t="inlineStr">
        <is>
          <t>Searching for course page</t>
        </is>
      </c>
      <c r="M269" t="inlineStr">
        <is>
          <t>Searching for course page</t>
        </is>
      </c>
      <c r="N269" t="inlineStr"/>
      <c r="O269" t="n">
        <v>0</v>
      </c>
      <c r="P269" t="inlineStr"/>
      <c r="Q269" t="inlineStr">
        <is>
          <t>Searching for course page</t>
        </is>
      </c>
      <c r="S269" t="inlineStr"/>
      <c r="T269" t="inlineStr">
        <is>
          <t>Held: research degree (the policy states no research requirement)</t>
        </is>
      </c>
      <c r="U269" t="inlineStr"/>
      <c r="V269" t="inlineStr">
        <is>
          <t>Searching for course page</t>
        </is>
      </c>
      <c r="W269" t="inlineStr"/>
      <c r="X269" t="inlineStr"/>
      <c r="Y269" t="n">
        <v>0</v>
      </c>
      <c r="Z269" t="inlineStr">
        <is>
          <t>No</t>
        </is>
      </c>
      <c r="AA269" t="inlineStr">
        <is>
          <t>Not stated on course page</t>
        </is>
      </c>
      <c r="AB269" t="inlineStr"/>
      <c r="AC269" t="inlineStr">
        <is>
          <t>Skipped: no correct course page: the page found is for another course</t>
        </is>
      </c>
      <c r="AD269" t="n">
        <v>1</v>
      </c>
      <c r="AE269" t="inlineStr"/>
      <c r="AF269" t="inlineStr"/>
      <c r="AG269" t="inlineStr"/>
      <c r="AH269" t="inlineStr"/>
      <c r="AI269" t="inlineStr"/>
      <c r="AJ269" t="inlineStr">
        <is>
          <t>Yes</t>
        </is>
      </c>
      <c r="AK269" t="inlineStr"/>
      <c r="AL269" t="inlineStr"/>
      <c r="AM269" t="inlineStr"/>
    </row>
    <row r="270">
      <c r="A270" t="inlineStr">
        <is>
          <t>051417G</t>
        </is>
      </c>
      <c r="B270" t="inlineStr">
        <is>
          <t>Cotutelle PHD program</t>
        </is>
      </c>
      <c r="C270" t="inlineStr">
        <is>
          <t>Doctorate / PhD</t>
        </is>
      </c>
      <c r="D270" t="inlineStr">
        <is>
          <t>Research degree</t>
        </is>
      </c>
      <c r="E270" t="inlineStr">
        <is>
          <t>Held: page found is for another course</t>
        </is>
      </c>
      <c r="F270" t="inlineStr"/>
      <c r="G270" t="inlineStr">
        <is>
          <t>https://legacy.handbook.unsw.edu.au/research/programs/2012/1099.html</t>
        </is>
      </c>
      <c r="H270" t="inlineStr">
        <is>
          <t>Page is for another course</t>
        </is>
      </c>
      <c r="I270" t="inlineStr"/>
      <c r="J270" t="inlineStr"/>
      <c r="K270" t="inlineStr">
        <is>
          <t>Finished, no page: no address from the university's address forms or stored lis</t>
        </is>
      </c>
      <c r="L270" t="inlineStr">
        <is>
          <t>Searching for course page</t>
        </is>
      </c>
      <c r="M270" t="inlineStr">
        <is>
          <t>Searching for course page</t>
        </is>
      </c>
      <c r="N270" t="inlineStr"/>
      <c r="O270" t="n">
        <v>0</v>
      </c>
      <c r="P270" t="inlineStr"/>
      <c r="Q270" t="inlineStr">
        <is>
          <t>Searching for course page</t>
        </is>
      </c>
      <c r="S270" t="inlineStr"/>
      <c r="T270" t="inlineStr">
        <is>
          <t>Held: research degree (the policy states no research requirement)</t>
        </is>
      </c>
      <c r="U270" t="inlineStr"/>
      <c r="V270" t="inlineStr">
        <is>
          <t>Searching for course page</t>
        </is>
      </c>
      <c r="W270" t="inlineStr"/>
      <c r="X270" t="inlineStr"/>
      <c r="Y270" t="n">
        <v>0</v>
      </c>
      <c r="Z270" t="inlineStr">
        <is>
          <t>No</t>
        </is>
      </c>
      <c r="AA270" t="inlineStr">
        <is>
          <t>Not stated on course page</t>
        </is>
      </c>
      <c r="AB270" t="inlineStr"/>
      <c r="AC270" t="inlineStr">
        <is>
          <t>Skipped: no correct course page: the page found is for another course</t>
        </is>
      </c>
      <c r="AD270" t="n">
        <v>1</v>
      </c>
      <c r="AE270" t="inlineStr"/>
      <c r="AF270" t="inlineStr"/>
      <c r="AG270" t="inlineStr"/>
      <c r="AH270" t="inlineStr"/>
      <c r="AI270" t="inlineStr"/>
      <c r="AJ270" t="inlineStr">
        <is>
          <t>Yes</t>
        </is>
      </c>
      <c r="AK270" t="inlineStr"/>
      <c r="AL270" t="inlineStr"/>
      <c r="AM270" t="inlineStr"/>
    </row>
    <row r="271">
      <c r="A271" t="inlineStr">
        <is>
          <t>051416J</t>
        </is>
      </c>
      <c r="B271" t="inlineStr">
        <is>
          <t>Cotutelle PHD program</t>
        </is>
      </c>
      <c r="C271" t="inlineStr">
        <is>
          <t>Doctorate / PhD</t>
        </is>
      </c>
      <c r="D271" t="inlineStr">
        <is>
          <t>Research degree</t>
        </is>
      </c>
      <c r="E271" t="inlineStr">
        <is>
          <t>Held: page found is for another course</t>
        </is>
      </c>
      <c r="F271" t="inlineStr"/>
      <c r="G271" t="inlineStr">
        <is>
          <t>https://legacy.handbook.unsw.edu.au/research/programs/2012/1099.html</t>
        </is>
      </c>
      <c r="H271" t="inlineStr">
        <is>
          <t>Page is for another course</t>
        </is>
      </c>
      <c r="I271" t="inlineStr"/>
      <c r="J271" t="inlineStr"/>
      <c r="K271" t="inlineStr">
        <is>
          <t>Finished, no page: no address from the university's address forms or stored lis</t>
        </is>
      </c>
      <c r="L271" t="inlineStr">
        <is>
          <t>Searching for course page</t>
        </is>
      </c>
      <c r="M271" t="inlineStr">
        <is>
          <t>Searching for course page</t>
        </is>
      </c>
      <c r="N271" t="inlineStr"/>
      <c r="O271" t="n">
        <v>0</v>
      </c>
      <c r="P271" t="inlineStr"/>
      <c r="Q271" t="inlineStr">
        <is>
          <t>Searching for course page</t>
        </is>
      </c>
      <c r="S271" t="inlineStr"/>
      <c r="T271" t="inlineStr">
        <is>
          <t>Held: research degree (the policy states no research requirement)</t>
        </is>
      </c>
      <c r="U271" t="inlineStr"/>
      <c r="V271" t="inlineStr">
        <is>
          <t>Searching for course page</t>
        </is>
      </c>
      <c r="W271" t="inlineStr"/>
      <c r="X271" t="inlineStr"/>
      <c r="Y271" t="n">
        <v>0</v>
      </c>
      <c r="Z271" t="inlineStr">
        <is>
          <t>No</t>
        </is>
      </c>
      <c r="AA271" t="inlineStr">
        <is>
          <t>Not stated on course page</t>
        </is>
      </c>
      <c r="AB271" t="inlineStr"/>
      <c r="AC271" t="inlineStr">
        <is>
          <t>Skipped: the page does not state it</t>
        </is>
      </c>
      <c r="AD271" t="n">
        <v>0</v>
      </c>
      <c r="AE271" t="inlineStr"/>
      <c r="AF271" t="inlineStr"/>
      <c r="AG271" t="inlineStr"/>
      <c r="AH271" t="inlineStr"/>
      <c r="AI271" t="inlineStr"/>
      <c r="AJ271" t="inlineStr">
        <is>
          <t>Yes</t>
        </is>
      </c>
      <c r="AK271" t="inlineStr"/>
      <c r="AL271" t="inlineStr"/>
      <c r="AM271" t="inlineStr"/>
    </row>
    <row r="272">
      <c r="A272" t="inlineStr">
        <is>
          <t>051357D</t>
        </is>
      </c>
      <c r="B272" t="inlineStr">
        <is>
          <t>Cotutelle PHD program</t>
        </is>
      </c>
      <c r="C272" t="inlineStr">
        <is>
          <t>Doctorate / PhD</t>
        </is>
      </c>
      <c r="D272" t="inlineStr">
        <is>
          <t>Research degree</t>
        </is>
      </c>
      <c r="E272" t="inlineStr">
        <is>
          <t>Held: page found is for another course</t>
        </is>
      </c>
      <c r="F272" t="inlineStr"/>
      <c r="G272" t="inlineStr">
        <is>
          <t>https://legacy.handbook.unsw.edu.au/research/programs/2012/1099.html</t>
        </is>
      </c>
      <c r="H272" t="inlineStr">
        <is>
          <t>Page is for another course</t>
        </is>
      </c>
      <c r="I272" t="inlineStr"/>
      <c r="J272" t="inlineStr"/>
      <c r="K272" t="inlineStr">
        <is>
          <t>Finished, no page: no address from the university's address forms or stored lis</t>
        </is>
      </c>
      <c r="L272" t="inlineStr">
        <is>
          <t>Searching for course page</t>
        </is>
      </c>
      <c r="M272" t="inlineStr">
        <is>
          <t>Searching for course page</t>
        </is>
      </c>
      <c r="N272" t="inlineStr"/>
      <c r="O272" t="n">
        <v>0</v>
      </c>
      <c r="P272" t="inlineStr"/>
      <c r="Q272" t="inlineStr">
        <is>
          <t>Searching for course page</t>
        </is>
      </c>
      <c r="S272" t="inlineStr"/>
      <c r="T272" t="inlineStr">
        <is>
          <t>Held: research degree (the policy states no research requirement)</t>
        </is>
      </c>
      <c r="U272" t="inlineStr"/>
      <c r="V272" t="inlineStr">
        <is>
          <t>Searching for course page</t>
        </is>
      </c>
      <c r="W272" t="inlineStr"/>
      <c r="X272" t="inlineStr"/>
      <c r="Y272" t="n">
        <v>0</v>
      </c>
      <c r="Z272" t="inlineStr">
        <is>
          <t>No</t>
        </is>
      </c>
      <c r="AA272" t="inlineStr">
        <is>
          <t>Not stated on course page</t>
        </is>
      </c>
      <c r="AB272" t="inlineStr"/>
      <c r="AC272" t="inlineStr">
        <is>
          <t>Skipped: no correct course page: the page found is for another course</t>
        </is>
      </c>
      <c r="AD272" t="n">
        <v>1</v>
      </c>
      <c r="AE272" t="inlineStr"/>
      <c r="AF272" t="inlineStr"/>
      <c r="AG272" t="inlineStr"/>
      <c r="AH272" t="inlineStr"/>
      <c r="AI272" t="inlineStr"/>
      <c r="AJ272" t="inlineStr">
        <is>
          <t>Yes</t>
        </is>
      </c>
      <c r="AK272" t="inlineStr"/>
      <c r="AL272" t="inlineStr"/>
      <c r="AM272" t="inlineStr"/>
    </row>
    <row r="273">
      <c r="A273" t="inlineStr">
        <is>
          <t>107826B</t>
        </is>
      </c>
      <c r="B273" t="inlineStr">
        <is>
          <t>Diploma in Architecture</t>
        </is>
      </c>
      <c r="C273" t="inlineStr">
        <is>
          <t>Diploma</t>
        </is>
      </c>
      <c r="D273" t="inlineStr">
        <is>
          <t>Diploma</t>
        </is>
      </c>
      <c r="E273" t="inlineStr">
        <is>
          <t>Advertised: official page in place</t>
        </is>
      </c>
      <c r="F273" t="inlineStr">
        <is>
          <t>https://www.unsw.edu.au/study/undergraduate/diploma-in-architecture</t>
        </is>
      </c>
      <c r="G273" t="inlineStr">
        <is>
          <t>https://www.unsw.edu.au/study/undergraduate/diploma-in-architecture</t>
        </is>
      </c>
      <c r="H273" t="inlineStr">
        <is>
          <t>Read</t>
        </is>
      </c>
      <c r="I273" t="inlineStr">
        <is>
          <t>University adapter (title)</t>
        </is>
      </c>
      <c r="J273" t="inlineStr"/>
      <c r="K273" t="inlineStr">
        <is>
          <t>Not sent to re-link</t>
        </is>
      </c>
      <c r="L273" t="inlineStr">
        <is>
          <t>Filled</t>
        </is>
      </c>
      <c r="M273" t="inlineStr">
        <is>
          <t>Not stated on course page</t>
        </is>
      </c>
      <c r="N273" t="inlineStr"/>
      <c r="O273" t="n">
        <v>0</v>
      </c>
      <c r="P273" t="inlineStr"/>
      <c r="Q273" t="inlineStr">
        <is>
          <t>Not stated on course page</t>
        </is>
      </c>
      <c r="S273" t="inlineStr"/>
      <c r="T273" t="inlineStr">
        <is>
          <t>Held: level not covered by the policy default</t>
        </is>
      </c>
      <c r="U273" t="inlineStr"/>
      <c r="V273" t="inlineStr">
        <is>
          <t>Filled</t>
        </is>
      </c>
      <c r="W273" t="inlineStr">
        <is>
          <t>February, September</t>
        </is>
      </c>
      <c r="X273" t="inlineStr">
        <is>
          <t>Other</t>
        </is>
      </c>
      <c r="Y273" t="n">
        <v>0</v>
      </c>
      <c r="Z273" t="inlineStr">
        <is>
          <t>Yes</t>
        </is>
      </c>
      <c r="AA273" t="inlineStr">
        <is>
          <t>Filled</t>
        </is>
      </c>
      <c r="AB273" t="inlineStr">
        <is>
          <t>blended</t>
        </is>
      </c>
      <c r="AC273" t="inlineStr">
        <is>
          <t>Filled</t>
        </is>
      </c>
      <c r="AD273" t="n">
        <v>0</v>
      </c>
      <c r="AE273" t="inlineStr"/>
      <c r="AF273" t="inlineStr"/>
      <c r="AG273" t="inlineStr"/>
      <c r="AH273" t="inlineStr"/>
      <c r="AI273" t="inlineStr"/>
      <c r="AJ273" t="inlineStr">
        <is>
          <t>Yes</t>
        </is>
      </c>
      <c r="AK273" t="inlineStr"/>
      <c r="AL273" t="inlineStr"/>
      <c r="AM273" t="inlineStr"/>
    </row>
    <row r="274">
      <c r="A274" t="inlineStr">
        <is>
          <t>119125K</t>
        </is>
      </c>
      <c r="B274" t="inlineStr">
        <is>
          <t>Diploma in Arts and Social Sciences</t>
        </is>
      </c>
      <c r="C274" t="inlineStr">
        <is>
          <t>Diploma</t>
        </is>
      </c>
      <c r="D274" t="inlineStr">
        <is>
          <t>Diploma</t>
        </is>
      </c>
      <c r="E274" t="inlineStr">
        <is>
          <t>Page address no longer works</t>
        </is>
      </c>
      <c r="F274" t="inlineStr"/>
      <c r="G274" t="inlineStr">
        <is>
          <t>https://www.handbook.unsw.edu.au/undergraduate/programs/2026/7011</t>
        </is>
      </c>
      <c r="H274" t="inlineStr">
        <is>
          <t>Address no longer works</t>
        </is>
      </c>
      <c r="I274" t="inlineStr"/>
      <c r="J274" t="inlineStr"/>
      <c r="K274" t="inlineStr">
        <is>
          <t>Not sent to re-link</t>
        </is>
      </c>
      <c r="L274" t="inlineStr">
        <is>
          <t>Page found, being read</t>
        </is>
      </c>
      <c r="M274" t="inlineStr">
        <is>
          <t>Page found, being read</t>
        </is>
      </c>
      <c r="N274" t="inlineStr"/>
      <c r="O274" t="n">
        <v>0</v>
      </c>
      <c r="P274" t="inlineStr"/>
      <c r="Q274" t="inlineStr">
        <is>
          <t>Page found, being read</t>
        </is>
      </c>
      <c r="S274" t="inlineStr"/>
      <c r="T274" t="inlineStr">
        <is>
          <t>Held: level not covered by the policy default</t>
        </is>
      </c>
      <c r="U274" t="inlineStr"/>
      <c r="V274" t="inlineStr">
        <is>
          <t>Page found, being read</t>
        </is>
      </c>
      <c r="W274" t="inlineStr"/>
      <c r="X274" t="inlineStr"/>
      <c r="Y274" t="n">
        <v>0</v>
      </c>
      <c r="Z274" t="inlineStr">
        <is>
          <t>Yes</t>
        </is>
      </c>
      <c r="AA274" t="inlineStr">
        <is>
          <t>Not stated on course page</t>
        </is>
      </c>
      <c r="AB274" t="inlineStr"/>
      <c r="AC274" t="inlineStr">
        <is>
          <t>Skipped: no allowed source had a value</t>
        </is>
      </c>
      <c r="AD274" t="n">
        <v>0</v>
      </c>
      <c r="AE274" t="inlineStr"/>
      <c r="AF274" t="inlineStr"/>
      <c r="AG274" t="inlineStr"/>
      <c r="AH274" t="inlineStr"/>
      <c r="AI274" t="inlineStr"/>
      <c r="AJ274" t="inlineStr">
        <is>
          <t>Yes</t>
        </is>
      </c>
      <c r="AK274" t="inlineStr"/>
      <c r="AL274" t="inlineStr"/>
      <c r="AM274" t="inlineStr"/>
    </row>
    <row r="275">
      <c r="A275" t="inlineStr">
        <is>
          <t>102394F</t>
        </is>
      </c>
      <c r="B275" t="inlineStr">
        <is>
          <t>Diploma in Business</t>
        </is>
      </c>
      <c r="C275" t="inlineStr">
        <is>
          <t>Diploma</t>
        </is>
      </c>
      <c r="D275" t="inlineStr">
        <is>
          <t>Diploma</t>
        </is>
      </c>
      <c r="E275" t="inlineStr">
        <is>
          <t>Advertised: official page in place</t>
        </is>
      </c>
      <c r="F275" t="inlineStr">
        <is>
          <t>https://www.unsw.edu.au/study/undergraduate/diploma-in-business</t>
        </is>
      </c>
      <c r="G275" t="inlineStr">
        <is>
          <t>https://www.unsw.edu.au/study/undergraduate/diploma-in-business</t>
        </is>
      </c>
      <c r="H275" t="inlineStr">
        <is>
          <t>Read</t>
        </is>
      </c>
      <c r="I275" t="inlineStr">
        <is>
          <t>University adapter (title)</t>
        </is>
      </c>
      <c r="J275" t="inlineStr"/>
      <c r="K275" t="inlineStr">
        <is>
          <t>Not sent to re-link</t>
        </is>
      </c>
      <c r="L275" t="inlineStr">
        <is>
          <t>Filled</t>
        </is>
      </c>
      <c r="M275" t="inlineStr">
        <is>
          <t>Not stated on course page</t>
        </is>
      </c>
      <c r="N275" t="inlineStr"/>
      <c r="O275" t="n">
        <v>0</v>
      </c>
      <c r="P275" t="inlineStr"/>
      <c r="Q275" t="inlineStr">
        <is>
          <t>Not stated on course page</t>
        </is>
      </c>
      <c r="S275" t="inlineStr"/>
      <c r="T275" t="inlineStr">
        <is>
          <t>Held: level not covered by the policy default</t>
        </is>
      </c>
      <c r="U275" t="inlineStr"/>
      <c r="V275" t="inlineStr">
        <is>
          <t>Filled</t>
        </is>
      </c>
      <c r="W275" t="inlineStr">
        <is>
          <t>February, May, September</t>
        </is>
      </c>
      <c r="X275" t="inlineStr">
        <is>
          <t>Other</t>
        </is>
      </c>
      <c r="Y275" t="n">
        <v>0</v>
      </c>
      <c r="Z275" t="inlineStr">
        <is>
          <t>Yes</t>
        </is>
      </c>
      <c r="AA275" t="inlineStr">
        <is>
          <t>Filled</t>
        </is>
      </c>
      <c r="AB275" t="inlineStr">
        <is>
          <t>blended</t>
        </is>
      </c>
      <c r="AC275" t="inlineStr">
        <is>
          <t>Filled</t>
        </is>
      </c>
      <c r="AD275" t="n">
        <v>0</v>
      </c>
      <c r="AE275" t="inlineStr"/>
      <c r="AF275" t="inlineStr"/>
      <c r="AG275" t="inlineStr"/>
      <c r="AH275" t="inlineStr"/>
      <c r="AI275" t="inlineStr"/>
      <c r="AJ275" t="inlineStr">
        <is>
          <t>Yes</t>
        </is>
      </c>
      <c r="AK275" t="inlineStr"/>
      <c r="AL275" t="inlineStr"/>
      <c r="AM275" t="inlineStr"/>
    </row>
    <row r="276">
      <c r="A276" t="inlineStr">
        <is>
          <t>102393G</t>
        </is>
      </c>
      <c r="B276" t="inlineStr">
        <is>
          <t>Diploma in Computer Science</t>
        </is>
      </c>
      <c r="C276" t="inlineStr">
        <is>
          <t>Diploma</t>
        </is>
      </c>
      <c r="D276" t="inlineStr">
        <is>
          <t>Diploma</t>
        </is>
      </c>
      <c r="E276" t="inlineStr">
        <is>
          <t>Advertised: official page in place</t>
        </is>
      </c>
      <c r="F276" t="inlineStr">
        <is>
          <t>https://www.unswcollege.edu.au/study/diploma-of-computer-science</t>
        </is>
      </c>
      <c r="G276" t="inlineStr">
        <is>
          <t>https://www.unsw.edu.au/study/undergraduate/undergraduate-certificate-computer-science</t>
        </is>
      </c>
      <c r="H276" t="inlineStr">
        <is>
          <t>Read</t>
        </is>
      </c>
      <c r="I276" t="inlineStr">
        <is>
          <t>CRICOS code on page</t>
        </is>
      </c>
      <c r="J276" t="inlineStr"/>
      <c r="K276" t="inlineStr">
        <is>
          <t>Not sent to re-link</t>
        </is>
      </c>
      <c r="L276" t="inlineStr">
        <is>
          <t>Filled</t>
        </is>
      </c>
      <c r="M276" t="inlineStr">
        <is>
          <t>Not stated on course page</t>
        </is>
      </c>
      <c r="N276" t="inlineStr"/>
      <c r="O276" t="n">
        <v>0</v>
      </c>
      <c r="P276" t="inlineStr"/>
      <c r="Q276" t="inlineStr">
        <is>
          <t>Filled</t>
        </is>
      </c>
      <c r="R276" t="n">
        <v>6.5</v>
      </c>
      <c r="S276" t="inlineStr">
        <is>
          <t>Page reader</t>
        </is>
      </c>
      <c r="T276" t="inlineStr">
        <is>
          <t>Held: level not covered by the policy default</t>
        </is>
      </c>
      <c r="U276" t="inlineStr"/>
      <c r="V276" t="inlineStr">
        <is>
          <t>Filled</t>
        </is>
      </c>
      <c r="W276" t="inlineStr">
        <is>
          <t>January, May, August</t>
        </is>
      </c>
      <c r="X276" t="inlineStr">
        <is>
          <t>Page reader</t>
        </is>
      </c>
      <c r="Y276" t="n">
        <v>0</v>
      </c>
      <c r="Z276" t="inlineStr">
        <is>
          <t>Yes</t>
        </is>
      </c>
      <c r="AA276" t="inlineStr">
        <is>
          <t>Filled</t>
        </is>
      </c>
      <c r="AB276" t="inlineStr">
        <is>
          <t>on campus</t>
        </is>
      </c>
      <c r="AC276" t="inlineStr">
        <is>
          <t>Filled</t>
        </is>
      </c>
      <c r="AD276" t="n">
        <v>0</v>
      </c>
      <c r="AE276" t="inlineStr"/>
      <c r="AF276" t="inlineStr"/>
      <c r="AG276" t="inlineStr"/>
      <c r="AH276" t="inlineStr"/>
      <c r="AI276" t="inlineStr"/>
      <c r="AJ276" t="inlineStr"/>
      <c r="AK276" t="inlineStr"/>
      <c r="AL276" t="inlineStr"/>
      <c r="AM276" t="inlineStr"/>
    </row>
    <row r="277">
      <c r="A277" t="inlineStr">
        <is>
          <t>095863M</t>
        </is>
      </c>
      <c r="B277" t="inlineStr">
        <is>
          <t>Diploma in Engineering</t>
        </is>
      </c>
      <c r="C277" t="inlineStr">
        <is>
          <t>Diploma</t>
        </is>
      </c>
      <c r="D277" t="inlineStr">
        <is>
          <t>Diploma</t>
        </is>
      </c>
      <c r="E277" t="inlineStr">
        <is>
          <t>Advertised: official page in place</t>
        </is>
      </c>
      <c r="F277" t="inlineStr">
        <is>
          <t>https://www.unswcollege.edu.au/study/diploma-of-engineering</t>
        </is>
      </c>
      <c r="G277" t="inlineStr">
        <is>
          <t>https://www.unsw.edu.au/study/undergraduate/undergraduate-certificate-engineering</t>
        </is>
      </c>
      <c r="H277" t="inlineStr">
        <is>
          <t>Read</t>
        </is>
      </c>
      <c r="I277" t="inlineStr">
        <is>
          <t>CRICOS code on page</t>
        </is>
      </c>
      <c r="J277" t="inlineStr"/>
      <c r="K277" t="inlineStr">
        <is>
          <t>Not sent to re-link</t>
        </is>
      </c>
      <c r="L277" t="inlineStr">
        <is>
          <t>Filled</t>
        </is>
      </c>
      <c r="M277" t="inlineStr">
        <is>
          <t>Not stated on course page</t>
        </is>
      </c>
      <c r="N277" t="inlineStr"/>
      <c r="O277" t="n">
        <v>0</v>
      </c>
      <c r="P277" t="inlineStr"/>
      <c r="Q277" t="inlineStr">
        <is>
          <t>Filled</t>
        </is>
      </c>
      <c r="R277" t="n">
        <v>6.5</v>
      </c>
      <c r="S277" t="inlineStr">
        <is>
          <t>Page reader</t>
        </is>
      </c>
      <c r="T277" t="inlineStr">
        <is>
          <t>Held: level not covered by the policy default</t>
        </is>
      </c>
      <c r="U277" t="inlineStr"/>
      <c r="V277" t="inlineStr">
        <is>
          <t>Filled</t>
        </is>
      </c>
      <c r="W277" t="inlineStr">
        <is>
          <t>January, May, August</t>
        </is>
      </c>
      <c r="X277" t="inlineStr">
        <is>
          <t>Page reader</t>
        </is>
      </c>
      <c r="Y277" t="n">
        <v>0</v>
      </c>
      <c r="Z277" t="inlineStr">
        <is>
          <t>Yes</t>
        </is>
      </c>
      <c r="AA277" t="inlineStr">
        <is>
          <t>Filled</t>
        </is>
      </c>
      <c r="AB277" t="inlineStr">
        <is>
          <t>on campus</t>
        </is>
      </c>
      <c r="AC277" t="inlineStr">
        <is>
          <t>Filled</t>
        </is>
      </c>
      <c r="AD277" t="n">
        <v>0</v>
      </c>
      <c r="AE277" t="inlineStr"/>
      <c r="AF277" t="inlineStr"/>
      <c r="AG277" t="inlineStr"/>
      <c r="AH277" t="inlineStr"/>
      <c r="AI277" t="inlineStr"/>
      <c r="AJ277" t="inlineStr"/>
      <c r="AK277" t="inlineStr"/>
      <c r="AL277" t="inlineStr"/>
      <c r="AM277" t="inlineStr"/>
    </row>
    <row r="278">
      <c r="A278" t="inlineStr">
        <is>
          <t>107827A</t>
        </is>
      </c>
      <c r="B278" t="inlineStr">
        <is>
          <t>Diploma in Media and Communication</t>
        </is>
      </c>
      <c r="C278" t="inlineStr">
        <is>
          <t>Diploma</t>
        </is>
      </c>
      <c r="D278" t="inlineStr">
        <is>
          <t>Diploma</t>
        </is>
      </c>
      <c r="E278" t="inlineStr">
        <is>
          <t>Advertised: official page in place</t>
        </is>
      </c>
      <c r="F278" t="inlineStr">
        <is>
          <t>https://www.unsw.edu.au/study/undergraduate/diploma-in-media-and-communication</t>
        </is>
      </c>
      <c r="G278" t="inlineStr">
        <is>
          <t>https://www.unsw.edu.au/study/undergraduate/diploma-in-media-and-communication</t>
        </is>
      </c>
      <c r="H278" t="inlineStr">
        <is>
          <t>Read</t>
        </is>
      </c>
      <c r="I278" t="inlineStr">
        <is>
          <t>University adapter (title)</t>
        </is>
      </c>
      <c r="J278" t="inlineStr"/>
      <c r="K278" t="inlineStr">
        <is>
          <t>Not sent to re-link</t>
        </is>
      </c>
      <c r="L278" t="inlineStr">
        <is>
          <t>Filled</t>
        </is>
      </c>
      <c r="M278" t="inlineStr">
        <is>
          <t>Not stated on course page</t>
        </is>
      </c>
      <c r="N278" t="inlineStr"/>
      <c r="O278" t="n">
        <v>0</v>
      </c>
      <c r="P278" t="inlineStr"/>
      <c r="Q278" t="inlineStr">
        <is>
          <t>Not stated on course page</t>
        </is>
      </c>
      <c r="S278" t="inlineStr"/>
      <c r="T278" t="inlineStr">
        <is>
          <t>Held: level not covered by the policy default</t>
        </is>
      </c>
      <c r="U278" t="inlineStr"/>
      <c r="V278" t="inlineStr">
        <is>
          <t>Filled</t>
        </is>
      </c>
      <c r="W278" t="inlineStr">
        <is>
          <t>February, May, September</t>
        </is>
      </c>
      <c r="X278" t="inlineStr">
        <is>
          <t>Other</t>
        </is>
      </c>
      <c r="Y278" t="n">
        <v>0</v>
      </c>
      <c r="Z278" t="inlineStr">
        <is>
          <t>Yes</t>
        </is>
      </c>
      <c r="AA278" t="inlineStr">
        <is>
          <t>Filled</t>
        </is>
      </c>
      <c r="AB278" t="inlineStr">
        <is>
          <t>blended</t>
        </is>
      </c>
      <c r="AC278" t="inlineStr">
        <is>
          <t>Filled</t>
        </is>
      </c>
      <c r="AD278" t="n">
        <v>0</v>
      </c>
      <c r="AE278" t="inlineStr"/>
      <c r="AF278" t="inlineStr"/>
      <c r="AG278" t="inlineStr"/>
      <c r="AH278" t="inlineStr"/>
      <c r="AI278" t="inlineStr"/>
      <c r="AJ278" t="inlineStr">
        <is>
          <t>Yes</t>
        </is>
      </c>
      <c r="AK278" t="inlineStr"/>
      <c r="AL278" t="inlineStr"/>
      <c r="AM278" t="inlineStr"/>
    </row>
    <row r="279">
      <c r="A279" t="inlineStr">
        <is>
          <t>095862A</t>
        </is>
      </c>
      <c r="B279" t="inlineStr">
        <is>
          <t>Diploma in Science</t>
        </is>
      </c>
      <c r="C279" t="inlineStr">
        <is>
          <t>Diploma</t>
        </is>
      </c>
      <c r="D279" t="inlineStr">
        <is>
          <t>Diploma</t>
        </is>
      </c>
      <c r="E279" t="inlineStr">
        <is>
          <t>Advertised: official page in place</t>
        </is>
      </c>
      <c r="F279" t="inlineStr">
        <is>
          <t>https://www.unsw.edu.au/study/undergraduate/diploma-in-science</t>
        </is>
      </c>
      <c r="G279" t="inlineStr">
        <is>
          <t>https://www.unsw.edu.au/study/undergraduate/diploma-in-science</t>
        </is>
      </c>
      <c r="H279" t="inlineStr">
        <is>
          <t>Read</t>
        </is>
      </c>
      <c r="I279" t="inlineStr">
        <is>
          <t>University adapter (title)</t>
        </is>
      </c>
      <c r="J279" t="inlineStr"/>
      <c r="K279" t="inlineStr">
        <is>
          <t>Not sent to re-link</t>
        </is>
      </c>
      <c r="L279" t="inlineStr">
        <is>
          <t>Filled</t>
        </is>
      </c>
      <c r="M279" t="inlineStr">
        <is>
          <t>Not stated on course page</t>
        </is>
      </c>
      <c r="N279" t="inlineStr"/>
      <c r="O279" t="n">
        <v>0</v>
      </c>
      <c r="P279" t="inlineStr"/>
      <c r="Q279" t="inlineStr">
        <is>
          <t>Not stated on course page</t>
        </is>
      </c>
      <c r="S279" t="inlineStr"/>
      <c r="T279" t="inlineStr">
        <is>
          <t>Held: level not covered by the policy default</t>
        </is>
      </c>
      <c r="U279" t="inlineStr"/>
      <c r="V279" t="inlineStr">
        <is>
          <t>Filled</t>
        </is>
      </c>
      <c r="W279" t="inlineStr">
        <is>
          <t>February, May, September</t>
        </is>
      </c>
      <c r="X279" t="inlineStr">
        <is>
          <t>Other</t>
        </is>
      </c>
      <c r="Y279" t="n">
        <v>0</v>
      </c>
      <c r="Z279" t="inlineStr">
        <is>
          <t>Yes</t>
        </is>
      </c>
      <c r="AA279" t="inlineStr">
        <is>
          <t>Filled</t>
        </is>
      </c>
      <c r="AB279" t="inlineStr">
        <is>
          <t>blended</t>
        </is>
      </c>
      <c r="AC279" t="inlineStr">
        <is>
          <t>Filled</t>
        </is>
      </c>
      <c r="AD279" t="n">
        <v>0</v>
      </c>
      <c r="AE279" t="inlineStr"/>
      <c r="AF279" t="inlineStr"/>
      <c r="AG279" t="inlineStr"/>
      <c r="AH279" t="inlineStr"/>
      <c r="AI279" t="inlineStr"/>
      <c r="AJ279" t="inlineStr">
        <is>
          <t>Yes</t>
        </is>
      </c>
      <c r="AK279" t="inlineStr"/>
      <c r="AL279" t="inlineStr"/>
      <c r="AM279" t="inlineStr"/>
    </row>
    <row r="280">
      <c r="A280" t="inlineStr">
        <is>
          <t>119192K</t>
        </is>
      </c>
      <c r="B280" t="inlineStr">
        <is>
          <t>Diploma in Science and Technology</t>
        </is>
      </c>
      <c r="C280" t="inlineStr">
        <is>
          <t>Diploma</t>
        </is>
      </c>
      <c r="D280" t="inlineStr">
        <is>
          <t>Diploma</t>
        </is>
      </c>
      <c r="E280" t="inlineStr">
        <is>
          <t>Held: page found is for another course</t>
        </is>
      </c>
      <c r="F280" t="inlineStr"/>
      <c r="G280" t="inlineStr">
        <is>
          <t>https://www.handbook.unsw.edu.au/undergraduate/programs/2026/7012</t>
        </is>
      </c>
      <c r="H280" t="inlineStr">
        <is>
          <t>Page is for another course</t>
        </is>
      </c>
      <c r="I280" t="inlineStr"/>
      <c r="J280" t="inlineStr"/>
      <c r="K280" t="inlineStr">
        <is>
          <t>Finished, no page: no address from the university's address forms or stored lis</t>
        </is>
      </c>
      <c r="L280" t="inlineStr">
        <is>
          <t>Searching for course page</t>
        </is>
      </c>
      <c r="M280" t="inlineStr">
        <is>
          <t>Searching for course page</t>
        </is>
      </c>
      <c r="N280" t="inlineStr"/>
      <c r="O280" t="n">
        <v>0</v>
      </c>
      <c r="P280" t="inlineStr"/>
      <c r="Q280" t="inlineStr">
        <is>
          <t>Searching for course page</t>
        </is>
      </c>
      <c r="S280" t="inlineStr"/>
      <c r="T280" t="inlineStr">
        <is>
          <t>Held: level not covered by the policy default</t>
        </is>
      </c>
      <c r="U280" t="inlineStr"/>
      <c r="V280" t="inlineStr">
        <is>
          <t>Searching for course page</t>
        </is>
      </c>
      <c r="W280" t="inlineStr"/>
      <c r="X280" t="inlineStr"/>
      <c r="Y280" t="n">
        <v>0</v>
      </c>
      <c r="Z280" t="inlineStr">
        <is>
          <t>Yes</t>
        </is>
      </c>
      <c r="AA280" t="inlineStr">
        <is>
          <t>Not stated on course page</t>
        </is>
      </c>
      <c r="AB280" t="inlineStr"/>
      <c r="AC280" t="inlineStr">
        <is>
          <t>Skipped: no correct course page: the page found is for another course</t>
        </is>
      </c>
      <c r="AD280" t="n">
        <v>0</v>
      </c>
      <c r="AE280" t="inlineStr"/>
      <c r="AF280" t="inlineStr"/>
      <c r="AG280" t="inlineStr"/>
      <c r="AH280" t="inlineStr"/>
      <c r="AI280" t="inlineStr"/>
      <c r="AJ280" t="inlineStr">
        <is>
          <t>Yes</t>
        </is>
      </c>
      <c r="AK280" t="inlineStr"/>
      <c r="AL280" t="inlineStr"/>
      <c r="AM280" t="inlineStr"/>
    </row>
    <row r="281">
      <c r="A281" t="inlineStr">
        <is>
          <t>093084K</t>
        </is>
      </c>
      <c r="B281" t="inlineStr">
        <is>
          <t>Doctor of Clinical Research in Optometry (Professional Doctorate)</t>
        </is>
      </c>
      <c r="C281" t="inlineStr">
        <is>
          <t>Doctorate / PhD</t>
        </is>
      </c>
      <c r="D281" t="inlineStr">
        <is>
          <t>Research degree</t>
        </is>
      </c>
      <c r="E281" t="inlineStr">
        <is>
          <t>Advertised: official page in place</t>
        </is>
      </c>
      <c r="F281" t="inlineStr">
        <is>
          <t>https://www.handbook.unsw.edu.au/research/programs/2026/1747</t>
        </is>
      </c>
      <c r="G281" t="inlineStr">
        <is>
          <t>https://www.handbook.unsw.edu.au/research/programs/2026/1747</t>
        </is>
      </c>
      <c r="H281" t="inlineStr">
        <is>
          <t>Read</t>
        </is>
      </c>
      <c r="I281" t="inlineStr">
        <is>
          <t>CRICOS code on page</t>
        </is>
      </c>
      <c r="J281" t="inlineStr"/>
      <c r="K281" t="inlineStr">
        <is>
          <t>Not sent to re-link</t>
        </is>
      </c>
      <c r="L281" t="inlineStr">
        <is>
          <t>Filled</t>
        </is>
      </c>
      <c r="M281" t="inlineStr">
        <is>
          <t>Not stated on course page</t>
        </is>
      </c>
      <c r="N281" t="inlineStr"/>
      <c r="O281" t="n">
        <v>0</v>
      </c>
      <c r="P281" t="inlineStr"/>
      <c r="Q281" t="inlineStr">
        <is>
          <t>Not stated on course page</t>
        </is>
      </c>
      <c r="S281" t="inlineStr"/>
      <c r="T281" t="inlineStr">
        <is>
          <t>Held: research degree (the policy states no research requirement)</t>
        </is>
      </c>
      <c r="U281" t="inlineStr"/>
      <c r="V281" t="inlineStr">
        <is>
          <t>Filled</t>
        </is>
      </c>
      <c r="W281" t="inlineStr">
        <is>
          <t>January, February, May, September</t>
        </is>
      </c>
      <c r="X281" t="inlineStr">
        <is>
          <t>University adapter</t>
        </is>
      </c>
      <c r="Y281" t="n">
        <v>0</v>
      </c>
      <c r="Z281" t="inlineStr">
        <is>
          <t>No</t>
        </is>
      </c>
      <c r="AA281" t="inlineStr">
        <is>
          <t>Filled</t>
        </is>
      </c>
      <c r="AB281" t="inlineStr">
        <is>
          <t>on campus</t>
        </is>
      </c>
      <c r="AC281" t="inlineStr"/>
      <c r="AD281" t="n">
        <v>0</v>
      </c>
      <c r="AE281" t="inlineStr"/>
      <c r="AF281" t="inlineStr"/>
      <c r="AG281" t="inlineStr"/>
      <c r="AH281" t="inlineStr"/>
      <c r="AI281" t="inlineStr"/>
      <c r="AJ281" t="inlineStr">
        <is>
          <t>Yes</t>
        </is>
      </c>
      <c r="AK281" t="inlineStr"/>
      <c r="AL281" t="inlineStr"/>
      <c r="AM281" t="inlineStr"/>
    </row>
    <row r="282">
      <c r="A282" t="inlineStr">
        <is>
          <t>093558C</t>
        </is>
      </c>
      <c r="B282" t="inlineStr">
        <is>
          <t>Doctor of Cyber Security (Professional Doctorate)</t>
        </is>
      </c>
      <c r="C282" t="inlineStr">
        <is>
          <t>Doctorate / PhD</t>
        </is>
      </c>
      <c r="D282" t="inlineStr">
        <is>
          <t>Research degree</t>
        </is>
      </c>
      <c r="E282" t="inlineStr">
        <is>
          <t>Advertised: official page in place</t>
        </is>
      </c>
      <c r="F282" t="inlineStr">
        <is>
          <t>https://www.handbook.unsw.edu.au/research/programs/2026/1748</t>
        </is>
      </c>
      <c r="G282" t="inlineStr">
        <is>
          <t>https://www.handbook.unsw.edu.au/research/programs/2026/1748</t>
        </is>
      </c>
      <c r="H282" t="inlineStr">
        <is>
          <t>Read</t>
        </is>
      </c>
      <c r="I282" t="inlineStr">
        <is>
          <t>CRICOS code on page</t>
        </is>
      </c>
      <c r="J282" t="inlineStr"/>
      <c r="K282" t="inlineStr">
        <is>
          <t>Not sent to re-link</t>
        </is>
      </c>
      <c r="L282" t="inlineStr">
        <is>
          <t>Filled</t>
        </is>
      </c>
      <c r="M282" t="inlineStr">
        <is>
          <t>Not stated on course page</t>
        </is>
      </c>
      <c r="N282" t="inlineStr"/>
      <c r="O282" t="n">
        <v>0</v>
      </c>
      <c r="P282" t="inlineStr"/>
      <c r="Q282" t="inlineStr">
        <is>
          <t>Not stated on course page</t>
        </is>
      </c>
      <c r="S282" t="inlineStr"/>
      <c r="T282" t="inlineStr">
        <is>
          <t>Held: research degree (the policy states no research requirement)</t>
        </is>
      </c>
      <c r="U282" t="inlineStr"/>
      <c r="V282" t="inlineStr">
        <is>
          <t>Filled</t>
        </is>
      </c>
      <c r="W282" t="inlineStr">
        <is>
          <t>January, February, May, September</t>
        </is>
      </c>
      <c r="X282" t="inlineStr">
        <is>
          <t>University adapter</t>
        </is>
      </c>
      <c r="Y282" t="n">
        <v>0</v>
      </c>
      <c r="Z282" t="inlineStr">
        <is>
          <t>No</t>
        </is>
      </c>
      <c r="AA282" t="inlineStr">
        <is>
          <t>Filled</t>
        </is>
      </c>
      <c r="AB282" t="inlineStr">
        <is>
          <t>on campus</t>
        </is>
      </c>
      <c r="AC282" t="inlineStr"/>
      <c r="AD282" t="n">
        <v>0</v>
      </c>
      <c r="AE282" t="inlineStr"/>
      <c r="AF282" t="inlineStr"/>
      <c r="AG282" t="inlineStr"/>
      <c r="AH282" t="inlineStr"/>
      <c r="AI282" t="inlineStr"/>
      <c r="AJ282" t="inlineStr">
        <is>
          <t>Yes</t>
        </is>
      </c>
      <c r="AK282" t="inlineStr"/>
      <c r="AL282" t="inlineStr"/>
      <c r="AM282" t="inlineStr"/>
    </row>
    <row r="283">
      <c r="A283" t="inlineStr">
        <is>
          <t>001012K</t>
        </is>
      </c>
      <c r="B283" t="inlineStr">
        <is>
          <t>Doctor of Philosophy - Accounting</t>
        </is>
      </c>
      <c r="C283" t="inlineStr">
        <is>
          <t>Doctorate / PhD</t>
        </is>
      </c>
      <c r="D283" t="inlineStr">
        <is>
          <t>Research degree</t>
        </is>
      </c>
      <c r="E283" t="inlineStr">
        <is>
          <t>Advertised: official page in place</t>
        </is>
      </c>
      <c r="F283" t="inlineStr">
        <is>
          <t>https://www.handbook.unsw.edu.au/research/programs/2026/1521</t>
        </is>
      </c>
      <c r="G283" t="inlineStr">
        <is>
          <t>https://www.handbook.unsw.edu.au/research/programs/2026/1521</t>
        </is>
      </c>
      <c r="H283" t="inlineStr">
        <is>
          <t>Read</t>
        </is>
      </c>
      <c r="I283" t="inlineStr">
        <is>
          <t>CRICOS code on page</t>
        </is>
      </c>
      <c r="J283" t="inlineStr"/>
      <c r="K283" t="inlineStr">
        <is>
          <t>Not sent to re-link</t>
        </is>
      </c>
      <c r="L283" t="inlineStr">
        <is>
          <t>Filled</t>
        </is>
      </c>
      <c r="M283" t="inlineStr">
        <is>
          <t>Not stated on course page</t>
        </is>
      </c>
      <c r="N283" t="inlineStr"/>
      <c r="O283" t="n">
        <v>0</v>
      </c>
      <c r="P283" t="inlineStr"/>
      <c r="Q283" t="inlineStr">
        <is>
          <t>Not stated on course page</t>
        </is>
      </c>
      <c r="S283" t="inlineStr"/>
      <c r="T283" t="inlineStr">
        <is>
          <t>Held: research degree (the policy states no research requirement)</t>
        </is>
      </c>
      <c r="U283" t="inlineStr"/>
      <c r="V283" t="inlineStr">
        <is>
          <t>Filled</t>
        </is>
      </c>
      <c r="W283" t="inlineStr">
        <is>
          <t>January, February, May, September</t>
        </is>
      </c>
      <c r="X283" t="inlineStr">
        <is>
          <t>University adapter</t>
        </is>
      </c>
      <c r="Y283" t="n">
        <v>0</v>
      </c>
      <c r="Z283" t="inlineStr">
        <is>
          <t>No</t>
        </is>
      </c>
      <c r="AA283" t="inlineStr">
        <is>
          <t>Filled</t>
        </is>
      </c>
      <c r="AB283" t="inlineStr">
        <is>
          <t>on campus</t>
        </is>
      </c>
      <c r="AC283" t="inlineStr"/>
      <c r="AD283" t="n">
        <v>0</v>
      </c>
      <c r="AE283" t="inlineStr"/>
      <c r="AF283" t="inlineStr"/>
      <c r="AG283" t="inlineStr"/>
      <c r="AH283" t="inlineStr"/>
      <c r="AI283" t="inlineStr"/>
      <c r="AJ283" t="inlineStr">
        <is>
          <t>Yes</t>
        </is>
      </c>
      <c r="AK283" t="inlineStr"/>
      <c r="AL283" t="inlineStr"/>
      <c r="AM283" t="inlineStr"/>
    </row>
    <row r="284">
      <c r="A284" t="inlineStr">
        <is>
          <t>041942C</t>
        </is>
      </c>
      <c r="B284" t="inlineStr">
        <is>
          <t>Doctor of Philosophy - Actuarial Studies</t>
        </is>
      </c>
      <c r="C284" t="inlineStr">
        <is>
          <t>Doctorate / PhD</t>
        </is>
      </c>
      <c r="D284" t="inlineStr">
        <is>
          <t>Research degree</t>
        </is>
      </c>
      <c r="E284" t="inlineStr">
        <is>
          <t>Advertised: official page in place</t>
        </is>
      </c>
      <c r="F284" t="inlineStr">
        <is>
          <t>https://www.handbook.unsw.edu.au/research/programs/2026/1545</t>
        </is>
      </c>
      <c r="G284" t="inlineStr">
        <is>
          <t>https://www.handbook.unsw.edu.au/research/programs/2026/1545</t>
        </is>
      </c>
      <c r="H284" t="inlineStr">
        <is>
          <t>Read</t>
        </is>
      </c>
      <c r="I284" t="inlineStr">
        <is>
          <t>CRICOS code on page</t>
        </is>
      </c>
      <c r="J284" t="inlineStr"/>
      <c r="K284" t="inlineStr">
        <is>
          <t>Not sent to re-link</t>
        </is>
      </c>
      <c r="L284" t="inlineStr">
        <is>
          <t>Filled</t>
        </is>
      </c>
      <c r="M284" t="inlineStr">
        <is>
          <t>Not stated on course page</t>
        </is>
      </c>
      <c r="N284" t="inlineStr"/>
      <c r="O284" t="n">
        <v>0</v>
      </c>
      <c r="P284" t="inlineStr"/>
      <c r="Q284" t="inlineStr">
        <is>
          <t>Not stated on course page</t>
        </is>
      </c>
      <c r="S284" t="inlineStr"/>
      <c r="T284" t="inlineStr">
        <is>
          <t>Held: research degree (the policy states no research requirement)</t>
        </is>
      </c>
      <c r="U284" t="inlineStr"/>
      <c r="V284" t="inlineStr">
        <is>
          <t>Filled</t>
        </is>
      </c>
      <c r="W284" t="inlineStr">
        <is>
          <t>January, February, May, September</t>
        </is>
      </c>
      <c r="X284" t="inlineStr">
        <is>
          <t>University adapter</t>
        </is>
      </c>
      <c r="Y284" t="n">
        <v>0</v>
      </c>
      <c r="Z284" t="inlineStr">
        <is>
          <t>No</t>
        </is>
      </c>
      <c r="AA284" t="inlineStr">
        <is>
          <t>Filled</t>
        </is>
      </c>
      <c r="AB284" t="inlineStr">
        <is>
          <t>on campus</t>
        </is>
      </c>
      <c r="AC284" t="inlineStr"/>
      <c r="AD284" t="n">
        <v>0</v>
      </c>
      <c r="AE284" t="inlineStr"/>
      <c r="AF284" t="inlineStr"/>
      <c r="AG284" t="inlineStr"/>
      <c r="AH284" t="inlineStr"/>
      <c r="AI284" t="inlineStr"/>
      <c r="AJ284" t="inlineStr">
        <is>
          <t>Yes</t>
        </is>
      </c>
      <c r="AK284" t="inlineStr"/>
      <c r="AL284" t="inlineStr"/>
      <c r="AM284" t="inlineStr"/>
    </row>
    <row r="285">
      <c r="A285" t="inlineStr">
        <is>
          <t>008927K</t>
        </is>
      </c>
      <c r="B285" t="inlineStr">
        <is>
          <t>Doctor of Philosophy - Applied Geology</t>
        </is>
      </c>
      <c r="C285" t="inlineStr">
        <is>
          <t>Doctorate / PhD</t>
        </is>
      </c>
      <c r="D285" t="inlineStr">
        <is>
          <t>Research degree</t>
        </is>
      </c>
      <c r="E285" t="inlineStr">
        <is>
          <t>Advertised: official page in place</t>
        </is>
      </c>
      <c r="F285" t="inlineStr">
        <is>
          <t>https://www.handbook.unsw.edu.au/research/programs/2026/1000</t>
        </is>
      </c>
      <c r="G285" t="inlineStr">
        <is>
          <t>https://www.handbook.unsw.edu.au/research/programs/2026/1000</t>
        </is>
      </c>
      <c r="H285" t="inlineStr">
        <is>
          <t>Read</t>
        </is>
      </c>
      <c r="I285" t="inlineStr">
        <is>
          <t>CRICOS code on page</t>
        </is>
      </c>
      <c r="J285" t="inlineStr"/>
      <c r="K285" t="inlineStr">
        <is>
          <t>Not sent to re-link</t>
        </is>
      </c>
      <c r="L285" t="inlineStr">
        <is>
          <t>Filled</t>
        </is>
      </c>
      <c r="M285" t="inlineStr">
        <is>
          <t>Not stated on course page</t>
        </is>
      </c>
      <c r="N285" t="inlineStr"/>
      <c r="O285" t="n">
        <v>0</v>
      </c>
      <c r="P285" t="inlineStr"/>
      <c r="Q285" t="inlineStr">
        <is>
          <t>Not stated on course page</t>
        </is>
      </c>
      <c r="S285" t="inlineStr"/>
      <c r="T285" t="inlineStr">
        <is>
          <t>Held: research degree (the policy states no research requirement)</t>
        </is>
      </c>
      <c r="U285" t="inlineStr"/>
      <c r="V285" t="inlineStr">
        <is>
          <t>Filled</t>
        </is>
      </c>
      <c r="W285" t="inlineStr">
        <is>
          <t>January, February, May, September</t>
        </is>
      </c>
      <c r="X285" t="inlineStr">
        <is>
          <t>University adapter</t>
        </is>
      </c>
      <c r="Y285" t="n">
        <v>0</v>
      </c>
      <c r="Z285" t="inlineStr">
        <is>
          <t>No</t>
        </is>
      </c>
      <c r="AA285" t="inlineStr">
        <is>
          <t>Filled</t>
        </is>
      </c>
      <c r="AB285" t="inlineStr">
        <is>
          <t>on campus</t>
        </is>
      </c>
      <c r="AC285" t="inlineStr"/>
      <c r="AD285" t="n">
        <v>0</v>
      </c>
      <c r="AE285" t="inlineStr"/>
      <c r="AF285" t="inlineStr"/>
      <c r="AG285" t="inlineStr"/>
      <c r="AH285" t="inlineStr"/>
      <c r="AI285" t="inlineStr"/>
      <c r="AJ285" t="inlineStr">
        <is>
          <t>Yes</t>
        </is>
      </c>
      <c r="AK285" t="inlineStr"/>
      <c r="AL285" t="inlineStr"/>
      <c r="AM285" t="inlineStr"/>
    </row>
    <row r="286">
      <c r="A286" t="inlineStr">
        <is>
          <t>082747M</t>
        </is>
      </c>
      <c r="B286" t="inlineStr">
        <is>
          <t>Doctor of Philosophy - Art, Design and Media</t>
        </is>
      </c>
      <c r="C286" t="inlineStr">
        <is>
          <t>Doctorate / PhD</t>
        </is>
      </c>
      <c r="D286" t="inlineStr">
        <is>
          <t>Research degree</t>
        </is>
      </c>
      <c r="E286" t="inlineStr">
        <is>
          <t>Advertised: official page in place</t>
        </is>
      </c>
      <c r="F286" t="inlineStr">
        <is>
          <t>https://www.handbook.unsw.edu.au/research/programs/2026/1292</t>
        </is>
      </c>
      <c r="G286" t="inlineStr">
        <is>
          <t>https://www.handbook.unsw.edu.au/research/programs/2026/1292</t>
        </is>
      </c>
      <c r="H286" t="inlineStr">
        <is>
          <t>Read</t>
        </is>
      </c>
      <c r="I286" t="inlineStr">
        <is>
          <t>CRICOS code on page</t>
        </is>
      </c>
      <c r="J286" t="inlineStr"/>
      <c r="K286" t="inlineStr">
        <is>
          <t>Not sent to re-link</t>
        </is>
      </c>
      <c r="L286" t="inlineStr">
        <is>
          <t>Filled</t>
        </is>
      </c>
      <c r="M286" t="inlineStr">
        <is>
          <t>Not stated on course page</t>
        </is>
      </c>
      <c r="N286" t="inlineStr"/>
      <c r="O286" t="n">
        <v>0</v>
      </c>
      <c r="P286" t="inlineStr"/>
      <c r="Q286" t="inlineStr">
        <is>
          <t>Not stated on course page</t>
        </is>
      </c>
      <c r="S286" t="inlineStr"/>
      <c r="T286" t="inlineStr">
        <is>
          <t>Held: research degree (the policy states no research requirement)</t>
        </is>
      </c>
      <c r="U286" t="inlineStr"/>
      <c r="V286" t="inlineStr">
        <is>
          <t>Filled</t>
        </is>
      </c>
      <c r="W286" t="inlineStr">
        <is>
          <t>January, February, May, September</t>
        </is>
      </c>
      <c r="X286" t="inlineStr">
        <is>
          <t>University adapter</t>
        </is>
      </c>
      <c r="Y286" t="n">
        <v>0</v>
      </c>
      <c r="Z286" t="inlineStr">
        <is>
          <t>No</t>
        </is>
      </c>
      <c r="AA286" t="inlineStr">
        <is>
          <t>Filled</t>
        </is>
      </c>
      <c r="AB286" t="inlineStr">
        <is>
          <t>on campus</t>
        </is>
      </c>
      <c r="AC286" t="inlineStr"/>
      <c r="AD286" t="n">
        <v>0</v>
      </c>
      <c r="AE286" t="inlineStr"/>
      <c r="AF286" t="inlineStr"/>
      <c r="AG286" t="inlineStr"/>
      <c r="AH286" t="inlineStr"/>
      <c r="AI286" t="inlineStr"/>
      <c r="AJ286" t="inlineStr">
        <is>
          <t>Yes</t>
        </is>
      </c>
      <c r="AK286" t="inlineStr"/>
      <c r="AL286" t="inlineStr"/>
      <c r="AM286" t="inlineStr"/>
    </row>
    <row r="287">
      <c r="A287" t="inlineStr">
        <is>
          <t>031354F</t>
        </is>
      </c>
      <c r="B287" t="inlineStr">
        <is>
          <t>Doctor of Philosophy - Aviation</t>
        </is>
      </c>
      <c r="C287" t="inlineStr">
        <is>
          <t>Doctorate / PhD</t>
        </is>
      </c>
      <c r="D287" t="inlineStr">
        <is>
          <t>Research degree</t>
        </is>
      </c>
      <c r="E287" t="inlineStr">
        <is>
          <t>Advertised: official page in place</t>
        </is>
      </c>
      <c r="F287" t="inlineStr">
        <is>
          <t>https://www.handbook.unsw.edu.au/research/programs/2026/1900</t>
        </is>
      </c>
      <c r="G287" t="inlineStr">
        <is>
          <t>https://www.handbook.unsw.edu.au/research/programs/2026/1900</t>
        </is>
      </c>
      <c r="H287" t="inlineStr">
        <is>
          <t>Read</t>
        </is>
      </c>
      <c r="I287" t="inlineStr">
        <is>
          <t>CRICOS code on page</t>
        </is>
      </c>
      <c r="J287" t="inlineStr"/>
      <c r="K287" t="inlineStr">
        <is>
          <t>Not sent to re-link</t>
        </is>
      </c>
      <c r="L287" t="inlineStr">
        <is>
          <t>Filled</t>
        </is>
      </c>
      <c r="M287" t="inlineStr">
        <is>
          <t>Not stated on course page</t>
        </is>
      </c>
      <c r="N287" t="inlineStr"/>
      <c r="O287" t="n">
        <v>0</v>
      </c>
      <c r="P287" t="inlineStr"/>
      <c r="Q287" t="inlineStr">
        <is>
          <t>Not stated on course page</t>
        </is>
      </c>
      <c r="S287" t="inlineStr"/>
      <c r="T287" t="inlineStr">
        <is>
          <t>Held: research degree (the policy states no research requirement)</t>
        </is>
      </c>
      <c r="U287" t="inlineStr"/>
      <c r="V287" t="inlineStr">
        <is>
          <t>Filled</t>
        </is>
      </c>
      <c r="W287" t="inlineStr">
        <is>
          <t>January, February, May, September</t>
        </is>
      </c>
      <c r="X287" t="inlineStr">
        <is>
          <t>University adapter</t>
        </is>
      </c>
      <c r="Y287" t="n">
        <v>0</v>
      </c>
      <c r="Z287" t="inlineStr">
        <is>
          <t>No</t>
        </is>
      </c>
      <c r="AA287" t="inlineStr">
        <is>
          <t>Filled</t>
        </is>
      </c>
      <c r="AB287" t="inlineStr">
        <is>
          <t>on campus</t>
        </is>
      </c>
      <c r="AC287" t="inlineStr"/>
      <c r="AD287" t="n">
        <v>0</v>
      </c>
      <c r="AE287" t="inlineStr"/>
      <c r="AF287" t="inlineStr"/>
      <c r="AG287" t="inlineStr"/>
      <c r="AH287" t="inlineStr"/>
      <c r="AI287" t="inlineStr"/>
      <c r="AJ287" t="inlineStr">
        <is>
          <t>Yes</t>
        </is>
      </c>
      <c r="AK287" t="inlineStr"/>
      <c r="AL287" t="inlineStr"/>
      <c r="AM287" t="inlineStr"/>
    </row>
    <row r="288">
      <c r="A288" t="inlineStr">
        <is>
          <t>008962G</t>
        </is>
      </c>
      <c r="B288" t="inlineStr">
        <is>
          <t>Doctor of Philosophy - Banking &amp; Finance</t>
        </is>
      </c>
      <c r="C288" t="inlineStr">
        <is>
          <t>Doctorate / PhD</t>
        </is>
      </c>
      <c r="D288" t="inlineStr">
        <is>
          <t>Research degree</t>
        </is>
      </c>
      <c r="E288" t="inlineStr">
        <is>
          <t>Advertised: official page in place</t>
        </is>
      </c>
      <c r="F288" t="inlineStr">
        <is>
          <t>https://www.handbook.unsw.edu.au/research/programs/2026/1561</t>
        </is>
      </c>
      <c r="G288" t="inlineStr">
        <is>
          <t>https://www.handbook.unsw.edu.au/research/programs/2026/1561</t>
        </is>
      </c>
      <c r="H288" t="inlineStr">
        <is>
          <t>Read</t>
        </is>
      </c>
      <c r="I288" t="inlineStr">
        <is>
          <t>CRICOS code on page</t>
        </is>
      </c>
      <c r="J288" t="inlineStr"/>
      <c r="K288" t="inlineStr">
        <is>
          <t>Not sent to re-link</t>
        </is>
      </c>
      <c r="L288" t="inlineStr">
        <is>
          <t>Filled</t>
        </is>
      </c>
      <c r="M288" t="inlineStr">
        <is>
          <t>Not stated on course page</t>
        </is>
      </c>
      <c r="N288" t="inlineStr"/>
      <c r="O288" t="n">
        <v>0</v>
      </c>
      <c r="P288" t="inlineStr"/>
      <c r="Q288" t="inlineStr">
        <is>
          <t>Not stated on course page</t>
        </is>
      </c>
      <c r="S288" t="inlineStr"/>
      <c r="T288" t="inlineStr">
        <is>
          <t>Held: research degree (the policy states no research requirement)</t>
        </is>
      </c>
      <c r="U288" t="inlineStr"/>
      <c r="V288" t="inlineStr">
        <is>
          <t>Filled</t>
        </is>
      </c>
      <c r="W288" t="inlineStr">
        <is>
          <t>January, February, May, September</t>
        </is>
      </c>
      <c r="X288" t="inlineStr">
        <is>
          <t>University adapter</t>
        </is>
      </c>
      <c r="Y288" t="n">
        <v>0</v>
      </c>
      <c r="Z288" t="inlineStr">
        <is>
          <t>No</t>
        </is>
      </c>
      <c r="AA288" t="inlineStr">
        <is>
          <t>Filled</t>
        </is>
      </c>
      <c r="AB288" t="inlineStr">
        <is>
          <t>on campus</t>
        </is>
      </c>
      <c r="AC288" t="inlineStr"/>
      <c r="AD288" t="n">
        <v>0</v>
      </c>
      <c r="AE288" t="inlineStr"/>
      <c r="AF288" t="inlineStr"/>
      <c r="AG288" t="inlineStr"/>
      <c r="AH288" t="inlineStr"/>
      <c r="AI288" t="inlineStr"/>
      <c r="AJ288" t="inlineStr">
        <is>
          <t>Yes</t>
        </is>
      </c>
      <c r="AK288" t="inlineStr"/>
      <c r="AL288" t="inlineStr"/>
      <c r="AM288" t="inlineStr"/>
    </row>
    <row r="289">
      <c r="A289" t="inlineStr">
        <is>
          <t>001045A</t>
        </is>
      </c>
      <c r="B289" t="inlineStr">
        <is>
          <t>Doctor of Philosophy - Biochemistry &amp; Molecular Genetics</t>
        </is>
      </c>
      <c r="C289" t="inlineStr">
        <is>
          <t>Doctorate / PhD</t>
        </is>
      </c>
      <c r="D289" t="inlineStr">
        <is>
          <t>Research degree</t>
        </is>
      </c>
      <c r="E289" t="inlineStr">
        <is>
          <t>Advertised: official page in place</t>
        </is>
      </c>
      <c r="F289" t="inlineStr">
        <is>
          <t>https://www.handbook.unsw.edu.au/research/programs/2026/1410</t>
        </is>
      </c>
      <c r="G289" t="inlineStr">
        <is>
          <t>https://www.handbook.unsw.edu.au/research/programs/2026/1410</t>
        </is>
      </c>
      <c r="H289" t="inlineStr">
        <is>
          <t>Read</t>
        </is>
      </c>
      <c r="I289" t="inlineStr">
        <is>
          <t>CRICOS code on page</t>
        </is>
      </c>
      <c r="J289" t="inlineStr"/>
      <c r="K289" t="inlineStr">
        <is>
          <t>Not sent to re-link</t>
        </is>
      </c>
      <c r="L289" t="inlineStr">
        <is>
          <t>Filled</t>
        </is>
      </c>
      <c r="M289" t="inlineStr">
        <is>
          <t>Not stated on course page</t>
        </is>
      </c>
      <c r="N289" t="inlineStr"/>
      <c r="O289" t="n">
        <v>0</v>
      </c>
      <c r="P289" t="inlineStr"/>
      <c r="Q289" t="inlineStr">
        <is>
          <t>Not stated on course page</t>
        </is>
      </c>
      <c r="S289" t="inlineStr"/>
      <c r="T289" t="inlineStr">
        <is>
          <t>Held: research degree (the policy states no research requirement)</t>
        </is>
      </c>
      <c r="U289" t="inlineStr"/>
      <c r="V289" t="inlineStr">
        <is>
          <t>Filled</t>
        </is>
      </c>
      <c r="W289" t="inlineStr">
        <is>
          <t>January, February, May, September</t>
        </is>
      </c>
      <c r="X289" t="inlineStr">
        <is>
          <t>University adapter</t>
        </is>
      </c>
      <c r="Y289" t="n">
        <v>0</v>
      </c>
      <c r="Z289" t="inlineStr">
        <is>
          <t>No</t>
        </is>
      </c>
      <c r="AA289" t="inlineStr">
        <is>
          <t>Filled</t>
        </is>
      </c>
      <c r="AB289" t="inlineStr">
        <is>
          <t>on campus</t>
        </is>
      </c>
      <c r="AC289" t="inlineStr"/>
      <c r="AD289" t="n">
        <v>0</v>
      </c>
      <c r="AE289" t="inlineStr"/>
      <c r="AF289" t="inlineStr"/>
      <c r="AG289" t="inlineStr"/>
      <c r="AH289" t="inlineStr"/>
      <c r="AI289" t="inlineStr"/>
      <c r="AJ289" t="inlineStr">
        <is>
          <t>Yes</t>
        </is>
      </c>
      <c r="AK289" t="inlineStr"/>
      <c r="AL289" t="inlineStr"/>
      <c r="AM289" t="inlineStr"/>
    </row>
    <row r="290">
      <c r="A290" t="inlineStr">
        <is>
          <t>102634F</t>
        </is>
      </c>
      <c r="B290" t="inlineStr">
        <is>
          <t>Doctor of Philosophy - Bioinformatics</t>
        </is>
      </c>
      <c r="C290" t="inlineStr">
        <is>
          <t>Doctorate / PhD</t>
        </is>
      </c>
      <c r="D290" t="inlineStr">
        <is>
          <t>Research degree</t>
        </is>
      </c>
      <c r="E290" t="inlineStr">
        <is>
          <t>Advertised: official page in place</t>
        </is>
      </c>
      <c r="F290" t="inlineStr">
        <is>
          <t>https://www.handbook.unsw.edu.au/research/programs/2026/1683</t>
        </is>
      </c>
      <c r="G290" t="inlineStr">
        <is>
          <t>https://www.handbook.unsw.edu.au/research/programs/2026/1683</t>
        </is>
      </c>
      <c r="H290" t="inlineStr">
        <is>
          <t>Read</t>
        </is>
      </c>
      <c r="I290" t="inlineStr">
        <is>
          <t>CRICOS code on page</t>
        </is>
      </c>
      <c r="J290" t="inlineStr"/>
      <c r="K290" t="inlineStr">
        <is>
          <t>Not sent to re-link</t>
        </is>
      </c>
      <c r="L290" t="inlineStr">
        <is>
          <t>Filled</t>
        </is>
      </c>
      <c r="M290" t="inlineStr">
        <is>
          <t>Not stated on course page</t>
        </is>
      </c>
      <c r="N290" t="inlineStr"/>
      <c r="O290" t="n">
        <v>0</v>
      </c>
      <c r="P290" t="inlineStr"/>
      <c r="Q290" t="inlineStr">
        <is>
          <t>Not stated on course page</t>
        </is>
      </c>
      <c r="S290" t="inlineStr"/>
      <c r="T290" t="inlineStr">
        <is>
          <t>Held: research degree (the policy states no research requirement)</t>
        </is>
      </c>
      <c r="U290" t="inlineStr"/>
      <c r="V290" t="inlineStr">
        <is>
          <t>Filled</t>
        </is>
      </c>
      <c r="W290" t="inlineStr">
        <is>
          <t>January, February, May, September</t>
        </is>
      </c>
      <c r="X290" t="inlineStr">
        <is>
          <t>University adapter</t>
        </is>
      </c>
      <c r="Y290" t="n">
        <v>0</v>
      </c>
      <c r="Z290" t="inlineStr">
        <is>
          <t>No</t>
        </is>
      </c>
      <c r="AA290" t="inlineStr">
        <is>
          <t>Filled</t>
        </is>
      </c>
      <c r="AB290" t="inlineStr">
        <is>
          <t>on campus</t>
        </is>
      </c>
      <c r="AC290" t="inlineStr"/>
      <c r="AD290" t="n">
        <v>0</v>
      </c>
      <c r="AE290" t="inlineStr"/>
      <c r="AF290" t="inlineStr"/>
      <c r="AG290" t="inlineStr"/>
      <c r="AH290" t="inlineStr"/>
      <c r="AI290" t="inlineStr"/>
      <c r="AJ290" t="inlineStr">
        <is>
          <t>Yes</t>
        </is>
      </c>
      <c r="AK290" t="inlineStr"/>
      <c r="AL290" t="inlineStr"/>
      <c r="AM290" t="inlineStr"/>
    </row>
    <row r="291">
      <c r="A291" t="inlineStr">
        <is>
          <t>012441J</t>
        </is>
      </c>
      <c r="B291" t="inlineStr">
        <is>
          <t>Doctor of Philosophy - Biological Science</t>
        </is>
      </c>
      <c r="C291" t="inlineStr">
        <is>
          <t>Doctorate / PhD</t>
        </is>
      </c>
      <c r="D291" t="inlineStr">
        <is>
          <t>Research degree</t>
        </is>
      </c>
      <c r="E291" t="inlineStr">
        <is>
          <t>Advertised: official page in place</t>
        </is>
      </c>
      <c r="F291" t="inlineStr">
        <is>
          <t>https://www.handbook.unsw.edu.au/research/programs/2026/1435</t>
        </is>
      </c>
      <c r="G291" t="inlineStr">
        <is>
          <t>https://www.handbook.unsw.edu.au/research/programs/2026/1435</t>
        </is>
      </c>
      <c r="H291" t="inlineStr">
        <is>
          <t>Read</t>
        </is>
      </c>
      <c r="I291" t="inlineStr">
        <is>
          <t>CRICOS code on page</t>
        </is>
      </c>
      <c r="J291" t="inlineStr"/>
      <c r="K291" t="inlineStr">
        <is>
          <t>Not sent to re-link</t>
        </is>
      </c>
      <c r="L291" t="inlineStr">
        <is>
          <t>Filled</t>
        </is>
      </c>
      <c r="M291" t="inlineStr">
        <is>
          <t>Not stated on course page</t>
        </is>
      </c>
      <c r="N291" t="inlineStr"/>
      <c r="O291" t="n">
        <v>0</v>
      </c>
      <c r="P291" t="inlineStr"/>
      <c r="Q291" t="inlineStr">
        <is>
          <t>Not stated on course page</t>
        </is>
      </c>
      <c r="S291" t="inlineStr"/>
      <c r="T291" t="inlineStr">
        <is>
          <t>Held: research degree (the policy states no research requirement)</t>
        </is>
      </c>
      <c r="U291" t="inlineStr"/>
      <c r="V291" t="inlineStr">
        <is>
          <t>Filled</t>
        </is>
      </c>
      <c r="W291" t="inlineStr">
        <is>
          <t>January, February, May, September</t>
        </is>
      </c>
      <c r="X291" t="inlineStr">
        <is>
          <t>University adapter</t>
        </is>
      </c>
      <c r="Y291" t="n">
        <v>0</v>
      </c>
      <c r="Z291" t="inlineStr">
        <is>
          <t>No</t>
        </is>
      </c>
      <c r="AA291" t="inlineStr">
        <is>
          <t>Filled</t>
        </is>
      </c>
      <c r="AB291" t="inlineStr">
        <is>
          <t>on campus</t>
        </is>
      </c>
      <c r="AC291" t="inlineStr"/>
      <c r="AD291" t="n">
        <v>0</v>
      </c>
      <c r="AE291" t="inlineStr"/>
      <c r="AF291" t="inlineStr"/>
      <c r="AG291" t="inlineStr"/>
      <c r="AH291" t="inlineStr"/>
      <c r="AI291" t="inlineStr"/>
      <c r="AJ291" t="inlineStr">
        <is>
          <t>Yes</t>
        </is>
      </c>
      <c r="AK291" t="inlineStr"/>
      <c r="AL291" t="inlineStr"/>
      <c r="AM291" t="inlineStr"/>
    </row>
    <row r="292">
      <c r="A292" t="inlineStr">
        <is>
          <t>001014G</t>
        </is>
      </c>
      <c r="B292" t="inlineStr">
        <is>
          <t>Doctor of Philosophy - Biomedical Engineering</t>
        </is>
      </c>
      <c r="C292" t="inlineStr">
        <is>
          <t>Doctorate / PhD</t>
        </is>
      </c>
      <c r="D292" t="inlineStr">
        <is>
          <t>Research degree</t>
        </is>
      </c>
      <c r="E292" t="inlineStr">
        <is>
          <t>Advertised: official page in place</t>
        </is>
      </c>
      <c r="F292" t="inlineStr">
        <is>
          <t>https://www.handbook.unsw.edu.au/research/programs/2026/1710</t>
        </is>
      </c>
      <c r="G292" t="inlineStr">
        <is>
          <t>https://www.handbook.unsw.edu.au/research/programs/2026/1710</t>
        </is>
      </c>
      <c r="H292" t="inlineStr">
        <is>
          <t>Read</t>
        </is>
      </c>
      <c r="I292" t="inlineStr">
        <is>
          <t>CRICOS code on page</t>
        </is>
      </c>
      <c r="J292" t="inlineStr"/>
      <c r="K292" t="inlineStr">
        <is>
          <t>Not sent to re-link</t>
        </is>
      </c>
      <c r="L292" t="inlineStr">
        <is>
          <t>Filled</t>
        </is>
      </c>
      <c r="M292" t="inlineStr">
        <is>
          <t>Not stated on course page</t>
        </is>
      </c>
      <c r="N292" t="inlineStr"/>
      <c r="O292" t="n">
        <v>0</v>
      </c>
      <c r="P292" t="inlineStr"/>
      <c r="Q292" t="inlineStr">
        <is>
          <t>Not stated on course page</t>
        </is>
      </c>
      <c r="S292" t="inlineStr"/>
      <c r="T292" t="inlineStr">
        <is>
          <t>Held: research degree (the policy states no research requirement)</t>
        </is>
      </c>
      <c r="U292" t="inlineStr"/>
      <c r="V292" t="inlineStr">
        <is>
          <t>Filled</t>
        </is>
      </c>
      <c r="W292" t="inlineStr">
        <is>
          <t>January, February, May, September</t>
        </is>
      </c>
      <c r="X292" t="inlineStr">
        <is>
          <t>University adapter</t>
        </is>
      </c>
      <c r="Y292" t="n">
        <v>0</v>
      </c>
      <c r="Z292" t="inlineStr">
        <is>
          <t>No</t>
        </is>
      </c>
      <c r="AA292" t="inlineStr">
        <is>
          <t>Filled</t>
        </is>
      </c>
      <c r="AB292" t="inlineStr">
        <is>
          <t>on campus</t>
        </is>
      </c>
      <c r="AC292" t="inlineStr"/>
      <c r="AD292" t="n">
        <v>0</v>
      </c>
      <c r="AE292" t="inlineStr"/>
      <c r="AF292" t="inlineStr"/>
      <c r="AG292" t="inlineStr"/>
      <c r="AH292" t="inlineStr"/>
      <c r="AI292" t="inlineStr"/>
      <c r="AJ292" t="inlineStr">
        <is>
          <t>Yes</t>
        </is>
      </c>
      <c r="AK292" t="inlineStr"/>
      <c r="AL292" t="inlineStr"/>
      <c r="AM292" t="inlineStr"/>
    </row>
    <row r="293">
      <c r="A293" t="inlineStr">
        <is>
          <t>001013J</t>
        </is>
      </c>
      <c r="B293" t="inlineStr">
        <is>
          <t>Doctor of Philosophy - Biotechnology</t>
        </is>
      </c>
      <c r="C293" t="inlineStr">
        <is>
          <t>Doctorate / PhD</t>
        </is>
      </c>
      <c r="D293" t="inlineStr">
        <is>
          <t>Research degree</t>
        </is>
      </c>
      <c r="E293" t="inlineStr">
        <is>
          <t>Advertised: official page in place</t>
        </is>
      </c>
      <c r="F293" t="inlineStr">
        <is>
          <t>https://www.handbook.unsw.edu.au/research/programs/2026/1036</t>
        </is>
      </c>
      <c r="G293" t="inlineStr">
        <is>
          <t>https://www.handbook.unsw.edu.au/research/programs/2026/1036</t>
        </is>
      </c>
      <c r="H293" t="inlineStr">
        <is>
          <t>Read</t>
        </is>
      </c>
      <c r="I293" t="inlineStr">
        <is>
          <t>CRICOS code on page</t>
        </is>
      </c>
      <c r="J293" t="inlineStr"/>
      <c r="K293" t="inlineStr">
        <is>
          <t>Not sent to re-link</t>
        </is>
      </c>
      <c r="L293" t="inlineStr">
        <is>
          <t>Filled</t>
        </is>
      </c>
      <c r="M293" t="inlineStr">
        <is>
          <t>Not stated on course page</t>
        </is>
      </c>
      <c r="N293" t="inlineStr"/>
      <c r="O293" t="n">
        <v>0</v>
      </c>
      <c r="P293" t="inlineStr"/>
      <c r="Q293" t="inlineStr">
        <is>
          <t>Not stated on course page</t>
        </is>
      </c>
      <c r="S293" t="inlineStr"/>
      <c r="T293" t="inlineStr">
        <is>
          <t>Held: research degree (the policy states no research requirement)</t>
        </is>
      </c>
      <c r="U293" t="inlineStr"/>
      <c r="V293" t="inlineStr">
        <is>
          <t>Filled</t>
        </is>
      </c>
      <c r="W293" t="inlineStr">
        <is>
          <t>January, February, May, September</t>
        </is>
      </c>
      <c r="X293" t="inlineStr">
        <is>
          <t>University adapter</t>
        </is>
      </c>
      <c r="Y293" t="n">
        <v>0</v>
      </c>
      <c r="Z293" t="inlineStr">
        <is>
          <t>No</t>
        </is>
      </c>
      <c r="AA293" t="inlineStr">
        <is>
          <t>Filled</t>
        </is>
      </c>
      <c r="AB293" t="inlineStr">
        <is>
          <t>on campus</t>
        </is>
      </c>
      <c r="AC293" t="inlineStr"/>
      <c r="AD293" t="n">
        <v>0</v>
      </c>
      <c r="AE293" t="inlineStr"/>
      <c r="AF293" t="inlineStr"/>
      <c r="AG293" t="inlineStr"/>
      <c r="AH293" t="inlineStr"/>
      <c r="AI293" t="inlineStr"/>
      <c r="AJ293" t="inlineStr">
        <is>
          <t>Yes</t>
        </is>
      </c>
      <c r="AK293" t="inlineStr"/>
      <c r="AL293" t="inlineStr"/>
      <c r="AM293" t="inlineStr"/>
    </row>
    <row r="294">
      <c r="A294" t="inlineStr">
        <is>
          <t>009536F</t>
        </is>
      </c>
      <c r="B294" t="inlineStr">
        <is>
          <t>Doctor of Philosophy - Built Environment</t>
        </is>
      </c>
      <c r="C294" t="inlineStr">
        <is>
          <t>Doctorate / PhD</t>
        </is>
      </c>
      <c r="D294" t="inlineStr">
        <is>
          <t>Research degree</t>
        </is>
      </c>
      <c r="E294" t="inlineStr">
        <is>
          <t>Advertised: official page in place</t>
        </is>
      </c>
      <c r="F294" t="inlineStr">
        <is>
          <t>https://www.handbook.unsw.edu.au/research/programs/2026/1120</t>
        </is>
      </c>
      <c r="G294" t="inlineStr">
        <is>
          <t>https://www.handbook.unsw.edu.au/research/programs/2026/1120</t>
        </is>
      </c>
      <c r="H294" t="inlineStr">
        <is>
          <t>Read</t>
        </is>
      </c>
      <c r="I294" t="inlineStr">
        <is>
          <t>CRICOS code on page</t>
        </is>
      </c>
      <c r="J294" t="inlineStr"/>
      <c r="K294" t="inlineStr">
        <is>
          <t>Not sent to re-link</t>
        </is>
      </c>
      <c r="L294" t="inlineStr">
        <is>
          <t>Filled</t>
        </is>
      </c>
      <c r="M294" t="inlineStr">
        <is>
          <t>Not stated on course page</t>
        </is>
      </c>
      <c r="N294" t="inlineStr"/>
      <c r="O294" t="n">
        <v>0</v>
      </c>
      <c r="P294" t="inlineStr"/>
      <c r="Q294" t="inlineStr">
        <is>
          <t>Not stated on course page</t>
        </is>
      </c>
      <c r="S294" t="inlineStr"/>
      <c r="T294" t="inlineStr">
        <is>
          <t>Held: research degree (the policy states no research requirement)</t>
        </is>
      </c>
      <c r="U294" t="inlineStr"/>
      <c r="V294" t="inlineStr">
        <is>
          <t>Filled</t>
        </is>
      </c>
      <c r="W294" t="inlineStr">
        <is>
          <t>January, February, May, September</t>
        </is>
      </c>
      <c r="X294" t="inlineStr">
        <is>
          <t>University adapter</t>
        </is>
      </c>
      <c r="Y294" t="n">
        <v>0</v>
      </c>
      <c r="Z294" t="inlineStr">
        <is>
          <t>No</t>
        </is>
      </c>
      <c r="AA294" t="inlineStr">
        <is>
          <t>Filled</t>
        </is>
      </c>
      <c r="AB294" t="inlineStr">
        <is>
          <t>on campus</t>
        </is>
      </c>
      <c r="AC294" t="inlineStr"/>
      <c r="AD294" t="n">
        <v>0</v>
      </c>
      <c r="AE294" t="inlineStr"/>
      <c r="AF294" t="inlineStr"/>
      <c r="AG294" t="inlineStr"/>
      <c r="AH294" t="inlineStr"/>
      <c r="AI294" t="inlineStr"/>
      <c r="AJ294" t="inlineStr">
        <is>
          <t>Yes</t>
        </is>
      </c>
      <c r="AK294" t="inlineStr"/>
      <c r="AL294" t="inlineStr"/>
      <c r="AM294" t="inlineStr"/>
    </row>
    <row r="295">
      <c r="A295" t="inlineStr">
        <is>
          <t>028061A</t>
        </is>
      </c>
      <c r="B295" t="inlineStr">
        <is>
          <t>Doctor of Philosophy - Business Law &amp; Taxation</t>
        </is>
      </c>
      <c r="C295" t="inlineStr">
        <is>
          <t>Doctorate / PhD</t>
        </is>
      </c>
      <c r="D295" t="inlineStr">
        <is>
          <t>Research degree</t>
        </is>
      </c>
      <c r="E295" t="inlineStr">
        <is>
          <t>Advertised: official page in place</t>
        </is>
      </c>
      <c r="F295" t="inlineStr">
        <is>
          <t>https://www.handbook.unsw.edu.au/research/programs/2026/1535</t>
        </is>
      </c>
      <c r="G295" t="inlineStr">
        <is>
          <t>https://www.handbook.unsw.edu.au/research/programs/2026/1535</t>
        </is>
      </c>
      <c r="H295" t="inlineStr">
        <is>
          <t>Read</t>
        </is>
      </c>
      <c r="I295" t="inlineStr">
        <is>
          <t>CRICOS code on page</t>
        </is>
      </c>
      <c r="J295" t="inlineStr"/>
      <c r="K295" t="inlineStr">
        <is>
          <t>Not sent to re-link</t>
        </is>
      </c>
      <c r="L295" t="inlineStr">
        <is>
          <t>Filled</t>
        </is>
      </c>
      <c r="M295" t="inlineStr">
        <is>
          <t>Not stated on course page</t>
        </is>
      </c>
      <c r="N295" t="inlineStr"/>
      <c r="O295" t="n">
        <v>0</v>
      </c>
      <c r="P295" t="inlineStr"/>
      <c r="Q295" t="inlineStr">
        <is>
          <t>Not stated on course page</t>
        </is>
      </c>
      <c r="S295" t="inlineStr"/>
      <c r="T295" t="inlineStr">
        <is>
          <t>Held: research degree (the policy states no research requirement)</t>
        </is>
      </c>
      <c r="U295" t="inlineStr"/>
      <c r="V295" t="inlineStr">
        <is>
          <t>Filled</t>
        </is>
      </c>
      <c r="W295" t="inlineStr">
        <is>
          <t>January, February, May, September</t>
        </is>
      </c>
      <c r="X295" t="inlineStr">
        <is>
          <t>University adapter</t>
        </is>
      </c>
      <c r="Y295" t="n">
        <v>0</v>
      </c>
      <c r="Z295" t="inlineStr">
        <is>
          <t>No</t>
        </is>
      </c>
      <c r="AA295" t="inlineStr">
        <is>
          <t>Filled</t>
        </is>
      </c>
      <c r="AB295" t="inlineStr">
        <is>
          <t>on campus</t>
        </is>
      </c>
      <c r="AC295" t="inlineStr"/>
      <c r="AD295" t="n">
        <v>0</v>
      </c>
      <c r="AE295" t="inlineStr"/>
      <c r="AF295" t="inlineStr"/>
      <c r="AG295" t="inlineStr"/>
      <c r="AH295" t="inlineStr"/>
      <c r="AI295" t="inlineStr"/>
      <c r="AJ295" t="inlineStr">
        <is>
          <t>Yes</t>
        </is>
      </c>
      <c r="AK295" t="inlineStr"/>
      <c r="AL295" t="inlineStr"/>
      <c r="AM295" t="inlineStr"/>
    </row>
    <row r="296">
      <c r="A296" t="inlineStr">
        <is>
          <t>008928J</t>
        </is>
      </c>
      <c r="B296" t="inlineStr">
        <is>
          <t>Doctor of Philosophy - Chemical Engineering</t>
        </is>
      </c>
      <c r="C296" t="inlineStr">
        <is>
          <t>Doctorate / PhD</t>
        </is>
      </c>
      <c r="D296" t="inlineStr">
        <is>
          <t>Research degree</t>
        </is>
      </c>
      <c r="E296" t="inlineStr">
        <is>
          <t>Held: page found is for another course</t>
        </is>
      </c>
      <c r="F296" t="inlineStr"/>
      <c r="G296" t="inlineStr">
        <is>
          <t>https://www.handbook.unsw.edu.au/research/programs/2026/1010</t>
        </is>
      </c>
      <c r="H296" t="inlineStr">
        <is>
          <t>Page is for another course</t>
        </is>
      </c>
      <c r="I296" t="inlineStr"/>
      <c r="J296" t="inlineStr"/>
      <c r="K296" t="inlineStr">
        <is>
          <t>Finished, no page: no address from the university's address forms or stored lis</t>
        </is>
      </c>
      <c r="L296" t="inlineStr">
        <is>
          <t>Searching for course page</t>
        </is>
      </c>
      <c r="M296" t="inlineStr">
        <is>
          <t>Searching for course page</t>
        </is>
      </c>
      <c r="N296" t="inlineStr"/>
      <c r="O296" t="n">
        <v>0</v>
      </c>
      <c r="P296" t="inlineStr"/>
      <c r="Q296" t="inlineStr">
        <is>
          <t>Searching for course page</t>
        </is>
      </c>
      <c r="S296" t="inlineStr"/>
      <c r="T296" t="inlineStr">
        <is>
          <t>Held: research degree (the policy states no research requirement)</t>
        </is>
      </c>
      <c r="U296" t="inlineStr"/>
      <c r="V296" t="inlineStr">
        <is>
          <t>Searching for course page</t>
        </is>
      </c>
      <c r="W296" t="inlineStr"/>
      <c r="X296" t="inlineStr"/>
      <c r="Y296" t="n">
        <v>0</v>
      </c>
      <c r="Z296" t="inlineStr">
        <is>
          <t>No</t>
        </is>
      </c>
      <c r="AA296" t="inlineStr">
        <is>
          <t>Not stated on course page</t>
        </is>
      </c>
      <c r="AB296" t="inlineStr"/>
      <c r="AC296" t="inlineStr">
        <is>
          <t>Skipped: no correct course page: the page found is for another course</t>
        </is>
      </c>
      <c r="AD296" t="n">
        <v>0</v>
      </c>
      <c r="AE296" t="inlineStr"/>
      <c r="AF296" t="inlineStr"/>
      <c r="AG296" t="inlineStr"/>
      <c r="AH296" t="inlineStr"/>
      <c r="AI296" t="inlineStr"/>
      <c r="AJ296" t="inlineStr">
        <is>
          <t>Yes</t>
        </is>
      </c>
      <c r="AK296" t="inlineStr"/>
      <c r="AL296" t="inlineStr"/>
      <c r="AM296" t="inlineStr"/>
    </row>
    <row r="297">
      <c r="A297" t="inlineStr">
        <is>
          <t>001016F</t>
        </is>
      </c>
      <c r="B297" t="inlineStr">
        <is>
          <t>Doctor of Philosophy - Civil and Environmental Engineering</t>
        </is>
      </c>
      <c r="C297" t="inlineStr">
        <is>
          <t>Doctorate / PhD</t>
        </is>
      </c>
      <c r="D297" t="inlineStr">
        <is>
          <t>Research degree</t>
        </is>
      </c>
      <c r="E297" t="inlineStr">
        <is>
          <t>Advertised: official page in place</t>
        </is>
      </c>
      <c r="F297" t="inlineStr">
        <is>
          <t>https://www.handbook.unsw.edu.au/research/programs/2026/1630</t>
        </is>
      </c>
      <c r="G297" t="inlineStr">
        <is>
          <t>https://www.handbook.unsw.edu.au/research/programs/2026/1630</t>
        </is>
      </c>
      <c r="H297" t="inlineStr">
        <is>
          <t>Read</t>
        </is>
      </c>
      <c r="I297" t="inlineStr">
        <is>
          <t>CRICOS code on page</t>
        </is>
      </c>
      <c r="J297" t="inlineStr"/>
      <c r="K297" t="inlineStr">
        <is>
          <t>Not sent to re-link</t>
        </is>
      </c>
      <c r="L297" t="inlineStr">
        <is>
          <t>Filled</t>
        </is>
      </c>
      <c r="M297" t="inlineStr">
        <is>
          <t>Not stated on course page</t>
        </is>
      </c>
      <c r="N297" t="inlineStr"/>
      <c r="O297" t="n">
        <v>0</v>
      </c>
      <c r="P297" t="inlineStr"/>
      <c r="Q297" t="inlineStr">
        <is>
          <t>Not stated on course page</t>
        </is>
      </c>
      <c r="S297" t="inlineStr"/>
      <c r="T297" t="inlineStr">
        <is>
          <t>Held: research degree (the policy states no research requirement)</t>
        </is>
      </c>
      <c r="U297" t="inlineStr"/>
      <c r="V297" t="inlineStr">
        <is>
          <t>Filled</t>
        </is>
      </c>
      <c r="W297" t="inlineStr">
        <is>
          <t>January, February, May, September</t>
        </is>
      </c>
      <c r="X297" t="inlineStr">
        <is>
          <t>University adapter</t>
        </is>
      </c>
      <c r="Y297" t="n">
        <v>0</v>
      </c>
      <c r="Z297" t="inlineStr">
        <is>
          <t>No</t>
        </is>
      </c>
      <c r="AA297" t="inlineStr">
        <is>
          <t>Filled</t>
        </is>
      </c>
      <c r="AB297" t="inlineStr">
        <is>
          <t>on campus</t>
        </is>
      </c>
      <c r="AC297" t="inlineStr"/>
      <c r="AD297" t="n">
        <v>0</v>
      </c>
      <c r="AE297" t="inlineStr"/>
      <c r="AF297" t="inlineStr"/>
      <c r="AG297" t="inlineStr"/>
      <c r="AH297" t="inlineStr"/>
      <c r="AI297" t="inlineStr"/>
      <c r="AJ297" t="inlineStr">
        <is>
          <t>Yes</t>
        </is>
      </c>
      <c r="AK297" t="inlineStr"/>
      <c r="AL297" t="inlineStr"/>
      <c r="AM297" t="inlineStr"/>
    </row>
    <row r="298">
      <c r="A298" t="inlineStr">
        <is>
          <t>066586A</t>
        </is>
      </c>
      <c r="B298" t="inlineStr">
        <is>
          <t>Doctor of Philosophy - Climate Science</t>
        </is>
      </c>
      <c r="C298" t="inlineStr">
        <is>
          <t>Doctorate / PhD</t>
        </is>
      </c>
      <c r="D298" t="inlineStr">
        <is>
          <t>Research degree</t>
        </is>
      </c>
      <c r="E298" t="inlineStr">
        <is>
          <t>Advertised: official page in place</t>
        </is>
      </c>
      <c r="F298" t="inlineStr">
        <is>
          <t>https://www.handbook.unsw.edu.au/research/programs/2026/1476</t>
        </is>
      </c>
      <c r="G298" t="inlineStr">
        <is>
          <t>https://www.handbook.unsw.edu.au/research/programs/2026/1476</t>
        </is>
      </c>
      <c r="H298" t="inlineStr">
        <is>
          <t>Read</t>
        </is>
      </c>
      <c r="I298" t="inlineStr">
        <is>
          <t>CRICOS code on page</t>
        </is>
      </c>
      <c r="J298" t="inlineStr"/>
      <c r="K298" t="inlineStr">
        <is>
          <t>Not sent to re-link</t>
        </is>
      </c>
      <c r="L298" t="inlineStr">
        <is>
          <t>Filled</t>
        </is>
      </c>
      <c r="M298" t="inlineStr">
        <is>
          <t>Not stated on course page</t>
        </is>
      </c>
      <c r="N298" t="inlineStr"/>
      <c r="O298" t="n">
        <v>0</v>
      </c>
      <c r="P298" t="inlineStr"/>
      <c r="Q298" t="inlineStr">
        <is>
          <t>Not stated on course page</t>
        </is>
      </c>
      <c r="S298" t="inlineStr"/>
      <c r="T298" t="inlineStr">
        <is>
          <t>Held: research degree (the policy states no research requirement)</t>
        </is>
      </c>
      <c r="U298" t="inlineStr"/>
      <c r="V298" t="inlineStr">
        <is>
          <t>Filled</t>
        </is>
      </c>
      <c r="W298" t="inlineStr">
        <is>
          <t>January, February, May, September</t>
        </is>
      </c>
      <c r="X298" t="inlineStr">
        <is>
          <t>University adapter</t>
        </is>
      </c>
      <c r="Y298" t="n">
        <v>0</v>
      </c>
      <c r="Z298" t="inlineStr">
        <is>
          <t>No</t>
        </is>
      </c>
      <c r="AA298" t="inlineStr">
        <is>
          <t>Filled</t>
        </is>
      </c>
      <c r="AB298" t="inlineStr">
        <is>
          <t>on campus</t>
        </is>
      </c>
      <c r="AC298" t="inlineStr"/>
      <c r="AD298" t="n">
        <v>0</v>
      </c>
      <c r="AE298" t="inlineStr"/>
      <c r="AF298" t="inlineStr"/>
      <c r="AG298" t="inlineStr"/>
      <c r="AH298" t="inlineStr"/>
      <c r="AI298" t="inlineStr"/>
      <c r="AJ298" t="inlineStr">
        <is>
          <t>Yes</t>
        </is>
      </c>
      <c r="AK298" t="inlineStr"/>
      <c r="AL298" t="inlineStr"/>
      <c r="AM298" t="inlineStr"/>
    </row>
    <row r="299">
      <c r="A299" t="inlineStr">
        <is>
          <t>009487K</t>
        </is>
      </c>
      <c r="B299" t="inlineStr">
        <is>
          <t>Doctor of Philosophy - Computer Science and Engineering</t>
        </is>
      </c>
      <c r="C299" t="inlineStr">
        <is>
          <t>Doctorate / PhD</t>
        </is>
      </c>
      <c r="D299" t="inlineStr">
        <is>
          <t>Research degree</t>
        </is>
      </c>
      <c r="E299" t="inlineStr">
        <is>
          <t>Held: page found is for another course</t>
        </is>
      </c>
      <c r="F299" t="inlineStr"/>
      <c r="G299" t="inlineStr">
        <is>
          <t>https://www.unsw.edu.au/engineering/study-with-us/postgraduate-research/doctor-of-philosophy-phd</t>
        </is>
      </c>
      <c r="H299" t="inlineStr">
        <is>
          <t>Page is for another course</t>
        </is>
      </c>
      <c r="I299" t="inlineStr"/>
      <c r="J299" t="inlineStr"/>
      <c r="K299" t="inlineStr">
        <is>
          <t>Finished, no page: no address from the university's address forms or stored lis</t>
        </is>
      </c>
      <c r="L299" t="inlineStr">
        <is>
          <t>Searching for course page</t>
        </is>
      </c>
      <c r="M299" t="inlineStr">
        <is>
          <t>Searching for course page</t>
        </is>
      </c>
      <c r="N299" t="inlineStr"/>
      <c r="O299" t="n">
        <v>0</v>
      </c>
      <c r="P299" t="inlineStr"/>
      <c r="Q299" t="inlineStr">
        <is>
          <t>Searching for course page</t>
        </is>
      </c>
      <c r="S299" t="inlineStr"/>
      <c r="T299" t="inlineStr">
        <is>
          <t>Held: research degree (the policy states no research requirement)</t>
        </is>
      </c>
      <c r="U299" t="inlineStr"/>
      <c r="V299" t="inlineStr">
        <is>
          <t>Searching for course page</t>
        </is>
      </c>
      <c r="W299" t="inlineStr"/>
      <c r="X299" t="inlineStr"/>
      <c r="Y299" t="n">
        <v>0</v>
      </c>
      <c r="Z299" t="inlineStr">
        <is>
          <t>No</t>
        </is>
      </c>
      <c r="AA299" t="inlineStr">
        <is>
          <t>Not stated on course page</t>
        </is>
      </c>
      <c r="AB299" t="inlineStr"/>
      <c r="AC299" t="inlineStr">
        <is>
          <t>Skipped: the page does not state it</t>
        </is>
      </c>
      <c r="AD299" t="n">
        <v>0</v>
      </c>
      <c r="AE299" t="inlineStr"/>
      <c r="AF299" t="inlineStr"/>
      <c r="AG299" t="inlineStr"/>
      <c r="AH299" t="inlineStr"/>
      <c r="AI299" t="inlineStr"/>
      <c r="AJ299" t="inlineStr">
        <is>
          <t>Yes</t>
        </is>
      </c>
      <c r="AK299" t="inlineStr"/>
      <c r="AL299" t="inlineStr"/>
      <c r="AM299" t="inlineStr"/>
    </row>
    <row r="300">
      <c r="A300" t="inlineStr">
        <is>
          <t>079008F</t>
        </is>
      </c>
      <c r="B300" t="inlineStr">
        <is>
          <t>Doctor of Philosophy - Creative Practice</t>
        </is>
      </c>
      <c r="C300" t="inlineStr">
        <is>
          <t>Doctorate / PhD</t>
        </is>
      </c>
      <c r="D300" t="inlineStr">
        <is>
          <t>Research degree</t>
        </is>
      </c>
      <c r="E300" t="inlineStr">
        <is>
          <t>Advertised: official page in place</t>
        </is>
      </c>
      <c r="F300" t="inlineStr">
        <is>
          <t>https://www.handbook.unsw.edu.au/research/programs/2026/1273</t>
        </is>
      </c>
      <c r="G300" t="inlineStr">
        <is>
          <t>https://www.handbook.unsw.edu.au/research/programs/2026/1273</t>
        </is>
      </c>
      <c r="H300" t="inlineStr">
        <is>
          <t>Read</t>
        </is>
      </c>
      <c r="I300" t="inlineStr">
        <is>
          <t>CRICOS code on page</t>
        </is>
      </c>
      <c r="J300" t="inlineStr"/>
      <c r="K300" t="inlineStr">
        <is>
          <t>Not sent to re-link</t>
        </is>
      </c>
      <c r="L300" t="inlineStr">
        <is>
          <t>Filled</t>
        </is>
      </c>
      <c r="M300" t="inlineStr">
        <is>
          <t>Not stated on course page</t>
        </is>
      </c>
      <c r="N300" t="inlineStr"/>
      <c r="O300" t="n">
        <v>0</v>
      </c>
      <c r="P300" t="inlineStr"/>
      <c r="Q300" t="inlineStr">
        <is>
          <t>Not stated on course page</t>
        </is>
      </c>
      <c r="S300" t="inlineStr"/>
      <c r="T300" t="inlineStr">
        <is>
          <t>Held: research degree (the policy states no research requirement)</t>
        </is>
      </c>
      <c r="U300" t="inlineStr"/>
      <c r="V300" t="inlineStr">
        <is>
          <t>Filled</t>
        </is>
      </c>
      <c r="W300" t="inlineStr">
        <is>
          <t>January, February, May, September</t>
        </is>
      </c>
      <c r="X300" t="inlineStr">
        <is>
          <t>University adapter</t>
        </is>
      </c>
      <c r="Y300" t="n">
        <v>0</v>
      </c>
      <c r="Z300" t="inlineStr">
        <is>
          <t>No</t>
        </is>
      </c>
      <c r="AA300" t="inlineStr">
        <is>
          <t>Filled</t>
        </is>
      </c>
      <c r="AB300" t="inlineStr">
        <is>
          <t>on campus</t>
        </is>
      </c>
      <c r="AC300" t="inlineStr"/>
      <c r="AD300" t="n">
        <v>0</v>
      </c>
      <c r="AE300" t="inlineStr"/>
      <c r="AF300" t="inlineStr"/>
      <c r="AG300" t="inlineStr"/>
      <c r="AH300" t="inlineStr"/>
      <c r="AI300" t="inlineStr"/>
      <c r="AJ300" t="inlineStr">
        <is>
          <t>Yes</t>
        </is>
      </c>
      <c r="AK300" t="inlineStr"/>
      <c r="AL300" t="inlineStr"/>
      <c r="AM300" t="inlineStr"/>
    </row>
    <row r="301">
      <c r="A301" t="inlineStr">
        <is>
          <t>001023G</t>
        </is>
      </c>
      <c r="B301" t="inlineStr">
        <is>
          <t>Doctor of Philosophy - Economics</t>
        </is>
      </c>
      <c r="C301" t="inlineStr">
        <is>
          <t>Doctorate / PhD</t>
        </is>
      </c>
      <c r="D301" t="inlineStr">
        <is>
          <t>Research degree</t>
        </is>
      </c>
      <c r="E301" t="inlineStr">
        <is>
          <t>Advertised: official page in place</t>
        </is>
      </c>
      <c r="F301" t="inlineStr">
        <is>
          <t>https://www.handbook.unsw.edu.au/research/programs/2026/1540</t>
        </is>
      </c>
      <c r="G301" t="inlineStr">
        <is>
          <t>https://www.handbook.unsw.edu.au/research/programs/2026/1540</t>
        </is>
      </c>
      <c r="H301" t="inlineStr">
        <is>
          <t>Read</t>
        </is>
      </c>
      <c r="I301" t="inlineStr">
        <is>
          <t>CRICOS code on page</t>
        </is>
      </c>
      <c r="J301" t="inlineStr"/>
      <c r="K301" t="inlineStr">
        <is>
          <t>Not sent to re-link</t>
        </is>
      </c>
      <c r="L301" t="inlineStr">
        <is>
          <t>Filled</t>
        </is>
      </c>
      <c r="M301" t="inlineStr">
        <is>
          <t>Not stated on course page</t>
        </is>
      </c>
      <c r="N301" t="inlineStr"/>
      <c r="O301" t="n">
        <v>0</v>
      </c>
      <c r="P301" t="inlineStr"/>
      <c r="Q301" t="inlineStr">
        <is>
          <t>Not stated on course page</t>
        </is>
      </c>
      <c r="S301" t="inlineStr"/>
      <c r="T301" t="inlineStr">
        <is>
          <t>Held: research degree (the policy states no research requirement)</t>
        </is>
      </c>
      <c r="U301" t="inlineStr"/>
      <c r="V301" t="inlineStr">
        <is>
          <t>Filled</t>
        </is>
      </c>
      <c r="W301" t="inlineStr">
        <is>
          <t>January, February, May, September</t>
        </is>
      </c>
      <c r="X301" t="inlineStr">
        <is>
          <t>University adapter</t>
        </is>
      </c>
      <c r="Y301" t="n">
        <v>0</v>
      </c>
      <c r="Z301" t="inlineStr">
        <is>
          <t>No</t>
        </is>
      </c>
      <c r="AA301" t="inlineStr">
        <is>
          <t>Filled</t>
        </is>
      </c>
      <c r="AB301" t="inlineStr">
        <is>
          <t>on campus</t>
        </is>
      </c>
      <c r="AC301" t="inlineStr"/>
      <c r="AD301" t="n">
        <v>0</v>
      </c>
      <c r="AE301" t="inlineStr"/>
      <c r="AF301" t="inlineStr"/>
      <c r="AG301" t="inlineStr"/>
      <c r="AH301" t="inlineStr"/>
      <c r="AI301" t="inlineStr"/>
      <c r="AJ301" t="inlineStr">
        <is>
          <t>Yes</t>
        </is>
      </c>
      <c r="AK301" t="inlineStr"/>
      <c r="AL301" t="inlineStr"/>
      <c r="AM301" t="inlineStr"/>
    </row>
    <row r="302">
      <c r="A302" t="inlineStr">
        <is>
          <t>008977M</t>
        </is>
      </c>
      <c r="B302" t="inlineStr">
        <is>
          <t>Doctor of Philosophy - Electrical Engineering</t>
        </is>
      </c>
      <c r="C302" t="inlineStr">
        <is>
          <t>Doctorate / PhD</t>
        </is>
      </c>
      <c r="D302" t="inlineStr">
        <is>
          <t>Research degree</t>
        </is>
      </c>
      <c r="E302" t="inlineStr">
        <is>
          <t>Held: page found is for another course</t>
        </is>
      </c>
      <c r="F302" t="inlineStr"/>
      <c r="G302" t="inlineStr">
        <is>
          <t>https://www.handbook.unsw.edu.au/research/programs/2026/1640</t>
        </is>
      </c>
      <c r="H302" t="inlineStr">
        <is>
          <t>Page is for another course</t>
        </is>
      </c>
      <c r="I302" t="inlineStr"/>
      <c r="J302" t="inlineStr"/>
      <c r="K302" t="inlineStr">
        <is>
          <t>Finished, no page: no address from the university's address forms or stored lis</t>
        </is>
      </c>
      <c r="L302" t="inlineStr">
        <is>
          <t>Searching for course page</t>
        </is>
      </c>
      <c r="M302" t="inlineStr">
        <is>
          <t>Searching for course page</t>
        </is>
      </c>
      <c r="N302" t="inlineStr"/>
      <c r="O302" t="n">
        <v>0</v>
      </c>
      <c r="P302" t="inlineStr"/>
      <c r="Q302" t="inlineStr">
        <is>
          <t>Searching for course page</t>
        </is>
      </c>
      <c r="S302" t="inlineStr"/>
      <c r="T302" t="inlineStr">
        <is>
          <t>Held: research degree (the policy states no research requirement)</t>
        </is>
      </c>
      <c r="U302" t="inlineStr"/>
      <c r="V302" t="inlineStr">
        <is>
          <t>Searching for course page</t>
        </is>
      </c>
      <c r="W302" t="inlineStr"/>
      <c r="X302" t="inlineStr"/>
      <c r="Y302" t="n">
        <v>0</v>
      </c>
      <c r="Z302" t="inlineStr">
        <is>
          <t>No</t>
        </is>
      </c>
      <c r="AA302" t="inlineStr">
        <is>
          <t>Not stated on course page</t>
        </is>
      </c>
      <c r="AB302" t="inlineStr"/>
      <c r="AC302" t="inlineStr">
        <is>
          <t>Skipped: no correct course page: the page found is for another course</t>
        </is>
      </c>
      <c r="AD302" t="n">
        <v>0</v>
      </c>
      <c r="AE302" t="inlineStr"/>
      <c r="AF302" t="inlineStr"/>
      <c r="AG302" t="inlineStr"/>
      <c r="AH302" t="inlineStr"/>
      <c r="AI302" t="inlineStr"/>
      <c r="AJ302" t="inlineStr">
        <is>
          <t>Yes</t>
        </is>
      </c>
      <c r="AK302" t="inlineStr"/>
      <c r="AL302" t="inlineStr"/>
      <c r="AM302" t="inlineStr"/>
    </row>
    <row r="303">
      <c r="A303" t="inlineStr">
        <is>
          <t>079506K</t>
        </is>
      </c>
      <c r="B303" t="inlineStr">
        <is>
          <t>Doctor of Philosophy - Environmental Management</t>
        </is>
      </c>
      <c r="C303" t="inlineStr">
        <is>
          <t>Doctorate / PhD</t>
        </is>
      </c>
      <c r="D303" t="inlineStr">
        <is>
          <t>Research degree</t>
        </is>
      </c>
      <c r="E303" t="inlineStr">
        <is>
          <t>Advertised: official page in place</t>
        </is>
      </c>
      <c r="F303" t="inlineStr">
        <is>
          <t>https://www.handbook.unsw.edu.au/research/programs/2026/1425</t>
        </is>
      </c>
      <c r="G303" t="inlineStr">
        <is>
          <t>https://www.handbook.unsw.edu.au/research/programs/2026/1425</t>
        </is>
      </c>
      <c r="H303" t="inlineStr">
        <is>
          <t>Read</t>
        </is>
      </c>
      <c r="I303" t="inlineStr">
        <is>
          <t>CRICOS code on page</t>
        </is>
      </c>
      <c r="J303" t="inlineStr"/>
      <c r="K303" t="inlineStr">
        <is>
          <t>Not sent to re-link</t>
        </is>
      </c>
      <c r="L303" t="inlineStr">
        <is>
          <t>Filled</t>
        </is>
      </c>
      <c r="M303" t="inlineStr">
        <is>
          <t>Not stated on course page</t>
        </is>
      </c>
      <c r="N303" t="inlineStr"/>
      <c r="O303" t="n">
        <v>0</v>
      </c>
      <c r="P303" t="inlineStr"/>
      <c r="Q303" t="inlineStr">
        <is>
          <t>Not stated on course page</t>
        </is>
      </c>
      <c r="S303" t="inlineStr"/>
      <c r="T303" t="inlineStr">
        <is>
          <t>Held: research degree (the policy states no research requirement)</t>
        </is>
      </c>
      <c r="U303" t="inlineStr"/>
      <c r="V303" t="inlineStr">
        <is>
          <t>Filled</t>
        </is>
      </c>
      <c r="W303" t="inlineStr">
        <is>
          <t>January, February, May, September</t>
        </is>
      </c>
      <c r="X303" t="inlineStr">
        <is>
          <t>University adapter</t>
        </is>
      </c>
      <c r="Y303" t="n">
        <v>0</v>
      </c>
      <c r="Z303" t="inlineStr">
        <is>
          <t>No</t>
        </is>
      </c>
      <c r="AA303" t="inlineStr">
        <is>
          <t>Filled</t>
        </is>
      </c>
      <c r="AB303" t="inlineStr">
        <is>
          <t>on campus</t>
        </is>
      </c>
      <c r="AC303" t="inlineStr"/>
      <c r="AD303" t="n">
        <v>0</v>
      </c>
      <c r="AE303" t="inlineStr"/>
      <c r="AF303" t="inlineStr"/>
      <c r="AG303" t="inlineStr"/>
      <c r="AH303" t="inlineStr"/>
      <c r="AI303" t="inlineStr"/>
      <c r="AJ303" t="inlineStr">
        <is>
          <t>Yes</t>
        </is>
      </c>
      <c r="AK303" t="inlineStr"/>
      <c r="AL303" t="inlineStr"/>
      <c r="AM303" t="inlineStr"/>
    </row>
    <row r="304">
      <c r="A304" t="inlineStr">
        <is>
          <t>001889A</t>
        </is>
      </c>
      <c r="B304" t="inlineStr">
        <is>
          <t>Doctor of Philosophy - Food Science &amp; Technology</t>
        </is>
      </c>
      <c r="C304" t="inlineStr">
        <is>
          <t>Doctorate / PhD</t>
        </is>
      </c>
      <c r="D304" t="inlineStr">
        <is>
          <t>Research degree</t>
        </is>
      </c>
      <c r="E304" t="inlineStr">
        <is>
          <t>Advertised: official page in place</t>
        </is>
      </c>
      <c r="F304" t="inlineStr">
        <is>
          <t>https://www.handbook.unsw.edu.au/research/programs/2026/1031</t>
        </is>
      </c>
      <c r="G304" t="inlineStr">
        <is>
          <t>https://www.handbook.unsw.edu.au/research/programs/2026/1031</t>
        </is>
      </c>
      <c r="H304" t="inlineStr">
        <is>
          <t>Read</t>
        </is>
      </c>
      <c r="I304" t="inlineStr">
        <is>
          <t>CRICOS code on page</t>
        </is>
      </c>
      <c r="J304" t="inlineStr"/>
      <c r="K304" t="inlineStr">
        <is>
          <t>Not sent to re-link</t>
        </is>
      </c>
      <c r="L304" t="inlineStr">
        <is>
          <t>Filled</t>
        </is>
      </c>
      <c r="M304" t="inlineStr">
        <is>
          <t>Not stated on course page</t>
        </is>
      </c>
      <c r="N304" t="inlineStr"/>
      <c r="O304" t="n">
        <v>0</v>
      </c>
      <c r="P304" t="inlineStr"/>
      <c r="Q304" t="inlineStr">
        <is>
          <t>Not stated on course page</t>
        </is>
      </c>
      <c r="S304" t="inlineStr"/>
      <c r="T304" t="inlineStr">
        <is>
          <t>Held: research degree (the policy states no research requirement)</t>
        </is>
      </c>
      <c r="U304" t="inlineStr"/>
      <c r="V304" t="inlineStr">
        <is>
          <t>Filled</t>
        </is>
      </c>
      <c r="W304" t="inlineStr">
        <is>
          <t>January, February, May, September</t>
        </is>
      </c>
      <c r="X304" t="inlineStr">
        <is>
          <t>University adapter</t>
        </is>
      </c>
      <c r="Y304" t="n">
        <v>0</v>
      </c>
      <c r="Z304" t="inlineStr">
        <is>
          <t>No</t>
        </is>
      </c>
      <c r="AA304" t="inlineStr">
        <is>
          <t>Filled</t>
        </is>
      </c>
      <c r="AB304" t="inlineStr">
        <is>
          <t>on campus</t>
        </is>
      </c>
      <c r="AC304" t="inlineStr"/>
      <c r="AD304" t="n">
        <v>0</v>
      </c>
      <c r="AE304" t="inlineStr"/>
      <c r="AF304" t="inlineStr"/>
      <c r="AG304" t="inlineStr"/>
      <c r="AH304" t="inlineStr"/>
      <c r="AI304" t="inlineStr"/>
      <c r="AJ304" t="inlineStr">
        <is>
          <t>Yes</t>
        </is>
      </c>
      <c r="AK304" t="inlineStr"/>
      <c r="AL304" t="inlineStr"/>
      <c r="AM304" t="inlineStr"/>
    </row>
    <row r="305">
      <c r="A305" t="inlineStr">
        <is>
          <t>043482K</t>
        </is>
      </c>
      <c r="B305" t="inlineStr">
        <is>
          <t>Doctor of Philosophy - Geospatial Engineering</t>
        </is>
      </c>
      <c r="C305" t="inlineStr">
        <is>
          <t>Doctorate / PhD</t>
        </is>
      </c>
      <c r="D305" t="inlineStr">
        <is>
          <t>Research degree</t>
        </is>
      </c>
      <c r="E305" t="inlineStr">
        <is>
          <t>Advertised: official page in place</t>
        </is>
      </c>
      <c r="F305" t="inlineStr">
        <is>
          <t>https://www.handbook.unsw.edu.au/research/programs/2026/1682</t>
        </is>
      </c>
      <c r="G305" t="inlineStr">
        <is>
          <t>https://www.handbook.unsw.edu.au/research/programs/2026/1682</t>
        </is>
      </c>
      <c r="H305" t="inlineStr">
        <is>
          <t>Read</t>
        </is>
      </c>
      <c r="I305" t="inlineStr">
        <is>
          <t>CRICOS code on page</t>
        </is>
      </c>
      <c r="J305" t="inlineStr"/>
      <c r="K305" t="inlineStr">
        <is>
          <t>Not sent to re-link</t>
        </is>
      </c>
      <c r="L305" t="inlineStr">
        <is>
          <t>Filled</t>
        </is>
      </c>
      <c r="M305" t="inlineStr">
        <is>
          <t>Not stated on course page</t>
        </is>
      </c>
      <c r="N305" t="inlineStr"/>
      <c r="O305" t="n">
        <v>0</v>
      </c>
      <c r="P305" t="inlineStr"/>
      <c r="Q305" t="inlineStr">
        <is>
          <t>Not stated on course page</t>
        </is>
      </c>
      <c r="S305" t="inlineStr"/>
      <c r="T305" t="inlineStr">
        <is>
          <t>Held: research degree (the policy states no research requirement)</t>
        </is>
      </c>
      <c r="U305" t="inlineStr"/>
      <c r="V305" t="inlineStr">
        <is>
          <t>Filled</t>
        </is>
      </c>
      <c r="W305" t="inlineStr">
        <is>
          <t>January, February, May, September</t>
        </is>
      </c>
      <c r="X305" t="inlineStr">
        <is>
          <t>University adapter</t>
        </is>
      </c>
      <c r="Y305" t="n">
        <v>0</v>
      </c>
      <c r="Z305" t="inlineStr">
        <is>
          <t>No</t>
        </is>
      </c>
      <c r="AA305" t="inlineStr">
        <is>
          <t>Filled</t>
        </is>
      </c>
      <c r="AB305" t="inlineStr">
        <is>
          <t>on campus</t>
        </is>
      </c>
      <c r="AC305" t="inlineStr"/>
      <c r="AD305" t="n">
        <v>0</v>
      </c>
      <c r="AE305" t="inlineStr"/>
      <c r="AF305" t="inlineStr"/>
      <c r="AG305" t="inlineStr"/>
      <c r="AH305" t="inlineStr"/>
      <c r="AI305" t="inlineStr"/>
      <c r="AJ305" t="inlineStr">
        <is>
          <t>Yes</t>
        </is>
      </c>
      <c r="AK305" t="inlineStr"/>
      <c r="AL305" t="inlineStr"/>
      <c r="AM305" t="inlineStr"/>
    </row>
    <row r="306">
      <c r="A306" t="inlineStr">
        <is>
          <t>111888J</t>
        </is>
      </c>
      <c r="B306" t="inlineStr">
        <is>
          <t>Doctor of Philosophy - Health Sciences</t>
        </is>
      </c>
      <c r="C306" t="inlineStr">
        <is>
          <t>Doctorate / PhD</t>
        </is>
      </c>
      <c r="D306" t="inlineStr">
        <is>
          <t>Research degree</t>
        </is>
      </c>
      <c r="E306" t="inlineStr">
        <is>
          <t>Held: page found is for another course</t>
        </is>
      </c>
      <c r="F306" t="inlineStr"/>
      <c r="G306" t="inlineStr">
        <is>
          <t>https://www.unsw.edu.au/law-justice/study/postgraduate-research/doctor-philosophy-phd</t>
        </is>
      </c>
      <c r="H306" t="inlineStr">
        <is>
          <t>Page is for another course</t>
        </is>
      </c>
      <c r="I306" t="inlineStr"/>
      <c r="J306" t="inlineStr"/>
      <c r="K306" t="inlineStr">
        <is>
          <t>Finished, no page: no address from the university's address forms or stored lis</t>
        </is>
      </c>
      <c r="L306" t="inlineStr">
        <is>
          <t>Searching for course page</t>
        </is>
      </c>
      <c r="M306" t="inlineStr">
        <is>
          <t>Searching for course page</t>
        </is>
      </c>
      <c r="N306" t="inlineStr"/>
      <c r="O306" t="n">
        <v>0</v>
      </c>
      <c r="P306" t="inlineStr"/>
      <c r="Q306" t="inlineStr">
        <is>
          <t>Searching for course page</t>
        </is>
      </c>
      <c r="S306" t="inlineStr"/>
      <c r="T306" t="inlineStr">
        <is>
          <t>Held: research degree (the policy states no research requirement)</t>
        </is>
      </c>
      <c r="U306" t="inlineStr"/>
      <c r="V306" t="inlineStr">
        <is>
          <t>Searching for course page</t>
        </is>
      </c>
      <c r="W306" t="inlineStr"/>
      <c r="X306" t="inlineStr"/>
      <c r="Y306" t="n">
        <v>0</v>
      </c>
      <c r="Z306" t="inlineStr">
        <is>
          <t>No</t>
        </is>
      </c>
      <c r="AA306" t="inlineStr">
        <is>
          <t>Not stated on course page</t>
        </is>
      </c>
      <c r="AB306" t="inlineStr"/>
      <c r="AC306" t="inlineStr">
        <is>
          <t>Skipped: no correct course page: the page found is for another course</t>
        </is>
      </c>
      <c r="AD306" t="n">
        <v>1</v>
      </c>
      <c r="AE306" t="inlineStr"/>
      <c r="AF306" t="inlineStr"/>
      <c r="AG306" t="inlineStr"/>
      <c r="AH306" t="inlineStr"/>
      <c r="AI306" t="inlineStr"/>
      <c r="AJ306" t="inlineStr">
        <is>
          <t>Yes</t>
        </is>
      </c>
      <c r="AK306" t="inlineStr"/>
      <c r="AL306" t="inlineStr"/>
      <c r="AM306" t="inlineStr"/>
    </row>
    <row r="307">
      <c r="A307" t="inlineStr">
        <is>
          <t>111879K</t>
        </is>
      </c>
      <c r="B307" t="inlineStr">
        <is>
          <t>Doctor of Philosophy - Health Sciences</t>
        </is>
      </c>
      <c r="C307" t="inlineStr">
        <is>
          <t>Doctorate / PhD</t>
        </is>
      </c>
      <c r="D307" t="inlineStr">
        <is>
          <t>Research degree</t>
        </is>
      </c>
      <c r="E307" t="inlineStr">
        <is>
          <t>Advertised: official page in place</t>
        </is>
      </c>
      <c r="F307" t="inlineStr">
        <is>
          <t>https://www.handbook.unsw.edu.au/research/programs/2026/1801</t>
        </is>
      </c>
      <c r="G307" t="inlineStr">
        <is>
          <t>https://www.handbook.unsw.edu.au/research/programs/2026/1801</t>
        </is>
      </c>
      <c r="H307" t="inlineStr">
        <is>
          <t>Read</t>
        </is>
      </c>
      <c r="I307" t="inlineStr">
        <is>
          <t>CRICOS code on page</t>
        </is>
      </c>
      <c r="J307" t="inlineStr"/>
      <c r="K307" t="inlineStr">
        <is>
          <t>Not sent to re-link</t>
        </is>
      </c>
      <c r="L307" t="inlineStr">
        <is>
          <t>Filled</t>
        </is>
      </c>
      <c r="M307" t="inlineStr">
        <is>
          <t>Not stated on course page</t>
        </is>
      </c>
      <c r="N307" t="inlineStr"/>
      <c r="O307" t="n">
        <v>0</v>
      </c>
      <c r="P307" t="inlineStr"/>
      <c r="Q307" t="inlineStr">
        <is>
          <t>Not stated on course page</t>
        </is>
      </c>
      <c r="S307" t="inlineStr"/>
      <c r="T307" t="inlineStr">
        <is>
          <t>Held: research degree (the policy states no research requirement)</t>
        </is>
      </c>
      <c r="U307" t="inlineStr"/>
      <c r="V307" t="inlineStr">
        <is>
          <t>Filled</t>
        </is>
      </c>
      <c r="W307" t="inlineStr">
        <is>
          <t>January, February, May, September</t>
        </is>
      </c>
      <c r="X307" t="inlineStr">
        <is>
          <t>University adapter</t>
        </is>
      </c>
      <c r="Y307" t="n">
        <v>0</v>
      </c>
      <c r="Z307" t="inlineStr">
        <is>
          <t>No</t>
        </is>
      </c>
      <c r="AA307" t="inlineStr">
        <is>
          <t>Filled</t>
        </is>
      </c>
      <c r="AB307" t="inlineStr">
        <is>
          <t>on campus</t>
        </is>
      </c>
      <c r="AC307" t="inlineStr"/>
      <c r="AD307" t="n">
        <v>0</v>
      </c>
      <c r="AE307" t="inlineStr"/>
      <c r="AF307" t="inlineStr"/>
      <c r="AG307" t="inlineStr"/>
      <c r="AH307" t="inlineStr"/>
      <c r="AI307" t="inlineStr"/>
      <c r="AJ307" t="inlineStr">
        <is>
          <t>Yes</t>
        </is>
      </c>
      <c r="AK307" t="inlineStr"/>
      <c r="AL307" t="inlineStr"/>
      <c r="AM307" t="inlineStr"/>
    </row>
    <row r="308">
      <c r="A308" t="inlineStr">
        <is>
          <t>079006G</t>
        </is>
      </c>
      <c r="B308" t="inlineStr">
        <is>
          <t>Doctor of Philosophy - Humanities</t>
        </is>
      </c>
      <c r="C308" t="inlineStr">
        <is>
          <t>Doctorate / PhD</t>
        </is>
      </c>
      <c r="D308" t="inlineStr">
        <is>
          <t>Research degree</t>
        </is>
      </c>
      <c r="E308" t="inlineStr">
        <is>
          <t>Advertised: official page in place</t>
        </is>
      </c>
      <c r="F308" t="inlineStr">
        <is>
          <t>https://www.handbook.unsw.edu.au/research/programs/2026/1271</t>
        </is>
      </c>
      <c r="G308" t="inlineStr">
        <is>
          <t>https://www.handbook.unsw.edu.au/research/programs/2026/1271</t>
        </is>
      </c>
      <c r="H308" t="inlineStr">
        <is>
          <t>Read</t>
        </is>
      </c>
      <c r="I308" t="inlineStr">
        <is>
          <t>CRICOS code on page</t>
        </is>
      </c>
      <c r="J308" t="inlineStr"/>
      <c r="K308" t="inlineStr">
        <is>
          <t>Not sent to re-link</t>
        </is>
      </c>
      <c r="L308" t="inlineStr">
        <is>
          <t>Filled</t>
        </is>
      </c>
      <c r="M308" t="inlineStr">
        <is>
          <t>Not stated on course page</t>
        </is>
      </c>
      <c r="N308" t="inlineStr"/>
      <c r="O308" t="n">
        <v>0</v>
      </c>
      <c r="P308" t="inlineStr"/>
      <c r="Q308" t="inlineStr">
        <is>
          <t>Not stated on course page</t>
        </is>
      </c>
      <c r="S308" t="inlineStr"/>
      <c r="T308" t="inlineStr">
        <is>
          <t>Held: research degree (the policy states no research requirement)</t>
        </is>
      </c>
      <c r="U308" t="inlineStr"/>
      <c r="V308" t="inlineStr">
        <is>
          <t>Filled</t>
        </is>
      </c>
      <c r="W308" t="inlineStr">
        <is>
          <t>January, February, May, September</t>
        </is>
      </c>
      <c r="X308" t="inlineStr">
        <is>
          <t>University adapter</t>
        </is>
      </c>
      <c r="Y308" t="n">
        <v>0</v>
      </c>
      <c r="Z308" t="inlineStr">
        <is>
          <t>No</t>
        </is>
      </c>
      <c r="AA308" t="inlineStr">
        <is>
          <t>Filled</t>
        </is>
      </c>
      <c r="AB308" t="inlineStr">
        <is>
          <t>on campus</t>
        </is>
      </c>
      <c r="AC308" t="inlineStr"/>
      <c r="AD308" t="n">
        <v>0</v>
      </c>
      <c r="AE308" t="inlineStr"/>
      <c r="AF308" t="inlineStr"/>
      <c r="AG308" t="inlineStr"/>
      <c r="AH308" t="inlineStr"/>
      <c r="AI308" t="inlineStr"/>
      <c r="AJ308" t="inlineStr">
        <is>
          <t>Yes</t>
        </is>
      </c>
      <c r="AK308" t="inlineStr"/>
      <c r="AL308" t="inlineStr"/>
      <c r="AM308" t="inlineStr"/>
    </row>
    <row r="309">
      <c r="A309" t="inlineStr">
        <is>
          <t>008929G</t>
        </is>
      </c>
      <c r="B309" t="inlineStr">
        <is>
          <t>Doctor of Philosophy - Industrial Chemistry</t>
        </is>
      </c>
      <c r="C309" t="inlineStr">
        <is>
          <t>Doctorate / PhD</t>
        </is>
      </c>
      <c r="D309" t="inlineStr">
        <is>
          <t>Research degree</t>
        </is>
      </c>
      <c r="E309" t="inlineStr">
        <is>
          <t>Advertised: official page in place</t>
        </is>
      </c>
      <c r="F309" t="inlineStr">
        <is>
          <t>https://www.handbook.unsw.edu.au/research/programs/2026/1016</t>
        </is>
      </c>
      <c r="G309" t="inlineStr">
        <is>
          <t>https://www.handbook.unsw.edu.au/research/programs/2026/1016</t>
        </is>
      </c>
      <c r="H309" t="inlineStr">
        <is>
          <t>Read</t>
        </is>
      </c>
      <c r="I309" t="inlineStr">
        <is>
          <t>CRICOS code on page</t>
        </is>
      </c>
      <c r="J309" t="inlineStr"/>
      <c r="K309" t="inlineStr">
        <is>
          <t>Not sent to re-link</t>
        </is>
      </c>
      <c r="L309" t="inlineStr">
        <is>
          <t>Filled</t>
        </is>
      </c>
      <c r="M309" t="inlineStr">
        <is>
          <t>Not stated on course page</t>
        </is>
      </c>
      <c r="N309" t="inlineStr"/>
      <c r="O309" t="n">
        <v>0</v>
      </c>
      <c r="P309" t="inlineStr"/>
      <c r="Q309" t="inlineStr">
        <is>
          <t>Not stated on course page</t>
        </is>
      </c>
      <c r="S309" t="inlineStr"/>
      <c r="T309" t="inlineStr">
        <is>
          <t>Held: research degree (the policy states no research requirement)</t>
        </is>
      </c>
      <c r="U309" t="inlineStr"/>
      <c r="V309" t="inlineStr">
        <is>
          <t>Filled</t>
        </is>
      </c>
      <c r="W309" t="inlineStr">
        <is>
          <t>January, February, May, September</t>
        </is>
      </c>
      <c r="X309" t="inlineStr">
        <is>
          <t>University adapter</t>
        </is>
      </c>
      <c r="Y309" t="n">
        <v>0</v>
      </c>
      <c r="Z309" t="inlineStr">
        <is>
          <t>No</t>
        </is>
      </c>
      <c r="AA309" t="inlineStr">
        <is>
          <t>Filled</t>
        </is>
      </c>
      <c r="AB309" t="inlineStr">
        <is>
          <t>on campus</t>
        </is>
      </c>
      <c r="AC309" t="inlineStr"/>
      <c r="AD309" t="n">
        <v>0</v>
      </c>
      <c r="AE309" t="inlineStr"/>
      <c r="AF309" t="inlineStr"/>
      <c r="AG309" t="inlineStr"/>
      <c r="AH309" t="inlineStr"/>
      <c r="AI309" t="inlineStr"/>
      <c r="AJ309" t="inlineStr">
        <is>
          <t>Yes</t>
        </is>
      </c>
      <c r="AK309" t="inlineStr"/>
      <c r="AL309" t="inlineStr"/>
      <c r="AM309" t="inlineStr"/>
    </row>
    <row r="310">
      <c r="A310" t="inlineStr">
        <is>
          <t>008963F</t>
        </is>
      </c>
      <c r="B310" t="inlineStr">
        <is>
          <t>Doctor of Philosophy - Information Systems, Technology and Management</t>
        </is>
      </c>
      <c r="C310" t="inlineStr">
        <is>
          <t>Doctorate / PhD</t>
        </is>
      </c>
      <c r="D310" t="inlineStr">
        <is>
          <t>Research degree</t>
        </is>
      </c>
      <c r="E310" t="inlineStr">
        <is>
          <t>Advertised: official page in place</t>
        </is>
      </c>
      <c r="F310" t="inlineStr">
        <is>
          <t>https://www.handbook.unsw.edu.au/research/programs/2026/1525</t>
        </is>
      </c>
      <c r="G310" t="inlineStr">
        <is>
          <t>https://www.handbook.unsw.edu.au/research/programs/2026/1525</t>
        </is>
      </c>
      <c r="H310" t="inlineStr">
        <is>
          <t>Read</t>
        </is>
      </c>
      <c r="I310" t="inlineStr">
        <is>
          <t>CRICOS code on page</t>
        </is>
      </c>
      <c r="J310" t="inlineStr"/>
      <c r="K310" t="inlineStr">
        <is>
          <t>Not sent to re-link</t>
        </is>
      </c>
      <c r="L310" t="inlineStr">
        <is>
          <t>Filled</t>
        </is>
      </c>
      <c r="M310" t="inlineStr">
        <is>
          <t>Not stated on course page</t>
        </is>
      </c>
      <c r="N310" t="inlineStr"/>
      <c r="O310" t="n">
        <v>0</v>
      </c>
      <c r="P310" t="inlineStr"/>
      <c r="Q310" t="inlineStr">
        <is>
          <t>Not stated on course page</t>
        </is>
      </c>
      <c r="S310" t="inlineStr"/>
      <c r="T310" t="inlineStr">
        <is>
          <t>Held: research degree (the policy states no research requirement)</t>
        </is>
      </c>
      <c r="U310" t="inlineStr"/>
      <c r="V310" t="inlineStr">
        <is>
          <t>Filled</t>
        </is>
      </c>
      <c r="W310" t="inlineStr">
        <is>
          <t>January, February, May, September</t>
        </is>
      </c>
      <c r="X310" t="inlineStr">
        <is>
          <t>University adapter</t>
        </is>
      </c>
      <c r="Y310" t="n">
        <v>0</v>
      </c>
      <c r="Z310" t="inlineStr">
        <is>
          <t>No</t>
        </is>
      </c>
      <c r="AA310" t="inlineStr">
        <is>
          <t>Filled</t>
        </is>
      </c>
      <c r="AB310" t="inlineStr">
        <is>
          <t>on campus</t>
        </is>
      </c>
      <c r="AC310" t="inlineStr"/>
      <c r="AD310" t="n">
        <v>0</v>
      </c>
      <c r="AE310" t="inlineStr"/>
      <c r="AF310" t="inlineStr"/>
      <c r="AG310" t="inlineStr"/>
      <c r="AH310" t="inlineStr"/>
      <c r="AI310" t="inlineStr"/>
      <c r="AJ310" t="inlineStr">
        <is>
          <t>Yes</t>
        </is>
      </c>
      <c r="AK310" t="inlineStr"/>
      <c r="AL310" t="inlineStr"/>
      <c r="AM310" t="inlineStr"/>
    </row>
    <row r="311">
      <c r="A311" t="inlineStr">
        <is>
          <t>001040F</t>
        </is>
      </c>
      <c r="B311" t="inlineStr">
        <is>
          <t>Doctor of Philosophy - Marketing</t>
        </is>
      </c>
      <c r="C311" t="inlineStr">
        <is>
          <t>Doctorate / PhD</t>
        </is>
      </c>
      <c r="D311" t="inlineStr">
        <is>
          <t>Research degree</t>
        </is>
      </c>
      <c r="E311" t="inlineStr">
        <is>
          <t>Advertised: official page in place</t>
        </is>
      </c>
      <c r="F311" t="inlineStr">
        <is>
          <t>https://www.handbook.unsw.edu.au/research/programs/2026/1550</t>
        </is>
      </c>
      <c r="G311" t="inlineStr">
        <is>
          <t>https://www.handbook.unsw.edu.au/research/programs/2026/1550</t>
        </is>
      </c>
      <c r="H311" t="inlineStr">
        <is>
          <t>Read</t>
        </is>
      </c>
      <c r="I311" t="inlineStr">
        <is>
          <t>CRICOS code on page</t>
        </is>
      </c>
      <c r="J311" t="inlineStr"/>
      <c r="K311" t="inlineStr">
        <is>
          <t>Not sent to re-link</t>
        </is>
      </c>
      <c r="L311" t="inlineStr">
        <is>
          <t>Filled</t>
        </is>
      </c>
      <c r="M311" t="inlineStr">
        <is>
          <t>Not stated on course page</t>
        </is>
      </c>
      <c r="N311" t="inlineStr"/>
      <c r="O311" t="n">
        <v>0</v>
      </c>
      <c r="P311" t="inlineStr"/>
      <c r="Q311" t="inlineStr">
        <is>
          <t>Not stated on course page</t>
        </is>
      </c>
      <c r="S311" t="inlineStr"/>
      <c r="T311" t="inlineStr">
        <is>
          <t>Held: research degree (the policy states no research requirement)</t>
        </is>
      </c>
      <c r="U311" t="inlineStr"/>
      <c r="V311" t="inlineStr">
        <is>
          <t>Filled</t>
        </is>
      </c>
      <c r="W311" t="inlineStr">
        <is>
          <t>January, February, May, September</t>
        </is>
      </c>
      <c r="X311" t="inlineStr">
        <is>
          <t>University adapter</t>
        </is>
      </c>
      <c r="Y311" t="n">
        <v>0</v>
      </c>
      <c r="Z311" t="inlineStr">
        <is>
          <t>No</t>
        </is>
      </c>
      <c r="AA311" t="inlineStr">
        <is>
          <t>Filled</t>
        </is>
      </c>
      <c r="AB311" t="inlineStr">
        <is>
          <t>on campus</t>
        </is>
      </c>
      <c r="AC311" t="inlineStr"/>
      <c r="AD311" t="n">
        <v>0</v>
      </c>
      <c r="AE311" t="inlineStr"/>
      <c r="AF311" t="inlineStr"/>
      <c r="AG311" t="inlineStr"/>
      <c r="AH311" t="inlineStr"/>
      <c r="AI311" t="inlineStr"/>
      <c r="AJ311" t="inlineStr">
        <is>
          <t>Yes</t>
        </is>
      </c>
      <c r="AK311" t="inlineStr"/>
      <c r="AL311" t="inlineStr"/>
      <c r="AM311" t="inlineStr"/>
    </row>
    <row r="312">
      <c r="A312" t="inlineStr">
        <is>
          <t>001020K</t>
        </is>
      </c>
      <c r="B312" t="inlineStr">
        <is>
          <t>Doctor of Philosophy - Mechanical and Manufacturing Engineering</t>
        </is>
      </c>
      <c r="C312" t="inlineStr">
        <is>
          <t>Doctorate / PhD</t>
        </is>
      </c>
      <c r="D312" t="inlineStr">
        <is>
          <t>Research degree</t>
        </is>
      </c>
      <c r="E312" t="inlineStr">
        <is>
          <t>Advertised: official page in place</t>
        </is>
      </c>
      <c r="F312" t="inlineStr">
        <is>
          <t>https://www.handbook.unsw.edu.au/research/programs/2026/1662</t>
        </is>
      </c>
      <c r="G312" t="inlineStr">
        <is>
          <t>https://www.handbook.unsw.edu.au/research/programs/2026/1662</t>
        </is>
      </c>
      <c r="H312" t="inlineStr">
        <is>
          <t>Read</t>
        </is>
      </c>
      <c r="I312" t="inlineStr">
        <is>
          <t>CRICOS code on page</t>
        </is>
      </c>
      <c r="J312" t="inlineStr"/>
      <c r="K312" t="inlineStr">
        <is>
          <t>Not sent to re-link</t>
        </is>
      </c>
      <c r="L312" t="inlineStr">
        <is>
          <t>Filled</t>
        </is>
      </c>
      <c r="M312" t="inlineStr">
        <is>
          <t>Not stated on course page</t>
        </is>
      </c>
      <c r="N312" t="inlineStr"/>
      <c r="O312" t="n">
        <v>0</v>
      </c>
      <c r="P312" t="inlineStr"/>
      <c r="Q312" t="inlineStr">
        <is>
          <t>Not stated on course page</t>
        </is>
      </c>
      <c r="S312" t="inlineStr"/>
      <c r="T312" t="inlineStr">
        <is>
          <t>Held: research degree (the policy states no research requirement)</t>
        </is>
      </c>
      <c r="U312" t="inlineStr"/>
      <c r="V312" t="inlineStr">
        <is>
          <t>Filled</t>
        </is>
      </c>
      <c r="W312" t="inlineStr">
        <is>
          <t>January, February, May, September</t>
        </is>
      </c>
      <c r="X312" t="inlineStr">
        <is>
          <t>University adapter</t>
        </is>
      </c>
      <c r="Y312" t="n">
        <v>0</v>
      </c>
      <c r="Z312" t="inlineStr">
        <is>
          <t>No</t>
        </is>
      </c>
      <c r="AA312" t="inlineStr">
        <is>
          <t>Filled</t>
        </is>
      </c>
      <c r="AB312" t="inlineStr">
        <is>
          <t>on campus</t>
        </is>
      </c>
      <c r="AC312" t="inlineStr"/>
      <c r="AD312" t="n">
        <v>0</v>
      </c>
      <c r="AE312" t="inlineStr"/>
      <c r="AF312" t="inlineStr"/>
      <c r="AG312" t="inlineStr"/>
      <c r="AH312" t="inlineStr"/>
      <c r="AI312" t="inlineStr"/>
      <c r="AJ312" t="inlineStr">
        <is>
          <t>Yes</t>
        </is>
      </c>
      <c r="AK312" t="inlineStr"/>
      <c r="AL312" t="inlineStr"/>
      <c r="AM312" t="inlineStr"/>
    </row>
    <row r="313">
      <c r="A313" t="inlineStr">
        <is>
          <t>001021J</t>
        </is>
      </c>
      <c r="B313" t="inlineStr">
        <is>
          <t>Doctor of Philosophy - Mining Engineering</t>
        </is>
      </c>
      <c r="C313" t="inlineStr">
        <is>
          <t>Doctorate / PhD</t>
        </is>
      </c>
      <c r="D313" t="inlineStr">
        <is>
          <t>Research degree</t>
        </is>
      </c>
      <c r="E313" t="inlineStr">
        <is>
          <t>Advertised: official page in place</t>
        </is>
      </c>
      <c r="F313" t="inlineStr">
        <is>
          <t>https://www.handbook.unsw.edu.au/research/programs/2026/1050</t>
        </is>
      </c>
      <c r="G313" t="inlineStr">
        <is>
          <t>https://www.handbook.unsw.edu.au/research/programs/2026/1050</t>
        </is>
      </c>
      <c r="H313" t="inlineStr">
        <is>
          <t>Read</t>
        </is>
      </c>
      <c r="I313" t="inlineStr">
        <is>
          <t>CRICOS code on page</t>
        </is>
      </c>
      <c r="J313" t="inlineStr"/>
      <c r="K313" t="inlineStr">
        <is>
          <t>Not sent to re-link</t>
        </is>
      </c>
      <c r="L313" t="inlineStr">
        <is>
          <t>Filled</t>
        </is>
      </c>
      <c r="M313" t="inlineStr">
        <is>
          <t>Not stated on course page</t>
        </is>
      </c>
      <c r="N313" t="inlineStr"/>
      <c r="O313" t="n">
        <v>0</v>
      </c>
      <c r="P313" t="inlineStr"/>
      <c r="Q313" t="inlineStr">
        <is>
          <t>Not stated on course page</t>
        </is>
      </c>
      <c r="S313" t="inlineStr"/>
      <c r="T313" t="inlineStr">
        <is>
          <t>Held: research degree (the policy states no research requirement)</t>
        </is>
      </c>
      <c r="U313" t="inlineStr"/>
      <c r="V313" t="inlineStr">
        <is>
          <t>Filled</t>
        </is>
      </c>
      <c r="W313" t="inlineStr">
        <is>
          <t>January, February, May, September</t>
        </is>
      </c>
      <c r="X313" t="inlineStr">
        <is>
          <t>University adapter</t>
        </is>
      </c>
      <c r="Y313" t="n">
        <v>0</v>
      </c>
      <c r="Z313" t="inlineStr">
        <is>
          <t>No</t>
        </is>
      </c>
      <c r="AA313" t="inlineStr">
        <is>
          <t>Filled</t>
        </is>
      </c>
      <c r="AB313" t="inlineStr">
        <is>
          <t>on campus</t>
        </is>
      </c>
      <c r="AC313" t="inlineStr"/>
      <c r="AD313" t="n">
        <v>0</v>
      </c>
      <c r="AE313" t="inlineStr"/>
      <c r="AF313" t="inlineStr"/>
      <c r="AG313" t="inlineStr"/>
      <c r="AH313" t="inlineStr"/>
      <c r="AI313" t="inlineStr"/>
      <c r="AJ313" t="inlineStr">
        <is>
          <t>Yes</t>
        </is>
      </c>
      <c r="AK313" t="inlineStr"/>
      <c r="AL313" t="inlineStr"/>
      <c r="AM313" t="inlineStr"/>
    </row>
    <row r="314">
      <c r="A314" t="inlineStr">
        <is>
          <t>053201G</t>
        </is>
      </c>
      <c r="B314" t="inlineStr">
        <is>
          <t>Doctor of Philosophy - Organisation and Management</t>
        </is>
      </c>
      <c r="C314" t="inlineStr">
        <is>
          <t>Doctorate / PhD</t>
        </is>
      </c>
      <c r="D314" t="inlineStr">
        <is>
          <t>Research degree</t>
        </is>
      </c>
      <c r="E314" t="inlineStr">
        <is>
          <t>Advertised: official page in place</t>
        </is>
      </c>
      <c r="F314" t="inlineStr">
        <is>
          <t>https://www.handbook.unsw.edu.au/research/programs/2026/1605</t>
        </is>
      </c>
      <c r="G314" t="inlineStr">
        <is>
          <t>https://www.handbook.unsw.edu.au/research/programs/2026/1605</t>
        </is>
      </c>
      <c r="H314" t="inlineStr">
        <is>
          <t>Read</t>
        </is>
      </c>
      <c r="I314" t="inlineStr">
        <is>
          <t>CRICOS code on page</t>
        </is>
      </c>
      <c r="J314" t="inlineStr"/>
      <c r="K314" t="inlineStr">
        <is>
          <t>Not sent to re-link</t>
        </is>
      </c>
      <c r="L314" t="inlineStr">
        <is>
          <t>Filled</t>
        </is>
      </c>
      <c r="M314" t="inlineStr">
        <is>
          <t>Not stated on course page</t>
        </is>
      </c>
      <c r="N314" t="inlineStr"/>
      <c r="O314" t="n">
        <v>0</v>
      </c>
      <c r="P314" t="inlineStr"/>
      <c r="Q314" t="inlineStr">
        <is>
          <t>Not stated on course page</t>
        </is>
      </c>
      <c r="S314" t="inlineStr"/>
      <c r="T314" t="inlineStr">
        <is>
          <t>Held: research degree (the policy states no research requirement)</t>
        </is>
      </c>
      <c r="U314" t="inlineStr"/>
      <c r="V314" t="inlineStr">
        <is>
          <t>Filled</t>
        </is>
      </c>
      <c r="W314" t="inlineStr">
        <is>
          <t>January, February, May, September</t>
        </is>
      </c>
      <c r="X314" t="inlineStr">
        <is>
          <t>University adapter</t>
        </is>
      </c>
      <c r="Y314" t="n">
        <v>0</v>
      </c>
      <c r="Z314" t="inlineStr">
        <is>
          <t>No</t>
        </is>
      </c>
      <c r="AA314" t="inlineStr">
        <is>
          <t>Filled</t>
        </is>
      </c>
      <c r="AB314" t="inlineStr">
        <is>
          <t>on campus</t>
        </is>
      </c>
      <c r="AC314" t="inlineStr"/>
      <c r="AD314" t="n">
        <v>0</v>
      </c>
      <c r="AE314" t="inlineStr"/>
      <c r="AF314" t="inlineStr"/>
      <c r="AG314" t="inlineStr"/>
      <c r="AH314" t="inlineStr"/>
      <c r="AI314" t="inlineStr"/>
      <c r="AJ314" t="inlineStr">
        <is>
          <t>Yes</t>
        </is>
      </c>
      <c r="AK314" t="inlineStr"/>
      <c r="AL314" t="inlineStr"/>
      <c r="AM314" t="inlineStr"/>
    </row>
    <row r="315">
      <c r="A315" t="inlineStr">
        <is>
          <t>008931C</t>
        </is>
      </c>
      <c r="B315" t="inlineStr">
        <is>
          <t>Doctor of Philosophy - Petroleum Engineering</t>
        </is>
      </c>
      <c r="C315" t="inlineStr">
        <is>
          <t>Doctorate / PhD</t>
        </is>
      </c>
      <c r="D315" t="inlineStr">
        <is>
          <t>Research degree</t>
        </is>
      </c>
      <c r="E315" t="inlineStr">
        <is>
          <t>Advertised: official page in place</t>
        </is>
      </c>
      <c r="F315" t="inlineStr">
        <is>
          <t>https://www.handbook.unsw.edu.au/research/programs/2026/1017</t>
        </is>
      </c>
      <c r="G315" t="inlineStr">
        <is>
          <t>https://www.handbook.unsw.edu.au/research/programs/2026/1017</t>
        </is>
      </c>
      <c r="H315" t="inlineStr">
        <is>
          <t>Read</t>
        </is>
      </c>
      <c r="I315" t="inlineStr">
        <is>
          <t>CRICOS code on page</t>
        </is>
      </c>
      <c r="J315" t="inlineStr"/>
      <c r="K315" t="inlineStr">
        <is>
          <t>Not sent to re-link</t>
        </is>
      </c>
      <c r="L315" t="inlineStr">
        <is>
          <t>Filled</t>
        </is>
      </c>
      <c r="M315" t="inlineStr">
        <is>
          <t>Not stated on course page</t>
        </is>
      </c>
      <c r="N315" t="inlineStr"/>
      <c r="O315" t="n">
        <v>0</v>
      </c>
      <c r="P315" t="inlineStr"/>
      <c r="Q315" t="inlineStr">
        <is>
          <t>Not stated on course page</t>
        </is>
      </c>
      <c r="S315" t="inlineStr"/>
      <c r="T315" t="inlineStr">
        <is>
          <t>Held: research degree (the policy states no research requirement)</t>
        </is>
      </c>
      <c r="U315" t="inlineStr"/>
      <c r="V315" t="inlineStr">
        <is>
          <t>Filled</t>
        </is>
      </c>
      <c r="W315" t="inlineStr">
        <is>
          <t>January, February, May, September</t>
        </is>
      </c>
      <c r="X315" t="inlineStr">
        <is>
          <t>University adapter</t>
        </is>
      </c>
      <c r="Y315" t="n">
        <v>0</v>
      </c>
      <c r="Z315" t="inlineStr">
        <is>
          <t>No</t>
        </is>
      </c>
      <c r="AA315" t="inlineStr">
        <is>
          <t>Filled</t>
        </is>
      </c>
      <c r="AB315" t="inlineStr">
        <is>
          <t>on campus</t>
        </is>
      </c>
      <c r="AC315" t="inlineStr"/>
      <c r="AD315" t="n">
        <v>0</v>
      </c>
      <c r="AE315" t="inlineStr"/>
      <c r="AF315" t="inlineStr"/>
      <c r="AG315" t="inlineStr"/>
      <c r="AH315" t="inlineStr"/>
      <c r="AI315" t="inlineStr"/>
      <c r="AJ315" t="inlineStr">
        <is>
          <t>Yes</t>
        </is>
      </c>
      <c r="AK315" t="inlineStr"/>
      <c r="AL315" t="inlineStr"/>
      <c r="AM315" t="inlineStr"/>
    </row>
    <row r="316">
      <c r="A316" t="inlineStr">
        <is>
          <t>047176K</t>
        </is>
      </c>
      <c r="B316" t="inlineStr">
        <is>
          <t>Doctor of Philosophy - Photovoltaic Engineering</t>
        </is>
      </c>
      <c r="C316" t="inlineStr">
        <is>
          <t>Doctorate / PhD</t>
        </is>
      </c>
      <c r="D316" t="inlineStr">
        <is>
          <t>Research degree</t>
        </is>
      </c>
      <c r="E316" t="inlineStr">
        <is>
          <t>Advertised: official page in place</t>
        </is>
      </c>
      <c r="F316" t="inlineStr">
        <is>
          <t>https://www.handbook.unsw.edu.au/research/programs/2026/1655</t>
        </is>
      </c>
      <c r="G316" t="inlineStr">
        <is>
          <t>https://www.handbook.unsw.edu.au/research/programs/2026/1655</t>
        </is>
      </c>
      <c r="H316" t="inlineStr">
        <is>
          <t>Read</t>
        </is>
      </c>
      <c r="I316" t="inlineStr">
        <is>
          <t>CRICOS code on page</t>
        </is>
      </c>
      <c r="J316" t="inlineStr"/>
      <c r="K316" t="inlineStr">
        <is>
          <t>Not sent to re-link</t>
        </is>
      </c>
      <c r="L316" t="inlineStr">
        <is>
          <t>Filled</t>
        </is>
      </c>
      <c r="M316" t="inlineStr">
        <is>
          <t>Not stated on course page</t>
        </is>
      </c>
      <c r="N316" t="inlineStr"/>
      <c r="O316" t="n">
        <v>0</v>
      </c>
      <c r="P316" t="inlineStr"/>
      <c r="Q316" t="inlineStr">
        <is>
          <t>Not stated on course page</t>
        </is>
      </c>
      <c r="S316" t="inlineStr"/>
      <c r="T316" t="inlineStr">
        <is>
          <t>Held: research degree (the policy states no research requirement)</t>
        </is>
      </c>
      <c r="U316" t="inlineStr"/>
      <c r="V316" t="inlineStr">
        <is>
          <t>Filled</t>
        </is>
      </c>
      <c r="W316" t="inlineStr">
        <is>
          <t>January, February, May, September</t>
        </is>
      </c>
      <c r="X316" t="inlineStr">
        <is>
          <t>University adapter</t>
        </is>
      </c>
      <c r="Y316" t="n">
        <v>0</v>
      </c>
      <c r="Z316" t="inlineStr">
        <is>
          <t>No</t>
        </is>
      </c>
      <c r="AA316" t="inlineStr">
        <is>
          <t>Filled</t>
        </is>
      </c>
      <c r="AB316" t="inlineStr">
        <is>
          <t>on campus</t>
        </is>
      </c>
      <c r="AC316" t="inlineStr"/>
      <c r="AD316" t="n">
        <v>0</v>
      </c>
      <c r="AE316" t="inlineStr"/>
      <c r="AF316" t="inlineStr"/>
      <c r="AG316" t="inlineStr"/>
      <c r="AH316" t="inlineStr"/>
      <c r="AI316" t="inlineStr"/>
      <c r="AJ316" t="inlineStr">
        <is>
          <t>Yes</t>
        </is>
      </c>
      <c r="AK316" t="inlineStr"/>
      <c r="AL316" t="inlineStr"/>
      <c r="AM316" t="inlineStr"/>
    </row>
    <row r="317">
      <c r="A317" t="inlineStr">
        <is>
          <t>051506G</t>
        </is>
      </c>
      <c r="B317" t="inlineStr">
        <is>
          <t>Doctor of Philosophy - Public Health and Community Medicine</t>
        </is>
      </c>
      <c r="C317" t="inlineStr">
        <is>
          <t>Doctorate / PhD</t>
        </is>
      </c>
      <c r="D317" t="inlineStr">
        <is>
          <t>Research degree</t>
        </is>
      </c>
      <c r="E317" t="inlineStr">
        <is>
          <t>Advertised: official page in place</t>
        </is>
      </c>
      <c r="F317" t="inlineStr">
        <is>
          <t>https://www.handbook.unsw.edu.au/research/programs/2026/1835</t>
        </is>
      </c>
      <c r="G317" t="inlineStr">
        <is>
          <t>https://www.handbook.unsw.edu.au/research/programs/2026/1835</t>
        </is>
      </c>
      <c r="H317" t="inlineStr">
        <is>
          <t>Read</t>
        </is>
      </c>
      <c r="I317" t="inlineStr">
        <is>
          <t>CRICOS code on page</t>
        </is>
      </c>
      <c r="J317" t="inlineStr"/>
      <c r="K317" t="inlineStr">
        <is>
          <t>Not sent to re-link</t>
        </is>
      </c>
      <c r="L317" t="inlineStr">
        <is>
          <t>Filled</t>
        </is>
      </c>
      <c r="M317" t="inlineStr">
        <is>
          <t>Not stated on course page</t>
        </is>
      </c>
      <c r="N317" t="inlineStr"/>
      <c r="O317" t="n">
        <v>0</v>
      </c>
      <c r="P317" t="inlineStr"/>
      <c r="Q317" t="inlineStr">
        <is>
          <t>Not stated on course page</t>
        </is>
      </c>
      <c r="S317" t="inlineStr"/>
      <c r="T317" t="inlineStr">
        <is>
          <t>Held: research degree (the policy states no research requirement)</t>
        </is>
      </c>
      <c r="U317" t="inlineStr"/>
      <c r="V317" t="inlineStr">
        <is>
          <t>Filled</t>
        </is>
      </c>
      <c r="W317" t="inlineStr">
        <is>
          <t>January, February, May, September</t>
        </is>
      </c>
      <c r="X317" t="inlineStr">
        <is>
          <t>University adapter</t>
        </is>
      </c>
      <c r="Y317" t="n">
        <v>0</v>
      </c>
      <c r="Z317" t="inlineStr">
        <is>
          <t>No</t>
        </is>
      </c>
      <c r="AA317" t="inlineStr">
        <is>
          <t>Filled</t>
        </is>
      </c>
      <c r="AB317" t="inlineStr">
        <is>
          <t>on campus</t>
        </is>
      </c>
      <c r="AC317" t="inlineStr"/>
      <c r="AD317" t="n">
        <v>0</v>
      </c>
      <c r="AE317" t="inlineStr"/>
      <c r="AF317" t="inlineStr"/>
      <c r="AG317" t="inlineStr"/>
      <c r="AH317" t="inlineStr"/>
      <c r="AI317" t="inlineStr"/>
      <c r="AJ317" t="inlineStr">
        <is>
          <t>Yes</t>
        </is>
      </c>
      <c r="AK317" t="inlineStr"/>
      <c r="AL317" t="inlineStr"/>
      <c r="AM317" t="inlineStr"/>
    </row>
    <row r="318">
      <c r="A318" t="inlineStr">
        <is>
          <t>041947J</t>
        </is>
      </c>
      <c r="B318" t="inlineStr">
        <is>
          <t>Doctor of Philosophy - Rural Health</t>
        </is>
      </c>
      <c r="C318" t="inlineStr">
        <is>
          <t>Doctorate / PhD</t>
        </is>
      </c>
      <c r="D318" t="inlineStr">
        <is>
          <t>Research degree</t>
        </is>
      </c>
      <c r="E318" t="inlineStr">
        <is>
          <t>Advertised: official page in place</t>
        </is>
      </c>
      <c r="F318" t="inlineStr">
        <is>
          <t>https://www.handbook.unsw.edu.au/research/programs/2026/1795</t>
        </is>
      </c>
      <c r="G318" t="inlineStr">
        <is>
          <t>https://www.handbook.unsw.edu.au/research/programs/2026/1795</t>
        </is>
      </c>
      <c r="H318" t="inlineStr">
        <is>
          <t>Read</t>
        </is>
      </c>
      <c r="I318" t="inlineStr">
        <is>
          <t>CRICOS code on page</t>
        </is>
      </c>
      <c r="J318" t="inlineStr"/>
      <c r="K318" t="inlineStr">
        <is>
          <t>Not sent to re-link</t>
        </is>
      </c>
      <c r="L318" t="inlineStr">
        <is>
          <t>Filled</t>
        </is>
      </c>
      <c r="M318" t="inlineStr">
        <is>
          <t>Not stated on course page</t>
        </is>
      </c>
      <c r="N318" t="inlineStr"/>
      <c r="O318" t="n">
        <v>0</v>
      </c>
      <c r="P318" t="inlineStr"/>
      <c r="Q318" t="inlineStr">
        <is>
          <t>Not stated on course page</t>
        </is>
      </c>
      <c r="S318" t="inlineStr"/>
      <c r="T318" t="inlineStr">
        <is>
          <t>Held: research degree (the policy states no research requirement)</t>
        </is>
      </c>
      <c r="U318" t="inlineStr"/>
      <c r="V318" t="inlineStr">
        <is>
          <t>Filled</t>
        </is>
      </c>
      <c r="W318" t="inlineStr">
        <is>
          <t>January, February, May, September</t>
        </is>
      </c>
      <c r="X318" t="inlineStr">
        <is>
          <t>University adapter</t>
        </is>
      </c>
      <c r="Y318" t="n">
        <v>0</v>
      </c>
      <c r="Z318" t="inlineStr">
        <is>
          <t>No</t>
        </is>
      </c>
      <c r="AA318" t="inlineStr">
        <is>
          <t>Filled</t>
        </is>
      </c>
      <c r="AB318" t="inlineStr">
        <is>
          <t>on campus</t>
        </is>
      </c>
      <c r="AC318" t="inlineStr"/>
      <c r="AD318" t="n">
        <v>0</v>
      </c>
      <c r="AE318" t="inlineStr"/>
      <c r="AF318" t="inlineStr"/>
      <c r="AG318" t="inlineStr"/>
      <c r="AH318" t="inlineStr"/>
      <c r="AI318" t="inlineStr"/>
      <c r="AJ318" t="inlineStr">
        <is>
          <t>Yes</t>
        </is>
      </c>
      <c r="AK318" t="inlineStr"/>
      <c r="AL318" t="inlineStr"/>
      <c r="AM318" t="inlineStr"/>
    </row>
    <row r="319">
      <c r="A319" t="inlineStr">
        <is>
          <t>079009E</t>
        </is>
      </c>
      <c r="B319" t="inlineStr">
        <is>
          <t>Doctor of Philosophy - Social Sciences</t>
        </is>
      </c>
      <c r="C319" t="inlineStr">
        <is>
          <t>Doctorate / PhD</t>
        </is>
      </c>
      <c r="D319" t="inlineStr">
        <is>
          <t>Research degree</t>
        </is>
      </c>
      <c r="E319" t="inlineStr">
        <is>
          <t>Advertised: official page in place</t>
        </is>
      </c>
      <c r="F319" t="inlineStr">
        <is>
          <t>https://www.handbook.unsw.edu.au/research/programs/2026/1272</t>
        </is>
      </c>
      <c r="G319" t="inlineStr">
        <is>
          <t>https://www.handbook.unsw.edu.au/research/programs/2026/1272</t>
        </is>
      </c>
      <c r="H319" t="inlineStr">
        <is>
          <t>Read</t>
        </is>
      </c>
      <c r="I319" t="inlineStr">
        <is>
          <t>CRICOS code on page</t>
        </is>
      </c>
      <c r="J319" t="inlineStr"/>
      <c r="K319" t="inlineStr">
        <is>
          <t>Not sent to re-link</t>
        </is>
      </c>
      <c r="L319" t="inlineStr">
        <is>
          <t>Filled</t>
        </is>
      </c>
      <c r="M319" t="inlineStr">
        <is>
          <t>Not stated on course page</t>
        </is>
      </c>
      <c r="N319" t="inlineStr"/>
      <c r="O319" t="n">
        <v>0</v>
      </c>
      <c r="P319" t="inlineStr"/>
      <c r="Q319" t="inlineStr">
        <is>
          <t>Not stated on course page</t>
        </is>
      </c>
      <c r="S319" t="inlineStr"/>
      <c r="T319" t="inlineStr">
        <is>
          <t>Held: research degree (the policy states no research requirement)</t>
        </is>
      </c>
      <c r="U319" t="inlineStr"/>
      <c r="V319" t="inlineStr">
        <is>
          <t>Filled</t>
        </is>
      </c>
      <c r="W319" t="inlineStr">
        <is>
          <t>January, February, May, September</t>
        </is>
      </c>
      <c r="X319" t="inlineStr">
        <is>
          <t>University adapter</t>
        </is>
      </c>
      <c r="Y319" t="n">
        <v>0</v>
      </c>
      <c r="Z319" t="inlineStr">
        <is>
          <t>No</t>
        </is>
      </c>
      <c r="AA319" t="inlineStr">
        <is>
          <t>Filled</t>
        </is>
      </c>
      <c r="AB319" t="inlineStr">
        <is>
          <t>on campus</t>
        </is>
      </c>
      <c r="AC319" t="inlineStr"/>
      <c r="AD319" t="n">
        <v>0</v>
      </c>
      <c r="AE319" t="inlineStr"/>
      <c r="AF319" t="inlineStr"/>
      <c r="AG319" t="inlineStr"/>
      <c r="AH319" t="inlineStr"/>
      <c r="AI319" t="inlineStr"/>
      <c r="AJ319" t="inlineStr">
        <is>
          <t>Yes</t>
        </is>
      </c>
      <c r="AK319" t="inlineStr"/>
      <c r="AL319" t="inlineStr"/>
      <c r="AM319" t="inlineStr"/>
    </row>
    <row r="320">
      <c r="A320" t="inlineStr">
        <is>
          <t>085748G</t>
        </is>
      </c>
      <c r="B320" t="inlineStr">
        <is>
          <t>Doctor of Philosophy (Aerospace Engineering)</t>
        </is>
      </c>
      <c r="C320" t="inlineStr">
        <is>
          <t>Doctorate / PhD</t>
        </is>
      </c>
      <c r="D320" t="inlineStr">
        <is>
          <t>Research degree</t>
        </is>
      </c>
      <c r="E320" t="inlineStr">
        <is>
          <t>Advertised: official page in place</t>
        </is>
      </c>
      <c r="F320" t="inlineStr">
        <is>
          <t>https://www.handbook.unsw.edu.au/research/programs/2026/1663</t>
        </is>
      </c>
      <c r="G320" t="inlineStr">
        <is>
          <t>https://www.handbook.unsw.edu.au/research/programs/2026/1663</t>
        </is>
      </c>
      <c r="H320" t="inlineStr">
        <is>
          <t>Read</t>
        </is>
      </c>
      <c r="I320" t="inlineStr">
        <is>
          <t>CRICOS code on page</t>
        </is>
      </c>
      <c r="J320" t="inlineStr"/>
      <c r="K320" t="inlineStr">
        <is>
          <t>Not sent to re-link</t>
        </is>
      </c>
      <c r="L320" t="inlineStr">
        <is>
          <t>Filled</t>
        </is>
      </c>
      <c r="M320" t="inlineStr">
        <is>
          <t>Not stated on course page</t>
        </is>
      </c>
      <c r="N320" t="inlineStr"/>
      <c r="O320" t="n">
        <v>0</v>
      </c>
      <c r="P320" t="inlineStr"/>
      <c r="Q320" t="inlineStr">
        <is>
          <t>Not stated on course page</t>
        </is>
      </c>
      <c r="S320" t="inlineStr"/>
      <c r="T320" t="inlineStr">
        <is>
          <t>Held: research degree (the policy states no research requirement)</t>
        </is>
      </c>
      <c r="U320" t="inlineStr"/>
      <c r="V320" t="inlineStr">
        <is>
          <t>Filled</t>
        </is>
      </c>
      <c r="W320" t="inlineStr">
        <is>
          <t>January, February, May, September</t>
        </is>
      </c>
      <c r="X320" t="inlineStr">
        <is>
          <t>University adapter</t>
        </is>
      </c>
      <c r="Y320" t="n">
        <v>0</v>
      </c>
      <c r="Z320" t="inlineStr">
        <is>
          <t>No</t>
        </is>
      </c>
      <c r="AA320" t="inlineStr">
        <is>
          <t>Filled</t>
        </is>
      </c>
      <c r="AB320" t="inlineStr">
        <is>
          <t>on campus</t>
        </is>
      </c>
      <c r="AC320" t="inlineStr"/>
      <c r="AD320" t="n">
        <v>0</v>
      </c>
      <c r="AE320" t="inlineStr"/>
      <c r="AF320" t="inlineStr"/>
      <c r="AG320" t="inlineStr"/>
      <c r="AH320" t="inlineStr"/>
      <c r="AI320" t="inlineStr"/>
      <c r="AJ320" t="inlineStr">
        <is>
          <t>Yes</t>
        </is>
      </c>
      <c r="AK320" t="inlineStr"/>
      <c r="AL320" t="inlineStr"/>
      <c r="AM320" t="inlineStr"/>
    </row>
    <row r="321">
      <c r="A321" t="inlineStr">
        <is>
          <t>001048J</t>
        </is>
      </c>
      <c r="B321" t="inlineStr">
        <is>
          <t>Doctor of Philosophy (Anatomy)</t>
        </is>
      </c>
      <c r="C321" t="inlineStr">
        <is>
          <t>Doctorate / PhD</t>
        </is>
      </c>
      <c r="D321" t="inlineStr">
        <is>
          <t>Research degree</t>
        </is>
      </c>
      <c r="E321" t="inlineStr">
        <is>
          <t>Page address no longer works</t>
        </is>
      </c>
      <c r="F321" t="inlineStr"/>
      <c r="G321" t="inlineStr">
        <is>
          <t>https://www.handbook.unsw.edu.au/research/programs/2026/1750</t>
        </is>
      </c>
      <c r="H321" t="inlineStr">
        <is>
          <t>Address no longer works</t>
        </is>
      </c>
      <c r="I321" t="inlineStr"/>
      <c r="J321" t="inlineStr"/>
      <c r="K321" t="inlineStr">
        <is>
          <t>Finished, no page: no address from the university's address forms or stored lis</t>
        </is>
      </c>
      <c r="L321" t="inlineStr">
        <is>
          <t>Page found, being read</t>
        </is>
      </c>
      <c r="M321" t="inlineStr">
        <is>
          <t>Page found, being read</t>
        </is>
      </c>
      <c r="N321" t="inlineStr"/>
      <c r="O321" t="n">
        <v>0</v>
      </c>
      <c r="P321" t="inlineStr"/>
      <c r="Q321" t="inlineStr">
        <is>
          <t>Page found, being read</t>
        </is>
      </c>
      <c r="S321" t="inlineStr"/>
      <c r="T321" t="inlineStr">
        <is>
          <t>Held: research degree (the policy states no research requirement)</t>
        </is>
      </c>
      <c r="U321" t="inlineStr"/>
      <c r="V321" t="inlineStr">
        <is>
          <t>Page found, being read</t>
        </is>
      </c>
      <c r="W321" t="inlineStr"/>
      <c r="X321" t="inlineStr"/>
      <c r="Y321" t="n">
        <v>0</v>
      </c>
      <c r="Z321" t="inlineStr">
        <is>
          <t>No</t>
        </is>
      </c>
      <c r="AA321" t="inlineStr">
        <is>
          <t>Not stated on course page</t>
        </is>
      </c>
      <c r="AB321" t="inlineStr"/>
      <c r="AC321" t="inlineStr">
        <is>
          <t>Skipped: the page does not state it</t>
        </is>
      </c>
      <c r="AD321" t="n">
        <v>0</v>
      </c>
      <c r="AE321" t="inlineStr"/>
      <c r="AF321" t="inlineStr"/>
      <c r="AG321" t="inlineStr"/>
      <c r="AH321" t="inlineStr"/>
      <c r="AI321" t="inlineStr"/>
      <c r="AJ321" t="inlineStr">
        <is>
          <t>Yes</t>
        </is>
      </c>
      <c r="AK321" t="inlineStr"/>
      <c r="AL321" t="inlineStr"/>
      <c r="AM321" t="inlineStr"/>
    </row>
    <row r="322">
      <c r="A322" t="inlineStr">
        <is>
          <t>119836A</t>
        </is>
      </c>
      <c r="B322" t="inlineStr">
        <is>
          <t>Doctor of Philosophy (Aviation)</t>
        </is>
      </c>
      <c r="C322" t="inlineStr">
        <is>
          <t>Doctorate / PhD</t>
        </is>
      </c>
      <c r="D322" t="inlineStr">
        <is>
          <t>Research degree</t>
        </is>
      </c>
      <c r="E322" t="inlineStr">
        <is>
          <t>Advertised: official page in place</t>
        </is>
      </c>
      <c r="F322" t="inlineStr">
        <is>
          <t>https://www.handbook.unsw.edu.au/research/programs/2026/1882</t>
        </is>
      </c>
      <c r="G322" t="inlineStr">
        <is>
          <t>https://www.handbook.unsw.edu.au/research/programs/2026/1882</t>
        </is>
      </c>
      <c r="H322" t="inlineStr">
        <is>
          <t>Read</t>
        </is>
      </c>
      <c r="I322" t="inlineStr">
        <is>
          <t>CRICOS code on page</t>
        </is>
      </c>
      <c r="J322" t="inlineStr"/>
      <c r="K322" t="inlineStr">
        <is>
          <t>Not sent to re-link</t>
        </is>
      </c>
      <c r="L322" t="inlineStr">
        <is>
          <t>Filled</t>
        </is>
      </c>
      <c r="M322" t="inlineStr">
        <is>
          <t>Not stated on course page</t>
        </is>
      </c>
      <c r="N322" t="inlineStr"/>
      <c r="O322" t="n">
        <v>0</v>
      </c>
      <c r="P322" t="inlineStr"/>
      <c r="Q322" t="inlineStr">
        <is>
          <t>Not stated on course page</t>
        </is>
      </c>
      <c r="S322" t="inlineStr"/>
      <c r="T322" t="inlineStr">
        <is>
          <t>Held: research degree (the policy states no research requirement)</t>
        </is>
      </c>
      <c r="U322" t="inlineStr"/>
      <c r="V322" t="inlineStr">
        <is>
          <t>Filled</t>
        </is>
      </c>
      <c r="W322" t="inlineStr">
        <is>
          <t>February, May, September</t>
        </is>
      </c>
      <c r="X322" t="inlineStr">
        <is>
          <t>University adapter</t>
        </is>
      </c>
      <c r="Y322" t="n">
        <v>0</v>
      </c>
      <c r="Z322" t="inlineStr">
        <is>
          <t>No</t>
        </is>
      </c>
      <c r="AA322" t="inlineStr">
        <is>
          <t>Filled</t>
        </is>
      </c>
      <c r="AB322" t="inlineStr">
        <is>
          <t>on campus</t>
        </is>
      </c>
      <c r="AC322" t="inlineStr"/>
      <c r="AD322" t="n">
        <v>0</v>
      </c>
      <c r="AE322" t="inlineStr"/>
      <c r="AF322" t="inlineStr"/>
      <c r="AG322" t="inlineStr"/>
      <c r="AH322" t="inlineStr"/>
      <c r="AI322" t="inlineStr"/>
      <c r="AJ322" t="inlineStr">
        <is>
          <t>Yes</t>
        </is>
      </c>
      <c r="AK322" t="inlineStr"/>
      <c r="AL322" t="inlineStr"/>
      <c r="AM322" t="inlineStr"/>
    </row>
    <row r="323">
      <c r="A323" t="inlineStr">
        <is>
          <t>117402K</t>
        </is>
      </c>
      <c r="B323" t="inlineStr">
        <is>
          <t>Doctor of Philosophy (Biomedical Sciences)</t>
        </is>
      </c>
      <c r="C323" t="inlineStr">
        <is>
          <t>Doctorate / PhD</t>
        </is>
      </c>
      <c r="D323" t="inlineStr">
        <is>
          <t>Research degree</t>
        </is>
      </c>
      <c r="E323" t="inlineStr">
        <is>
          <t>Advertised: official page in place</t>
        </is>
      </c>
      <c r="F323" t="inlineStr">
        <is>
          <t>https://www.handbook.unsw.edu.au/research/programs/2026/1754</t>
        </is>
      </c>
      <c r="G323" t="inlineStr">
        <is>
          <t>https://www.handbook.unsw.edu.au/research/programs/2026/1754</t>
        </is>
      </c>
      <c r="H323" t="inlineStr">
        <is>
          <t>Read</t>
        </is>
      </c>
      <c r="I323" t="inlineStr">
        <is>
          <t>CRICOS code on page</t>
        </is>
      </c>
      <c r="J323" t="inlineStr"/>
      <c r="K323" t="inlineStr">
        <is>
          <t>Not sent to re-link</t>
        </is>
      </c>
      <c r="L323" t="inlineStr">
        <is>
          <t>Filled</t>
        </is>
      </c>
      <c r="M323" t="inlineStr">
        <is>
          <t>Not stated on course page</t>
        </is>
      </c>
      <c r="N323" t="inlineStr"/>
      <c r="O323" t="n">
        <v>0</v>
      </c>
      <c r="P323" t="inlineStr"/>
      <c r="Q323" t="inlineStr">
        <is>
          <t>Not stated on course page</t>
        </is>
      </c>
      <c r="S323" t="inlineStr"/>
      <c r="T323" t="inlineStr">
        <is>
          <t>Held: research degree (the policy states no research requirement)</t>
        </is>
      </c>
      <c r="U323" t="inlineStr"/>
      <c r="V323" t="inlineStr">
        <is>
          <t>Filled</t>
        </is>
      </c>
      <c r="W323" t="inlineStr">
        <is>
          <t>January, February, May, September</t>
        </is>
      </c>
      <c r="X323" t="inlineStr">
        <is>
          <t>University adapter</t>
        </is>
      </c>
      <c r="Y323" t="n">
        <v>0</v>
      </c>
      <c r="Z323" t="inlineStr">
        <is>
          <t>No</t>
        </is>
      </c>
      <c r="AA323" t="inlineStr">
        <is>
          <t>Filled</t>
        </is>
      </c>
      <c r="AB323" t="inlineStr">
        <is>
          <t>on campus</t>
        </is>
      </c>
      <c r="AC323" t="inlineStr"/>
      <c r="AD323" t="n">
        <v>0</v>
      </c>
      <c r="AE323" t="inlineStr"/>
      <c r="AF323" t="inlineStr"/>
      <c r="AG323" t="inlineStr"/>
      <c r="AH323" t="inlineStr"/>
      <c r="AI323" t="inlineStr"/>
      <c r="AJ323" t="inlineStr">
        <is>
          <t>Yes</t>
        </is>
      </c>
      <c r="AK323" t="inlineStr"/>
      <c r="AL323" t="inlineStr"/>
      <c r="AM323" t="inlineStr"/>
    </row>
    <row r="324">
      <c r="A324" t="inlineStr">
        <is>
          <t>008976A</t>
        </is>
      </c>
      <c r="B324" t="inlineStr">
        <is>
          <t>Doctor of Philosophy (Chemistry)</t>
        </is>
      </c>
      <c r="C324" t="inlineStr">
        <is>
          <t>Doctorate / PhD</t>
        </is>
      </c>
      <c r="D324" t="inlineStr">
        <is>
          <t>Research degree</t>
        </is>
      </c>
      <c r="E324" t="inlineStr">
        <is>
          <t>Advertised: official page in place</t>
        </is>
      </c>
      <c r="F324" t="inlineStr">
        <is>
          <t>https://www.handbook.unsw.edu.au/research/programs/2026/1870</t>
        </is>
      </c>
      <c r="G324" t="inlineStr">
        <is>
          <t>https://www.handbook.unsw.edu.au/research/programs/2026/1870</t>
        </is>
      </c>
      <c r="H324" t="inlineStr">
        <is>
          <t>Read</t>
        </is>
      </c>
      <c r="I324" t="inlineStr">
        <is>
          <t>CRICOS code on page</t>
        </is>
      </c>
      <c r="J324" t="inlineStr"/>
      <c r="K324" t="inlineStr">
        <is>
          <t>Not sent to re-link</t>
        </is>
      </c>
      <c r="L324" t="inlineStr">
        <is>
          <t>Filled</t>
        </is>
      </c>
      <c r="M324" t="inlineStr">
        <is>
          <t>Not stated on course page</t>
        </is>
      </c>
      <c r="N324" t="inlineStr"/>
      <c r="O324" t="n">
        <v>0</v>
      </c>
      <c r="P324" t="inlineStr"/>
      <c r="Q324" t="inlineStr">
        <is>
          <t>Not stated on course page</t>
        </is>
      </c>
      <c r="S324" t="inlineStr"/>
      <c r="T324" t="inlineStr">
        <is>
          <t>Held: research degree (the policy states no research requirement)</t>
        </is>
      </c>
      <c r="U324" t="inlineStr"/>
      <c r="V324" t="inlineStr">
        <is>
          <t>Filled</t>
        </is>
      </c>
      <c r="W324" t="inlineStr">
        <is>
          <t>January, February, May, September</t>
        </is>
      </c>
      <c r="X324" t="inlineStr">
        <is>
          <t>University adapter</t>
        </is>
      </c>
      <c r="Y324" t="n">
        <v>0</v>
      </c>
      <c r="Z324" t="inlineStr">
        <is>
          <t>No</t>
        </is>
      </c>
      <c r="AA324" t="inlineStr">
        <is>
          <t>Filled</t>
        </is>
      </c>
      <c r="AB324" t="inlineStr">
        <is>
          <t>on campus</t>
        </is>
      </c>
      <c r="AC324" t="inlineStr"/>
      <c r="AD324" t="n">
        <v>0</v>
      </c>
      <c r="AE324" t="inlineStr"/>
      <c r="AF324" t="inlineStr"/>
      <c r="AG324" t="inlineStr"/>
      <c r="AH324" t="inlineStr"/>
      <c r="AI324" t="inlineStr"/>
      <c r="AJ324" t="inlineStr">
        <is>
          <t>Yes</t>
        </is>
      </c>
      <c r="AK324" t="inlineStr"/>
      <c r="AL324" t="inlineStr"/>
      <c r="AM324" t="inlineStr"/>
    </row>
    <row r="325">
      <c r="A325" t="inlineStr">
        <is>
          <t>085793C</t>
        </is>
      </c>
      <c r="B325" t="inlineStr">
        <is>
          <t>Doctor of Philosophy (Chemistry)</t>
        </is>
      </c>
      <c r="C325" t="inlineStr">
        <is>
          <t>Doctorate / PhD</t>
        </is>
      </c>
      <c r="D325" t="inlineStr">
        <is>
          <t>Research degree</t>
        </is>
      </c>
      <c r="E325" t="inlineStr">
        <is>
          <t>Held: page found is for another course</t>
        </is>
      </c>
      <c r="F325" t="inlineStr"/>
      <c r="G325" t="inlineStr">
        <is>
          <t>https://www.handbook.unsw.edu.au/research/programs/2026/1871</t>
        </is>
      </c>
      <c r="H325" t="inlineStr">
        <is>
          <t>Page is for another course</t>
        </is>
      </c>
      <c r="I325" t="inlineStr"/>
      <c r="J325" t="inlineStr"/>
      <c r="K325" t="inlineStr">
        <is>
          <t>Finished, no page: no address from the university's address forms or stored lis</t>
        </is>
      </c>
      <c r="L325" t="inlineStr">
        <is>
          <t>Searching for course page</t>
        </is>
      </c>
      <c r="M325" t="inlineStr">
        <is>
          <t>Searching for course page</t>
        </is>
      </c>
      <c r="N325" t="inlineStr"/>
      <c r="O325" t="n">
        <v>0</v>
      </c>
      <c r="P325" t="inlineStr"/>
      <c r="Q325" t="inlineStr">
        <is>
          <t>Searching for course page</t>
        </is>
      </c>
      <c r="S325" t="inlineStr"/>
      <c r="T325" t="inlineStr">
        <is>
          <t>Held: research degree (the policy states no research requirement)</t>
        </is>
      </c>
      <c r="U325" t="inlineStr"/>
      <c r="V325" t="inlineStr">
        <is>
          <t>Searching for course page</t>
        </is>
      </c>
      <c r="W325" t="inlineStr"/>
      <c r="X325" t="inlineStr"/>
      <c r="Y325" t="n">
        <v>0</v>
      </c>
      <c r="Z325" t="inlineStr">
        <is>
          <t>No</t>
        </is>
      </c>
      <c r="AA325" t="inlineStr">
        <is>
          <t>Not stated on course page</t>
        </is>
      </c>
      <c r="AB325" t="inlineStr"/>
      <c r="AC325" t="inlineStr">
        <is>
          <t>Skipped: no correct course page: the page found is for another course</t>
        </is>
      </c>
      <c r="AD325" t="n">
        <v>0</v>
      </c>
      <c r="AE325" t="inlineStr"/>
      <c r="AF325" t="inlineStr"/>
      <c r="AG325" t="inlineStr"/>
      <c r="AH325" t="inlineStr"/>
      <c r="AI325" t="inlineStr"/>
      <c r="AJ325" t="inlineStr">
        <is>
          <t>Yes</t>
        </is>
      </c>
      <c r="AK325" t="inlineStr"/>
      <c r="AL325" t="inlineStr"/>
      <c r="AM325" t="inlineStr"/>
    </row>
    <row r="326">
      <c r="A326" t="inlineStr">
        <is>
          <t>085782F</t>
        </is>
      </c>
      <c r="B326" t="inlineStr">
        <is>
          <t>Doctor of Philosophy (Civil Engineering)</t>
        </is>
      </c>
      <c r="C326" t="inlineStr">
        <is>
          <t>Doctorate / PhD</t>
        </is>
      </c>
      <c r="D326" t="inlineStr">
        <is>
          <t>Research degree</t>
        </is>
      </c>
      <c r="E326" t="inlineStr">
        <is>
          <t>Advertised: official page in place</t>
        </is>
      </c>
      <c r="F326" t="inlineStr">
        <is>
          <t>https://www.handbook.unsw.edu.au/research/programs/2026/1631</t>
        </is>
      </c>
      <c r="G326" t="inlineStr">
        <is>
          <t>https://www.handbook.unsw.edu.au/research/programs/2026/1631</t>
        </is>
      </c>
      <c r="H326" t="inlineStr">
        <is>
          <t>Read</t>
        </is>
      </c>
      <c r="I326" t="inlineStr">
        <is>
          <t>CRICOS code on page</t>
        </is>
      </c>
      <c r="J326" t="inlineStr"/>
      <c r="K326" t="inlineStr">
        <is>
          <t>Not sent to re-link</t>
        </is>
      </c>
      <c r="L326" t="inlineStr">
        <is>
          <t>Filled</t>
        </is>
      </c>
      <c r="M326" t="inlineStr">
        <is>
          <t>Not stated on course page</t>
        </is>
      </c>
      <c r="N326" t="inlineStr"/>
      <c r="O326" t="n">
        <v>0</v>
      </c>
      <c r="P326" t="inlineStr"/>
      <c r="Q326" t="inlineStr">
        <is>
          <t>Not stated on course page</t>
        </is>
      </c>
      <c r="S326" t="inlineStr"/>
      <c r="T326" t="inlineStr">
        <is>
          <t>Held: research degree (the policy states no research requirement)</t>
        </is>
      </c>
      <c r="U326" t="inlineStr"/>
      <c r="V326" t="inlineStr">
        <is>
          <t>Filled</t>
        </is>
      </c>
      <c r="W326" t="inlineStr">
        <is>
          <t>January, February, May, September</t>
        </is>
      </c>
      <c r="X326" t="inlineStr">
        <is>
          <t>University adapter</t>
        </is>
      </c>
      <c r="Y326" t="n">
        <v>0</v>
      </c>
      <c r="Z326" t="inlineStr">
        <is>
          <t>No</t>
        </is>
      </c>
      <c r="AA326" t="inlineStr">
        <is>
          <t>Filled</t>
        </is>
      </c>
      <c r="AB326" t="inlineStr">
        <is>
          <t>on campus</t>
        </is>
      </c>
      <c r="AC326" t="inlineStr"/>
      <c r="AD326" t="n">
        <v>0</v>
      </c>
      <c r="AE326" t="inlineStr"/>
      <c r="AF326" t="inlineStr"/>
      <c r="AG326" t="inlineStr"/>
      <c r="AH326" t="inlineStr"/>
      <c r="AI326" t="inlineStr"/>
      <c r="AJ326" t="inlineStr">
        <is>
          <t>Yes</t>
        </is>
      </c>
      <c r="AK326" t="inlineStr"/>
      <c r="AL326" t="inlineStr"/>
      <c r="AM326" t="inlineStr"/>
    </row>
    <row r="327">
      <c r="A327" t="inlineStr">
        <is>
          <t>085783E</t>
        </is>
      </c>
      <c r="B327" t="inlineStr">
        <is>
          <t>Doctor of Philosophy (Computer Science)</t>
        </is>
      </c>
      <c r="C327" t="inlineStr">
        <is>
          <t>Doctorate / PhD</t>
        </is>
      </c>
      <c r="D327" t="inlineStr">
        <is>
          <t>Research degree</t>
        </is>
      </c>
      <c r="E327" t="inlineStr">
        <is>
          <t>Advertised: official page in place</t>
        </is>
      </c>
      <c r="F327" t="inlineStr">
        <is>
          <t>https://www.handbook.unsw.edu.au/research/programs/2026/1885</t>
        </is>
      </c>
      <c r="G327" t="inlineStr">
        <is>
          <t>https://www.handbook.unsw.edu.au/research/programs/2026/1885</t>
        </is>
      </c>
      <c r="H327" t="inlineStr">
        <is>
          <t>Read</t>
        </is>
      </c>
      <c r="I327" t="inlineStr">
        <is>
          <t>CRICOS code on page</t>
        </is>
      </c>
      <c r="J327" t="inlineStr"/>
      <c r="K327" t="inlineStr">
        <is>
          <t>Not sent to re-link</t>
        </is>
      </c>
      <c r="L327" t="inlineStr">
        <is>
          <t>Filled</t>
        </is>
      </c>
      <c r="M327" t="inlineStr">
        <is>
          <t>Not stated on course page</t>
        </is>
      </c>
      <c r="N327" t="inlineStr"/>
      <c r="O327" t="n">
        <v>0</v>
      </c>
      <c r="P327" t="inlineStr"/>
      <c r="Q327" t="inlineStr">
        <is>
          <t>Not stated on course page</t>
        </is>
      </c>
      <c r="S327" t="inlineStr"/>
      <c r="T327" t="inlineStr">
        <is>
          <t>Held: research degree (the policy states no research requirement)</t>
        </is>
      </c>
      <c r="U327" t="inlineStr"/>
      <c r="V327" t="inlineStr">
        <is>
          <t>Filled</t>
        </is>
      </c>
      <c r="W327" t="inlineStr">
        <is>
          <t>January, February, May, September</t>
        </is>
      </c>
      <c r="X327" t="inlineStr">
        <is>
          <t>University adapter</t>
        </is>
      </c>
      <c r="Y327" t="n">
        <v>0</v>
      </c>
      <c r="Z327" t="inlineStr">
        <is>
          <t>No</t>
        </is>
      </c>
      <c r="AA327" t="inlineStr">
        <is>
          <t>Filled</t>
        </is>
      </c>
      <c r="AB327" t="inlineStr">
        <is>
          <t>on campus</t>
        </is>
      </c>
      <c r="AC327" t="inlineStr"/>
      <c r="AD327" t="n">
        <v>0</v>
      </c>
      <c r="AE327" t="inlineStr"/>
      <c r="AF327" t="inlineStr"/>
      <c r="AG327" t="inlineStr"/>
      <c r="AH327" t="inlineStr"/>
      <c r="AI327" t="inlineStr"/>
      <c r="AJ327" t="inlineStr">
        <is>
          <t>Yes</t>
        </is>
      </c>
      <c r="AK327" t="inlineStr"/>
      <c r="AL327" t="inlineStr"/>
      <c r="AM327" t="inlineStr"/>
    </row>
    <row r="328">
      <c r="A328" t="inlineStr">
        <is>
          <t>093555F</t>
        </is>
      </c>
      <c r="B328" t="inlineStr">
        <is>
          <t>Doctor of Philosophy (Cyber Security)</t>
        </is>
      </c>
      <c r="C328" t="inlineStr">
        <is>
          <t>Doctorate / PhD</t>
        </is>
      </c>
      <c r="D328" t="inlineStr">
        <is>
          <t>Research degree</t>
        </is>
      </c>
      <c r="E328" t="inlineStr">
        <is>
          <t>Advertised: official page in place</t>
        </is>
      </c>
      <c r="F328" t="inlineStr">
        <is>
          <t>https://www.handbook.unsw.edu.au/research/programs/2026/1749</t>
        </is>
      </c>
      <c r="G328" t="inlineStr">
        <is>
          <t>https://www.handbook.unsw.edu.au/research/programs/2026/1749</t>
        </is>
      </c>
      <c r="H328" t="inlineStr">
        <is>
          <t>Read</t>
        </is>
      </c>
      <c r="I328" t="inlineStr">
        <is>
          <t>CRICOS code on page</t>
        </is>
      </c>
      <c r="J328" t="inlineStr"/>
      <c r="K328" t="inlineStr">
        <is>
          <t>Not sent to re-link</t>
        </is>
      </c>
      <c r="L328" t="inlineStr">
        <is>
          <t>Filled</t>
        </is>
      </c>
      <c r="M328" t="inlineStr">
        <is>
          <t>Not stated on course page</t>
        </is>
      </c>
      <c r="N328" t="inlineStr"/>
      <c r="O328" t="n">
        <v>0</v>
      </c>
      <c r="P328" t="inlineStr"/>
      <c r="Q328" t="inlineStr">
        <is>
          <t>Not stated on course page</t>
        </is>
      </c>
      <c r="S328" t="inlineStr"/>
      <c r="T328" t="inlineStr">
        <is>
          <t>Held: research degree (the policy states no research requirement)</t>
        </is>
      </c>
      <c r="U328" t="inlineStr"/>
      <c r="V328" t="inlineStr">
        <is>
          <t>Filled</t>
        </is>
      </c>
      <c r="W328" t="inlineStr">
        <is>
          <t>January, February, May, September</t>
        </is>
      </c>
      <c r="X328" t="inlineStr">
        <is>
          <t>University adapter</t>
        </is>
      </c>
      <c r="Y328" t="n">
        <v>0</v>
      </c>
      <c r="Z328" t="inlineStr">
        <is>
          <t>No</t>
        </is>
      </c>
      <c r="AA328" t="inlineStr">
        <is>
          <t>Filled</t>
        </is>
      </c>
      <c r="AB328" t="inlineStr">
        <is>
          <t>on campus</t>
        </is>
      </c>
      <c r="AC328" t="inlineStr"/>
      <c r="AD328" t="n">
        <v>0</v>
      </c>
      <c r="AE328" t="inlineStr"/>
      <c r="AF328" t="inlineStr"/>
      <c r="AG328" t="inlineStr"/>
      <c r="AH328" t="inlineStr"/>
      <c r="AI328" t="inlineStr"/>
      <c r="AJ328" t="inlineStr">
        <is>
          <t>Yes</t>
        </is>
      </c>
      <c r="AK328" t="inlineStr"/>
      <c r="AL328" t="inlineStr"/>
      <c r="AM328" t="inlineStr"/>
    </row>
    <row r="329">
      <c r="A329" t="inlineStr">
        <is>
          <t>085784D</t>
        </is>
      </c>
      <c r="B329" t="inlineStr">
        <is>
          <t>Doctor of Philosophy (Economics &amp; Management)</t>
        </is>
      </c>
      <c r="C329" t="inlineStr">
        <is>
          <t>Doctorate / PhD</t>
        </is>
      </c>
      <c r="D329" t="inlineStr">
        <is>
          <t>Research degree</t>
        </is>
      </c>
      <c r="E329" t="inlineStr">
        <is>
          <t>Held: page found is for another course</t>
        </is>
      </c>
      <c r="F329" t="inlineStr"/>
      <c r="G329" t="inlineStr">
        <is>
          <t>https://www.unsw.edu.au/science/study-with-us/postgraduate-research/doctor-of-philosophy-phd</t>
        </is>
      </c>
      <c r="H329" t="inlineStr">
        <is>
          <t>Page is for another course</t>
        </is>
      </c>
      <c r="I329" t="inlineStr"/>
      <c r="J329" t="inlineStr"/>
      <c r="K329" t="inlineStr">
        <is>
          <t>Finished, no page: no address from the university's address forms or stored lis</t>
        </is>
      </c>
      <c r="L329" t="inlineStr">
        <is>
          <t>Searching for course page</t>
        </is>
      </c>
      <c r="M329" t="inlineStr">
        <is>
          <t>Searching for course page</t>
        </is>
      </c>
      <c r="N329" t="inlineStr"/>
      <c r="O329" t="n">
        <v>0</v>
      </c>
      <c r="P329" t="inlineStr"/>
      <c r="Q329" t="inlineStr">
        <is>
          <t>Searching for course page</t>
        </is>
      </c>
      <c r="S329" t="inlineStr"/>
      <c r="T329" t="inlineStr">
        <is>
          <t>Held: research degree (the policy states no research requirement)</t>
        </is>
      </c>
      <c r="U329" t="inlineStr"/>
      <c r="V329" t="inlineStr">
        <is>
          <t>Searching for course page</t>
        </is>
      </c>
      <c r="W329" t="inlineStr"/>
      <c r="X329" t="inlineStr"/>
      <c r="Y329" t="n">
        <v>0</v>
      </c>
      <c r="Z329" t="inlineStr">
        <is>
          <t>No</t>
        </is>
      </c>
      <c r="AA329" t="inlineStr">
        <is>
          <t>Not stated on course page</t>
        </is>
      </c>
      <c r="AB329" t="inlineStr"/>
      <c r="AC329" t="inlineStr">
        <is>
          <t>Skipped: no correct course page: the page found is for another course</t>
        </is>
      </c>
      <c r="AD329" t="n">
        <v>1</v>
      </c>
      <c r="AE329" t="inlineStr"/>
      <c r="AF329" t="inlineStr"/>
      <c r="AG329" t="inlineStr"/>
      <c r="AH329" t="inlineStr"/>
      <c r="AI329" t="inlineStr"/>
      <c r="AJ329" t="inlineStr">
        <is>
          <t>Yes</t>
        </is>
      </c>
      <c r="AK329" t="inlineStr"/>
      <c r="AL329" t="inlineStr"/>
      <c r="AM329" t="inlineStr"/>
    </row>
    <row r="330">
      <c r="A330" t="inlineStr">
        <is>
          <t>001042D</t>
        </is>
      </c>
      <c r="B330" t="inlineStr">
        <is>
          <t>Doctor of Philosophy (Education)</t>
        </is>
      </c>
      <c r="C330" t="inlineStr">
        <is>
          <t>Doctorate / PhD</t>
        </is>
      </c>
      <c r="D330" t="inlineStr">
        <is>
          <t>Research degree</t>
        </is>
      </c>
      <c r="E330" t="inlineStr">
        <is>
          <t>Advertised: official page in place</t>
        </is>
      </c>
      <c r="F330" t="inlineStr">
        <is>
          <t>https://www.handbook.unsw.edu.au/research/programs/2026/1970</t>
        </is>
      </c>
      <c r="G330" t="inlineStr">
        <is>
          <t>https://www.handbook.unsw.edu.au/research/programs/2026/1970</t>
        </is>
      </c>
      <c r="H330" t="inlineStr">
        <is>
          <t>Read</t>
        </is>
      </c>
      <c r="I330" t="inlineStr">
        <is>
          <t>CRICOS code on page</t>
        </is>
      </c>
      <c r="J330" t="inlineStr"/>
      <c r="K330" t="inlineStr">
        <is>
          <t>Not sent to re-link</t>
        </is>
      </c>
      <c r="L330" t="inlineStr">
        <is>
          <t>Filled</t>
        </is>
      </c>
      <c r="M330" t="inlineStr">
        <is>
          <t>Not stated on course page</t>
        </is>
      </c>
      <c r="N330" t="inlineStr"/>
      <c r="O330" t="n">
        <v>0</v>
      </c>
      <c r="P330" t="inlineStr"/>
      <c r="Q330" t="inlineStr">
        <is>
          <t>Not stated on course page</t>
        </is>
      </c>
      <c r="S330" t="inlineStr"/>
      <c r="T330" t="inlineStr">
        <is>
          <t>Held: research degree (the policy states no research requirement)</t>
        </is>
      </c>
      <c r="U330" t="inlineStr"/>
      <c r="V330" t="inlineStr">
        <is>
          <t>Filled</t>
        </is>
      </c>
      <c r="W330" t="inlineStr">
        <is>
          <t>January, February, May, September</t>
        </is>
      </c>
      <c r="X330" t="inlineStr">
        <is>
          <t>University adapter</t>
        </is>
      </c>
      <c r="Y330" t="n">
        <v>0</v>
      </c>
      <c r="Z330" t="inlineStr">
        <is>
          <t>No</t>
        </is>
      </c>
      <c r="AA330" t="inlineStr">
        <is>
          <t>Filled</t>
        </is>
      </c>
      <c r="AB330" t="inlineStr">
        <is>
          <t>on campus</t>
        </is>
      </c>
      <c r="AC330" t="inlineStr"/>
      <c r="AD330" t="n">
        <v>0</v>
      </c>
      <c r="AE330" t="inlineStr"/>
      <c r="AF330" t="inlineStr"/>
      <c r="AG330" t="inlineStr"/>
      <c r="AH330" t="inlineStr"/>
      <c r="AI330" t="inlineStr"/>
      <c r="AJ330" t="inlineStr">
        <is>
          <t>Yes</t>
        </is>
      </c>
      <c r="AK330" t="inlineStr"/>
      <c r="AL330" t="inlineStr"/>
      <c r="AM330" t="inlineStr"/>
    </row>
    <row r="331">
      <c r="A331" t="inlineStr">
        <is>
          <t>085785C</t>
        </is>
      </c>
      <c r="B331" t="inlineStr">
        <is>
          <t>Doctor of Philosophy (Electrical Engineering)</t>
        </is>
      </c>
      <c r="C331" t="inlineStr">
        <is>
          <t>Doctorate / PhD</t>
        </is>
      </c>
      <c r="D331" t="inlineStr">
        <is>
          <t>Research degree</t>
        </is>
      </c>
      <c r="E331" t="inlineStr">
        <is>
          <t>Held: page found is for another course</t>
        </is>
      </c>
      <c r="F331" t="inlineStr"/>
      <c r="G331" t="inlineStr">
        <is>
          <t>https://www.unsw.edu.au/canberra/study-with-us/postgraduate-research/doctor-philosophy-phd</t>
        </is>
      </c>
      <c r="H331" t="inlineStr">
        <is>
          <t>Page is for another course</t>
        </is>
      </c>
      <c r="I331" t="inlineStr"/>
      <c r="J331" t="inlineStr"/>
      <c r="K331" t="inlineStr">
        <is>
          <t>Finished, no page: no address from the university's address forms or stored lis</t>
        </is>
      </c>
      <c r="L331" t="inlineStr">
        <is>
          <t>Searching for course page</t>
        </is>
      </c>
      <c r="M331" t="inlineStr">
        <is>
          <t>Searching for course page</t>
        </is>
      </c>
      <c r="N331" t="inlineStr"/>
      <c r="O331" t="n">
        <v>0</v>
      </c>
      <c r="P331" t="inlineStr"/>
      <c r="Q331" t="inlineStr">
        <is>
          <t>Searching for course page</t>
        </is>
      </c>
      <c r="S331" t="inlineStr"/>
      <c r="T331" t="inlineStr">
        <is>
          <t>Held: research degree (the policy states no research requirement)</t>
        </is>
      </c>
      <c r="U331" t="inlineStr"/>
      <c r="V331" t="inlineStr">
        <is>
          <t>Searching for course page</t>
        </is>
      </c>
      <c r="W331" t="inlineStr"/>
      <c r="X331" t="inlineStr"/>
      <c r="Y331" t="n">
        <v>0</v>
      </c>
      <c r="Z331" t="inlineStr">
        <is>
          <t>No</t>
        </is>
      </c>
      <c r="AA331" t="inlineStr">
        <is>
          <t>Not stated on course page</t>
        </is>
      </c>
      <c r="AB331" t="inlineStr"/>
      <c r="AC331" t="inlineStr">
        <is>
          <t>Skipped: the page does not state it</t>
        </is>
      </c>
      <c r="AD331" t="n">
        <v>0</v>
      </c>
      <c r="AE331" t="inlineStr"/>
      <c r="AF331" t="inlineStr"/>
      <c r="AG331" t="inlineStr"/>
      <c r="AH331" t="inlineStr"/>
      <c r="AI331" t="inlineStr"/>
      <c r="AJ331" t="inlineStr">
        <is>
          <t>Yes</t>
        </is>
      </c>
      <c r="AK331" t="inlineStr"/>
      <c r="AL331" t="inlineStr"/>
      <c r="AM331" t="inlineStr"/>
    </row>
    <row r="332">
      <c r="A332" t="inlineStr">
        <is>
          <t>085786B</t>
        </is>
      </c>
      <c r="B332" t="inlineStr">
        <is>
          <t>Doctor of Philosophy (English)</t>
        </is>
      </c>
      <c r="C332" t="inlineStr">
        <is>
          <t>Doctorate / PhD</t>
        </is>
      </c>
      <c r="D332" t="inlineStr">
        <is>
          <t>Research degree</t>
        </is>
      </c>
      <c r="E332" t="inlineStr">
        <is>
          <t>Advertised: official page in place</t>
        </is>
      </c>
      <c r="F332" t="inlineStr">
        <is>
          <t>https://www.handbook.unsw.edu.au/research/programs/2026/1201</t>
        </is>
      </c>
      <c r="G332" t="inlineStr">
        <is>
          <t>https://www.handbook.unsw.edu.au/research/programs/2026/1201</t>
        </is>
      </c>
      <c r="H332" t="inlineStr">
        <is>
          <t>Read</t>
        </is>
      </c>
      <c r="I332" t="inlineStr">
        <is>
          <t>CRICOS code on page</t>
        </is>
      </c>
      <c r="J332" t="inlineStr"/>
      <c r="K332" t="inlineStr">
        <is>
          <t>Not sent to re-link</t>
        </is>
      </c>
      <c r="L332" t="inlineStr">
        <is>
          <t>Filled</t>
        </is>
      </c>
      <c r="M332" t="inlineStr">
        <is>
          <t>Not stated on course page</t>
        </is>
      </c>
      <c r="N332" t="inlineStr"/>
      <c r="O332" t="n">
        <v>0</v>
      </c>
      <c r="P332" t="inlineStr"/>
      <c r="Q332" t="inlineStr">
        <is>
          <t>Not stated on course page</t>
        </is>
      </c>
      <c r="S332" t="inlineStr"/>
      <c r="T332" t="inlineStr">
        <is>
          <t>Held: research degree (the policy states no research requirement)</t>
        </is>
      </c>
      <c r="U332" t="inlineStr"/>
      <c r="V332" t="inlineStr">
        <is>
          <t>Filled</t>
        </is>
      </c>
      <c r="W332" t="inlineStr">
        <is>
          <t>January, February, May, September</t>
        </is>
      </c>
      <c r="X332" t="inlineStr">
        <is>
          <t>University adapter</t>
        </is>
      </c>
      <c r="Y332" t="n">
        <v>0</v>
      </c>
      <c r="Z332" t="inlineStr">
        <is>
          <t>No</t>
        </is>
      </c>
      <c r="AA332" t="inlineStr">
        <is>
          <t>Filled</t>
        </is>
      </c>
      <c r="AB332" t="inlineStr">
        <is>
          <t>on campus</t>
        </is>
      </c>
      <c r="AC332" t="inlineStr"/>
      <c r="AD332" t="n">
        <v>0</v>
      </c>
      <c r="AE332" t="inlineStr"/>
      <c r="AF332" t="inlineStr"/>
      <c r="AG332" t="inlineStr"/>
      <c r="AH332" t="inlineStr"/>
      <c r="AI332" t="inlineStr"/>
      <c r="AJ332" t="inlineStr">
        <is>
          <t>Yes</t>
        </is>
      </c>
      <c r="AK332" t="inlineStr"/>
      <c r="AL332" t="inlineStr"/>
      <c r="AM332" t="inlineStr"/>
    </row>
    <row r="333">
      <c r="A333" t="inlineStr">
        <is>
          <t>085799G</t>
        </is>
      </c>
      <c r="B333" t="inlineStr">
        <is>
          <t>Doctor of Philosophy (Geography)</t>
        </is>
      </c>
      <c r="C333" t="inlineStr">
        <is>
          <t>Doctorate / PhD</t>
        </is>
      </c>
      <c r="D333" t="inlineStr">
        <is>
          <t>Research degree</t>
        </is>
      </c>
      <c r="E333" t="inlineStr">
        <is>
          <t>Advertised: official page in place</t>
        </is>
      </c>
      <c r="F333" t="inlineStr">
        <is>
          <t>https://www.handbook.unsw.edu.au/research/programs/2026/1081</t>
        </is>
      </c>
      <c r="G333" t="inlineStr">
        <is>
          <t>https://www.handbook.unsw.edu.au/research/programs/2026/1081</t>
        </is>
      </c>
      <c r="H333" t="inlineStr">
        <is>
          <t>Read</t>
        </is>
      </c>
      <c r="I333" t="inlineStr">
        <is>
          <t>CRICOS code on page</t>
        </is>
      </c>
      <c r="J333" t="inlineStr"/>
      <c r="K333" t="inlineStr">
        <is>
          <t>Not sent to re-link</t>
        </is>
      </c>
      <c r="L333" t="inlineStr">
        <is>
          <t>Filled</t>
        </is>
      </c>
      <c r="M333" t="inlineStr">
        <is>
          <t>Not stated on course page</t>
        </is>
      </c>
      <c r="N333" t="inlineStr"/>
      <c r="O333" t="n">
        <v>0</v>
      </c>
      <c r="P333" t="inlineStr"/>
      <c r="Q333" t="inlineStr">
        <is>
          <t>Not stated on course page</t>
        </is>
      </c>
      <c r="S333" t="inlineStr"/>
      <c r="T333" t="inlineStr">
        <is>
          <t>Held: research degree (the policy states no research requirement)</t>
        </is>
      </c>
      <c r="U333" t="inlineStr"/>
      <c r="V333" t="inlineStr">
        <is>
          <t>Filled</t>
        </is>
      </c>
      <c r="W333" t="inlineStr">
        <is>
          <t>January, February, May, September</t>
        </is>
      </c>
      <c r="X333" t="inlineStr">
        <is>
          <t>University adapter</t>
        </is>
      </c>
      <c r="Y333" t="n">
        <v>0</v>
      </c>
      <c r="Z333" t="inlineStr">
        <is>
          <t>No</t>
        </is>
      </c>
      <c r="AA333" t="inlineStr">
        <is>
          <t>Filled</t>
        </is>
      </c>
      <c r="AB333" t="inlineStr">
        <is>
          <t>on campus</t>
        </is>
      </c>
      <c r="AC333" t="inlineStr"/>
      <c r="AD333" t="n">
        <v>0</v>
      </c>
      <c r="AE333" t="inlineStr"/>
      <c r="AF333" t="inlineStr"/>
      <c r="AG333" t="inlineStr"/>
      <c r="AH333" t="inlineStr"/>
      <c r="AI333" t="inlineStr"/>
      <c r="AJ333" t="inlineStr">
        <is>
          <t>Yes</t>
        </is>
      </c>
      <c r="AK333" t="inlineStr"/>
      <c r="AL333" t="inlineStr"/>
      <c r="AM333" t="inlineStr"/>
    </row>
    <row r="334">
      <c r="A334" t="inlineStr">
        <is>
          <t>001076E</t>
        </is>
      </c>
      <c r="B334" t="inlineStr">
        <is>
          <t>Doctor of Philosophy (Geography)</t>
        </is>
      </c>
      <c r="C334" t="inlineStr">
        <is>
          <t>Doctorate / PhD</t>
        </is>
      </c>
      <c r="D334" t="inlineStr">
        <is>
          <t>Research degree</t>
        </is>
      </c>
      <c r="E334" t="inlineStr">
        <is>
          <t>Advertised: official page in place</t>
        </is>
      </c>
      <c r="F334" t="inlineStr">
        <is>
          <t>https://www.handbook.unsw.edu.au/research/programs/2026/1080</t>
        </is>
      </c>
      <c r="G334" t="inlineStr">
        <is>
          <t>https://www.handbook.unsw.edu.au/research/programs/2026/1080</t>
        </is>
      </c>
      <c r="H334" t="inlineStr">
        <is>
          <t>Read</t>
        </is>
      </c>
      <c r="I334" t="inlineStr">
        <is>
          <t>CRICOS code on page</t>
        </is>
      </c>
      <c r="J334" t="inlineStr"/>
      <c r="K334" t="inlineStr">
        <is>
          <t>Not sent to re-link</t>
        </is>
      </c>
      <c r="L334" t="inlineStr">
        <is>
          <t>Filled</t>
        </is>
      </c>
      <c r="M334" t="inlineStr">
        <is>
          <t>Not stated on course page</t>
        </is>
      </c>
      <c r="N334" t="inlineStr"/>
      <c r="O334" t="n">
        <v>0</v>
      </c>
      <c r="P334" t="inlineStr"/>
      <c r="Q334" t="inlineStr">
        <is>
          <t>Not stated on course page</t>
        </is>
      </c>
      <c r="S334" t="inlineStr"/>
      <c r="T334" t="inlineStr">
        <is>
          <t>Held: research degree (the policy states no research requirement)</t>
        </is>
      </c>
      <c r="U334" t="inlineStr"/>
      <c r="V334" t="inlineStr">
        <is>
          <t>Filled</t>
        </is>
      </c>
      <c r="W334" t="inlineStr">
        <is>
          <t>January, February, May, September</t>
        </is>
      </c>
      <c r="X334" t="inlineStr">
        <is>
          <t>University adapter</t>
        </is>
      </c>
      <c r="Y334" t="n">
        <v>0</v>
      </c>
      <c r="Z334" t="inlineStr">
        <is>
          <t>No</t>
        </is>
      </c>
      <c r="AA334" t="inlineStr">
        <is>
          <t>Filled</t>
        </is>
      </c>
      <c r="AB334" t="inlineStr">
        <is>
          <t>on campus</t>
        </is>
      </c>
      <c r="AC334" t="inlineStr"/>
      <c r="AD334" t="n">
        <v>0</v>
      </c>
      <c r="AE334" t="inlineStr"/>
      <c r="AF334" t="inlineStr"/>
      <c r="AG334" t="inlineStr"/>
      <c r="AH334" t="inlineStr"/>
      <c r="AI334" t="inlineStr"/>
      <c r="AJ334" t="inlineStr">
        <is>
          <t>Yes</t>
        </is>
      </c>
      <c r="AK334" t="inlineStr"/>
      <c r="AL334" t="inlineStr"/>
      <c r="AM334" t="inlineStr"/>
    </row>
    <row r="335">
      <c r="A335" t="inlineStr">
        <is>
          <t>117711H</t>
        </is>
      </c>
      <c r="B335" t="inlineStr">
        <is>
          <t>Doctor of Philosophy (Geophysics)</t>
        </is>
      </c>
      <c r="C335" t="inlineStr">
        <is>
          <t>Doctorate / PhD</t>
        </is>
      </c>
      <c r="D335" t="inlineStr">
        <is>
          <t>Research degree</t>
        </is>
      </c>
      <c r="E335" t="inlineStr">
        <is>
          <t>Advertised: official page in place</t>
        </is>
      </c>
      <c r="F335" t="inlineStr">
        <is>
          <t>https://www.handbook.unsw.edu.au/research/programs/2026/1684</t>
        </is>
      </c>
      <c r="G335" t="inlineStr">
        <is>
          <t>https://www.handbook.unsw.edu.au/research/programs/2026/1684</t>
        </is>
      </c>
      <c r="H335" t="inlineStr">
        <is>
          <t>Read</t>
        </is>
      </c>
      <c r="I335" t="inlineStr">
        <is>
          <t>CRICOS code on page</t>
        </is>
      </c>
      <c r="J335" t="inlineStr"/>
      <c r="K335" t="inlineStr">
        <is>
          <t>Not sent to re-link</t>
        </is>
      </c>
      <c r="L335" t="inlineStr">
        <is>
          <t>Filled</t>
        </is>
      </c>
      <c r="M335" t="inlineStr">
        <is>
          <t>Not stated on course page</t>
        </is>
      </c>
      <c r="N335" t="inlineStr"/>
      <c r="O335" t="n">
        <v>0</v>
      </c>
      <c r="P335" t="inlineStr"/>
      <c r="Q335" t="inlineStr">
        <is>
          <t>Not stated on course page</t>
        </is>
      </c>
      <c r="S335" t="inlineStr"/>
      <c r="T335" t="inlineStr">
        <is>
          <t>Held: research degree (the policy states no research requirement)</t>
        </is>
      </c>
      <c r="U335" t="inlineStr"/>
      <c r="V335" t="inlineStr">
        <is>
          <t>Filled</t>
        </is>
      </c>
      <c r="W335" t="inlineStr">
        <is>
          <t>January, February, May, September</t>
        </is>
      </c>
      <c r="X335" t="inlineStr">
        <is>
          <t>University adapter</t>
        </is>
      </c>
      <c r="Y335" t="n">
        <v>0</v>
      </c>
      <c r="Z335" t="inlineStr">
        <is>
          <t>No</t>
        </is>
      </c>
      <c r="AA335" t="inlineStr">
        <is>
          <t>Filled</t>
        </is>
      </c>
      <c r="AB335" t="inlineStr">
        <is>
          <t>on campus</t>
        </is>
      </c>
      <c r="AC335" t="inlineStr"/>
      <c r="AD335" t="n">
        <v>0</v>
      </c>
      <c r="AE335" t="inlineStr"/>
      <c r="AF335" t="inlineStr"/>
      <c r="AG335" t="inlineStr"/>
      <c r="AH335" t="inlineStr"/>
      <c r="AI335" t="inlineStr"/>
      <c r="AJ335" t="inlineStr">
        <is>
          <t>Yes</t>
        </is>
      </c>
      <c r="AK335" t="inlineStr"/>
      <c r="AL335" t="inlineStr"/>
      <c r="AM335" t="inlineStr"/>
    </row>
    <row r="336">
      <c r="A336" t="inlineStr">
        <is>
          <t>085788M</t>
        </is>
      </c>
      <c r="B336" t="inlineStr">
        <is>
          <t>Doctor of Philosophy (History)</t>
        </is>
      </c>
      <c r="C336" t="inlineStr">
        <is>
          <t>Doctorate / PhD</t>
        </is>
      </c>
      <c r="D336" t="inlineStr">
        <is>
          <t>Research degree</t>
        </is>
      </c>
      <c r="E336" t="inlineStr">
        <is>
          <t>Advertised: official page in place</t>
        </is>
      </c>
      <c r="F336" t="inlineStr">
        <is>
          <t>https://www.handbook.unsw.edu.au/research/programs/2026/1241</t>
        </is>
      </c>
      <c r="G336" t="inlineStr">
        <is>
          <t>https://www.handbook.unsw.edu.au/research/programs/2026/1241</t>
        </is>
      </c>
      <c r="H336" t="inlineStr">
        <is>
          <t>Read</t>
        </is>
      </c>
      <c r="I336" t="inlineStr">
        <is>
          <t>CRICOS code on page</t>
        </is>
      </c>
      <c r="J336" t="inlineStr"/>
      <c r="K336" t="inlineStr">
        <is>
          <t>Not sent to re-link</t>
        </is>
      </c>
      <c r="L336" t="inlineStr">
        <is>
          <t>Filled</t>
        </is>
      </c>
      <c r="M336" t="inlineStr">
        <is>
          <t>Not stated on course page</t>
        </is>
      </c>
      <c r="N336" t="inlineStr"/>
      <c r="O336" t="n">
        <v>0</v>
      </c>
      <c r="P336" t="inlineStr"/>
      <c r="Q336" t="inlineStr">
        <is>
          <t>Not stated on course page</t>
        </is>
      </c>
      <c r="S336" t="inlineStr"/>
      <c r="T336" t="inlineStr">
        <is>
          <t>Held: research degree (the policy states no research requirement)</t>
        </is>
      </c>
      <c r="U336" t="inlineStr"/>
      <c r="V336" t="inlineStr">
        <is>
          <t>Filled</t>
        </is>
      </c>
      <c r="W336" t="inlineStr">
        <is>
          <t>January, February, May, September</t>
        </is>
      </c>
      <c r="X336" t="inlineStr">
        <is>
          <t>University adapter</t>
        </is>
      </c>
      <c r="Y336" t="n">
        <v>0</v>
      </c>
      <c r="Z336" t="inlineStr">
        <is>
          <t>No</t>
        </is>
      </c>
      <c r="AA336" t="inlineStr">
        <is>
          <t>Filled</t>
        </is>
      </c>
      <c r="AB336" t="inlineStr">
        <is>
          <t>on campus</t>
        </is>
      </c>
      <c r="AC336" t="inlineStr"/>
      <c r="AD336" t="n">
        <v>0</v>
      </c>
      <c r="AE336" t="inlineStr"/>
      <c r="AF336" t="inlineStr"/>
      <c r="AG336" t="inlineStr"/>
      <c r="AH336" t="inlineStr"/>
      <c r="AI336" t="inlineStr"/>
      <c r="AJ336" t="inlineStr">
        <is>
          <t>Yes</t>
        </is>
      </c>
      <c r="AK336" t="inlineStr"/>
      <c r="AL336" t="inlineStr"/>
      <c r="AM336" t="inlineStr"/>
    </row>
    <row r="337">
      <c r="A337" t="inlineStr">
        <is>
          <t>085790F</t>
        </is>
      </c>
      <c r="B337" t="inlineStr">
        <is>
          <t>Doctor of Philosophy (International and Political Studies)</t>
        </is>
      </c>
      <c r="C337" t="inlineStr">
        <is>
          <t>Doctorate / PhD</t>
        </is>
      </c>
      <c r="D337" t="inlineStr">
        <is>
          <t>Research degree</t>
        </is>
      </c>
      <c r="E337" t="inlineStr">
        <is>
          <t>Advertised: official page in place</t>
        </is>
      </c>
      <c r="F337" t="inlineStr">
        <is>
          <t>https://www.handbook.unsw.edu.au/research/programs/2026/1321</t>
        </is>
      </c>
      <c r="G337" t="inlineStr">
        <is>
          <t>https://www.handbook.unsw.edu.au/research/programs/2026/1321</t>
        </is>
      </c>
      <c r="H337" t="inlineStr">
        <is>
          <t>Read</t>
        </is>
      </c>
      <c r="I337" t="inlineStr">
        <is>
          <t>CRICOS code on page</t>
        </is>
      </c>
      <c r="J337" t="inlineStr"/>
      <c r="K337" t="inlineStr">
        <is>
          <t>Not sent to re-link</t>
        </is>
      </c>
      <c r="L337" t="inlineStr">
        <is>
          <t>Filled</t>
        </is>
      </c>
      <c r="M337" t="inlineStr">
        <is>
          <t>Not stated on course page</t>
        </is>
      </c>
      <c r="N337" t="inlineStr"/>
      <c r="O337" t="n">
        <v>0</v>
      </c>
      <c r="P337" t="inlineStr"/>
      <c r="Q337" t="inlineStr">
        <is>
          <t>Not stated on course page</t>
        </is>
      </c>
      <c r="S337" t="inlineStr"/>
      <c r="T337" t="inlineStr">
        <is>
          <t>Held: research degree (the policy states no research requirement)</t>
        </is>
      </c>
      <c r="U337" t="inlineStr"/>
      <c r="V337" t="inlineStr">
        <is>
          <t>Filled</t>
        </is>
      </c>
      <c r="W337" t="inlineStr">
        <is>
          <t>January, February, May, September</t>
        </is>
      </c>
      <c r="X337" t="inlineStr">
        <is>
          <t>University adapter</t>
        </is>
      </c>
      <c r="Y337" t="n">
        <v>0</v>
      </c>
      <c r="Z337" t="inlineStr">
        <is>
          <t>No</t>
        </is>
      </c>
      <c r="AA337" t="inlineStr">
        <is>
          <t>Filled</t>
        </is>
      </c>
      <c r="AB337" t="inlineStr">
        <is>
          <t>on campus</t>
        </is>
      </c>
      <c r="AC337" t="inlineStr"/>
      <c r="AD337" t="n">
        <v>0</v>
      </c>
      <c r="AE337" t="inlineStr"/>
      <c r="AF337" t="inlineStr"/>
      <c r="AG337" t="inlineStr"/>
      <c r="AH337" t="inlineStr"/>
      <c r="AI337" t="inlineStr"/>
      <c r="AJ337" t="inlineStr">
        <is>
          <t>Yes</t>
        </is>
      </c>
      <c r="AK337" t="inlineStr"/>
      <c r="AL337" t="inlineStr"/>
      <c r="AM337" t="inlineStr"/>
    </row>
    <row r="338">
      <c r="A338" t="inlineStr">
        <is>
          <t>006396D</t>
        </is>
      </c>
      <c r="B338" t="inlineStr">
        <is>
          <t>Doctor of Philosophy (Law)</t>
        </is>
      </c>
      <c r="C338" t="inlineStr">
        <is>
          <t>Doctorate / PhD</t>
        </is>
      </c>
      <c r="D338" t="inlineStr">
        <is>
          <t>Research degree</t>
        </is>
      </c>
      <c r="E338" t="inlineStr">
        <is>
          <t>Advertised: official page in place</t>
        </is>
      </c>
      <c r="F338" t="inlineStr">
        <is>
          <t>https://www.handbook.unsw.edu.au/research/programs/2026/1730</t>
        </is>
      </c>
      <c r="G338" t="inlineStr">
        <is>
          <t>https://www.handbook.unsw.edu.au/research/programs/2026/1730</t>
        </is>
      </c>
      <c r="H338" t="inlineStr">
        <is>
          <t>Read</t>
        </is>
      </c>
      <c r="I338" t="inlineStr">
        <is>
          <t>CRICOS code on page</t>
        </is>
      </c>
      <c r="J338" t="inlineStr"/>
      <c r="K338" t="inlineStr">
        <is>
          <t>Not sent to re-link</t>
        </is>
      </c>
      <c r="L338" t="inlineStr">
        <is>
          <t>Filled</t>
        </is>
      </c>
      <c r="M338" t="inlineStr">
        <is>
          <t>Not stated on course page</t>
        </is>
      </c>
      <c r="N338" t="inlineStr"/>
      <c r="O338" t="n">
        <v>0</v>
      </c>
      <c r="P338" t="inlineStr"/>
      <c r="Q338" t="inlineStr">
        <is>
          <t>Not stated on course page</t>
        </is>
      </c>
      <c r="S338" t="inlineStr"/>
      <c r="T338" t="inlineStr">
        <is>
          <t>Held: research degree (the policy states no research requirement)</t>
        </is>
      </c>
      <c r="U338" t="inlineStr"/>
      <c r="V338" t="inlineStr">
        <is>
          <t>Filled</t>
        </is>
      </c>
      <c r="W338" t="inlineStr">
        <is>
          <t>February, May, September</t>
        </is>
      </c>
      <c r="X338" t="inlineStr">
        <is>
          <t>University adapter</t>
        </is>
      </c>
      <c r="Y338" t="n">
        <v>0</v>
      </c>
      <c r="Z338" t="inlineStr">
        <is>
          <t>No</t>
        </is>
      </c>
      <c r="AA338" t="inlineStr">
        <is>
          <t>Filled</t>
        </is>
      </c>
      <c r="AB338" t="inlineStr">
        <is>
          <t>on campus</t>
        </is>
      </c>
      <c r="AC338" t="inlineStr"/>
      <c r="AD338" t="n">
        <v>0</v>
      </c>
      <c r="AE338" t="inlineStr"/>
      <c r="AF338" t="inlineStr"/>
      <c r="AG338" t="inlineStr"/>
      <c r="AH338" t="inlineStr"/>
      <c r="AI338" t="inlineStr"/>
      <c r="AJ338" t="inlineStr">
        <is>
          <t>Yes</t>
        </is>
      </c>
      <c r="AK338" t="inlineStr"/>
      <c r="AL338" t="inlineStr"/>
      <c r="AM338" t="inlineStr"/>
    </row>
    <row r="339">
      <c r="A339" t="inlineStr">
        <is>
          <t>001019C</t>
        </is>
      </c>
      <c r="B339" t="inlineStr">
        <is>
          <t>Doctor of Philosophy (Materials Science &amp; Engineering)</t>
        </is>
      </c>
      <c r="C339" t="inlineStr">
        <is>
          <t>Doctorate / PhD</t>
        </is>
      </c>
      <c r="D339" t="inlineStr">
        <is>
          <t>Research degree</t>
        </is>
      </c>
      <c r="E339" t="inlineStr">
        <is>
          <t>Advertised: official page in place</t>
        </is>
      </c>
      <c r="F339" t="inlineStr">
        <is>
          <t>https://www.handbook.unsw.edu.au/research/programs/2026/1045</t>
        </is>
      </c>
      <c r="G339" t="inlineStr">
        <is>
          <t>https://www.handbook.unsw.edu.au/research/programs/2026/1045</t>
        </is>
      </c>
      <c r="H339" t="inlineStr">
        <is>
          <t>Read</t>
        </is>
      </c>
      <c r="I339" t="inlineStr">
        <is>
          <t>CRICOS code on page</t>
        </is>
      </c>
      <c r="J339" t="inlineStr"/>
      <c r="K339" t="inlineStr">
        <is>
          <t>Not sent to re-link</t>
        </is>
      </c>
      <c r="L339" t="inlineStr">
        <is>
          <t>Filled</t>
        </is>
      </c>
      <c r="M339" t="inlineStr">
        <is>
          <t>Not stated on course page</t>
        </is>
      </c>
      <c r="N339" t="inlineStr"/>
      <c r="O339" t="n">
        <v>0</v>
      </c>
      <c r="P339" t="inlineStr"/>
      <c r="Q339" t="inlineStr">
        <is>
          <t>Not stated on course page</t>
        </is>
      </c>
      <c r="S339" t="inlineStr"/>
      <c r="T339" t="inlineStr">
        <is>
          <t>Held: research degree (the policy states no research requirement)</t>
        </is>
      </c>
      <c r="U339" t="inlineStr"/>
      <c r="V339" t="inlineStr">
        <is>
          <t>Filled</t>
        </is>
      </c>
      <c r="W339" t="inlineStr">
        <is>
          <t>January, February, May, September</t>
        </is>
      </c>
      <c r="X339" t="inlineStr">
        <is>
          <t>University adapter</t>
        </is>
      </c>
      <c r="Y339" t="n">
        <v>0</v>
      </c>
      <c r="Z339" t="inlineStr">
        <is>
          <t>No</t>
        </is>
      </c>
      <c r="AA339" t="inlineStr">
        <is>
          <t>Filled</t>
        </is>
      </c>
      <c r="AB339" t="inlineStr">
        <is>
          <t>on campus</t>
        </is>
      </c>
      <c r="AC339" t="inlineStr"/>
      <c r="AD339" t="n">
        <v>0</v>
      </c>
      <c r="AE339" t="inlineStr"/>
      <c r="AF339" t="inlineStr"/>
      <c r="AG339" t="inlineStr"/>
      <c r="AH339" t="inlineStr"/>
      <c r="AI339" t="inlineStr"/>
      <c r="AJ339" t="inlineStr">
        <is>
          <t>Yes</t>
        </is>
      </c>
      <c r="AK339" t="inlineStr"/>
      <c r="AL339" t="inlineStr"/>
      <c r="AM339" t="inlineStr"/>
    </row>
    <row r="340">
      <c r="A340" t="inlineStr">
        <is>
          <t>001041E</t>
        </is>
      </c>
      <c r="B340" t="inlineStr">
        <is>
          <t>Doctor of Philosophy (Mathematics)</t>
        </is>
      </c>
      <c r="C340" t="inlineStr">
        <is>
          <t>Doctorate / PhD</t>
        </is>
      </c>
      <c r="D340" t="inlineStr">
        <is>
          <t>Research degree</t>
        </is>
      </c>
      <c r="E340" t="inlineStr">
        <is>
          <t>Advertised: official page in place</t>
        </is>
      </c>
      <c r="F340" t="inlineStr">
        <is>
          <t>https://www.handbook.unsw.edu.au/research/programs/2026/1880</t>
        </is>
      </c>
      <c r="G340" t="inlineStr">
        <is>
          <t>https://www.handbook.unsw.edu.au/research/programs/2026/1880</t>
        </is>
      </c>
      <c r="H340" t="inlineStr">
        <is>
          <t>Read</t>
        </is>
      </c>
      <c r="I340" t="inlineStr">
        <is>
          <t>CRICOS code on page</t>
        </is>
      </c>
      <c r="J340" t="inlineStr"/>
      <c r="K340" t="inlineStr">
        <is>
          <t>Not sent to re-link</t>
        </is>
      </c>
      <c r="L340" t="inlineStr">
        <is>
          <t>Filled</t>
        </is>
      </c>
      <c r="M340" t="inlineStr">
        <is>
          <t>Not stated on course page</t>
        </is>
      </c>
      <c r="N340" t="inlineStr"/>
      <c r="O340" t="n">
        <v>0</v>
      </c>
      <c r="P340" t="inlineStr"/>
      <c r="Q340" t="inlineStr">
        <is>
          <t>Not stated on course page</t>
        </is>
      </c>
      <c r="S340" t="inlineStr"/>
      <c r="T340" t="inlineStr">
        <is>
          <t>Held: research degree (the policy states no research requirement)</t>
        </is>
      </c>
      <c r="U340" t="inlineStr"/>
      <c r="V340" t="inlineStr">
        <is>
          <t>Filled</t>
        </is>
      </c>
      <c r="W340" t="inlineStr">
        <is>
          <t>January, February, May, September</t>
        </is>
      </c>
      <c r="X340" t="inlineStr">
        <is>
          <t>University adapter</t>
        </is>
      </c>
      <c r="Y340" t="n">
        <v>0</v>
      </c>
      <c r="Z340" t="inlineStr">
        <is>
          <t>No</t>
        </is>
      </c>
      <c r="AA340" t="inlineStr">
        <is>
          <t>Filled</t>
        </is>
      </c>
      <c r="AB340" t="inlineStr">
        <is>
          <t>on campus</t>
        </is>
      </c>
      <c r="AC340" t="inlineStr"/>
      <c r="AD340" t="n">
        <v>0</v>
      </c>
      <c r="AE340" t="inlineStr"/>
      <c r="AF340" t="inlineStr"/>
      <c r="AG340" t="inlineStr"/>
      <c r="AH340" t="inlineStr"/>
      <c r="AI340" t="inlineStr"/>
      <c r="AJ340" t="inlineStr">
        <is>
          <t>Yes</t>
        </is>
      </c>
      <c r="AK340" t="inlineStr"/>
      <c r="AL340" t="inlineStr"/>
      <c r="AM340" t="inlineStr"/>
    </row>
    <row r="341">
      <c r="A341" t="inlineStr">
        <is>
          <t>085794B</t>
        </is>
      </c>
      <c r="B341" t="inlineStr">
        <is>
          <t>Doctor of Philosophy (Mathematics)</t>
        </is>
      </c>
      <c r="C341" t="inlineStr">
        <is>
          <t>Doctorate / PhD</t>
        </is>
      </c>
      <c r="D341" t="inlineStr">
        <is>
          <t>Research degree</t>
        </is>
      </c>
      <c r="E341" t="inlineStr">
        <is>
          <t>Advertised: official page in place</t>
        </is>
      </c>
      <c r="F341" t="inlineStr">
        <is>
          <t>https://www.handbook.unsw.edu.au/research/programs/2026/1881</t>
        </is>
      </c>
      <c r="G341" t="inlineStr">
        <is>
          <t>https://www.handbook.unsw.edu.au/research/programs/2026/1881</t>
        </is>
      </c>
      <c r="H341" t="inlineStr">
        <is>
          <t>Read</t>
        </is>
      </c>
      <c r="I341" t="inlineStr">
        <is>
          <t>CRICOS code on page</t>
        </is>
      </c>
      <c r="J341" t="inlineStr"/>
      <c r="K341" t="inlineStr">
        <is>
          <t>Not sent to re-link</t>
        </is>
      </c>
      <c r="L341" t="inlineStr">
        <is>
          <t>Filled</t>
        </is>
      </c>
      <c r="M341" t="inlineStr">
        <is>
          <t>Not stated on course page</t>
        </is>
      </c>
      <c r="N341" t="inlineStr"/>
      <c r="O341" t="n">
        <v>0</v>
      </c>
      <c r="P341" t="inlineStr"/>
      <c r="Q341" t="inlineStr">
        <is>
          <t>Not stated on course page</t>
        </is>
      </c>
      <c r="S341" t="inlineStr"/>
      <c r="T341" t="inlineStr">
        <is>
          <t>Held: research degree (the policy states no research requirement)</t>
        </is>
      </c>
      <c r="U341" t="inlineStr"/>
      <c r="V341" t="inlineStr">
        <is>
          <t>Filled</t>
        </is>
      </c>
      <c r="W341" t="inlineStr">
        <is>
          <t>January, February, May, September</t>
        </is>
      </c>
      <c r="X341" t="inlineStr">
        <is>
          <t>University adapter</t>
        </is>
      </c>
      <c r="Y341" t="n">
        <v>0</v>
      </c>
      <c r="Z341" t="inlineStr">
        <is>
          <t>No</t>
        </is>
      </c>
      <c r="AA341" t="inlineStr">
        <is>
          <t>Filled</t>
        </is>
      </c>
      <c r="AB341" t="inlineStr">
        <is>
          <t>on campus</t>
        </is>
      </c>
      <c r="AC341" t="inlineStr"/>
      <c r="AD341" t="n">
        <v>0</v>
      </c>
      <c r="AE341" t="inlineStr"/>
      <c r="AF341" t="inlineStr"/>
      <c r="AG341" t="inlineStr"/>
      <c r="AH341" t="inlineStr"/>
      <c r="AI341" t="inlineStr"/>
      <c r="AJ341" t="inlineStr">
        <is>
          <t>Yes</t>
        </is>
      </c>
      <c r="AK341" t="inlineStr"/>
      <c r="AL341" t="inlineStr"/>
      <c r="AM341" t="inlineStr"/>
    </row>
    <row r="342">
      <c r="A342" t="inlineStr">
        <is>
          <t>085789K</t>
        </is>
      </c>
      <c r="B342" t="inlineStr">
        <is>
          <t>Doctor of Philosophy (Mechanical Engineering)</t>
        </is>
      </c>
      <c r="C342" t="inlineStr">
        <is>
          <t>Doctorate / PhD</t>
        </is>
      </c>
      <c r="D342" t="inlineStr">
        <is>
          <t>Research degree</t>
        </is>
      </c>
      <c r="E342" t="inlineStr">
        <is>
          <t>Held: page found is for another course</t>
        </is>
      </c>
      <c r="F342" t="inlineStr"/>
      <c r="G342" t="inlineStr">
        <is>
          <t>https://www.unsw.edu.au/canberra/study-with-us/postgraduate-research/doctor-philosophy-phd</t>
        </is>
      </c>
      <c r="H342" t="inlineStr">
        <is>
          <t>Page is for another course</t>
        </is>
      </c>
      <c r="I342" t="inlineStr"/>
      <c r="J342" t="inlineStr"/>
      <c r="K342" t="inlineStr">
        <is>
          <t>Finished, no page: no address from the university's address forms or stored lis</t>
        </is>
      </c>
      <c r="L342" t="inlineStr">
        <is>
          <t>Searching for course page</t>
        </is>
      </c>
      <c r="M342" t="inlineStr">
        <is>
          <t>Searching for course page</t>
        </is>
      </c>
      <c r="N342" t="inlineStr"/>
      <c r="O342" t="n">
        <v>0</v>
      </c>
      <c r="P342" t="inlineStr"/>
      <c r="Q342" t="inlineStr">
        <is>
          <t>Searching for course page</t>
        </is>
      </c>
      <c r="S342" t="inlineStr"/>
      <c r="T342" t="inlineStr">
        <is>
          <t>Held: research degree (the policy states no research requirement)</t>
        </is>
      </c>
      <c r="U342" t="inlineStr"/>
      <c r="V342" t="inlineStr">
        <is>
          <t>Searching for course page</t>
        </is>
      </c>
      <c r="W342" t="inlineStr"/>
      <c r="X342" t="inlineStr"/>
      <c r="Y342" t="n">
        <v>0</v>
      </c>
      <c r="Z342" t="inlineStr">
        <is>
          <t>No</t>
        </is>
      </c>
      <c r="AA342" t="inlineStr">
        <is>
          <t>Not stated on course page</t>
        </is>
      </c>
      <c r="AB342" t="inlineStr"/>
      <c r="AC342" t="inlineStr">
        <is>
          <t>Skipped: no correct course page: the page found is for another course</t>
        </is>
      </c>
      <c r="AD342" t="n">
        <v>1</v>
      </c>
      <c r="AE342" t="inlineStr"/>
      <c r="AF342" t="inlineStr"/>
      <c r="AG342" t="inlineStr"/>
      <c r="AH342" t="inlineStr"/>
      <c r="AI342" t="inlineStr"/>
      <c r="AJ342" t="inlineStr">
        <is>
          <t>Yes</t>
        </is>
      </c>
      <c r="AK342" t="inlineStr"/>
      <c r="AL342" t="inlineStr"/>
      <c r="AM342" t="inlineStr"/>
    </row>
    <row r="343">
      <c r="A343" t="inlineStr">
        <is>
          <t>001051C</t>
        </is>
      </c>
      <c r="B343" t="inlineStr">
        <is>
          <t>Doctor of Philosophy (Medical Education)</t>
        </is>
      </c>
      <c r="C343" t="inlineStr">
        <is>
          <t>Doctorate / PhD</t>
        </is>
      </c>
      <c r="D343" t="inlineStr">
        <is>
          <t>Research degree</t>
        </is>
      </c>
      <c r="E343" t="inlineStr">
        <is>
          <t>Advertised: official page in place</t>
        </is>
      </c>
      <c r="F343" t="inlineStr">
        <is>
          <t>https://www.handbook.unsw.edu.au/research/programs/2026/1841</t>
        </is>
      </c>
      <c r="G343" t="inlineStr">
        <is>
          <t>https://www.handbook.unsw.edu.au/research/programs/2026/1841</t>
        </is>
      </c>
      <c r="H343" t="inlineStr">
        <is>
          <t>Read</t>
        </is>
      </c>
      <c r="I343" t="inlineStr">
        <is>
          <t>CRICOS code on page</t>
        </is>
      </c>
      <c r="J343" t="inlineStr"/>
      <c r="K343" t="inlineStr">
        <is>
          <t>Not sent to re-link</t>
        </is>
      </c>
      <c r="L343" t="inlineStr">
        <is>
          <t>Filled</t>
        </is>
      </c>
      <c r="M343" t="inlineStr">
        <is>
          <t>Not stated on course page</t>
        </is>
      </c>
      <c r="N343" t="inlineStr"/>
      <c r="O343" t="n">
        <v>0</v>
      </c>
      <c r="P343" t="inlineStr"/>
      <c r="Q343" t="inlineStr">
        <is>
          <t>Not stated on course page</t>
        </is>
      </c>
      <c r="S343" t="inlineStr"/>
      <c r="T343" t="inlineStr">
        <is>
          <t>Held: research degree (the policy states no research requirement)</t>
        </is>
      </c>
      <c r="U343" t="inlineStr"/>
      <c r="V343" t="inlineStr">
        <is>
          <t>Filled</t>
        </is>
      </c>
      <c r="W343" t="inlineStr">
        <is>
          <t>January, February, May, September</t>
        </is>
      </c>
      <c r="X343" t="inlineStr">
        <is>
          <t>University adapter</t>
        </is>
      </c>
      <c r="Y343" t="n">
        <v>0</v>
      </c>
      <c r="Z343" t="inlineStr">
        <is>
          <t>No</t>
        </is>
      </c>
      <c r="AA343" t="inlineStr">
        <is>
          <t>Filled</t>
        </is>
      </c>
      <c r="AB343" t="inlineStr">
        <is>
          <t>on campus</t>
        </is>
      </c>
      <c r="AC343" t="inlineStr"/>
      <c r="AD343" t="n">
        <v>0</v>
      </c>
      <c r="AE343" t="inlineStr"/>
      <c r="AF343" t="inlineStr"/>
      <c r="AG343" t="inlineStr"/>
      <c r="AH343" t="inlineStr"/>
      <c r="AI343" t="inlineStr"/>
      <c r="AJ343" t="inlineStr">
        <is>
          <t>Yes</t>
        </is>
      </c>
      <c r="AK343" t="inlineStr"/>
      <c r="AL343" t="inlineStr"/>
      <c r="AM343" t="inlineStr"/>
    </row>
    <row r="344">
      <c r="A344" t="inlineStr">
        <is>
          <t>001050D</t>
        </is>
      </c>
      <c r="B344" t="inlineStr">
        <is>
          <t>Doctor of Philosophy (Medicine)</t>
        </is>
      </c>
      <c r="C344" t="inlineStr">
        <is>
          <t>Doctorate / PhD</t>
        </is>
      </c>
      <c r="D344" t="inlineStr">
        <is>
          <t>Research degree</t>
        </is>
      </c>
      <c r="E344" t="inlineStr">
        <is>
          <t>Advertised: official page in place</t>
        </is>
      </c>
      <c r="F344" t="inlineStr">
        <is>
          <t>https://www.handbook.unsw.edu.au/research/programs/2026/1774</t>
        </is>
      </c>
      <c r="G344" t="inlineStr">
        <is>
          <t>https://www.handbook.unsw.edu.au/research/programs/2026/1774</t>
        </is>
      </c>
      <c r="H344" t="inlineStr">
        <is>
          <t>Read</t>
        </is>
      </c>
      <c r="I344" t="inlineStr">
        <is>
          <t>CRICOS code on page</t>
        </is>
      </c>
      <c r="J344" t="inlineStr"/>
      <c r="K344" t="inlineStr">
        <is>
          <t>Not sent to re-link</t>
        </is>
      </c>
      <c r="L344" t="inlineStr">
        <is>
          <t>Filled</t>
        </is>
      </c>
      <c r="M344" t="inlineStr">
        <is>
          <t>Not stated on course page</t>
        </is>
      </c>
      <c r="N344" t="inlineStr"/>
      <c r="O344" t="n">
        <v>0</v>
      </c>
      <c r="P344" t="inlineStr"/>
      <c r="Q344" t="inlineStr">
        <is>
          <t>Not stated on course page</t>
        </is>
      </c>
      <c r="S344" t="inlineStr"/>
      <c r="T344" t="inlineStr">
        <is>
          <t>Held: research degree (the policy states no research requirement)</t>
        </is>
      </c>
      <c r="U344" t="inlineStr"/>
      <c r="V344" t="inlineStr">
        <is>
          <t>Filled</t>
        </is>
      </c>
      <c r="W344" t="inlineStr">
        <is>
          <t>January, February, May, September</t>
        </is>
      </c>
      <c r="X344" t="inlineStr">
        <is>
          <t>University adapter</t>
        </is>
      </c>
      <c r="Y344" t="n">
        <v>0</v>
      </c>
      <c r="Z344" t="inlineStr">
        <is>
          <t>No</t>
        </is>
      </c>
      <c r="AA344" t="inlineStr">
        <is>
          <t>Filled</t>
        </is>
      </c>
      <c r="AB344" t="inlineStr">
        <is>
          <t>on campus</t>
        </is>
      </c>
      <c r="AC344" t="inlineStr"/>
      <c r="AD344" t="n">
        <v>0</v>
      </c>
      <c r="AE344" t="inlineStr"/>
      <c r="AF344" t="inlineStr"/>
      <c r="AG344" t="inlineStr"/>
      <c r="AH344" t="inlineStr"/>
      <c r="AI344" t="inlineStr"/>
      <c r="AJ344" t="inlineStr">
        <is>
          <t>Yes</t>
        </is>
      </c>
      <c r="AK344" t="inlineStr"/>
      <c r="AL344" t="inlineStr"/>
      <c r="AM344" t="inlineStr"/>
    </row>
    <row r="345">
      <c r="A345" t="inlineStr">
        <is>
          <t>015804G</t>
        </is>
      </c>
      <c r="B345" t="inlineStr">
        <is>
          <t>Doctor of Philosophy (Microbiology and Immunology)</t>
        </is>
      </c>
      <c r="C345" t="inlineStr">
        <is>
          <t>Doctorate / PhD</t>
        </is>
      </c>
      <c r="D345" t="inlineStr">
        <is>
          <t>Research degree</t>
        </is>
      </c>
      <c r="E345" t="inlineStr">
        <is>
          <t>Advertised: official page in place</t>
        </is>
      </c>
      <c r="F345" t="inlineStr">
        <is>
          <t>https://www.handbook.unsw.edu.au/research/programs/2026/1440</t>
        </is>
      </c>
      <c r="G345" t="inlineStr">
        <is>
          <t>https://www.handbook.unsw.edu.au/research/programs/2026/1440</t>
        </is>
      </c>
      <c r="H345" t="inlineStr">
        <is>
          <t>Read</t>
        </is>
      </c>
      <c r="I345" t="inlineStr">
        <is>
          <t>CRICOS code on page</t>
        </is>
      </c>
      <c r="J345" t="inlineStr"/>
      <c r="K345" t="inlineStr">
        <is>
          <t>Not sent to re-link</t>
        </is>
      </c>
      <c r="L345" t="inlineStr">
        <is>
          <t>Filled</t>
        </is>
      </c>
      <c r="M345" t="inlineStr">
        <is>
          <t>Not stated on course page</t>
        </is>
      </c>
      <c r="N345" t="inlineStr"/>
      <c r="O345" t="n">
        <v>0</v>
      </c>
      <c r="P345" t="inlineStr"/>
      <c r="Q345" t="inlineStr">
        <is>
          <t>Not stated on course page</t>
        </is>
      </c>
      <c r="S345" t="inlineStr"/>
      <c r="T345" t="inlineStr">
        <is>
          <t>Held: research degree (the policy states no research requirement)</t>
        </is>
      </c>
      <c r="U345" t="inlineStr"/>
      <c r="V345" t="inlineStr">
        <is>
          <t>Filled</t>
        </is>
      </c>
      <c r="W345" t="inlineStr">
        <is>
          <t>January, February, May, September</t>
        </is>
      </c>
      <c r="X345" t="inlineStr">
        <is>
          <t>University adapter</t>
        </is>
      </c>
      <c r="Y345" t="n">
        <v>0</v>
      </c>
      <c r="Z345" t="inlineStr">
        <is>
          <t>No</t>
        </is>
      </c>
      <c r="AA345" t="inlineStr">
        <is>
          <t>Filled</t>
        </is>
      </c>
      <c r="AB345" t="inlineStr">
        <is>
          <t>on campus</t>
        </is>
      </c>
      <c r="AC345" t="inlineStr"/>
      <c r="AD345" t="n">
        <v>0</v>
      </c>
      <c r="AE345" t="inlineStr"/>
      <c r="AF345" t="inlineStr"/>
      <c r="AG345" t="inlineStr"/>
      <c r="AH345" t="inlineStr"/>
      <c r="AI345" t="inlineStr"/>
      <c r="AJ345" t="inlineStr">
        <is>
          <t>Yes</t>
        </is>
      </c>
      <c r="AK345" t="inlineStr"/>
      <c r="AL345" t="inlineStr"/>
      <c r="AM345" t="inlineStr"/>
    </row>
    <row r="346">
      <c r="A346" t="inlineStr">
        <is>
          <t>001052B</t>
        </is>
      </c>
      <c r="B346" t="inlineStr">
        <is>
          <t>Doctor of Philosophy (Obstetrics &amp; Gynaecology)</t>
        </is>
      </c>
      <c r="C346" t="inlineStr">
        <is>
          <t>Doctorate / PhD</t>
        </is>
      </c>
      <c r="D346" t="inlineStr">
        <is>
          <t>Research degree</t>
        </is>
      </c>
      <c r="E346" t="inlineStr">
        <is>
          <t>Advertised: official page in place</t>
        </is>
      </c>
      <c r="F346" t="inlineStr">
        <is>
          <t>https://www.handbook.unsw.edu.au/research/programs/2026/1820</t>
        </is>
      </c>
      <c r="G346" t="inlineStr">
        <is>
          <t>https://www.handbook.unsw.edu.au/research/programs/2026/1820</t>
        </is>
      </c>
      <c r="H346" t="inlineStr">
        <is>
          <t>Read</t>
        </is>
      </c>
      <c r="I346" t="inlineStr">
        <is>
          <t>CRICOS code on page</t>
        </is>
      </c>
      <c r="J346" t="inlineStr"/>
      <c r="K346" t="inlineStr">
        <is>
          <t>Not sent to re-link</t>
        </is>
      </c>
      <c r="L346" t="inlineStr">
        <is>
          <t>Filled</t>
        </is>
      </c>
      <c r="M346" t="inlineStr">
        <is>
          <t>Not stated on course page</t>
        </is>
      </c>
      <c r="N346" t="inlineStr"/>
      <c r="O346" t="n">
        <v>0</v>
      </c>
      <c r="P346" t="inlineStr"/>
      <c r="Q346" t="inlineStr">
        <is>
          <t>Not stated on course page</t>
        </is>
      </c>
      <c r="S346" t="inlineStr"/>
      <c r="T346" t="inlineStr">
        <is>
          <t>Held: research degree (the policy states no research requirement)</t>
        </is>
      </c>
      <c r="U346" t="inlineStr"/>
      <c r="V346" t="inlineStr">
        <is>
          <t>Filled</t>
        </is>
      </c>
      <c r="W346" t="inlineStr">
        <is>
          <t>January, February, May, September</t>
        </is>
      </c>
      <c r="X346" t="inlineStr">
        <is>
          <t>University adapter</t>
        </is>
      </c>
      <c r="Y346" t="n">
        <v>0</v>
      </c>
      <c r="Z346" t="inlineStr">
        <is>
          <t>No</t>
        </is>
      </c>
      <c r="AA346" t="inlineStr">
        <is>
          <t>Filled</t>
        </is>
      </c>
      <c r="AB346" t="inlineStr">
        <is>
          <t>on campus</t>
        </is>
      </c>
      <c r="AC346" t="inlineStr"/>
      <c r="AD346" t="n">
        <v>0</v>
      </c>
      <c r="AE346" t="inlineStr"/>
      <c r="AF346" t="inlineStr"/>
      <c r="AG346" t="inlineStr"/>
      <c r="AH346" t="inlineStr"/>
      <c r="AI346" t="inlineStr"/>
      <c r="AJ346" t="inlineStr">
        <is>
          <t>Yes</t>
        </is>
      </c>
      <c r="AK346" t="inlineStr"/>
      <c r="AL346" t="inlineStr"/>
      <c r="AM346" t="inlineStr"/>
    </row>
    <row r="347">
      <c r="A347" t="inlineStr">
        <is>
          <t>085800J</t>
        </is>
      </c>
      <c r="B347" t="inlineStr">
        <is>
          <t>Doctor of Philosophy (Oceanography)</t>
        </is>
      </c>
      <c r="C347" t="inlineStr">
        <is>
          <t>Doctorate / PhD</t>
        </is>
      </c>
      <c r="D347" t="inlineStr">
        <is>
          <t>Research degree</t>
        </is>
      </c>
      <c r="E347" t="inlineStr">
        <is>
          <t>Advertised: official page in place</t>
        </is>
      </c>
      <c r="F347" t="inlineStr">
        <is>
          <t>https://www.handbook.unsw.edu.au/research/programs/2026/1082</t>
        </is>
      </c>
      <c r="G347" t="inlineStr">
        <is>
          <t>https://www.handbook.unsw.edu.au/research/programs/2026/1082</t>
        </is>
      </c>
      <c r="H347" t="inlineStr">
        <is>
          <t>Read</t>
        </is>
      </c>
      <c r="I347" t="inlineStr">
        <is>
          <t>CRICOS code on page</t>
        </is>
      </c>
      <c r="J347" t="inlineStr"/>
      <c r="K347" t="inlineStr">
        <is>
          <t>Not sent to re-link</t>
        </is>
      </c>
      <c r="L347" t="inlineStr">
        <is>
          <t>Filled</t>
        </is>
      </c>
      <c r="M347" t="inlineStr">
        <is>
          <t>Not stated on course page</t>
        </is>
      </c>
      <c r="N347" t="inlineStr"/>
      <c r="O347" t="n">
        <v>0</v>
      </c>
      <c r="P347" t="inlineStr"/>
      <c r="Q347" t="inlineStr">
        <is>
          <t>Not stated on course page</t>
        </is>
      </c>
      <c r="S347" t="inlineStr"/>
      <c r="T347" t="inlineStr">
        <is>
          <t>Held: research degree (the policy states no research requirement)</t>
        </is>
      </c>
      <c r="U347" t="inlineStr"/>
      <c r="V347" t="inlineStr">
        <is>
          <t>Filled</t>
        </is>
      </c>
      <c r="W347" t="inlineStr">
        <is>
          <t>January, February, May, September</t>
        </is>
      </c>
      <c r="X347" t="inlineStr">
        <is>
          <t>University adapter</t>
        </is>
      </c>
      <c r="Y347" t="n">
        <v>0</v>
      </c>
      <c r="Z347" t="inlineStr">
        <is>
          <t>No</t>
        </is>
      </c>
      <c r="AA347" t="inlineStr">
        <is>
          <t>Filled</t>
        </is>
      </c>
      <c r="AB347" t="inlineStr">
        <is>
          <t>on campus</t>
        </is>
      </c>
      <c r="AC347" t="inlineStr"/>
      <c r="AD347" t="n">
        <v>0</v>
      </c>
      <c r="AE347" t="inlineStr"/>
      <c r="AF347" t="inlineStr"/>
      <c r="AG347" t="inlineStr"/>
      <c r="AH347" t="inlineStr"/>
      <c r="AI347" t="inlineStr"/>
      <c r="AJ347" t="inlineStr">
        <is>
          <t>Yes</t>
        </is>
      </c>
      <c r="AK347" t="inlineStr"/>
      <c r="AL347" t="inlineStr"/>
      <c r="AM347" t="inlineStr"/>
    </row>
    <row r="348">
      <c r="A348" t="inlineStr">
        <is>
          <t>001060B</t>
        </is>
      </c>
      <c r="B348" t="inlineStr">
        <is>
          <t>Doctor of Philosophy (Optometry)</t>
        </is>
      </c>
      <c r="C348" t="inlineStr">
        <is>
          <t>Doctorate / PhD</t>
        </is>
      </c>
      <c r="D348" t="inlineStr">
        <is>
          <t>Research degree</t>
        </is>
      </c>
      <c r="E348" t="inlineStr">
        <is>
          <t>Advertised: official page in place</t>
        </is>
      </c>
      <c r="F348" t="inlineStr">
        <is>
          <t>https://www.handbook.unsw.edu.au/research/programs/2026/1860</t>
        </is>
      </c>
      <c r="G348" t="inlineStr">
        <is>
          <t>https://www.handbook.unsw.edu.au/research/programs/2026/1860</t>
        </is>
      </c>
      <c r="H348" t="inlineStr">
        <is>
          <t>Read</t>
        </is>
      </c>
      <c r="I348" t="inlineStr">
        <is>
          <t>CRICOS code on page</t>
        </is>
      </c>
      <c r="J348" t="inlineStr"/>
      <c r="K348" t="inlineStr">
        <is>
          <t>Not sent to re-link</t>
        </is>
      </c>
      <c r="L348" t="inlineStr">
        <is>
          <t>Filled</t>
        </is>
      </c>
      <c r="M348" t="inlineStr">
        <is>
          <t>Not stated on course page</t>
        </is>
      </c>
      <c r="N348" t="inlineStr"/>
      <c r="O348" t="n">
        <v>0</v>
      </c>
      <c r="P348" t="inlineStr"/>
      <c r="Q348" t="inlineStr">
        <is>
          <t>Not stated on course page</t>
        </is>
      </c>
      <c r="S348" t="inlineStr"/>
      <c r="T348" t="inlineStr">
        <is>
          <t>Held: research degree (the policy states no research requirement)</t>
        </is>
      </c>
      <c r="U348" t="inlineStr"/>
      <c r="V348" t="inlineStr">
        <is>
          <t>Filled</t>
        </is>
      </c>
      <c r="W348" t="inlineStr">
        <is>
          <t>January, February, May, September</t>
        </is>
      </c>
      <c r="X348" t="inlineStr">
        <is>
          <t>University adapter</t>
        </is>
      </c>
      <c r="Y348" t="n">
        <v>0</v>
      </c>
      <c r="Z348" t="inlineStr">
        <is>
          <t>No</t>
        </is>
      </c>
      <c r="AA348" t="inlineStr">
        <is>
          <t>Filled</t>
        </is>
      </c>
      <c r="AB348" t="inlineStr">
        <is>
          <t>on campus</t>
        </is>
      </c>
      <c r="AC348" t="inlineStr"/>
      <c r="AD348" t="n">
        <v>0</v>
      </c>
      <c r="AE348" t="inlineStr"/>
      <c r="AF348" t="inlineStr"/>
      <c r="AG348" t="inlineStr"/>
      <c r="AH348" t="inlineStr"/>
      <c r="AI348" t="inlineStr"/>
      <c r="AJ348" t="inlineStr">
        <is>
          <t>Yes</t>
        </is>
      </c>
      <c r="AK348" t="inlineStr"/>
      <c r="AL348" t="inlineStr"/>
      <c r="AM348" t="inlineStr"/>
    </row>
    <row r="349">
      <c r="A349" t="inlineStr">
        <is>
          <t>001053A</t>
        </is>
      </c>
      <c r="B349" t="inlineStr">
        <is>
          <t>Doctor of Philosophy (Paediatrics)</t>
        </is>
      </c>
      <c r="C349" t="inlineStr">
        <is>
          <t>Doctorate / PhD</t>
        </is>
      </c>
      <c r="D349" t="inlineStr">
        <is>
          <t>Research degree</t>
        </is>
      </c>
      <c r="E349" t="inlineStr">
        <is>
          <t>Advertised: official page in place</t>
        </is>
      </c>
      <c r="F349" t="inlineStr">
        <is>
          <t>https://www.handbook.unsw.edu.au/research/programs/2026/1830</t>
        </is>
      </c>
      <c r="G349" t="inlineStr">
        <is>
          <t>https://www.handbook.unsw.edu.au/research/programs/2026/1830</t>
        </is>
      </c>
      <c r="H349" t="inlineStr">
        <is>
          <t>Read</t>
        </is>
      </c>
      <c r="I349" t="inlineStr">
        <is>
          <t>CRICOS code on page</t>
        </is>
      </c>
      <c r="J349" t="inlineStr"/>
      <c r="K349" t="inlineStr">
        <is>
          <t>Not sent to re-link</t>
        </is>
      </c>
      <c r="L349" t="inlineStr">
        <is>
          <t>Filled</t>
        </is>
      </c>
      <c r="M349" t="inlineStr">
        <is>
          <t>Not stated on course page</t>
        </is>
      </c>
      <c r="N349" t="inlineStr"/>
      <c r="O349" t="n">
        <v>0</v>
      </c>
      <c r="P349" t="inlineStr"/>
      <c r="Q349" t="inlineStr">
        <is>
          <t>Not stated on course page</t>
        </is>
      </c>
      <c r="S349" t="inlineStr"/>
      <c r="T349" t="inlineStr">
        <is>
          <t>Held: research degree (the policy states no research requirement)</t>
        </is>
      </c>
      <c r="U349" t="inlineStr"/>
      <c r="V349" t="inlineStr">
        <is>
          <t>Filled</t>
        </is>
      </c>
      <c r="W349" t="inlineStr">
        <is>
          <t>January, February, May, September</t>
        </is>
      </c>
      <c r="X349" t="inlineStr">
        <is>
          <t>University adapter</t>
        </is>
      </c>
      <c r="Y349" t="n">
        <v>0</v>
      </c>
      <c r="Z349" t="inlineStr">
        <is>
          <t>No</t>
        </is>
      </c>
      <c r="AA349" t="inlineStr">
        <is>
          <t>Filled</t>
        </is>
      </c>
      <c r="AB349" t="inlineStr">
        <is>
          <t>on campus</t>
        </is>
      </c>
      <c r="AC349" t="inlineStr"/>
      <c r="AD349" t="n">
        <v>0</v>
      </c>
      <c r="AE349" t="inlineStr"/>
      <c r="AF349" t="inlineStr"/>
      <c r="AG349" t="inlineStr"/>
      <c r="AH349" t="inlineStr"/>
      <c r="AI349" t="inlineStr"/>
      <c r="AJ349" t="inlineStr">
        <is>
          <t>Yes</t>
        </is>
      </c>
      <c r="AK349" t="inlineStr"/>
      <c r="AL349" t="inlineStr"/>
      <c r="AM349" t="inlineStr"/>
    </row>
    <row r="350">
      <c r="A350" t="inlineStr">
        <is>
          <t>001054M</t>
        </is>
      </c>
      <c r="B350" t="inlineStr">
        <is>
          <t>Doctor of Philosophy (Pathology)</t>
        </is>
      </c>
      <c r="C350" t="inlineStr">
        <is>
          <t>Doctorate / PhD</t>
        </is>
      </c>
      <c r="D350" t="inlineStr">
        <is>
          <t>Research degree</t>
        </is>
      </c>
      <c r="E350" t="inlineStr">
        <is>
          <t>Page address no longer works</t>
        </is>
      </c>
      <c r="F350" t="inlineStr"/>
      <c r="G350" t="inlineStr">
        <is>
          <t>https://www.handbook.unsw.edu.au/research/programs/2026/1780</t>
        </is>
      </c>
      <c r="H350" t="inlineStr">
        <is>
          <t>Address no longer works</t>
        </is>
      </c>
      <c r="I350" t="inlineStr"/>
      <c r="J350" t="inlineStr"/>
      <c r="K350" t="inlineStr">
        <is>
          <t>Not sent to re-link</t>
        </is>
      </c>
      <c r="L350" t="inlineStr">
        <is>
          <t>Page found, being read</t>
        </is>
      </c>
      <c r="M350" t="inlineStr">
        <is>
          <t>Page found, being read</t>
        </is>
      </c>
      <c r="N350" t="inlineStr"/>
      <c r="O350" t="n">
        <v>0</v>
      </c>
      <c r="P350" t="inlineStr"/>
      <c r="Q350" t="inlineStr">
        <is>
          <t>Page found, being read</t>
        </is>
      </c>
      <c r="S350" t="inlineStr"/>
      <c r="T350" t="inlineStr">
        <is>
          <t>Held: research degree (the policy states no research requirement)</t>
        </is>
      </c>
      <c r="U350" t="inlineStr"/>
      <c r="V350" t="inlineStr">
        <is>
          <t>Page found, being read</t>
        </is>
      </c>
      <c r="W350" t="inlineStr"/>
      <c r="X350" t="inlineStr"/>
      <c r="Y350" t="n">
        <v>0</v>
      </c>
      <c r="Z350" t="inlineStr">
        <is>
          <t>No</t>
        </is>
      </c>
      <c r="AA350" t="inlineStr">
        <is>
          <t>Not stated on course page</t>
        </is>
      </c>
      <c r="AB350" t="inlineStr"/>
      <c r="AC350" t="inlineStr">
        <is>
          <t>Skipped: no allowed source had a value</t>
        </is>
      </c>
      <c r="AD350" t="n">
        <v>0</v>
      </c>
      <c r="AE350" t="inlineStr"/>
      <c r="AF350" t="inlineStr"/>
      <c r="AG350" t="inlineStr"/>
      <c r="AH350" t="inlineStr"/>
      <c r="AI350" t="inlineStr"/>
      <c r="AJ350" t="inlineStr">
        <is>
          <t>Yes</t>
        </is>
      </c>
      <c r="AK350" t="inlineStr"/>
      <c r="AL350" t="inlineStr"/>
      <c r="AM350" t="inlineStr"/>
    </row>
    <row r="351">
      <c r="A351" t="inlineStr">
        <is>
          <t>008978K</t>
        </is>
      </c>
      <c r="B351" t="inlineStr">
        <is>
          <t>Doctor of Philosophy (Physics)</t>
        </is>
      </c>
      <c r="C351" t="inlineStr">
        <is>
          <t>Doctorate / PhD</t>
        </is>
      </c>
      <c r="D351" t="inlineStr">
        <is>
          <t>Research degree</t>
        </is>
      </c>
      <c r="E351" t="inlineStr">
        <is>
          <t>Advertised: official page in place</t>
        </is>
      </c>
      <c r="F351" t="inlineStr">
        <is>
          <t>https://www.handbook.unsw.edu.au/research/programs/2026/1890</t>
        </is>
      </c>
      <c r="G351" t="inlineStr">
        <is>
          <t>https://www.handbook.unsw.edu.au/research/programs/2026/1890</t>
        </is>
      </c>
      <c r="H351" t="inlineStr">
        <is>
          <t>Read</t>
        </is>
      </c>
      <c r="I351" t="inlineStr">
        <is>
          <t>CRICOS code on page</t>
        </is>
      </c>
      <c r="J351" t="inlineStr"/>
      <c r="K351" t="inlineStr">
        <is>
          <t>Not sent to re-link</t>
        </is>
      </c>
      <c r="L351" t="inlineStr">
        <is>
          <t>Filled</t>
        </is>
      </c>
      <c r="M351" t="inlineStr">
        <is>
          <t>Not stated on course page</t>
        </is>
      </c>
      <c r="N351" t="inlineStr"/>
      <c r="O351" t="n">
        <v>0</v>
      </c>
      <c r="P351" t="inlineStr"/>
      <c r="Q351" t="inlineStr">
        <is>
          <t>Not stated on course page</t>
        </is>
      </c>
      <c r="S351" t="inlineStr"/>
      <c r="T351" t="inlineStr">
        <is>
          <t>Held: research degree (the policy states no research requirement)</t>
        </is>
      </c>
      <c r="U351" t="inlineStr"/>
      <c r="V351" t="inlineStr">
        <is>
          <t>Filled</t>
        </is>
      </c>
      <c r="W351" t="inlineStr">
        <is>
          <t>January, February, May, September</t>
        </is>
      </c>
      <c r="X351" t="inlineStr">
        <is>
          <t>University adapter</t>
        </is>
      </c>
      <c r="Y351" t="n">
        <v>0</v>
      </c>
      <c r="Z351" t="inlineStr">
        <is>
          <t>No</t>
        </is>
      </c>
      <c r="AA351" t="inlineStr">
        <is>
          <t>Filled</t>
        </is>
      </c>
      <c r="AB351" t="inlineStr">
        <is>
          <t>on campus</t>
        </is>
      </c>
      <c r="AC351" t="inlineStr"/>
      <c r="AD351" t="n">
        <v>0</v>
      </c>
      <c r="AE351" t="inlineStr"/>
      <c r="AF351" t="inlineStr"/>
      <c r="AG351" t="inlineStr"/>
      <c r="AH351" t="inlineStr"/>
      <c r="AI351" t="inlineStr"/>
      <c r="AJ351" t="inlineStr">
        <is>
          <t>Yes</t>
        </is>
      </c>
      <c r="AK351" t="inlineStr"/>
      <c r="AL351" t="inlineStr"/>
      <c r="AM351" t="inlineStr"/>
    </row>
    <row r="352">
      <c r="A352" t="inlineStr">
        <is>
          <t>085795A</t>
        </is>
      </c>
      <c r="B352" t="inlineStr">
        <is>
          <t>Doctor of Philosophy (Physics)</t>
        </is>
      </c>
      <c r="C352" t="inlineStr">
        <is>
          <t>Doctorate / PhD</t>
        </is>
      </c>
      <c r="D352" t="inlineStr">
        <is>
          <t>Research degree</t>
        </is>
      </c>
      <c r="E352" t="inlineStr">
        <is>
          <t>Advertised: official page in place</t>
        </is>
      </c>
      <c r="F352" t="inlineStr">
        <is>
          <t>https://www.handbook.unsw.edu.au/research/programs/2026/1892</t>
        </is>
      </c>
      <c r="G352" t="inlineStr">
        <is>
          <t>https://www.handbook.unsw.edu.au/research/programs/2026/1892</t>
        </is>
      </c>
      <c r="H352" t="inlineStr">
        <is>
          <t>Read</t>
        </is>
      </c>
      <c r="I352" t="inlineStr">
        <is>
          <t>CRICOS code on page</t>
        </is>
      </c>
      <c r="J352" t="inlineStr"/>
      <c r="K352" t="inlineStr">
        <is>
          <t>Not sent to re-link</t>
        </is>
      </c>
      <c r="L352" t="inlineStr">
        <is>
          <t>Filled</t>
        </is>
      </c>
      <c r="M352" t="inlineStr">
        <is>
          <t>Not stated on course page</t>
        </is>
      </c>
      <c r="N352" t="inlineStr"/>
      <c r="O352" t="n">
        <v>0</v>
      </c>
      <c r="P352" t="inlineStr"/>
      <c r="Q352" t="inlineStr">
        <is>
          <t>Not stated on course page</t>
        </is>
      </c>
      <c r="S352" t="inlineStr"/>
      <c r="T352" t="inlineStr">
        <is>
          <t>Held: research degree (the policy states no research requirement)</t>
        </is>
      </c>
      <c r="U352" t="inlineStr"/>
      <c r="V352" t="inlineStr">
        <is>
          <t>Filled</t>
        </is>
      </c>
      <c r="W352" t="inlineStr">
        <is>
          <t>January, February, May, September</t>
        </is>
      </c>
      <c r="X352" t="inlineStr">
        <is>
          <t>University adapter</t>
        </is>
      </c>
      <c r="Y352" t="n">
        <v>0</v>
      </c>
      <c r="Z352" t="inlineStr">
        <is>
          <t>No</t>
        </is>
      </c>
      <c r="AA352" t="inlineStr">
        <is>
          <t>Filled</t>
        </is>
      </c>
      <c r="AB352" t="inlineStr">
        <is>
          <t>on campus</t>
        </is>
      </c>
      <c r="AC352" t="inlineStr"/>
      <c r="AD352" t="n">
        <v>0</v>
      </c>
      <c r="AE352" t="inlineStr"/>
      <c r="AF352" t="inlineStr"/>
      <c r="AG352" t="inlineStr"/>
      <c r="AH352" t="inlineStr"/>
      <c r="AI352" t="inlineStr"/>
      <c r="AJ352" t="inlineStr">
        <is>
          <t>Yes</t>
        </is>
      </c>
      <c r="AK352" t="inlineStr"/>
      <c r="AL352" t="inlineStr"/>
      <c r="AM352" t="inlineStr"/>
    </row>
    <row r="353">
      <c r="A353" t="inlineStr">
        <is>
          <t>001057G</t>
        </is>
      </c>
      <c r="B353" t="inlineStr">
        <is>
          <t>Doctor of Philosophy (Physiology &amp; Pharmacology)</t>
        </is>
      </c>
      <c r="C353" t="inlineStr">
        <is>
          <t>Doctorate / PhD</t>
        </is>
      </c>
      <c r="D353" t="inlineStr">
        <is>
          <t>Research degree</t>
        </is>
      </c>
      <c r="E353" t="inlineStr">
        <is>
          <t>Page address no longer works</t>
        </is>
      </c>
      <c r="F353" t="inlineStr"/>
      <c r="G353" t="inlineStr">
        <is>
          <t>https://www.handbook.unsw.edu.au/research/programs/2026/1790</t>
        </is>
      </c>
      <c r="H353" t="inlineStr">
        <is>
          <t>Address no longer works</t>
        </is>
      </c>
      <c r="I353" t="inlineStr"/>
      <c r="J353" t="inlineStr"/>
      <c r="K353" t="inlineStr">
        <is>
          <t>Not sent to re-link</t>
        </is>
      </c>
      <c r="L353" t="inlineStr">
        <is>
          <t>Page found, being read</t>
        </is>
      </c>
      <c r="M353" t="inlineStr">
        <is>
          <t>Page found, being read</t>
        </is>
      </c>
      <c r="N353" t="inlineStr"/>
      <c r="O353" t="n">
        <v>0</v>
      </c>
      <c r="P353" t="inlineStr"/>
      <c r="Q353" t="inlineStr">
        <is>
          <t>Page found, being read</t>
        </is>
      </c>
      <c r="S353" t="inlineStr"/>
      <c r="T353" t="inlineStr">
        <is>
          <t>Held: research degree (the policy states no research requirement)</t>
        </is>
      </c>
      <c r="U353" t="inlineStr"/>
      <c r="V353" t="inlineStr">
        <is>
          <t>Page found, being read</t>
        </is>
      </c>
      <c r="W353" t="inlineStr"/>
      <c r="X353" t="inlineStr"/>
      <c r="Y353" t="n">
        <v>0</v>
      </c>
      <c r="Z353" t="inlineStr">
        <is>
          <t>No</t>
        </is>
      </c>
      <c r="AA353" t="inlineStr">
        <is>
          <t>Not stated on course page</t>
        </is>
      </c>
      <c r="AB353" t="inlineStr"/>
      <c r="AC353" t="inlineStr">
        <is>
          <t>Skipped: no allowed source had a value</t>
        </is>
      </c>
      <c r="AD353" t="n">
        <v>0</v>
      </c>
      <c r="AE353" t="inlineStr"/>
      <c r="AF353" t="inlineStr"/>
      <c r="AG353" t="inlineStr"/>
      <c r="AH353" t="inlineStr"/>
      <c r="AI353" t="inlineStr"/>
      <c r="AJ353" t="inlineStr">
        <is>
          <t>Yes</t>
        </is>
      </c>
      <c r="AK353" t="inlineStr"/>
      <c r="AL353" t="inlineStr"/>
      <c r="AM353" t="inlineStr"/>
    </row>
    <row r="354">
      <c r="A354" t="inlineStr">
        <is>
          <t>118075A</t>
        </is>
      </c>
      <c r="B354" t="inlineStr">
        <is>
          <t>Doctor of Philosophy (Population Health)</t>
        </is>
      </c>
      <c r="C354" t="inlineStr">
        <is>
          <t>Doctorate / PhD</t>
        </is>
      </c>
      <c r="D354" t="inlineStr">
        <is>
          <t>Research degree</t>
        </is>
      </c>
      <c r="E354" t="inlineStr">
        <is>
          <t>Advertised: official page in place</t>
        </is>
      </c>
      <c r="F354" t="inlineStr">
        <is>
          <t>https://www.handbook.unsw.edu.au/research/programs/2026/1837</t>
        </is>
      </c>
      <c r="G354" t="inlineStr">
        <is>
          <t>https://www.handbook.unsw.edu.au/research/programs/2026/1837</t>
        </is>
      </c>
      <c r="H354" t="inlineStr">
        <is>
          <t>Read</t>
        </is>
      </c>
      <c r="I354" t="inlineStr">
        <is>
          <t>CRICOS code on page</t>
        </is>
      </c>
      <c r="J354" t="inlineStr"/>
      <c r="K354" t="inlineStr">
        <is>
          <t>Not sent to re-link</t>
        </is>
      </c>
      <c r="L354" t="inlineStr">
        <is>
          <t>Filled</t>
        </is>
      </c>
      <c r="M354" t="inlineStr">
        <is>
          <t>Not stated on course page</t>
        </is>
      </c>
      <c r="N354" t="inlineStr"/>
      <c r="O354" t="n">
        <v>0</v>
      </c>
      <c r="P354" t="inlineStr"/>
      <c r="Q354" t="inlineStr">
        <is>
          <t>Not stated on course page</t>
        </is>
      </c>
      <c r="S354" t="inlineStr"/>
      <c r="T354" t="inlineStr">
        <is>
          <t>Held: research degree (the policy states no research requirement)</t>
        </is>
      </c>
      <c r="U354" t="inlineStr"/>
      <c r="V354" t="inlineStr">
        <is>
          <t>Filled</t>
        </is>
      </c>
      <c r="W354" t="inlineStr">
        <is>
          <t>January, February, May, September</t>
        </is>
      </c>
      <c r="X354" t="inlineStr">
        <is>
          <t>University adapter</t>
        </is>
      </c>
      <c r="Y354" t="n">
        <v>0</v>
      </c>
      <c r="Z354" t="inlineStr">
        <is>
          <t>No</t>
        </is>
      </c>
      <c r="AA354" t="inlineStr">
        <is>
          <t>Filled</t>
        </is>
      </c>
      <c r="AB354" t="inlineStr">
        <is>
          <t>on campus</t>
        </is>
      </c>
      <c r="AC354" t="inlineStr"/>
      <c r="AD354" t="n">
        <v>0</v>
      </c>
      <c r="AE354" t="inlineStr"/>
      <c r="AF354" t="inlineStr"/>
      <c r="AG354" t="inlineStr"/>
      <c r="AH354" t="inlineStr"/>
      <c r="AI354" t="inlineStr"/>
      <c r="AJ354" t="inlineStr">
        <is>
          <t>Yes</t>
        </is>
      </c>
      <c r="AK354" t="inlineStr"/>
      <c r="AL354" t="inlineStr"/>
      <c r="AM354" t="inlineStr"/>
    </row>
    <row r="355">
      <c r="A355" t="inlineStr">
        <is>
          <t>114619F</t>
        </is>
      </c>
      <c r="B355" t="inlineStr">
        <is>
          <t>Doctor of Philosophy (Professional Studies)</t>
        </is>
      </c>
      <c r="C355" t="inlineStr">
        <is>
          <t>Doctorate / PhD</t>
        </is>
      </c>
      <c r="D355" t="inlineStr">
        <is>
          <t>Research degree</t>
        </is>
      </c>
      <c r="E355" t="inlineStr">
        <is>
          <t>Advertised: official page in place</t>
        </is>
      </c>
      <c r="F355" t="inlineStr">
        <is>
          <t>https://www.handbook.unsw.edu.au/research/programs/2026/1083</t>
        </is>
      </c>
      <c r="G355" t="inlineStr">
        <is>
          <t>https://www.handbook.unsw.edu.au/research/programs/2026/1083</t>
        </is>
      </c>
      <c r="H355" t="inlineStr">
        <is>
          <t>Read</t>
        </is>
      </c>
      <c r="I355" t="inlineStr">
        <is>
          <t>CRICOS code on page</t>
        </is>
      </c>
      <c r="J355" t="inlineStr"/>
      <c r="K355" t="inlineStr">
        <is>
          <t>Not sent to re-link</t>
        </is>
      </c>
      <c r="L355" t="inlineStr">
        <is>
          <t>Filled</t>
        </is>
      </c>
      <c r="M355" t="inlineStr">
        <is>
          <t>Not stated on course page</t>
        </is>
      </c>
      <c r="N355" t="inlineStr"/>
      <c r="O355" t="n">
        <v>0</v>
      </c>
      <c r="P355" t="inlineStr"/>
      <c r="Q355" t="inlineStr">
        <is>
          <t>Not stated on course page</t>
        </is>
      </c>
      <c r="S355" t="inlineStr"/>
      <c r="T355" t="inlineStr">
        <is>
          <t>Held: research degree (the policy states no research requirement)</t>
        </is>
      </c>
      <c r="U355" t="inlineStr"/>
      <c r="V355" t="inlineStr">
        <is>
          <t>Filled</t>
        </is>
      </c>
      <c r="W355" t="inlineStr">
        <is>
          <t>January, February, May, September</t>
        </is>
      </c>
      <c r="X355" t="inlineStr">
        <is>
          <t>University adapter</t>
        </is>
      </c>
      <c r="Y355" t="n">
        <v>0</v>
      </c>
      <c r="Z355" t="inlineStr">
        <is>
          <t>No</t>
        </is>
      </c>
      <c r="AA355" t="inlineStr">
        <is>
          <t>Filled</t>
        </is>
      </c>
      <c r="AB355" t="inlineStr">
        <is>
          <t>on campus</t>
        </is>
      </c>
      <c r="AC355" t="inlineStr"/>
      <c r="AD355" t="n">
        <v>0</v>
      </c>
      <c r="AE355" t="inlineStr"/>
      <c r="AF355" t="inlineStr"/>
      <c r="AG355" t="inlineStr"/>
      <c r="AH355" t="inlineStr"/>
      <c r="AI355" t="inlineStr"/>
      <c r="AJ355" t="inlineStr">
        <is>
          <t>Yes</t>
        </is>
      </c>
      <c r="AK355" t="inlineStr"/>
      <c r="AL355" t="inlineStr"/>
      <c r="AM355" t="inlineStr"/>
    </row>
    <row r="356">
      <c r="A356" t="inlineStr">
        <is>
          <t>085776D</t>
        </is>
      </c>
      <c r="B356" t="inlineStr">
        <is>
          <t>Doctor of Philosophy (Project Management)</t>
        </is>
      </c>
      <c r="C356" t="inlineStr">
        <is>
          <t>Doctorate / PhD</t>
        </is>
      </c>
      <c r="D356" t="inlineStr">
        <is>
          <t>Research degree</t>
        </is>
      </c>
      <c r="E356" t="inlineStr">
        <is>
          <t>Advertised: official page in place</t>
        </is>
      </c>
      <c r="F356" t="inlineStr">
        <is>
          <t>https://www.handbook.unsw.edu.au/research/programs/2026/1615</t>
        </is>
      </c>
      <c r="G356" t="inlineStr">
        <is>
          <t>https://www.handbook.unsw.edu.au/research/programs/2026/1615</t>
        </is>
      </c>
      <c r="H356" t="inlineStr">
        <is>
          <t>Read</t>
        </is>
      </c>
      <c r="I356" t="inlineStr">
        <is>
          <t>CRICOS code on page</t>
        </is>
      </c>
      <c r="J356" t="inlineStr"/>
      <c r="K356" t="inlineStr">
        <is>
          <t>Not sent to re-link</t>
        </is>
      </c>
      <c r="L356" t="inlineStr">
        <is>
          <t>Filled</t>
        </is>
      </c>
      <c r="M356" t="inlineStr">
        <is>
          <t>Not stated on course page</t>
        </is>
      </c>
      <c r="N356" t="inlineStr"/>
      <c r="O356" t="n">
        <v>0</v>
      </c>
      <c r="P356" t="inlineStr"/>
      <c r="Q356" t="inlineStr">
        <is>
          <t>Not stated on course page</t>
        </is>
      </c>
      <c r="S356" t="inlineStr"/>
      <c r="T356" t="inlineStr">
        <is>
          <t>Held: research degree (the policy states no research requirement)</t>
        </is>
      </c>
      <c r="U356" t="inlineStr"/>
      <c r="V356" t="inlineStr">
        <is>
          <t>Filled</t>
        </is>
      </c>
      <c r="W356" t="inlineStr">
        <is>
          <t>January, February, May, September</t>
        </is>
      </c>
      <c r="X356" t="inlineStr">
        <is>
          <t>University adapter</t>
        </is>
      </c>
      <c r="Y356" t="n">
        <v>0</v>
      </c>
      <c r="Z356" t="inlineStr">
        <is>
          <t>No</t>
        </is>
      </c>
      <c r="AA356" t="inlineStr">
        <is>
          <t>Filled</t>
        </is>
      </c>
      <c r="AB356" t="inlineStr">
        <is>
          <t>on campus</t>
        </is>
      </c>
      <c r="AC356" t="inlineStr"/>
      <c r="AD356" t="n">
        <v>0</v>
      </c>
      <c r="AE356" t="inlineStr"/>
      <c r="AF356" t="inlineStr"/>
      <c r="AG356" t="inlineStr"/>
      <c r="AH356" t="inlineStr"/>
      <c r="AI356" t="inlineStr"/>
      <c r="AJ356" t="inlineStr">
        <is>
          <t>Yes</t>
        </is>
      </c>
      <c r="AK356" t="inlineStr"/>
      <c r="AL356" t="inlineStr"/>
      <c r="AM356" t="inlineStr"/>
    </row>
    <row r="357">
      <c r="A357" t="inlineStr">
        <is>
          <t>001058G</t>
        </is>
      </c>
      <c r="B357" t="inlineStr">
        <is>
          <t>Doctor of Philosophy (Psychiatry)</t>
        </is>
      </c>
      <c r="C357" t="inlineStr">
        <is>
          <t>Doctorate / PhD</t>
        </is>
      </c>
      <c r="D357" t="inlineStr">
        <is>
          <t>Research degree</t>
        </is>
      </c>
      <c r="E357" t="inlineStr">
        <is>
          <t>Held: page found is for another course</t>
        </is>
      </c>
      <c r="F357" t="inlineStr"/>
      <c r="G357" t="inlineStr">
        <is>
          <t>https://www.handbook.unsw.edu.au/research/programs/2026/1800</t>
        </is>
      </c>
      <c r="H357" t="inlineStr">
        <is>
          <t>Page is for another course</t>
        </is>
      </c>
      <c r="I357" t="inlineStr"/>
      <c r="J357" t="inlineStr"/>
      <c r="K357" t="inlineStr">
        <is>
          <t>Finished, no page: no address from the university's address forms or stored lis</t>
        </is>
      </c>
      <c r="L357" t="inlineStr">
        <is>
          <t>Searching for course page</t>
        </is>
      </c>
      <c r="M357" t="inlineStr">
        <is>
          <t>Searching for course page</t>
        </is>
      </c>
      <c r="N357" t="inlineStr"/>
      <c r="O357" t="n">
        <v>0</v>
      </c>
      <c r="P357" t="inlineStr"/>
      <c r="Q357" t="inlineStr">
        <is>
          <t>Searching for course page</t>
        </is>
      </c>
      <c r="S357" t="inlineStr"/>
      <c r="T357" t="inlineStr">
        <is>
          <t>Held: research degree (the policy states no research requirement)</t>
        </is>
      </c>
      <c r="U357" t="inlineStr"/>
      <c r="V357" t="inlineStr">
        <is>
          <t>Searching for course page</t>
        </is>
      </c>
      <c r="W357" t="inlineStr"/>
      <c r="X357" t="inlineStr"/>
      <c r="Y357" t="n">
        <v>0</v>
      </c>
      <c r="Z357" t="inlineStr">
        <is>
          <t>No</t>
        </is>
      </c>
      <c r="AA357" t="inlineStr">
        <is>
          <t>Not stated on course page</t>
        </is>
      </c>
      <c r="AB357" t="inlineStr"/>
      <c r="AC357" t="inlineStr">
        <is>
          <t>Skipped: no correct course page: the page found is for another course</t>
        </is>
      </c>
      <c r="AD357" t="n">
        <v>0</v>
      </c>
      <c r="AE357" t="inlineStr"/>
      <c r="AF357" t="inlineStr"/>
      <c r="AG357" t="inlineStr"/>
      <c r="AH357" t="inlineStr"/>
      <c r="AI357" t="inlineStr"/>
      <c r="AJ357" t="inlineStr">
        <is>
          <t>Yes</t>
        </is>
      </c>
      <c r="AK357" t="inlineStr"/>
      <c r="AL357" t="inlineStr"/>
      <c r="AM357" t="inlineStr"/>
    </row>
    <row r="358">
      <c r="A358" t="inlineStr">
        <is>
          <t>001047K</t>
        </is>
      </c>
      <c r="B358" t="inlineStr">
        <is>
          <t>Doctor of Philosophy (Psychology)</t>
        </is>
      </c>
      <c r="C358" t="inlineStr">
        <is>
          <t>Doctorate / PhD</t>
        </is>
      </c>
      <c r="D358" t="inlineStr">
        <is>
          <t>Research degree</t>
        </is>
      </c>
      <c r="E358" t="inlineStr">
        <is>
          <t>Advertised: official page in place</t>
        </is>
      </c>
      <c r="F358" t="inlineStr">
        <is>
          <t>https://www.handbook.unsw.edu.au/research/programs/2026/1400</t>
        </is>
      </c>
      <c r="G358" t="inlineStr">
        <is>
          <t>https://www.handbook.unsw.edu.au/research/programs/2026/1400</t>
        </is>
      </c>
      <c r="H358" t="inlineStr">
        <is>
          <t>Read</t>
        </is>
      </c>
      <c r="I358" t="inlineStr">
        <is>
          <t>CRICOS code on page</t>
        </is>
      </c>
      <c r="J358" t="inlineStr"/>
      <c r="K358" t="inlineStr">
        <is>
          <t>Not sent to re-link</t>
        </is>
      </c>
      <c r="L358" t="inlineStr">
        <is>
          <t>Filled</t>
        </is>
      </c>
      <c r="M358" t="inlineStr">
        <is>
          <t>Not stated on course page</t>
        </is>
      </c>
      <c r="N358" t="inlineStr"/>
      <c r="O358" t="n">
        <v>0</v>
      </c>
      <c r="P358" t="inlineStr"/>
      <c r="Q358" t="inlineStr">
        <is>
          <t>Not stated on course page</t>
        </is>
      </c>
      <c r="S358" t="inlineStr"/>
      <c r="T358" t="inlineStr">
        <is>
          <t>Held: research degree (the policy states no research requirement)</t>
        </is>
      </c>
      <c r="U358" t="inlineStr"/>
      <c r="V358" t="inlineStr">
        <is>
          <t>Filled</t>
        </is>
      </c>
      <c r="W358" t="inlineStr">
        <is>
          <t>January, February, May, September</t>
        </is>
      </c>
      <c r="X358" t="inlineStr">
        <is>
          <t>University adapter</t>
        </is>
      </c>
      <c r="Y358" t="n">
        <v>0</v>
      </c>
      <c r="Z358" t="inlineStr">
        <is>
          <t>No</t>
        </is>
      </c>
      <c r="AA358" t="inlineStr">
        <is>
          <t>Filled</t>
        </is>
      </c>
      <c r="AB358" t="inlineStr">
        <is>
          <t>on campus</t>
        </is>
      </c>
      <c r="AC358" t="inlineStr"/>
      <c r="AD358" t="n">
        <v>0</v>
      </c>
      <c r="AE358" t="inlineStr"/>
      <c r="AF358" t="inlineStr"/>
      <c r="AG358" t="inlineStr"/>
      <c r="AH358" t="inlineStr"/>
      <c r="AI358" t="inlineStr"/>
      <c r="AJ358" t="inlineStr">
        <is>
          <t>Yes</t>
        </is>
      </c>
      <c r="AK358" t="inlineStr"/>
      <c r="AL358" t="inlineStr"/>
      <c r="AM358" t="inlineStr"/>
    </row>
    <row r="359">
      <c r="A359" t="inlineStr">
        <is>
          <t>085801G</t>
        </is>
      </c>
      <c r="B359" t="inlineStr">
        <is>
          <t>Doctor of Philosophy (Southeast Asian Social Inquiry)</t>
        </is>
      </c>
      <c r="C359" t="inlineStr">
        <is>
          <t>Doctorate / PhD</t>
        </is>
      </c>
      <c r="D359" t="inlineStr">
        <is>
          <t>Research degree</t>
        </is>
      </c>
      <c r="E359" t="inlineStr">
        <is>
          <t>Held: page found is for another course</t>
        </is>
      </c>
      <c r="F359" t="inlineStr"/>
      <c r="G359" t="inlineStr">
        <is>
          <t>https://www.handbook.unsw.edu.au/research/programs/2026/1203</t>
        </is>
      </c>
      <c r="H359" t="inlineStr">
        <is>
          <t>Page is for another course</t>
        </is>
      </c>
      <c r="I359" t="inlineStr"/>
      <c r="J359" t="inlineStr"/>
      <c r="K359" t="inlineStr">
        <is>
          <t>Finished, no page: no address from the university's address forms or stored lis</t>
        </is>
      </c>
      <c r="L359" t="inlineStr">
        <is>
          <t>Searching for course page</t>
        </is>
      </c>
      <c r="M359" t="inlineStr">
        <is>
          <t>Searching for course page</t>
        </is>
      </c>
      <c r="N359" t="inlineStr"/>
      <c r="O359" t="n">
        <v>0</v>
      </c>
      <c r="P359" t="inlineStr"/>
      <c r="Q359" t="inlineStr">
        <is>
          <t>Searching for course page</t>
        </is>
      </c>
      <c r="S359" t="inlineStr"/>
      <c r="T359" t="inlineStr">
        <is>
          <t>Held: research degree (the policy states no research requirement)</t>
        </is>
      </c>
      <c r="U359" t="inlineStr"/>
      <c r="V359" t="inlineStr">
        <is>
          <t>Searching for course page</t>
        </is>
      </c>
      <c r="W359" t="inlineStr"/>
      <c r="X359" t="inlineStr"/>
      <c r="Y359" t="n">
        <v>0</v>
      </c>
      <c r="Z359" t="inlineStr">
        <is>
          <t>No</t>
        </is>
      </c>
      <c r="AA359" t="inlineStr">
        <is>
          <t>Not stated on course page</t>
        </is>
      </c>
      <c r="AB359" t="inlineStr"/>
      <c r="AC359" t="inlineStr">
        <is>
          <t>Skipped: no correct course page: the page found is for another course</t>
        </is>
      </c>
      <c r="AD359" t="n">
        <v>0</v>
      </c>
      <c r="AE359" t="inlineStr"/>
      <c r="AF359" t="inlineStr"/>
      <c r="AG359" t="inlineStr"/>
      <c r="AH359" t="inlineStr"/>
      <c r="AI359" t="inlineStr"/>
      <c r="AJ359" t="inlineStr">
        <is>
          <t>Yes</t>
        </is>
      </c>
      <c r="AK359" t="inlineStr"/>
      <c r="AL359" t="inlineStr"/>
      <c r="AM359" t="inlineStr"/>
    </row>
    <row r="360">
      <c r="A360" t="inlineStr">
        <is>
          <t>031379G</t>
        </is>
      </c>
      <c r="B360" t="inlineStr">
        <is>
          <t>Doctor of Philosophy (Surgery)</t>
        </is>
      </c>
      <c r="C360" t="inlineStr">
        <is>
          <t>Doctorate / PhD</t>
        </is>
      </c>
      <c r="D360" t="inlineStr">
        <is>
          <t>Research degree</t>
        </is>
      </c>
      <c r="E360" t="inlineStr">
        <is>
          <t>Advertised: official page in place</t>
        </is>
      </c>
      <c r="F360" t="inlineStr">
        <is>
          <t>https://www.handbook.unsw.edu.au/research/programs/2026/1810</t>
        </is>
      </c>
      <c r="G360" t="inlineStr">
        <is>
          <t>https://www.handbook.unsw.edu.au/research/programs/2026/1810</t>
        </is>
      </c>
      <c r="H360" t="inlineStr">
        <is>
          <t>Read</t>
        </is>
      </c>
      <c r="I360" t="inlineStr">
        <is>
          <t>CRICOS code on page</t>
        </is>
      </c>
      <c r="J360" t="inlineStr"/>
      <c r="K360" t="inlineStr">
        <is>
          <t>Not sent to re-link</t>
        </is>
      </c>
      <c r="L360" t="inlineStr">
        <is>
          <t>Filled</t>
        </is>
      </c>
      <c r="M360" t="inlineStr">
        <is>
          <t>Not stated on course page</t>
        </is>
      </c>
      <c r="N360" t="inlineStr"/>
      <c r="O360" t="n">
        <v>0</v>
      </c>
      <c r="P360" t="inlineStr"/>
      <c r="Q360" t="inlineStr">
        <is>
          <t>Not stated on course page</t>
        </is>
      </c>
      <c r="S360" t="inlineStr"/>
      <c r="T360" t="inlineStr">
        <is>
          <t>Held: research degree (the policy states no research requirement)</t>
        </is>
      </c>
      <c r="U360" t="inlineStr"/>
      <c r="V360" t="inlineStr">
        <is>
          <t>Filled</t>
        </is>
      </c>
      <c r="W360" t="inlineStr">
        <is>
          <t>January, February, May, September</t>
        </is>
      </c>
      <c r="X360" t="inlineStr">
        <is>
          <t>University adapter</t>
        </is>
      </c>
      <c r="Y360" t="n">
        <v>0</v>
      </c>
      <c r="Z360" t="inlineStr">
        <is>
          <t>No</t>
        </is>
      </c>
      <c r="AA360" t="inlineStr">
        <is>
          <t>Filled</t>
        </is>
      </c>
      <c r="AB360" t="inlineStr">
        <is>
          <t>on campus</t>
        </is>
      </c>
      <c r="AC360" t="inlineStr"/>
      <c r="AD360" t="n">
        <v>0</v>
      </c>
      <c r="AE360" t="inlineStr"/>
      <c r="AF360" t="inlineStr"/>
      <c r="AG360" t="inlineStr"/>
      <c r="AH360" t="inlineStr"/>
      <c r="AI360" t="inlineStr"/>
      <c r="AJ360" t="inlineStr">
        <is>
          <t>Yes</t>
        </is>
      </c>
      <c r="AK360" t="inlineStr"/>
      <c r="AL360" t="inlineStr"/>
      <c r="AM360" t="inlineStr"/>
    </row>
    <row r="361">
      <c r="A361" t="inlineStr">
        <is>
          <t>085775E</t>
        </is>
      </c>
      <c r="B361" t="inlineStr">
        <is>
          <t>Doctor of Philosophy (Systems Engineering)</t>
        </is>
      </c>
      <c r="C361" t="inlineStr">
        <is>
          <t>Doctorate / PhD</t>
        </is>
      </c>
      <c r="D361" t="inlineStr">
        <is>
          <t>Research degree</t>
        </is>
      </c>
      <c r="E361" t="inlineStr">
        <is>
          <t>Advertised: official page in place</t>
        </is>
      </c>
      <c r="F361" t="inlineStr">
        <is>
          <t>https://www.handbook.unsw.edu.au/research/programs/2026/1620</t>
        </is>
      </c>
      <c r="G361" t="inlineStr">
        <is>
          <t>https://www.handbook.unsw.edu.au/research/programs/2026/1620</t>
        </is>
      </c>
      <c r="H361" t="inlineStr">
        <is>
          <t>Read</t>
        </is>
      </c>
      <c r="I361" t="inlineStr">
        <is>
          <t>CRICOS code on page</t>
        </is>
      </c>
      <c r="J361" t="inlineStr"/>
      <c r="K361" t="inlineStr">
        <is>
          <t>Not sent to re-link</t>
        </is>
      </c>
      <c r="L361" t="inlineStr">
        <is>
          <t>Filled</t>
        </is>
      </c>
      <c r="M361" t="inlineStr">
        <is>
          <t>Not stated on course page</t>
        </is>
      </c>
      <c r="N361" t="inlineStr"/>
      <c r="O361" t="n">
        <v>0</v>
      </c>
      <c r="P361" t="inlineStr"/>
      <c r="Q361" t="inlineStr">
        <is>
          <t>Not stated on course page</t>
        </is>
      </c>
      <c r="S361" t="inlineStr"/>
      <c r="T361" t="inlineStr">
        <is>
          <t>Held: research degree (the policy states no research requirement)</t>
        </is>
      </c>
      <c r="U361" t="inlineStr"/>
      <c r="V361" t="inlineStr">
        <is>
          <t>Filled</t>
        </is>
      </c>
      <c r="W361" t="inlineStr">
        <is>
          <t>January, February, May, September</t>
        </is>
      </c>
      <c r="X361" t="inlineStr">
        <is>
          <t>University adapter</t>
        </is>
      </c>
      <c r="Y361" t="n">
        <v>0</v>
      </c>
      <c r="Z361" t="inlineStr">
        <is>
          <t>No</t>
        </is>
      </c>
      <c r="AA361" t="inlineStr">
        <is>
          <t>Filled</t>
        </is>
      </c>
      <c r="AB361" t="inlineStr">
        <is>
          <t>on campus</t>
        </is>
      </c>
      <c r="AC361" t="inlineStr"/>
      <c r="AD361" t="n">
        <v>0</v>
      </c>
      <c r="AE361" t="inlineStr"/>
      <c r="AF361" t="inlineStr"/>
      <c r="AG361" t="inlineStr"/>
      <c r="AH361" t="inlineStr"/>
      <c r="AI361" t="inlineStr"/>
      <c r="AJ361" t="inlineStr">
        <is>
          <t>Yes</t>
        </is>
      </c>
      <c r="AK361" t="inlineStr"/>
      <c r="AL361" t="inlineStr"/>
      <c r="AM361" t="inlineStr"/>
    </row>
    <row r="362">
      <c r="A362" t="inlineStr">
        <is>
          <t>028106D</t>
        </is>
      </c>
      <c r="B362" t="inlineStr">
        <is>
          <t>Doctor of Philosophy / Master of Psychology (All Options)</t>
        </is>
      </c>
      <c r="C362" t="inlineStr">
        <is>
          <t>Doctorate / PhD</t>
        </is>
      </c>
      <c r="D362" t="inlineStr">
        <is>
          <t>Research degree</t>
        </is>
      </c>
      <c r="E362" t="inlineStr">
        <is>
          <t>Advertised: official page in place</t>
        </is>
      </c>
      <c r="F362" t="inlineStr">
        <is>
          <t>https://www.handbook.unsw.edu.au/research/programs/2026/1405</t>
        </is>
      </c>
      <c r="G362" t="inlineStr">
        <is>
          <t>https://www.handbook.unsw.edu.au/research/programs/2026/1405</t>
        </is>
      </c>
      <c r="H362" t="inlineStr">
        <is>
          <t>Read</t>
        </is>
      </c>
      <c r="I362" t="inlineStr">
        <is>
          <t>CRICOS code on page</t>
        </is>
      </c>
      <c r="J362" t="inlineStr"/>
      <c r="K362" t="inlineStr">
        <is>
          <t>Not sent to re-link</t>
        </is>
      </c>
      <c r="L362" t="inlineStr">
        <is>
          <t>Filled</t>
        </is>
      </c>
      <c r="M362" t="inlineStr">
        <is>
          <t>Not stated on course page</t>
        </is>
      </c>
      <c r="N362" t="inlineStr"/>
      <c r="O362" t="n">
        <v>0</v>
      </c>
      <c r="P362" t="inlineStr"/>
      <c r="Q362" t="inlineStr">
        <is>
          <t>Not stated on course page</t>
        </is>
      </c>
      <c r="S362" t="inlineStr"/>
      <c r="T362" t="inlineStr">
        <is>
          <t>Held: research degree (the policy states no research requirement)</t>
        </is>
      </c>
      <c r="U362" t="inlineStr"/>
      <c r="V362" t="inlineStr">
        <is>
          <t>Filled</t>
        </is>
      </c>
      <c r="W362" t="inlineStr">
        <is>
          <t>February</t>
        </is>
      </c>
      <c r="X362" t="inlineStr">
        <is>
          <t>University adapter</t>
        </is>
      </c>
      <c r="Y362" t="n">
        <v>0</v>
      </c>
      <c r="Z362" t="inlineStr">
        <is>
          <t>No</t>
        </is>
      </c>
      <c r="AA362" t="inlineStr">
        <is>
          <t>Filled</t>
        </is>
      </c>
      <c r="AB362" t="inlineStr">
        <is>
          <t>on campus</t>
        </is>
      </c>
      <c r="AC362" t="inlineStr"/>
      <c r="AD362" t="n">
        <v>0</v>
      </c>
      <c r="AE362" t="inlineStr"/>
      <c r="AF362" t="inlineStr"/>
      <c r="AG362" t="inlineStr"/>
      <c r="AH362" t="inlineStr"/>
      <c r="AI362" t="inlineStr"/>
      <c r="AJ362" t="inlineStr">
        <is>
          <t>Yes</t>
        </is>
      </c>
      <c r="AK362" t="inlineStr"/>
      <c r="AL362" t="inlineStr"/>
      <c r="AM362" t="inlineStr"/>
    </row>
    <row r="363">
      <c r="A363" t="inlineStr">
        <is>
          <t>070978F</t>
        </is>
      </c>
      <c r="B363" t="inlineStr">
        <is>
          <t>Doctor of Philosophy in Vision Science</t>
        </is>
      </c>
      <c r="C363" t="inlineStr">
        <is>
          <t>Doctorate / PhD</t>
        </is>
      </c>
      <c r="D363" t="inlineStr">
        <is>
          <t>Research degree</t>
        </is>
      </c>
      <c r="E363" t="inlineStr">
        <is>
          <t>Advertised: official page in place</t>
        </is>
      </c>
      <c r="F363" t="inlineStr">
        <is>
          <t>https://www.handbook.unsw.edu.au/research/programs/2026/1487</t>
        </is>
      </c>
      <c r="G363" t="inlineStr">
        <is>
          <t>https://www.handbook.unsw.edu.au/research/programs/2026/1487</t>
        </is>
      </c>
      <c r="H363" t="inlineStr">
        <is>
          <t>Read</t>
        </is>
      </c>
      <c r="I363" t="inlineStr">
        <is>
          <t>CRICOS code on page</t>
        </is>
      </c>
      <c r="J363" t="inlineStr"/>
      <c r="K363" t="inlineStr">
        <is>
          <t>Not sent to re-link</t>
        </is>
      </c>
      <c r="L363" t="inlineStr">
        <is>
          <t>Filled</t>
        </is>
      </c>
      <c r="M363" t="inlineStr">
        <is>
          <t>Not stated on course page</t>
        </is>
      </c>
      <c r="N363" t="inlineStr"/>
      <c r="O363" t="n">
        <v>0</v>
      </c>
      <c r="P363" t="inlineStr"/>
      <c r="Q363" t="inlineStr">
        <is>
          <t>Not stated on course page</t>
        </is>
      </c>
      <c r="S363" t="inlineStr"/>
      <c r="T363" t="inlineStr">
        <is>
          <t>Held: research degree (the policy states no research requirement)</t>
        </is>
      </c>
      <c r="U363" t="inlineStr"/>
      <c r="V363" t="inlineStr">
        <is>
          <t>Filled</t>
        </is>
      </c>
      <c r="W363" t="inlineStr">
        <is>
          <t>January, February, May, September</t>
        </is>
      </c>
      <c r="X363" t="inlineStr">
        <is>
          <t>University adapter</t>
        </is>
      </c>
      <c r="Y363" t="n">
        <v>0</v>
      </c>
      <c r="Z363" t="inlineStr">
        <is>
          <t>No</t>
        </is>
      </c>
      <c r="AA363" t="inlineStr">
        <is>
          <t>Filled</t>
        </is>
      </c>
      <c r="AB363" t="inlineStr">
        <is>
          <t>on campus</t>
        </is>
      </c>
      <c r="AC363" t="inlineStr"/>
      <c r="AD363" t="n">
        <v>0</v>
      </c>
      <c r="AE363" t="inlineStr"/>
      <c r="AF363" t="inlineStr"/>
      <c r="AG363" t="inlineStr"/>
      <c r="AH363" t="inlineStr"/>
      <c r="AI363" t="inlineStr"/>
      <c r="AJ363" t="inlineStr">
        <is>
          <t>Yes</t>
        </is>
      </c>
      <c r="AK363" t="inlineStr"/>
      <c r="AL363" t="inlineStr"/>
      <c r="AM363" t="inlineStr"/>
    </row>
    <row r="364">
      <c r="A364" t="inlineStr">
        <is>
          <t>085770K</t>
        </is>
      </c>
      <c r="B364" t="inlineStr">
        <is>
          <t>Doctor of Project Management</t>
        </is>
      </c>
      <c r="C364" t="inlineStr">
        <is>
          <t>Doctorate / PhD</t>
        </is>
      </c>
      <c r="D364" t="inlineStr">
        <is>
          <t>Research degree</t>
        </is>
      </c>
      <c r="E364" t="inlineStr">
        <is>
          <t>Advertised: official page in place</t>
        </is>
      </c>
      <c r="F364" t="inlineStr">
        <is>
          <t>https://www.handbook.unsw.edu.au/research/programs/2026/1742</t>
        </is>
      </c>
      <c r="G364" t="inlineStr">
        <is>
          <t>https://www.handbook.unsw.edu.au/research/programs/2026/1742</t>
        </is>
      </c>
      <c r="H364" t="inlineStr">
        <is>
          <t>Read</t>
        </is>
      </c>
      <c r="I364" t="inlineStr">
        <is>
          <t>CRICOS code on page</t>
        </is>
      </c>
      <c r="J364" t="inlineStr"/>
      <c r="K364" t="inlineStr">
        <is>
          <t>Not sent to re-link</t>
        </is>
      </c>
      <c r="L364" t="inlineStr">
        <is>
          <t>Filled</t>
        </is>
      </c>
      <c r="M364" t="inlineStr">
        <is>
          <t>Not stated on course page</t>
        </is>
      </c>
      <c r="N364" t="inlineStr"/>
      <c r="O364" t="n">
        <v>0</v>
      </c>
      <c r="P364" t="inlineStr"/>
      <c r="Q364" t="inlineStr">
        <is>
          <t>Not stated on course page</t>
        </is>
      </c>
      <c r="S364" t="inlineStr"/>
      <c r="T364" t="inlineStr">
        <is>
          <t>Held: research degree (the policy states no research requirement)</t>
        </is>
      </c>
      <c r="U364" t="inlineStr"/>
      <c r="V364" t="inlineStr">
        <is>
          <t>Filled</t>
        </is>
      </c>
      <c r="W364" t="inlineStr">
        <is>
          <t>January, February, May, September</t>
        </is>
      </c>
      <c r="X364" t="inlineStr">
        <is>
          <t>University adapter</t>
        </is>
      </c>
      <c r="Y364" t="n">
        <v>0</v>
      </c>
      <c r="Z364" t="inlineStr">
        <is>
          <t>No</t>
        </is>
      </c>
      <c r="AA364" t="inlineStr">
        <is>
          <t>Filled</t>
        </is>
      </c>
      <c r="AB364" t="inlineStr">
        <is>
          <t>on campus</t>
        </is>
      </c>
      <c r="AC364" t="inlineStr"/>
      <c r="AD364" t="n">
        <v>0</v>
      </c>
      <c r="AE364" t="inlineStr"/>
      <c r="AF364" t="inlineStr"/>
      <c r="AG364" t="inlineStr"/>
      <c r="AH364" t="inlineStr"/>
      <c r="AI364" t="inlineStr"/>
      <c r="AJ364" t="inlineStr">
        <is>
          <t>Yes</t>
        </is>
      </c>
      <c r="AK364" t="inlineStr"/>
      <c r="AL364" t="inlineStr"/>
      <c r="AM364" t="inlineStr"/>
    </row>
    <row r="365">
      <c r="A365" t="inlineStr">
        <is>
          <t>095832G</t>
        </is>
      </c>
      <c r="B365" t="inlineStr">
        <is>
          <t>Doctor of Public Leadership (Professional Doctorate)</t>
        </is>
      </c>
      <c r="C365" t="inlineStr">
        <is>
          <t>Doctorate / PhD</t>
        </is>
      </c>
      <c r="D365" t="inlineStr">
        <is>
          <t>Research degree</t>
        </is>
      </c>
      <c r="E365" t="inlineStr">
        <is>
          <t>Page address no longer works</t>
        </is>
      </c>
      <c r="F365" t="inlineStr"/>
      <c r="G365" t="inlineStr">
        <is>
          <t>https://www.handbook.unsw.edu.au/research/programs/2026/1751</t>
        </is>
      </c>
      <c r="H365" t="inlineStr">
        <is>
          <t>Address no longer works</t>
        </is>
      </c>
      <c r="I365" t="inlineStr"/>
      <c r="J365" t="inlineStr"/>
      <c r="K365" t="inlineStr">
        <is>
          <t>Finished, no page: no address from the university's address forms or stored lis</t>
        </is>
      </c>
      <c r="L365" t="inlineStr">
        <is>
          <t>Page found, being read</t>
        </is>
      </c>
      <c r="M365" t="inlineStr">
        <is>
          <t>Page found, being read</t>
        </is>
      </c>
      <c r="N365" t="inlineStr"/>
      <c r="O365" t="n">
        <v>0</v>
      </c>
      <c r="P365" t="inlineStr"/>
      <c r="Q365" t="inlineStr">
        <is>
          <t>Page found, being read</t>
        </is>
      </c>
      <c r="S365" t="inlineStr"/>
      <c r="T365" t="inlineStr">
        <is>
          <t>Held: research degree (the policy states no research requirement)</t>
        </is>
      </c>
      <c r="U365" t="inlineStr"/>
      <c r="V365" t="inlineStr">
        <is>
          <t>Page found, being read</t>
        </is>
      </c>
      <c r="W365" t="inlineStr"/>
      <c r="X365" t="inlineStr"/>
      <c r="Y365" t="n">
        <v>0</v>
      </c>
      <c r="Z365" t="inlineStr">
        <is>
          <t>No</t>
        </is>
      </c>
      <c r="AA365" t="inlineStr">
        <is>
          <t>Not stated on course page</t>
        </is>
      </c>
      <c r="AB365" t="inlineStr"/>
      <c r="AC365" t="inlineStr">
        <is>
          <t>Skipped: the page does not state it</t>
        </is>
      </c>
      <c r="AD365" t="n">
        <v>0</v>
      </c>
      <c r="AE365" t="inlineStr"/>
      <c r="AF365" t="inlineStr"/>
      <c r="AG365" t="inlineStr"/>
      <c r="AH365" t="inlineStr"/>
      <c r="AI365" t="inlineStr"/>
      <c r="AJ365" t="inlineStr">
        <is>
          <t>Yes</t>
        </is>
      </c>
      <c r="AK365" t="inlineStr"/>
      <c r="AL365" t="inlineStr"/>
      <c r="AM365" t="inlineStr"/>
    </row>
    <row r="366">
      <c r="A366" t="inlineStr">
        <is>
          <t>096627D</t>
        </is>
      </c>
      <c r="B366" t="inlineStr">
        <is>
          <t>Doctor of Public Management (Professional Doctorate)</t>
        </is>
      </c>
      <c r="C366" t="inlineStr">
        <is>
          <t>Doctorate / PhD</t>
        </is>
      </c>
      <c r="D366" t="inlineStr">
        <is>
          <t>Research degree</t>
        </is>
      </c>
      <c r="E366" t="inlineStr">
        <is>
          <t>Advertised: official page in place</t>
        </is>
      </c>
      <c r="F366" t="inlineStr">
        <is>
          <t>https://www.handbook.unsw.edu.au/research/programs/2026/1739</t>
        </is>
      </c>
      <c r="G366" t="inlineStr">
        <is>
          <t>https://www.handbook.unsw.edu.au/research/programs/2026/1739</t>
        </is>
      </c>
      <c r="H366" t="inlineStr">
        <is>
          <t>Read</t>
        </is>
      </c>
      <c r="I366" t="inlineStr">
        <is>
          <t>CRICOS code on page</t>
        </is>
      </c>
      <c r="J366" t="inlineStr"/>
      <c r="K366" t="inlineStr">
        <is>
          <t>Not sent to re-link</t>
        </is>
      </c>
      <c r="L366" t="inlineStr">
        <is>
          <t>Filled</t>
        </is>
      </c>
      <c r="M366" t="inlineStr">
        <is>
          <t>Not stated on course page</t>
        </is>
      </c>
      <c r="N366" t="inlineStr"/>
      <c r="O366" t="n">
        <v>0</v>
      </c>
      <c r="P366" t="inlineStr"/>
      <c r="Q366" t="inlineStr">
        <is>
          <t>Not stated on course page</t>
        </is>
      </c>
      <c r="S366" t="inlineStr"/>
      <c r="T366" t="inlineStr">
        <is>
          <t>Held: research degree (the policy states no research requirement)</t>
        </is>
      </c>
      <c r="U366" t="inlineStr"/>
      <c r="V366" t="inlineStr">
        <is>
          <t>Filled</t>
        </is>
      </c>
      <c r="W366" t="inlineStr">
        <is>
          <t>January, February, May, September</t>
        </is>
      </c>
      <c r="X366" t="inlineStr">
        <is>
          <t>University adapter</t>
        </is>
      </c>
      <c r="Y366" t="n">
        <v>0</v>
      </c>
      <c r="Z366" t="inlineStr">
        <is>
          <t>No</t>
        </is>
      </c>
      <c r="AA366" t="inlineStr">
        <is>
          <t>Filled</t>
        </is>
      </c>
      <c r="AB366" t="inlineStr">
        <is>
          <t>on campus</t>
        </is>
      </c>
      <c r="AC366" t="inlineStr"/>
      <c r="AD366" t="n">
        <v>0</v>
      </c>
      <c r="AE366" t="inlineStr"/>
      <c r="AF366" t="inlineStr"/>
      <c r="AG366" t="inlineStr"/>
      <c r="AH366" t="inlineStr"/>
      <c r="AI366" t="inlineStr"/>
      <c r="AJ366" t="inlineStr">
        <is>
          <t>Yes</t>
        </is>
      </c>
      <c r="AK366" t="inlineStr"/>
      <c r="AL366" t="inlineStr"/>
      <c r="AM366" t="inlineStr"/>
    </row>
    <row r="367">
      <c r="A367" t="inlineStr">
        <is>
          <t>084048M</t>
        </is>
      </c>
      <c r="B367" t="inlineStr">
        <is>
          <t>Doctor of Public Policy and Governance</t>
        </is>
      </c>
      <c r="C367" t="inlineStr">
        <is>
          <t>Doctorate / PhD</t>
        </is>
      </c>
      <c r="D367" t="inlineStr">
        <is>
          <t>Research degree</t>
        </is>
      </c>
      <c r="E367" t="inlineStr">
        <is>
          <t>Advertised: official page in place</t>
        </is>
      </c>
      <c r="F367" t="inlineStr">
        <is>
          <t>https://www.handbook.unsw.edu.au/research/programs/2026/1746</t>
        </is>
      </c>
      <c r="G367" t="inlineStr">
        <is>
          <t>https://www.handbook.unsw.edu.au/research/programs/2026/1746</t>
        </is>
      </c>
      <c r="H367" t="inlineStr">
        <is>
          <t>Read</t>
        </is>
      </c>
      <c r="I367" t="inlineStr">
        <is>
          <t>CRICOS code on page</t>
        </is>
      </c>
      <c r="J367" t="inlineStr"/>
      <c r="K367" t="inlineStr">
        <is>
          <t>Not sent to re-link</t>
        </is>
      </c>
      <c r="L367" t="inlineStr">
        <is>
          <t>Filled</t>
        </is>
      </c>
      <c r="M367" t="inlineStr">
        <is>
          <t>Not stated on course page</t>
        </is>
      </c>
      <c r="N367" t="inlineStr"/>
      <c r="O367" t="n">
        <v>0</v>
      </c>
      <c r="P367" t="inlineStr"/>
      <c r="Q367" t="inlineStr">
        <is>
          <t>Not stated on course page</t>
        </is>
      </c>
      <c r="S367" t="inlineStr"/>
      <c r="T367" t="inlineStr">
        <is>
          <t>Held: research degree (the policy states no research requirement)</t>
        </is>
      </c>
      <c r="U367" t="inlineStr"/>
      <c r="V367" t="inlineStr">
        <is>
          <t>Filled</t>
        </is>
      </c>
      <c r="W367" t="inlineStr">
        <is>
          <t>January, February, May, September</t>
        </is>
      </c>
      <c r="X367" t="inlineStr">
        <is>
          <t>University adapter</t>
        </is>
      </c>
      <c r="Y367" t="n">
        <v>0</v>
      </c>
      <c r="Z367" t="inlineStr">
        <is>
          <t>No</t>
        </is>
      </c>
      <c r="AA367" t="inlineStr">
        <is>
          <t>Filled</t>
        </is>
      </c>
      <c r="AB367" t="inlineStr">
        <is>
          <t>on campus</t>
        </is>
      </c>
      <c r="AC367" t="inlineStr"/>
      <c r="AD367" t="n">
        <v>0</v>
      </c>
      <c r="AE367" t="inlineStr"/>
      <c r="AF367" t="inlineStr"/>
      <c r="AG367" t="inlineStr"/>
      <c r="AH367" t="inlineStr"/>
      <c r="AI367" t="inlineStr"/>
      <c r="AJ367" t="inlineStr">
        <is>
          <t>Yes</t>
        </is>
      </c>
      <c r="AK367" t="inlineStr"/>
      <c r="AL367" t="inlineStr"/>
      <c r="AM367" t="inlineStr"/>
    </row>
    <row r="368">
      <c r="A368" t="inlineStr">
        <is>
          <t>080467B</t>
        </is>
      </c>
      <c r="B368" t="inlineStr">
        <is>
          <t>Doctor of Social Work</t>
        </is>
      </c>
      <c r="C368" t="inlineStr">
        <is>
          <t>Doctorate / PhD</t>
        </is>
      </c>
      <c r="D368" t="inlineStr">
        <is>
          <t>Research degree</t>
        </is>
      </c>
      <c r="E368" t="inlineStr">
        <is>
          <t>Advertised: official page in place</t>
        </is>
      </c>
      <c r="F368" t="inlineStr">
        <is>
          <t>https://www.handbook.unsw.edu.au/research/programs/2026/1744</t>
        </is>
      </c>
      <c r="G368" t="inlineStr">
        <is>
          <t>https://www.handbook.unsw.edu.au/research/programs/2026/1744</t>
        </is>
      </c>
      <c r="H368" t="inlineStr">
        <is>
          <t>Read</t>
        </is>
      </c>
      <c r="I368" t="inlineStr">
        <is>
          <t>CRICOS code on page</t>
        </is>
      </c>
      <c r="J368" t="inlineStr"/>
      <c r="K368" t="inlineStr">
        <is>
          <t>Not sent to re-link</t>
        </is>
      </c>
      <c r="L368" t="inlineStr">
        <is>
          <t>Filled</t>
        </is>
      </c>
      <c r="M368" t="inlineStr">
        <is>
          <t>Not stated on course page</t>
        </is>
      </c>
      <c r="N368" t="inlineStr"/>
      <c r="O368" t="n">
        <v>0</v>
      </c>
      <c r="P368" t="inlineStr"/>
      <c r="Q368" t="inlineStr">
        <is>
          <t>Not stated on course page</t>
        </is>
      </c>
      <c r="S368" t="inlineStr"/>
      <c r="T368" t="inlineStr">
        <is>
          <t>Held: research degree (the policy states no research requirement)</t>
        </is>
      </c>
      <c r="U368" t="inlineStr"/>
      <c r="V368" t="inlineStr">
        <is>
          <t>Filled</t>
        </is>
      </c>
      <c r="W368" t="inlineStr">
        <is>
          <t>January, February, May, September</t>
        </is>
      </c>
      <c r="X368" t="inlineStr">
        <is>
          <t>University adapter</t>
        </is>
      </c>
      <c r="Y368" t="n">
        <v>0</v>
      </c>
      <c r="Z368" t="inlineStr">
        <is>
          <t>No</t>
        </is>
      </c>
      <c r="AA368" t="inlineStr">
        <is>
          <t>Filled</t>
        </is>
      </c>
      <c r="AB368" t="inlineStr">
        <is>
          <t>on campus</t>
        </is>
      </c>
      <c r="AC368" t="inlineStr"/>
      <c r="AD368" t="n">
        <v>0</v>
      </c>
      <c r="AE368" t="inlineStr"/>
      <c r="AF368" t="inlineStr"/>
      <c r="AG368" t="inlineStr"/>
      <c r="AH368" t="inlineStr"/>
      <c r="AI368" t="inlineStr"/>
      <c r="AJ368" t="inlineStr">
        <is>
          <t>Yes</t>
        </is>
      </c>
      <c r="AK368" t="inlineStr"/>
      <c r="AL368" t="inlineStr"/>
      <c r="AM368" t="inlineStr"/>
    </row>
    <row r="369">
      <c r="A369" t="inlineStr">
        <is>
          <t>085769C</t>
        </is>
      </c>
      <c r="B369" t="inlineStr">
        <is>
          <t>Doctor of Systems Engineering</t>
        </is>
      </c>
      <c r="C369" t="inlineStr">
        <is>
          <t>Doctorate / PhD</t>
        </is>
      </c>
      <c r="D369" t="inlineStr">
        <is>
          <t>Research degree</t>
        </is>
      </c>
      <c r="E369" t="inlineStr">
        <is>
          <t>Advertised: official page in place</t>
        </is>
      </c>
      <c r="F369" t="inlineStr">
        <is>
          <t>https://www.handbook.unsw.edu.au/research/programs/2026/1741</t>
        </is>
      </c>
      <c r="G369" t="inlineStr">
        <is>
          <t>https://www.handbook.unsw.edu.au/research/programs/2026/1741</t>
        </is>
      </c>
      <c r="H369" t="inlineStr">
        <is>
          <t>Read</t>
        </is>
      </c>
      <c r="I369" t="inlineStr">
        <is>
          <t>CRICOS code on page</t>
        </is>
      </c>
      <c r="J369" t="inlineStr"/>
      <c r="K369" t="inlineStr">
        <is>
          <t>Not sent to re-link</t>
        </is>
      </c>
      <c r="L369" t="inlineStr">
        <is>
          <t>Filled</t>
        </is>
      </c>
      <c r="M369" t="inlineStr">
        <is>
          <t>Not stated on course page</t>
        </is>
      </c>
      <c r="N369" t="inlineStr"/>
      <c r="O369" t="n">
        <v>0</v>
      </c>
      <c r="P369" t="inlineStr"/>
      <c r="Q369" t="inlineStr">
        <is>
          <t>Not stated on course page</t>
        </is>
      </c>
      <c r="S369" t="inlineStr"/>
      <c r="T369" t="inlineStr">
        <is>
          <t>Held: research degree (the policy states no research requirement)</t>
        </is>
      </c>
      <c r="U369" t="inlineStr"/>
      <c r="V369" t="inlineStr">
        <is>
          <t>Filled</t>
        </is>
      </c>
      <c r="W369" t="inlineStr">
        <is>
          <t>January, February, May, September</t>
        </is>
      </c>
      <c r="X369" t="inlineStr">
        <is>
          <t>University adapter</t>
        </is>
      </c>
      <c r="Y369" t="n">
        <v>0</v>
      </c>
      <c r="Z369" t="inlineStr">
        <is>
          <t>No</t>
        </is>
      </c>
      <c r="AA369" t="inlineStr">
        <is>
          <t>Filled</t>
        </is>
      </c>
      <c r="AB369" t="inlineStr">
        <is>
          <t>on campus</t>
        </is>
      </c>
      <c r="AC369" t="inlineStr"/>
      <c r="AD369" t="n">
        <v>0</v>
      </c>
      <c r="AE369" t="inlineStr"/>
      <c r="AF369" t="inlineStr"/>
      <c r="AG369" t="inlineStr"/>
      <c r="AH369" t="inlineStr"/>
      <c r="AI369" t="inlineStr"/>
      <c r="AJ369" t="inlineStr">
        <is>
          <t>Yes</t>
        </is>
      </c>
      <c r="AK369" t="inlineStr"/>
      <c r="AL369" t="inlineStr"/>
      <c r="AM369" t="inlineStr"/>
    </row>
    <row r="370">
      <c r="A370" t="inlineStr">
        <is>
          <t>085796M</t>
        </is>
      </c>
      <c r="B370" t="inlineStr">
        <is>
          <t>Doctorate in Information Technology</t>
        </is>
      </c>
      <c r="C370" t="inlineStr">
        <is>
          <t>Doctorate / PhD</t>
        </is>
      </c>
      <c r="D370" t="inlineStr">
        <is>
          <t>Research degree</t>
        </is>
      </c>
      <c r="E370" t="inlineStr">
        <is>
          <t>Advertised: official page in place</t>
        </is>
      </c>
      <c r="F370" t="inlineStr">
        <is>
          <t>https://www.handbook.unsw.edu.au/research/programs/2026/1743</t>
        </is>
      </c>
      <c r="G370" t="inlineStr">
        <is>
          <t>https://www.handbook.unsw.edu.au/research/programs/2026/1743</t>
        </is>
      </c>
      <c r="H370" t="inlineStr">
        <is>
          <t>Read</t>
        </is>
      </c>
      <c r="I370" t="inlineStr">
        <is>
          <t>CRICOS code on page</t>
        </is>
      </c>
      <c r="J370" t="inlineStr"/>
      <c r="K370" t="inlineStr">
        <is>
          <t>Not sent to re-link</t>
        </is>
      </c>
      <c r="L370" t="inlineStr">
        <is>
          <t>Filled</t>
        </is>
      </c>
      <c r="M370" t="inlineStr">
        <is>
          <t>Not stated on course page</t>
        </is>
      </c>
      <c r="N370" t="inlineStr"/>
      <c r="O370" t="n">
        <v>0</v>
      </c>
      <c r="P370" t="inlineStr"/>
      <c r="Q370" t="inlineStr">
        <is>
          <t>Not stated on course page</t>
        </is>
      </c>
      <c r="S370" t="inlineStr"/>
      <c r="T370" t="inlineStr">
        <is>
          <t>Held: research degree (the policy states no research requirement)</t>
        </is>
      </c>
      <c r="U370" t="inlineStr"/>
      <c r="V370" t="inlineStr">
        <is>
          <t>Filled</t>
        </is>
      </c>
      <c r="W370" t="inlineStr">
        <is>
          <t>January, February, May, September</t>
        </is>
      </c>
      <c r="X370" t="inlineStr">
        <is>
          <t>University adapter</t>
        </is>
      </c>
      <c r="Y370" t="n">
        <v>0</v>
      </c>
      <c r="Z370" t="inlineStr">
        <is>
          <t>No</t>
        </is>
      </c>
      <c r="AA370" t="inlineStr">
        <is>
          <t>Filled</t>
        </is>
      </c>
      <c r="AB370" t="inlineStr">
        <is>
          <t>on campus</t>
        </is>
      </c>
      <c r="AC370" t="inlineStr"/>
      <c r="AD370" t="n">
        <v>0</v>
      </c>
      <c r="AE370" t="inlineStr"/>
      <c r="AF370" t="inlineStr"/>
      <c r="AG370" t="inlineStr"/>
      <c r="AH370" t="inlineStr"/>
      <c r="AI370" t="inlineStr"/>
      <c r="AJ370" t="inlineStr">
        <is>
          <t>Yes</t>
        </is>
      </c>
      <c r="AK370" t="inlineStr"/>
      <c r="AL370" t="inlineStr"/>
      <c r="AM370" t="inlineStr"/>
    </row>
    <row r="371">
      <c r="A371" t="inlineStr">
        <is>
          <t>097367M</t>
        </is>
      </c>
      <c r="B371" t="inlineStr">
        <is>
          <t>ExchangeTailored Term3</t>
        </is>
      </c>
      <c r="C371" t="inlineStr">
        <is>
          <t>Non AQF Award</t>
        </is>
      </c>
      <c r="D371" t="inlineStr">
        <is>
          <t>Non-award</t>
        </is>
      </c>
      <c r="E371" t="inlineStr">
        <is>
          <t>No page found</t>
        </is>
      </c>
      <c r="F371" t="inlineStr"/>
      <c r="G371" t="inlineStr"/>
      <c r="H371" t="inlineStr"/>
      <c r="I371" t="inlineStr"/>
      <c r="J371" t="inlineStr"/>
      <c r="K371" t="inlineStr">
        <is>
          <t>Not sent to re-link</t>
        </is>
      </c>
      <c r="L371" t="inlineStr">
        <is>
          <t>Searching for course page</t>
        </is>
      </c>
      <c r="M371" t="inlineStr">
        <is>
          <t>Searching for course page</t>
        </is>
      </c>
      <c r="N371" t="inlineStr"/>
      <c r="O371" t="n">
        <v>0</v>
      </c>
      <c r="P371" t="inlineStr"/>
      <c r="Q371" t="inlineStr">
        <is>
          <t>Searching for course page</t>
        </is>
      </c>
      <c r="S371" t="inlineStr"/>
      <c r="T371" t="inlineStr">
        <is>
          <t>Held: level not covered by the policy default</t>
        </is>
      </c>
      <c r="U371" t="inlineStr"/>
      <c r="V371" t="inlineStr">
        <is>
          <t>Searching for course page</t>
        </is>
      </c>
      <c r="W371" t="inlineStr"/>
      <c r="X371" t="inlineStr"/>
      <c r="Y371" t="n">
        <v>0</v>
      </c>
      <c r="Z371" t="inlineStr">
        <is>
          <t>No</t>
        </is>
      </c>
      <c r="AA371" t="inlineStr">
        <is>
          <t>Not stated on course page</t>
        </is>
      </c>
      <c r="AB371" t="inlineStr"/>
      <c r="AC371" t="inlineStr">
        <is>
          <t>Skipped: no allowed source had a value</t>
        </is>
      </c>
      <c r="AD371" t="n">
        <v>0</v>
      </c>
      <c r="AE371" t="inlineStr"/>
      <c r="AF371" t="inlineStr"/>
      <c r="AG371" t="inlineStr"/>
      <c r="AH371" t="inlineStr"/>
      <c r="AI371" t="inlineStr"/>
      <c r="AJ371" t="inlineStr">
        <is>
          <t>Yes</t>
        </is>
      </c>
      <c r="AK371" t="inlineStr"/>
      <c r="AL371" t="inlineStr"/>
      <c r="AM371" t="inlineStr"/>
    </row>
    <row r="372">
      <c r="A372" t="inlineStr">
        <is>
          <t>095626B</t>
        </is>
      </c>
      <c r="B372" t="inlineStr">
        <is>
          <t>Extended Foundation Program</t>
        </is>
      </c>
      <c r="C372" t="inlineStr">
        <is>
          <t>Non AQF Award</t>
        </is>
      </c>
      <c r="D372" t="inlineStr">
        <is>
          <t>Non-award</t>
        </is>
      </c>
      <c r="E372" t="inlineStr">
        <is>
          <t>Held: page found is for another course</t>
        </is>
      </c>
      <c r="F372" t="inlineStr"/>
      <c r="G372" t="inlineStr">
        <is>
          <t>https://www.inside.unsw.edu.au/campus-life/foundation-studies-program-marks-35-years-impact</t>
        </is>
      </c>
      <c r="H372" t="inlineStr">
        <is>
          <t>Page is for another course</t>
        </is>
      </c>
      <c r="I372" t="inlineStr"/>
      <c r="J372" t="inlineStr"/>
      <c r="K372" t="inlineStr">
        <is>
          <t>Finished, no page: no address from the university's address forms or stored lis</t>
        </is>
      </c>
      <c r="L372" t="inlineStr">
        <is>
          <t>Searching for course page</t>
        </is>
      </c>
      <c r="M372" t="inlineStr">
        <is>
          <t>Searching for course page</t>
        </is>
      </c>
      <c r="N372" t="inlineStr"/>
      <c r="O372" t="n">
        <v>0</v>
      </c>
      <c r="P372" t="inlineStr"/>
      <c r="Q372" t="inlineStr">
        <is>
          <t>Searching for course page</t>
        </is>
      </c>
      <c r="S372" t="inlineStr"/>
      <c r="T372" t="inlineStr">
        <is>
          <t>Held: level not covered by the policy default</t>
        </is>
      </c>
      <c r="U372" t="inlineStr"/>
      <c r="V372" t="inlineStr">
        <is>
          <t>Searching for course page</t>
        </is>
      </c>
      <c r="W372" t="inlineStr"/>
      <c r="X372" t="inlineStr"/>
      <c r="Y372" t="n">
        <v>0</v>
      </c>
      <c r="Z372" t="inlineStr">
        <is>
          <t>No</t>
        </is>
      </c>
      <c r="AA372" t="inlineStr">
        <is>
          <t>Not stated on course page</t>
        </is>
      </c>
      <c r="AB372" t="inlineStr"/>
      <c r="AC372" t="inlineStr">
        <is>
          <t>Skipped: the page does not state it</t>
        </is>
      </c>
      <c r="AD372" t="n">
        <v>0</v>
      </c>
      <c r="AE372" t="inlineStr"/>
      <c r="AF372" t="inlineStr"/>
      <c r="AG372" t="inlineStr"/>
      <c r="AH372" t="inlineStr"/>
      <c r="AI372" t="inlineStr"/>
      <c r="AJ372" t="inlineStr">
        <is>
          <t>Yes</t>
        </is>
      </c>
      <c r="AK372" t="inlineStr"/>
      <c r="AL372" t="inlineStr"/>
      <c r="AM372" t="inlineStr"/>
    </row>
    <row r="373">
      <c r="A373" t="inlineStr">
        <is>
          <t>121321K</t>
        </is>
      </c>
      <c r="B373" t="inlineStr">
        <is>
          <t>Graduate Certificate in Actuarial Analytics</t>
        </is>
      </c>
      <c r="C373" t="inlineStr">
        <is>
          <t>Graduate Certificate</t>
        </is>
      </c>
      <c r="D373" t="inlineStr">
        <is>
          <t>Postgraduate coursework</t>
        </is>
      </c>
      <c r="E373" t="inlineStr">
        <is>
          <t>Advertised: official page in place</t>
        </is>
      </c>
      <c r="F373" t="inlineStr">
        <is>
          <t>https://www.unsw.edu.au/study/postgraduate/graduate-certificate-in-actuarial-analytics</t>
        </is>
      </c>
      <c r="G373" t="inlineStr">
        <is>
          <t>https://www.unsw.edu.au/study/postgraduate/graduate-certificate-in-actuarial-analytics</t>
        </is>
      </c>
      <c r="H373" t="inlineStr">
        <is>
          <t>Read</t>
        </is>
      </c>
      <c r="I373" t="inlineStr">
        <is>
          <t>CRICOS code on page</t>
        </is>
      </c>
      <c r="J373" t="inlineStr"/>
      <c r="K373" t="inlineStr">
        <is>
          <t>Not sent to re-link</t>
        </is>
      </c>
      <c r="L373" t="inlineStr">
        <is>
          <t>Filled</t>
        </is>
      </c>
      <c r="M373" t="inlineStr">
        <is>
          <t>Not stated on course page</t>
        </is>
      </c>
      <c r="N373" t="inlineStr"/>
      <c r="O373" t="n">
        <v>0</v>
      </c>
      <c r="P373" t="inlineStr"/>
      <c r="Q373" t="inlineStr">
        <is>
          <t>Filled</t>
        </is>
      </c>
      <c r="R373" t="n">
        <v>6</v>
      </c>
      <c r="S373" t="inlineStr">
        <is>
          <t>Central English policy</t>
        </is>
      </c>
      <c r="T373" t="inlineStr">
        <is>
          <t>Central rule applies (value agrees)</t>
        </is>
      </c>
      <c r="U373" t="inlineStr"/>
      <c r="V373" t="inlineStr">
        <is>
          <t>Filled</t>
        </is>
      </c>
      <c r="W373" t="inlineStr">
        <is>
          <t>February, May, September</t>
        </is>
      </c>
      <c r="X373" t="inlineStr">
        <is>
          <t>University adapter</t>
        </is>
      </c>
      <c r="Y373" t="n">
        <v>0</v>
      </c>
      <c r="Z373" t="inlineStr">
        <is>
          <t>No</t>
        </is>
      </c>
      <c r="AA373" t="inlineStr">
        <is>
          <t>Filled</t>
        </is>
      </c>
      <c r="AB373" t="inlineStr">
        <is>
          <t>on campus</t>
        </is>
      </c>
      <c r="AC373" t="inlineStr"/>
      <c r="AD373" t="n">
        <v>0</v>
      </c>
      <c r="AE373" t="inlineStr"/>
      <c r="AF373" t="inlineStr"/>
      <c r="AG373" t="inlineStr"/>
      <c r="AH373" t="inlineStr"/>
      <c r="AI373" t="inlineStr"/>
      <c r="AJ373" t="inlineStr"/>
      <c r="AK373" t="inlineStr"/>
      <c r="AL373" t="inlineStr"/>
      <c r="AM373" t="inlineStr"/>
    </row>
    <row r="374">
      <c r="A374" t="inlineStr">
        <is>
          <t>096228G</t>
        </is>
      </c>
      <c r="B374" t="inlineStr">
        <is>
          <t>Graduate Certificate in Advanced City Policy and Practice</t>
        </is>
      </c>
      <c r="C374" t="inlineStr">
        <is>
          <t>Graduate Certificate</t>
        </is>
      </c>
      <c r="D374" t="inlineStr">
        <is>
          <t>Postgraduate coursework</t>
        </is>
      </c>
      <c r="E374" t="inlineStr">
        <is>
          <t>Page address no longer works</t>
        </is>
      </c>
      <c r="F374" t="inlineStr"/>
      <c r="G374" t="inlineStr">
        <is>
          <t>https://www.handbook.unsw.edu.au/postgraduate/programs/2026/7359</t>
        </is>
      </c>
      <c r="H374" t="inlineStr">
        <is>
          <t>Address no longer works</t>
        </is>
      </c>
      <c r="I374" t="inlineStr"/>
      <c r="J374" t="inlineStr"/>
      <c r="K374" t="inlineStr">
        <is>
          <t>Not sent to re-link</t>
        </is>
      </c>
      <c r="L374" t="inlineStr">
        <is>
          <t>Page found, being read</t>
        </is>
      </c>
      <c r="M374" t="inlineStr">
        <is>
          <t>Page found, being read</t>
        </is>
      </c>
      <c r="N374" t="inlineStr"/>
      <c r="O374" t="n">
        <v>0</v>
      </c>
      <c r="P374" t="inlineStr"/>
      <c r="Q374" t="inlineStr">
        <is>
          <t>Filled</t>
        </is>
      </c>
      <c r="R374" t="n">
        <v>6</v>
      </c>
      <c r="S374" t="inlineStr">
        <is>
          <t>Central English policy</t>
        </is>
      </c>
      <c r="T374" t="inlineStr">
        <is>
          <t>Central rule applies (value agrees)</t>
        </is>
      </c>
      <c r="U374" t="inlineStr"/>
      <c r="V374" t="inlineStr">
        <is>
          <t>Page found, being read</t>
        </is>
      </c>
      <c r="W374" t="inlineStr"/>
      <c r="X374" t="inlineStr"/>
      <c r="Y374" t="n">
        <v>0</v>
      </c>
      <c r="Z374" t="inlineStr">
        <is>
          <t>No</t>
        </is>
      </c>
      <c r="AA374" t="inlineStr">
        <is>
          <t>Not stated on course page</t>
        </is>
      </c>
      <c r="AB374" t="inlineStr"/>
      <c r="AC374" t="inlineStr">
        <is>
          <t>Skipped: no allowed source had a value</t>
        </is>
      </c>
      <c r="AD374" t="n">
        <v>0</v>
      </c>
      <c r="AE374" t="inlineStr"/>
      <c r="AF374" t="inlineStr"/>
      <c r="AG374" t="inlineStr"/>
      <c r="AH374" t="inlineStr"/>
      <c r="AI374" t="inlineStr"/>
      <c r="AJ374" t="inlineStr"/>
      <c r="AK374" t="inlineStr"/>
      <c r="AL374" t="inlineStr"/>
      <c r="AM374" t="inlineStr"/>
    </row>
    <row r="375">
      <c r="A375" t="inlineStr">
        <is>
          <t>113672J</t>
        </is>
      </c>
      <c r="B375" t="inlineStr">
        <is>
          <t>Graduate Certificate in Animation and Visual Effects</t>
        </is>
      </c>
      <c r="C375" t="inlineStr">
        <is>
          <t>Graduate Certificate</t>
        </is>
      </c>
      <c r="D375" t="inlineStr">
        <is>
          <t>Postgraduate coursework</t>
        </is>
      </c>
      <c r="E375" t="inlineStr">
        <is>
          <t>Advertised: official page in place</t>
        </is>
      </c>
      <c r="F375" t="inlineStr">
        <is>
          <t>https://www.unsw.edu.au/study/postgraduate/graduate-certificate-in-animation-and-visual-effects</t>
        </is>
      </c>
      <c r="G375" t="inlineStr">
        <is>
          <t>https://www.unsw.edu.au/study/postgraduate/graduate-certificate-in-animation-and-visual-effects</t>
        </is>
      </c>
      <c r="H375" t="inlineStr">
        <is>
          <t>Read</t>
        </is>
      </c>
      <c r="I375" t="inlineStr">
        <is>
          <t>CRICOS code on page</t>
        </is>
      </c>
      <c r="J375" t="inlineStr"/>
      <c r="K375" t="inlineStr">
        <is>
          <t>Not sent to re-link</t>
        </is>
      </c>
      <c r="L375" t="inlineStr">
        <is>
          <t>Filled</t>
        </is>
      </c>
      <c r="M375" t="inlineStr">
        <is>
          <t>Not stated on course page</t>
        </is>
      </c>
      <c r="N375" t="inlineStr"/>
      <c r="O375" t="n">
        <v>0</v>
      </c>
      <c r="P375" t="inlineStr"/>
      <c r="Q375" t="inlineStr">
        <is>
          <t>Filled</t>
        </is>
      </c>
      <c r="R375" t="n">
        <v>6</v>
      </c>
      <c r="S375" t="inlineStr">
        <is>
          <t>Central English policy</t>
        </is>
      </c>
      <c r="T375" t="inlineStr">
        <is>
          <t>Central rule applies (value agrees)</t>
        </is>
      </c>
      <c r="U375" t="inlineStr"/>
      <c r="V375" t="inlineStr">
        <is>
          <t>Filled</t>
        </is>
      </c>
      <c r="W375" t="inlineStr">
        <is>
          <t>February, May, September</t>
        </is>
      </c>
      <c r="X375" t="inlineStr">
        <is>
          <t>University adapter</t>
        </is>
      </c>
      <c r="Y375" t="n">
        <v>0</v>
      </c>
      <c r="Z375" t="inlineStr">
        <is>
          <t>No</t>
        </is>
      </c>
      <c r="AA375" t="inlineStr">
        <is>
          <t>Filled</t>
        </is>
      </c>
      <c r="AB375" t="inlineStr">
        <is>
          <t>on campus</t>
        </is>
      </c>
      <c r="AC375" t="inlineStr"/>
      <c r="AD375" t="n">
        <v>0</v>
      </c>
      <c r="AE375" t="inlineStr"/>
      <c r="AF375" t="inlineStr"/>
      <c r="AG375" t="inlineStr"/>
      <c r="AH375" t="inlineStr"/>
      <c r="AI375" t="inlineStr"/>
      <c r="AJ375" t="inlineStr"/>
      <c r="AK375" t="inlineStr"/>
      <c r="AL375" t="inlineStr"/>
      <c r="AM375" t="inlineStr"/>
    </row>
    <row r="376">
      <c r="A376" t="inlineStr">
        <is>
          <t>103145D</t>
        </is>
      </c>
      <c r="B376" t="inlineStr">
        <is>
          <t>Graduate Certificate in Business Analytics</t>
        </is>
      </c>
      <c r="C376" t="inlineStr">
        <is>
          <t>Graduate Certificate</t>
        </is>
      </c>
      <c r="D376" t="inlineStr">
        <is>
          <t>Postgraduate coursework</t>
        </is>
      </c>
      <c r="E376" t="inlineStr">
        <is>
          <t>Advertised: official page in place</t>
        </is>
      </c>
      <c r="F376" t="inlineStr">
        <is>
          <t>https://www.unsw.edu.au/study/postgraduate/graduate-certificate-in-business-analytics</t>
        </is>
      </c>
      <c r="G376" t="inlineStr">
        <is>
          <t>https://www.unsw.edu.au/study/postgraduate/graduate-certificate-in-business-analytics</t>
        </is>
      </c>
      <c r="H376" t="inlineStr">
        <is>
          <t>Read</t>
        </is>
      </c>
      <c r="I376" t="inlineStr">
        <is>
          <t>CRICOS code on page</t>
        </is>
      </c>
      <c r="J376" t="inlineStr"/>
      <c r="K376" t="inlineStr">
        <is>
          <t>Not sent to re-link</t>
        </is>
      </c>
      <c r="L376" t="inlineStr">
        <is>
          <t>Filled</t>
        </is>
      </c>
      <c r="M376" t="inlineStr">
        <is>
          <t>Filled</t>
        </is>
      </c>
      <c r="N376" t="inlineStr">
        <is>
          <t>31000.00 2026</t>
        </is>
      </c>
      <c r="O376" t="n">
        <v>0</v>
      </c>
      <c r="P376" t="inlineStr">
        <is>
          <t>Page reader</t>
        </is>
      </c>
      <c r="Q376" t="inlineStr">
        <is>
          <t>Filled</t>
        </is>
      </c>
      <c r="R376" t="n">
        <v>7</v>
      </c>
      <c r="S376" t="inlineStr">
        <is>
          <t>Page reader</t>
        </is>
      </c>
      <c r="T376" t="inlineStr">
        <is>
          <t>Central rule applies (course value differs)</t>
        </is>
      </c>
      <c r="U376" t="inlineStr">
        <is>
          <t>Yes: course has IELTS 7.00, central rule says 6</t>
        </is>
      </c>
      <c r="V376" t="inlineStr">
        <is>
          <t>Filled</t>
        </is>
      </c>
      <c r="W376" t="inlineStr">
        <is>
          <t>February, May, September</t>
        </is>
      </c>
      <c r="X376" t="inlineStr">
        <is>
          <t>University adapter</t>
        </is>
      </c>
      <c r="Y376" t="n">
        <v>0</v>
      </c>
      <c r="Z376" t="inlineStr">
        <is>
          <t>No</t>
        </is>
      </c>
      <c r="AA376" t="inlineStr">
        <is>
          <t>Filled</t>
        </is>
      </c>
      <c r="AB376" t="inlineStr">
        <is>
          <t>on campus</t>
        </is>
      </c>
      <c r="AC376" t="inlineStr"/>
      <c r="AD376" t="n">
        <v>0</v>
      </c>
      <c r="AE376" t="inlineStr"/>
      <c r="AF376" t="inlineStr"/>
      <c r="AG376" t="inlineStr"/>
      <c r="AH376" t="inlineStr"/>
      <c r="AI376" t="inlineStr"/>
      <c r="AJ376" t="inlineStr"/>
      <c r="AK376" t="inlineStr"/>
      <c r="AL376" t="inlineStr"/>
      <c r="AM376" t="inlineStr"/>
    </row>
    <row r="377">
      <c r="A377" t="inlineStr">
        <is>
          <t>088357K</t>
        </is>
      </c>
      <c r="B377" t="inlineStr">
        <is>
          <t>Graduate Certificate in City Planning</t>
        </is>
      </c>
      <c r="C377" t="inlineStr">
        <is>
          <t>Graduate Certificate</t>
        </is>
      </c>
      <c r="D377" t="inlineStr">
        <is>
          <t>Postgraduate coursework</t>
        </is>
      </c>
      <c r="E377" t="inlineStr">
        <is>
          <t>Advertised: official page in place</t>
        </is>
      </c>
      <c r="F377" t="inlineStr">
        <is>
          <t>https://www.unsw.edu.au/study/postgraduate/graduate-certificate-in-city-planning</t>
        </is>
      </c>
      <c r="G377" t="inlineStr">
        <is>
          <t>https://www.unsw.edu.au/study/postgraduate/graduate-certificate-in-city-planning</t>
        </is>
      </c>
      <c r="H377" t="inlineStr">
        <is>
          <t>Read</t>
        </is>
      </c>
      <c r="I377" t="inlineStr">
        <is>
          <t>CRICOS code on page</t>
        </is>
      </c>
      <c r="J377" t="inlineStr"/>
      <c r="K377" t="inlineStr">
        <is>
          <t>Not sent to re-link</t>
        </is>
      </c>
      <c r="L377" t="inlineStr">
        <is>
          <t>Filled</t>
        </is>
      </c>
      <c r="M377" t="inlineStr">
        <is>
          <t>Filled</t>
        </is>
      </c>
      <c r="N377" t="inlineStr">
        <is>
          <t>24500.00 2026</t>
        </is>
      </c>
      <c r="O377" t="n">
        <v>0</v>
      </c>
      <c r="P377" t="inlineStr">
        <is>
          <t>Page reader</t>
        </is>
      </c>
      <c r="Q377" t="inlineStr">
        <is>
          <t>Filled</t>
        </is>
      </c>
      <c r="R377" t="n">
        <v>6</v>
      </c>
      <c r="S377" t="inlineStr">
        <is>
          <t>Central English policy</t>
        </is>
      </c>
      <c r="T377" t="inlineStr">
        <is>
          <t>Central rule applies (value agrees)</t>
        </is>
      </c>
      <c r="U377" t="inlineStr"/>
      <c r="V377" t="inlineStr">
        <is>
          <t>Filled</t>
        </is>
      </c>
      <c r="W377" t="inlineStr">
        <is>
          <t>February, September</t>
        </is>
      </c>
      <c r="X377" t="inlineStr">
        <is>
          <t>University adapter</t>
        </is>
      </c>
      <c r="Y377" t="n">
        <v>0</v>
      </c>
      <c r="Z377" t="inlineStr">
        <is>
          <t>No</t>
        </is>
      </c>
      <c r="AA377" t="inlineStr">
        <is>
          <t>Filled</t>
        </is>
      </c>
      <c r="AB377" t="inlineStr">
        <is>
          <t>on campus</t>
        </is>
      </c>
      <c r="AC377" t="inlineStr"/>
      <c r="AD377" t="n">
        <v>0</v>
      </c>
      <c r="AE377" t="inlineStr"/>
      <c r="AF377" t="inlineStr"/>
      <c r="AG377" t="inlineStr"/>
      <c r="AH377" t="inlineStr"/>
      <c r="AI377" t="inlineStr"/>
      <c r="AJ377" t="inlineStr"/>
      <c r="AK377" t="inlineStr"/>
      <c r="AL377" t="inlineStr"/>
      <c r="AM377" t="inlineStr"/>
    </row>
    <row r="378">
      <c r="A378" t="inlineStr">
        <is>
          <t>055630D</t>
        </is>
      </c>
      <c r="B378" t="inlineStr">
        <is>
          <t>Graduate Certificate in Commerce</t>
        </is>
      </c>
      <c r="C378" t="inlineStr">
        <is>
          <t>Graduate Certificate</t>
        </is>
      </c>
      <c r="D378" t="inlineStr">
        <is>
          <t>Postgraduate coursework</t>
        </is>
      </c>
      <c r="E378" t="inlineStr">
        <is>
          <t>Advertised: official page in place</t>
        </is>
      </c>
      <c r="F378" t="inlineStr">
        <is>
          <t>https://www.unsw.edu.au/study/postgraduate/graduate-certificate-in-commerce</t>
        </is>
      </c>
      <c r="G378" t="inlineStr">
        <is>
          <t>https://www.unsw.edu.au/study/postgraduate/graduate-certificate-in-commerce</t>
        </is>
      </c>
      <c r="H378" t="inlineStr">
        <is>
          <t>Read</t>
        </is>
      </c>
      <c r="I378" t="inlineStr">
        <is>
          <t>CRICOS code on page</t>
        </is>
      </c>
      <c r="J378" t="inlineStr"/>
      <c r="K378" t="inlineStr">
        <is>
          <t>Not sent to re-link</t>
        </is>
      </c>
      <c r="L378" t="inlineStr">
        <is>
          <t>Filled</t>
        </is>
      </c>
      <c r="M378" t="inlineStr">
        <is>
          <t>Not stated on course page</t>
        </is>
      </c>
      <c r="N378" t="inlineStr"/>
      <c r="O378" t="n">
        <v>0</v>
      </c>
      <c r="P378" t="inlineStr"/>
      <c r="Q378" t="inlineStr">
        <is>
          <t>Filled</t>
        </is>
      </c>
      <c r="R378" t="n">
        <v>6</v>
      </c>
      <c r="S378" t="inlineStr">
        <is>
          <t>Central English policy</t>
        </is>
      </c>
      <c r="T378" t="inlineStr">
        <is>
          <t>Central rule applies (value agrees)</t>
        </is>
      </c>
      <c r="U378" t="inlineStr"/>
      <c r="V378" t="inlineStr">
        <is>
          <t>Filled</t>
        </is>
      </c>
      <c r="W378" t="inlineStr">
        <is>
          <t>February, May, September</t>
        </is>
      </c>
      <c r="X378" t="inlineStr">
        <is>
          <t>University adapter</t>
        </is>
      </c>
      <c r="Y378" t="n">
        <v>0</v>
      </c>
      <c r="Z378" t="inlineStr">
        <is>
          <t>No</t>
        </is>
      </c>
      <c r="AA378" t="inlineStr">
        <is>
          <t>Filled</t>
        </is>
      </c>
      <c r="AB378" t="inlineStr">
        <is>
          <t>on campus and online</t>
        </is>
      </c>
      <c r="AC378" t="inlineStr"/>
      <c r="AD378" t="n">
        <v>0</v>
      </c>
      <c r="AE378" t="inlineStr"/>
      <c r="AF378" t="inlineStr"/>
      <c r="AG378" t="inlineStr"/>
      <c r="AH378" t="inlineStr"/>
      <c r="AI378" t="inlineStr"/>
      <c r="AJ378" t="inlineStr"/>
      <c r="AK378" t="inlineStr"/>
      <c r="AL378" t="inlineStr"/>
      <c r="AM378" t="inlineStr"/>
    </row>
    <row r="379">
      <c r="A379" t="inlineStr">
        <is>
          <t>052690E</t>
        </is>
      </c>
      <c r="B379" t="inlineStr">
        <is>
          <t>Graduate Certificate in Computing</t>
        </is>
      </c>
      <c r="C379" t="inlineStr">
        <is>
          <t>Graduate Certificate</t>
        </is>
      </c>
      <c r="D379" t="inlineStr">
        <is>
          <t>Postgraduate coursework</t>
        </is>
      </c>
      <c r="E379" t="inlineStr">
        <is>
          <t>Advertised: official page in place</t>
        </is>
      </c>
      <c r="F379" t="inlineStr">
        <is>
          <t>https://www.unsw.edu.au/study/postgraduate/graduate-certificate-in-computing</t>
        </is>
      </c>
      <c r="G379" t="inlineStr">
        <is>
          <t>https://www.unsw.edu.au/study/postgraduate/graduate-certificate-in-computing</t>
        </is>
      </c>
      <c r="H379" t="inlineStr">
        <is>
          <t>Read</t>
        </is>
      </c>
      <c r="I379" t="inlineStr">
        <is>
          <t>CRICOS code on page</t>
        </is>
      </c>
      <c r="J379" t="inlineStr"/>
      <c r="K379" t="inlineStr">
        <is>
          <t>Not sent to re-link</t>
        </is>
      </c>
      <c r="L379" t="inlineStr">
        <is>
          <t>Filled</t>
        </is>
      </c>
      <c r="M379" t="inlineStr">
        <is>
          <t>Not stated on course page</t>
        </is>
      </c>
      <c r="N379" t="inlineStr"/>
      <c r="O379" t="n">
        <v>0</v>
      </c>
      <c r="P379" t="inlineStr"/>
      <c r="Q379" t="inlineStr">
        <is>
          <t>Filled</t>
        </is>
      </c>
      <c r="R379" t="n">
        <v>6</v>
      </c>
      <c r="S379" t="inlineStr">
        <is>
          <t>Central English policy</t>
        </is>
      </c>
      <c r="T379" t="inlineStr">
        <is>
          <t>Central rule applies (value agrees)</t>
        </is>
      </c>
      <c r="U379" t="inlineStr"/>
      <c r="V379" t="inlineStr">
        <is>
          <t>Filled</t>
        </is>
      </c>
      <c r="W379" t="inlineStr">
        <is>
          <t>February, May, September</t>
        </is>
      </c>
      <c r="X379" t="inlineStr">
        <is>
          <t>University adapter</t>
        </is>
      </c>
      <c r="Y379" t="n">
        <v>0</v>
      </c>
      <c r="Z379" t="inlineStr">
        <is>
          <t>No</t>
        </is>
      </c>
      <c r="AA379" t="inlineStr">
        <is>
          <t>Filled</t>
        </is>
      </c>
      <c r="AB379" t="inlineStr">
        <is>
          <t>on campus</t>
        </is>
      </c>
      <c r="AC379" t="inlineStr"/>
      <c r="AD379" t="n">
        <v>0</v>
      </c>
      <c r="AE379" t="inlineStr"/>
      <c r="AF379" t="inlineStr"/>
      <c r="AG379" t="inlineStr"/>
      <c r="AH379" t="inlineStr"/>
      <c r="AI379" t="inlineStr"/>
      <c r="AJ379" t="inlineStr"/>
      <c r="AK379" t="inlineStr"/>
      <c r="AL379" t="inlineStr"/>
      <c r="AM379" t="inlineStr"/>
    </row>
    <row r="380">
      <c r="A380" t="inlineStr">
        <is>
          <t>082203K</t>
        </is>
      </c>
      <c r="B380" t="inlineStr">
        <is>
          <t>Graduate Certificate in Cultural Leadership</t>
        </is>
      </c>
      <c r="C380" t="inlineStr">
        <is>
          <t>Graduate Certificate</t>
        </is>
      </c>
      <c r="D380" t="inlineStr">
        <is>
          <t>Postgraduate coursework</t>
        </is>
      </c>
      <c r="E380" t="inlineStr">
        <is>
          <t>Advertised: official page in place</t>
        </is>
      </c>
      <c r="F380" t="inlineStr">
        <is>
          <t>https://www.unsw.edu.au/study/postgraduate/graduate-certificate-in-cultural-leadership</t>
        </is>
      </c>
      <c r="G380" t="inlineStr">
        <is>
          <t>https://www.unsw.edu.au/study/postgraduate/graduate-certificate-in-cultural-leadership</t>
        </is>
      </c>
      <c r="H380" t="inlineStr">
        <is>
          <t>Read</t>
        </is>
      </c>
      <c r="I380" t="inlineStr">
        <is>
          <t>CRICOS code on page</t>
        </is>
      </c>
      <c r="J380" t="inlineStr"/>
      <c r="K380" t="inlineStr">
        <is>
          <t>Not sent to re-link</t>
        </is>
      </c>
      <c r="L380" t="inlineStr">
        <is>
          <t>Filled</t>
        </is>
      </c>
      <c r="M380" t="inlineStr">
        <is>
          <t>Filled</t>
        </is>
      </c>
      <c r="N380" t="inlineStr">
        <is>
          <t>24500.00 2026</t>
        </is>
      </c>
      <c r="O380" t="n">
        <v>0</v>
      </c>
      <c r="P380" t="inlineStr">
        <is>
          <t>Page reader</t>
        </is>
      </c>
      <c r="Q380" t="inlineStr">
        <is>
          <t>Filled</t>
        </is>
      </c>
      <c r="R380" t="n">
        <v>6</v>
      </c>
      <c r="S380" t="inlineStr">
        <is>
          <t>Central English policy</t>
        </is>
      </c>
      <c r="T380" t="inlineStr">
        <is>
          <t>Central rule applies (value agrees)</t>
        </is>
      </c>
      <c r="U380" t="inlineStr"/>
      <c r="V380" t="inlineStr">
        <is>
          <t>Filled</t>
        </is>
      </c>
      <c r="W380" t="inlineStr">
        <is>
          <t>February, May, September</t>
        </is>
      </c>
      <c r="X380" t="inlineStr">
        <is>
          <t>University adapter</t>
        </is>
      </c>
      <c r="Y380" t="n">
        <v>0</v>
      </c>
      <c r="Z380" t="inlineStr">
        <is>
          <t>No</t>
        </is>
      </c>
      <c r="AA380" t="inlineStr">
        <is>
          <t>Filled</t>
        </is>
      </c>
      <c r="AB380" t="inlineStr">
        <is>
          <t>on campus and online</t>
        </is>
      </c>
      <c r="AC380" t="inlineStr"/>
      <c r="AD380" t="n">
        <v>0</v>
      </c>
      <c r="AE380" t="inlineStr"/>
      <c r="AF380" t="inlineStr"/>
      <c r="AG380" t="inlineStr"/>
      <c r="AH380" t="inlineStr"/>
      <c r="AI380" t="inlineStr"/>
      <c r="AJ380" t="inlineStr"/>
      <c r="AK380" t="inlineStr"/>
      <c r="AL380" t="inlineStr"/>
      <c r="AM380" t="inlineStr"/>
    </row>
    <row r="381">
      <c r="A381" t="inlineStr">
        <is>
          <t>0100702</t>
        </is>
      </c>
      <c r="B381" t="inlineStr">
        <is>
          <t>Graduate Certificate in Data Science and Decisions</t>
        </is>
      </c>
      <c r="C381" t="inlineStr">
        <is>
          <t>Graduate Certificate</t>
        </is>
      </c>
      <c r="D381" t="inlineStr">
        <is>
          <t>Postgraduate coursework</t>
        </is>
      </c>
      <c r="E381" t="inlineStr">
        <is>
          <t>Advertised: official page in place</t>
        </is>
      </c>
      <c r="F381" t="inlineStr">
        <is>
          <t>https://www.unsw.edu.au/study/postgraduate/graduate-certificate-in-data-science-and-decisions</t>
        </is>
      </c>
      <c r="G381" t="inlineStr">
        <is>
          <t>https://www.unsw.edu.au/study/postgraduate/graduate-certificate-in-data-science-and-decisions</t>
        </is>
      </c>
      <c r="H381" t="inlineStr">
        <is>
          <t>Read</t>
        </is>
      </c>
      <c r="I381" t="inlineStr">
        <is>
          <t>CRICOS code on page</t>
        </is>
      </c>
      <c r="J381" t="inlineStr"/>
      <c r="K381" t="inlineStr">
        <is>
          <t>Not sent to re-link</t>
        </is>
      </c>
      <c r="L381" t="inlineStr">
        <is>
          <t>Filled</t>
        </is>
      </c>
      <c r="M381" t="inlineStr">
        <is>
          <t>Not stated on course page</t>
        </is>
      </c>
      <c r="N381" t="inlineStr"/>
      <c r="O381" t="n">
        <v>0</v>
      </c>
      <c r="P381" t="inlineStr"/>
      <c r="Q381" t="inlineStr">
        <is>
          <t>Filled</t>
        </is>
      </c>
      <c r="R381" t="n">
        <v>6</v>
      </c>
      <c r="S381" t="inlineStr">
        <is>
          <t>Central English policy</t>
        </is>
      </c>
      <c r="T381" t="inlineStr">
        <is>
          <t>Central rule applies (value agrees)</t>
        </is>
      </c>
      <c r="U381" t="inlineStr"/>
      <c r="V381" t="inlineStr">
        <is>
          <t>Filled</t>
        </is>
      </c>
      <c r="W381" t="inlineStr">
        <is>
          <t>February, September</t>
        </is>
      </c>
      <c r="X381" t="inlineStr">
        <is>
          <t>University adapter</t>
        </is>
      </c>
      <c r="Y381" t="n">
        <v>0</v>
      </c>
      <c r="Z381" t="inlineStr">
        <is>
          <t>No</t>
        </is>
      </c>
      <c r="AA381" t="inlineStr">
        <is>
          <t>Filled</t>
        </is>
      </c>
      <c r="AB381" t="inlineStr">
        <is>
          <t>on campus</t>
        </is>
      </c>
      <c r="AC381" t="inlineStr"/>
      <c r="AD381" t="n">
        <v>0</v>
      </c>
      <c r="AE381" t="inlineStr"/>
      <c r="AF381" t="inlineStr"/>
      <c r="AG381" t="inlineStr"/>
      <c r="AH381" t="inlineStr"/>
      <c r="AI381" t="inlineStr"/>
      <c r="AJ381" t="inlineStr"/>
      <c r="AK381" t="inlineStr"/>
      <c r="AL381" t="inlineStr"/>
      <c r="AM381" t="inlineStr"/>
    </row>
    <row r="382">
      <c r="A382" t="inlineStr">
        <is>
          <t>082200B</t>
        </is>
      </c>
      <c r="B382" t="inlineStr">
        <is>
          <t>Graduate Certificate in Design</t>
        </is>
      </c>
      <c r="C382" t="inlineStr">
        <is>
          <t>Graduate Certificate</t>
        </is>
      </c>
      <c r="D382" t="inlineStr">
        <is>
          <t>Postgraduate coursework</t>
        </is>
      </c>
      <c r="E382" t="inlineStr">
        <is>
          <t>Advertised: official page in place</t>
        </is>
      </c>
      <c r="F382" t="inlineStr">
        <is>
          <t>https://www.unsw.edu.au/study/postgraduate/graduate-certificate-in-design</t>
        </is>
      </c>
      <c r="G382" t="inlineStr">
        <is>
          <t>https://www.unsw.edu.au/study/postgraduate/graduate-certificate-in-design</t>
        </is>
      </c>
      <c r="H382" t="inlineStr">
        <is>
          <t>Read</t>
        </is>
      </c>
      <c r="I382" t="inlineStr">
        <is>
          <t>CRICOS code on page</t>
        </is>
      </c>
      <c r="J382" t="inlineStr"/>
      <c r="K382" t="inlineStr">
        <is>
          <t>Not sent to re-link</t>
        </is>
      </c>
      <c r="L382" t="inlineStr">
        <is>
          <t>Filled</t>
        </is>
      </c>
      <c r="M382" t="inlineStr">
        <is>
          <t>Filled</t>
        </is>
      </c>
      <c r="N382" t="inlineStr">
        <is>
          <t>24500.00 2026</t>
        </is>
      </c>
      <c r="O382" t="n">
        <v>0</v>
      </c>
      <c r="P382" t="inlineStr">
        <is>
          <t>Page reader</t>
        </is>
      </c>
      <c r="Q382" t="inlineStr">
        <is>
          <t>Filled</t>
        </is>
      </c>
      <c r="R382" t="n">
        <v>6</v>
      </c>
      <c r="S382" t="inlineStr">
        <is>
          <t>Central English policy</t>
        </is>
      </c>
      <c r="T382" t="inlineStr">
        <is>
          <t>Central rule applies (value agrees)</t>
        </is>
      </c>
      <c r="U382" t="inlineStr"/>
      <c r="V382" t="inlineStr">
        <is>
          <t>Filled</t>
        </is>
      </c>
      <c r="W382" t="inlineStr">
        <is>
          <t>February, May, September</t>
        </is>
      </c>
      <c r="X382" t="inlineStr">
        <is>
          <t>University adapter</t>
        </is>
      </c>
      <c r="Y382" t="n">
        <v>0</v>
      </c>
      <c r="Z382" t="inlineStr">
        <is>
          <t>No</t>
        </is>
      </c>
      <c r="AA382" t="inlineStr">
        <is>
          <t>Filled</t>
        </is>
      </c>
      <c r="AB382" t="inlineStr">
        <is>
          <t>on campus</t>
        </is>
      </c>
      <c r="AC382" t="inlineStr"/>
      <c r="AD382" t="n">
        <v>0</v>
      </c>
      <c r="AE382" t="inlineStr"/>
      <c r="AF382" t="inlineStr"/>
      <c r="AG382" t="inlineStr"/>
      <c r="AH382" t="inlineStr"/>
      <c r="AI382" t="inlineStr"/>
      <c r="AJ382" t="inlineStr"/>
      <c r="AK382" t="inlineStr"/>
      <c r="AL382" t="inlineStr"/>
      <c r="AM382" t="inlineStr"/>
    </row>
    <row r="383">
      <c r="A383" t="inlineStr">
        <is>
          <t>080476A</t>
        </is>
      </c>
      <c r="B383" t="inlineStr">
        <is>
          <t>Graduate Certificate in Economics</t>
        </is>
      </c>
      <c r="C383" t="inlineStr">
        <is>
          <t>Graduate Certificate</t>
        </is>
      </c>
      <c r="D383" t="inlineStr">
        <is>
          <t>Postgraduate coursework</t>
        </is>
      </c>
      <c r="E383" t="inlineStr">
        <is>
          <t>Advertised: official page in place</t>
        </is>
      </c>
      <c r="F383" t="inlineStr">
        <is>
          <t>https://www.unsw.edu.au/study/postgraduate/graduate-certificate-in-economics</t>
        </is>
      </c>
      <c r="G383" t="inlineStr">
        <is>
          <t>https://www.unsw.edu.au/study/postgraduate/graduate-certificate-in-economics</t>
        </is>
      </c>
      <c r="H383" t="inlineStr">
        <is>
          <t>Read</t>
        </is>
      </c>
      <c r="I383" t="inlineStr">
        <is>
          <t>CRICOS code on page</t>
        </is>
      </c>
      <c r="J383" t="inlineStr"/>
      <c r="K383" t="inlineStr">
        <is>
          <t>Not sent to re-link</t>
        </is>
      </c>
      <c r="L383" t="inlineStr">
        <is>
          <t>Filled</t>
        </is>
      </c>
      <c r="M383" t="inlineStr">
        <is>
          <t>Not stated on course page</t>
        </is>
      </c>
      <c r="N383" t="inlineStr"/>
      <c r="O383" t="n">
        <v>0</v>
      </c>
      <c r="P383" t="inlineStr"/>
      <c r="Q383" t="inlineStr">
        <is>
          <t>Filled</t>
        </is>
      </c>
      <c r="R383" t="n">
        <v>6</v>
      </c>
      <c r="S383" t="inlineStr">
        <is>
          <t>Central English policy</t>
        </is>
      </c>
      <c r="T383" t="inlineStr">
        <is>
          <t>Central rule applies (value agrees)</t>
        </is>
      </c>
      <c r="U383" t="inlineStr"/>
      <c r="V383" t="inlineStr">
        <is>
          <t>Filled</t>
        </is>
      </c>
      <c r="W383" t="inlineStr">
        <is>
          <t>February, September</t>
        </is>
      </c>
      <c r="X383" t="inlineStr">
        <is>
          <t>University adapter</t>
        </is>
      </c>
      <c r="Y383" t="n">
        <v>0</v>
      </c>
      <c r="Z383" t="inlineStr">
        <is>
          <t>No</t>
        </is>
      </c>
      <c r="AA383" t="inlineStr">
        <is>
          <t>Filled</t>
        </is>
      </c>
      <c r="AB383" t="inlineStr">
        <is>
          <t>on campus</t>
        </is>
      </c>
      <c r="AC383" t="inlineStr"/>
      <c r="AD383" t="n">
        <v>0</v>
      </c>
      <c r="AE383" t="inlineStr"/>
      <c r="AF383" t="inlineStr"/>
      <c r="AG383" t="inlineStr"/>
      <c r="AH383" t="inlineStr"/>
      <c r="AI383" t="inlineStr"/>
      <c r="AJ383" t="inlineStr"/>
      <c r="AK383" t="inlineStr"/>
      <c r="AL383" t="inlineStr"/>
      <c r="AM383" t="inlineStr"/>
    </row>
    <row r="384">
      <c r="A384" t="inlineStr">
        <is>
          <t>082792F</t>
        </is>
      </c>
      <c r="B384" t="inlineStr">
        <is>
          <t>Graduate Certificate in Education</t>
        </is>
      </c>
      <c r="C384" t="inlineStr">
        <is>
          <t>Graduate Certificate</t>
        </is>
      </c>
      <c r="D384" t="inlineStr">
        <is>
          <t>Postgraduate coursework</t>
        </is>
      </c>
      <c r="E384" t="inlineStr">
        <is>
          <t>Advertised: official page in place</t>
        </is>
      </c>
      <c r="F384" t="inlineStr">
        <is>
          <t>https://www.unsw.edu.au/study/postgraduate/graduate-certificate-in-education</t>
        </is>
      </c>
      <c r="G384" t="inlineStr">
        <is>
          <t>https://www.unsw.edu.au/study/postgraduate/graduate-certificate-in-education</t>
        </is>
      </c>
      <c r="H384" t="inlineStr">
        <is>
          <t>Read</t>
        </is>
      </c>
      <c r="I384" t="inlineStr">
        <is>
          <t>CRICOS code on page</t>
        </is>
      </c>
      <c r="J384" t="inlineStr"/>
      <c r="K384" t="inlineStr">
        <is>
          <t>Not sent to re-link</t>
        </is>
      </c>
      <c r="L384" t="inlineStr">
        <is>
          <t>Filled</t>
        </is>
      </c>
      <c r="M384" t="inlineStr">
        <is>
          <t>Filled</t>
        </is>
      </c>
      <c r="N384" t="inlineStr">
        <is>
          <t>23500.00 2026</t>
        </is>
      </c>
      <c r="O384" t="n">
        <v>0</v>
      </c>
      <c r="P384" t="inlineStr">
        <is>
          <t>Page reader</t>
        </is>
      </c>
      <c r="Q384" t="inlineStr">
        <is>
          <t>Filled</t>
        </is>
      </c>
      <c r="R384" t="n">
        <v>6</v>
      </c>
      <c r="S384" t="inlineStr">
        <is>
          <t>Central English policy</t>
        </is>
      </c>
      <c r="T384" t="inlineStr">
        <is>
          <t>Central rule applies (value agrees)</t>
        </is>
      </c>
      <c r="U384" t="inlineStr"/>
      <c r="V384" t="inlineStr">
        <is>
          <t>Filled</t>
        </is>
      </c>
      <c r="W384" t="inlineStr">
        <is>
          <t>February, May, September</t>
        </is>
      </c>
      <c r="X384" t="inlineStr">
        <is>
          <t>University adapter</t>
        </is>
      </c>
      <c r="Y384" t="n">
        <v>0</v>
      </c>
      <c r="Z384" t="inlineStr">
        <is>
          <t>No</t>
        </is>
      </c>
      <c r="AA384" t="inlineStr">
        <is>
          <t>Filled</t>
        </is>
      </c>
      <c r="AB384" t="inlineStr">
        <is>
          <t>on campus and online</t>
        </is>
      </c>
      <c r="AC384" t="inlineStr"/>
      <c r="AD384" t="n">
        <v>0</v>
      </c>
      <c r="AE384" t="inlineStr"/>
      <c r="AF384" t="inlineStr"/>
      <c r="AG384" t="inlineStr"/>
      <c r="AH384" t="inlineStr"/>
      <c r="AI384" t="inlineStr"/>
      <c r="AJ384" t="inlineStr"/>
      <c r="AK384" t="inlineStr"/>
      <c r="AL384" t="inlineStr"/>
      <c r="AM384" t="inlineStr"/>
    </row>
    <row r="385">
      <c r="A385" t="inlineStr">
        <is>
          <t>068874K</t>
        </is>
      </c>
      <c r="B385" t="inlineStr">
        <is>
          <t>Graduate Certificate in Educational Leadership</t>
        </is>
      </c>
      <c r="C385" t="inlineStr">
        <is>
          <t>Graduate Certificate</t>
        </is>
      </c>
      <c r="D385" t="inlineStr">
        <is>
          <t>Postgraduate coursework</t>
        </is>
      </c>
      <c r="E385" t="inlineStr">
        <is>
          <t>Advertised: official page in place</t>
        </is>
      </c>
      <c r="F385" t="inlineStr">
        <is>
          <t>https://www.unsw.edu.au/study/postgraduate/graduate-certificate-in-educational-leadership</t>
        </is>
      </c>
      <c r="G385" t="inlineStr">
        <is>
          <t>https://www.unsw.edu.au/study/postgraduate/graduate-certificate-in-educational-leadership</t>
        </is>
      </c>
      <c r="H385" t="inlineStr">
        <is>
          <t>Read</t>
        </is>
      </c>
      <c r="I385" t="inlineStr">
        <is>
          <t>CRICOS code on page</t>
        </is>
      </c>
      <c r="J385" t="inlineStr"/>
      <c r="K385" t="inlineStr">
        <is>
          <t>Not sent to re-link</t>
        </is>
      </c>
      <c r="L385" t="inlineStr">
        <is>
          <t>Filled</t>
        </is>
      </c>
      <c r="M385" t="inlineStr">
        <is>
          <t>Filled</t>
        </is>
      </c>
      <c r="N385" t="inlineStr">
        <is>
          <t>23500.00 2026</t>
        </is>
      </c>
      <c r="O385" t="n">
        <v>0</v>
      </c>
      <c r="P385" t="inlineStr">
        <is>
          <t>Page reader</t>
        </is>
      </c>
      <c r="Q385" t="inlineStr">
        <is>
          <t>Filled</t>
        </is>
      </c>
      <c r="R385" t="n">
        <v>6</v>
      </c>
      <c r="S385" t="inlineStr">
        <is>
          <t>Central English policy</t>
        </is>
      </c>
      <c r="T385" t="inlineStr">
        <is>
          <t>Central rule applies (value agrees)</t>
        </is>
      </c>
      <c r="U385" t="inlineStr"/>
      <c r="V385" t="inlineStr">
        <is>
          <t>Filled</t>
        </is>
      </c>
      <c r="W385" t="inlineStr">
        <is>
          <t>February, May, September</t>
        </is>
      </c>
      <c r="X385" t="inlineStr">
        <is>
          <t>University adapter</t>
        </is>
      </c>
      <c r="Y385" t="n">
        <v>0</v>
      </c>
      <c r="Z385" t="inlineStr">
        <is>
          <t>No</t>
        </is>
      </c>
      <c r="AA385" t="inlineStr">
        <is>
          <t>Filled</t>
        </is>
      </c>
      <c r="AB385" t="inlineStr">
        <is>
          <t>on campus and online</t>
        </is>
      </c>
      <c r="AC385" t="inlineStr"/>
      <c r="AD385" t="n">
        <v>0</v>
      </c>
      <c r="AE385" t="inlineStr"/>
      <c r="AF385" t="inlineStr"/>
      <c r="AG385" t="inlineStr"/>
      <c r="AH385" t="inlineStr"/>
      <c r="AI385" t="inlineStr"/>
      <c r="AJ385" t="inlineStr"/>
      <c r="AK385" t="inlineStr"/>
      <c r="AL385" t="inlineStr"/>
      <c r="AM385" t="inlineStr"/>
    </row>
    <row r="386">
      <c r="A386" t="inlineStr">
        <is>
          <t>084278G</t>
        </is>
      </c>
      <c r="B386" t="inlineStr">
        <is>
          <t>Graduate Certificate in Engineering Science</t>
        </is>
      </c>
      <c r="C386" t="inlineStr">
        <is>
          <t>Graduate Certificate</t>
        </is>
      </c>
      <c r="D386" t="inlineStr">
        <is>
          <t>Postgraduate coursework</t>
        </is>
      </c>
      <c r="E386" t="inlineStr">
        <is>
          <t>Advertised: official page in place</t>
        </is>
      </c>
      <c r="F386" t="inlineStr">
        <is>
          <t>https://www.unsw.edu.au/study/postgraduate/graduate-certificate-in-engineering-science</t>
        </is>
      </c>
      <c r="G386" t="inlineStr">
        <is>
          <t>https://www.unsw.edu.au/study/postgraduate/graduate-certificate-in-engineering-science</t>
        </is>
      </c>
      <c r="H386" t="inlineStr">
        <is>
          <t>Read</t>
        </is>
      </c>
      <c r="I386" t="inlineStr">
        <is>
          <t>Exact title match</t>
        </is>
      </c>
      <c r="J386" t="inlineStr"/>
      <c r="K386" t="inlineStr">
        <is>
          <t>Not sent to re-link</t>
        </is>
      </c>
      <c r="L386" t="inlineStr">
        <is>
          <t>Filled</t>
        </is>
      </c>
      <c r="M386" t="inlineStr">
        <is>
          <t>Filled</t>
        </is>
      </c>
      <c r="N386" t="inlineStr">
        <is>
          <t>61000.00 2026</t>
        </is>
      </c>
      <c r="O386" t="n">
        <v>0</v>
      </c>
      <c r="P386" t="inlineStr">
        <is>
          <t>University adapter</t>
        </is>
      </c>
      <c r="Q386" t="inlineStr">
        <is>
          <t>Filled</t>
        </is>
      </c>
      <c r="R386" t="n">
        <v>6</v>
      </c>
      <c r="S386" t="inlineStr">
        <is>
          <t>Central English policy</t>
        </is>
      </c>
      <c r="T386" t="inlineStr">
        <is>
          <t>Central rule applies (value agrees)</t>
        </is>
      </c>
      <c r="U386" t="inlineStr"/>
      <c r="V386" t="inlineStr">
        <is>
          <t>Filled</t>
        </is>
      </c>
      <c r="W386" t="inlineStr">
        <is>
          <t>February, May, September</t>
        </is>
      </c>
      <c r="X386" t="inlineStr">
        <is>
          <t>University adapter</t>
        </is>
      </c>
      <c r="Y386" t="n">
        <v>0</v>
      </c>
      <c r="Z386" t="inlineStr">
        <is>
          <t>No</t>
        </is>
      </c>
      <c r="AA386" t="inlineStr">
        <is>
          <t>Filled</t>
        </is>
      </c>
      <c r="AB386" t="inlineStr">
        <is>
          <t>on campus</t>
        </is>
      </c>
      <c r="AC386" t="inlineStr"/>
      <c r="AD386" t="n">
        <v>0</v>
      </c>
      <c r="AE386" t="inlineStr"/>
      <c r="AF386" t="inlineStr"/>
      <c r="AG386" t="inlineStr"/>
      <c r="AH386" t="inlineStr"/>
      <c r="AI386" t="inlineStr"/>
      <c r="AJ386" t="inlineStr"/>
      <c r="AK386" t="inlineStr"/>
      <c r="AL386" t="inlineStr"/>
      <c r="AM386" t="inlineStr"/>
    </row>
    <row r="387">
      <c r="A387" t="inlineStr">
        <is>
          <t>113782C</t>
        </is>
      </c>
      <c r="B387" t="inlineStr">
        <is>
          <t>Graduate Certificate in Engineering Science</t>
        </is>
      </c>
      <c r="C387" t="inlineStr">
        <is>
          <t>Graduate Certificate</t>
        </is>
      </c>
      <c r="D387" t="inlineStr">
        <is>
          <t>Postgraduate coursework</t>
        </is>
      </c>
      <c r="E387" t="inlineStr">
        <is>
          <t>Advertised: official page in place</t>
        </is>
      </c>
      <c r="F387" t="inlineStr">
        <is>
          <t>https://www.unsw.edu.au/study/postgraduate/graduate-certificate-in-engineering-science</t>
        </is>
      </c>
      <c r="G387" t="inlineStr">
        <is>
          <t>https://www.unsw.edu.au/study/postgraduate/graduate-certificate-in-engineering-science</t>
        </is>
      </c>
      <c r="H387" t="inlineStr">
        <is>
          <t>Read</t>
        </is>
      </c>
      <c r="I387" t="inlineStr">
        <is>
          <t>CRICOS code on page</t>
        </is>
      </c>
      <c r="J387" t="inlineStr"/>
      <c r="K387" t="inlineStr">
        <is>
          <t>Not sent to re-link</t>
        </is>
      </c>
      <c r="L387" t="inlineStr">
        <is>
          <t>Filled</t>
        </is>
      </c>
      <c r="M387" t="inlineStr">
        <is>
          <t>Filled</t>
        </is>
      </c>
      <c r="N387" t="inlineStr">
        <is>
          <t>61000.00 2026</t>
        </is>
      </c>
      <c r="O387" t="n">
        <v>0</v>
      </c>
      <c r="P387" t="inlineStr">
        <is>
          <t>University adapter</t>
        </is>
      </c>
      <c r="Q387" t="inlineStr">
        <is>
          <t>Filled</t>
        </is>
      </c>
      <c r="R387" t="n">
        <v>6</v>
      </c>
      <c r="S387" t="inlineStr">
        <is>
          <t>Central English policy</t>
        </is>
      </c>
      <c r="T387" t="inlineStr">
        <is>
          <t>Central rule applies (value agrees)</t>
        </is>
      </c>
      <c r="U387" t="inlineStr"/>
      <c r="V387" t="inlineStr">
        <is>
          <t>Filled</t>
        </is>
      </c>
      <c r="W387" t="inlineStr">
        <is>
          <t>February, May, September</t>
        </is>
      </c>
      <c r="X387" t="inlineStr">
        <is>
          <t>University adapter</t>
        </is>
      </c>
      <c r="Y387" t="n">
        <v>0</v>
      </c>
      <c r="Z387" t="inlineStr">
        <is>
          <t>No</t>
        </is>
      </c>
      <c r="AA387" t="inlineStr">
        <is>
          <t>Filled</t>
        </is>
      </c>
      <c r="AB387" t="inlineStr">
        <is>
          <t>on campus</t>
        </is>
      </c>
      <c r="AC387" t="inlineStr"/>
      <c r="AD387" t="n">
        <v>0</v>
      </c>
      <c r="AE387" t="inlineStr"/>
      <c r="AF387" t="inlineStr"/>
      <c r="AG387" t="inlineStr"/>
      <c r="AH387" t="inlineStr"/>
      <c r="AI387" t="inlineStr"/>
      <c r="AJ387" t="inlineStr"/>
      <c r="AK387" t="inlineStr"/>
      <c r="AL387" t="inlineStr"/>
      <c r="AM387" t="inlineStr"/>
    </row>
    <row r="388">
      <c r="A388" t="inlineStr">
        <is>
          <t>075260D</t>
        </is>
      </c>
      <c r="B388" t="inlineStr">
        <is>
          <t>Graduate Certificate in Financial Planning</t>
        </is>
      </c>
      <c r="C388" t="inlineStr">
        <is>
          <t>Graduate Certificate</t>
        </is>
      </c>
      <c r="D388" t="inlineStr">
        <is>
          <t>Postgraduate coursework</t>
        </is>
      </c>
      <c r="E388" t="inlineStr">
        <is>
          <t>Held: page found is for another course</t>
        </is>
      </c>
      <c r="F388" t="inlineStr"/>
      <c r="G388" t="inlineStr">
        <is>
          <t>https://www.unsw.edu.au/study/postgraduate/graduate-certificate-in-applied-finance</t>
        </is>
      </c>
      <c r="H388" t="inlineStr">
        <is>
          <t>Page is for another course</t>
        </is>
      </c>
      <c r="I388" t="inlineStr"/>
      <c r="J388" t="inlineStr"/>
      <c r="K388" t="inlineStr">
        <is>
          <t>Finished, no page: no address from the university's address forms or stored lis</t>
        </is>
      </c>
      <c r="L388" t="inlineStr">
        <is>
          <t>Searching for course page</t>
        </is>
      </c>
      <c r="M388" t="inlineStr">
        <is>
          <t>Searching for course page</t>
        </is>
      </c>
      <c r="N388" t="inlineStr"/>
      <c r="O388" t="n">
        <v>0</v>
      </c>
      <c r="P388" t="inlineStr"/>
      <c r="Q388" t="inlineStr">
        <is>
          <t>Filled</t>
        </is>
      </c>
      <c r="R388" t="n">
        <v>6</v>
      </c>
      <c r="S388" t="inlineStr">
        <is>
          <t>Central English policy</t>
        </is>
      </c>
      <c r="T388" t="inlineStr">
        <is>
          <t>Central rule applies (value agrees)</t>
        </is>
      </c>
      <c r="U388" t="inlineStr"/>
      <c r="V388" t="inlineStr">
        <is>
          <t>Searching for course page</t>
        </is>
      </c>
      <c r="W388" t="inlineStr"/>
      <c r="X388" t="inlineStr"/>
      <c r="Y388" t="n">
        <v>0</v>
      </c>
      <c r="Z388" t="inlineStr">
        <is>
          <t>No</t>
        </is>
      </c>
      <c r="AA388" t="inlineStr">
        <is>
          <t>Not stated on course page</t>
        </is>
      </c>
      <c r="AB388" t="inlineStr"/>
      <c r="AC388" t="inlineStr">
        <is>
          <t>Skipped: no correct course page: the page found is for another course</t>
        </is>
      </c>
      <c r="AD388" t="n">
        <v>1</v>
      </c>
      <c r="AE388" t="inlineStr"/>
      <c r="AF388" t="inlineStr"/>
      <c r="AG388" t="inlineStr"/>
      <c r="AH388" t="inlineStr"/>
      <c r="AI388" t="inlineStr"/>
      <c r="AJ388" t="inlineStr"/>
      <c r="AK388" t="inlineStr"/>
      <c r="AL388" t="inlineStr"/>
      <c r="AM388" t="inlineStr"/>
    </row>
    <row r="389">
      <c r="A389" t="inlineStr">
        <is>
          <t>113783B</t>
        </is>
      </c>
      <c r="B389" t="inlineStr">
        <is>
          <t>Graduate Certificate in Food Science</t>
        </is>
      </c>
      <c r="C389" t="inlineStr">
        <is>
          <t>Graduate Certificate</t>
        </is>
      </c>
      <c r="D389" t="inlineStr">
        <is>
          <t>Postgraduate coursework</t>
        </is>
      </c>
      <c r="E389" t="inlineStr">
        <is>
          <t>Advertised: official page in place</t>
        </is>
      </c>
      <c r="F389" t="inlineStr">
        <is>
          <t>https://www.unsw.edu.au/study/postgraduate/graduate-certificate-in-food-science</t>
        </is>
      </c>
      <c r="G389" t="inlineStr">
        <is>
          <t>https://www.unsw.edu.au/study/postgraduate/graduate-certificate-in-food-science</t>
        </is>
      </c>
      <c r="H389" t="inlineStr">
        <is>
          <t>Read</t>
        </is>
      </c>
      <c r="I389" t="inlineStr">
        <is>
          <t>CRICOS code on page</t>
        </is>
      </c>
      <c r="J389" t="inlineStr"/>
      <c r="K389" t="inlineStr">
        <is>
          <t>Not sent to re-link</t>
        </is>
      </c>
      <c r="L389" t="inlineStr">
        <is>
          <t>Filled</t>
        </is>
      </c>
      <c r="M389" t="inlineStr">
        <is>
          <t>Filled</t>
        </is>
      </c>
      <c r="N389" t="inlineStr">
        <is>
          <t>61000.00 2026</t>
        </is>
      </c>
      <c r="O389" t="n">
        <v>0</v>
      </c>
      <c r="P389" t="inlineStr">
        <is>
          <t>University adapter</t>
        </is>
      </c>
      <c r="Q389" t="inlineStr">
        <is>
          <t>Filled</t>
        </is>
      </c>
      <c r="R389" t="n">
        <v>6</v>
      </c>
      <c r="S389" t="inlineStr">
        <is>
          <t>Central English policy</t>
        </is>
      </c>
      <c r="T389" t="inlineStr">
        <is>
          <t>Central rule applies (value agrees)</t>
        </is>
      </c>
      <c r="U389" t="inlineStr"/>
      <c r="V389" t="inlineStr">
        <is>
          <t>Filled</t>
        </is>
      </c>
      <c r="W389" t="inlineStr">
        <is>
          <t>February, May, September</t>
        </is>
      </c>
      <c r="X389" t="inlineStr">
        <is>
          <t>University adapter</t>
        </is>
      </c>
      <c r="Y389" t="n">
        <v>0</v>
      </c>
      <c r="Z389" t="inlineStr">
        <is>
          <t>No</t>
        </is>
      </c>
      <c r="AA389" t="inlineStr">
        <is>
          <t>Filled</t>
        </is>
      </c>
      <c r="AB389" t="inlineStr">
        <is>
          <t>on campus</t>
        </is>
      </c>
      <c r="AC389" t="inlineStr"/>
      <c r="AD389" t="n">
        <v>0</v>
      </c>
      <c r="AE389" t="inlineStr"/>
      <c r="AF389" t="inlineStr"/>
      <c r="AG389" t="inlineStr"/>
      <c r="AH389" t="inlineStr"/>
      <c r="AI389" t="inlineStr"/>
      <c r="AJ389" t="inlineStr"/>
      <c r="AK389" t="inlineStr"/>
      <c r="AL389" t="inlineStr"/>
      <c r="AM389" t="inlineStr"/>
    </row>
    <row r="390">
      <c r="A390" t="inlineStr">
        <is>
          <t>102631J</t>
        </is>
      </c>
      <c r="B390" t="inlineStr">
        <is>
          <t>Graduate Certificate in Food Science</t>
        </is>
      </c>
      <c r="C390" t="inlineStr">
        <is>
          <t>Graduate Certificate</t>
        </is>
      </c>
      <c r="D390" t="inlineStr">
        <is>
          <t>Postgraduate coursework</t>
        </is>
      </c>
      <c r="E390" t="inlineStr">
        <is>
          <t>Advertised: official page in place</t>
        </is>
      </c>
      <c r="F390" t="inlineStr">
        <is>
          <t>https://www.unsw.edu.au/study/postgraduate/graduate-certificate-in-food-science</t>
        </is>
      </c>
      <c r="G390" t="inlineStr">
        <is>
          <t>https://www.unsw.edu.au/study/postgraduate/graduate-certificate-in-food-science</t>
        </is>
      </c>
      <c r="H390" t="inlineStr">
        <is>
          <t>Read</t>
        </is>
      </c>
      <c r="I390" t="inlineStr">
        <is>
          <t>Exact title match</t>
        </is>
      </c>
      <c r="J390" t="inlineStr"/>
      <c r="K390" t="inlineStr">
        <is>
          <t>Not sent to re-link</t>
        </is>
      </c>
      <c r="L390" t="inlineStr">
        <is>
          <t>Filled</t>
        </is>
      </c>
      <c r="M390" t="inlineStr">
        <is>
          <t>Filled</t>
        </is>
      </c>
      <c r="N390" t="inlineStr">
        <is>
          <t>61000.00 2026</t>
        </is>
      </c>
      <c r="O390" t="n">
        <v>0</v>
      </c>
      <c r="P390" t="inlineStr">
        <is>
          <t>University adapter</t>
        </is>
      </c>
      <c r="Q390" t="inlineStr">
        <is>
          <t>Filled</t>
        </is>
      </c>
      <c r="R390" t="n">
        <v>6</v>
      </c>
      <c r="S390" t="inlineStr">
        <is>
          <t>Central English policy</t>
        </is>
      </c>
      <c r="T390" t="inlineStr">
        <is>
          <t>Central rule applies (value agrees)</t>
        </is>
      </c>
      <c r="U390" t="inlineStr"/>
      <c r="V390" t="inlineStr">
        <is>
          <t>Filled</t>
        </is>
      </c>
      <c r="W390" t="inlineStr">
        <is>
          <t>February, May, September</t>
        </is>
      </c>
      <c r="X390" t="inlineStr">
        <is>
          <t>University adapter</t>
        </is>
      </c>
      <c r="Y390" t="n">
        <v>0</v>
      </c>
      <c r="Z390" t="inlineStr">
        <is>
          <t>No</t>
        </is>
      </c>
      <c r="AA390" t="inlineStr">
        <is>
          <t>Filled</t>
        </is>
      </c>
      <c r="AB390" t="inlineStr">
        <is>
          <t>on campus</t>
        </is>
      </c>
      <c r="AC390" t="inlineStr"/>
      <c r="AD390" t="n">
        <v>0</v>
      </c>
      <c r="AE390" t="inlineStr"/>
      <c r="AF390" t="inlineStr"/>
      <c r="AG390" t="inlineStr"/>
      <c r="AH390" t="inlineStr"/>
      <c r="AI390" t="inlineStr"/>
      <c r="AJ390" t="inlineStr"/>
      <c r="AK390" t="inlineStr"/>
      <c r="AL390" t="inlineStr"/>
      <c r="AM390" t="inlineStr"/>
    </row>
    <row r="391">
      <c r="A391" t="inlineStr">
        <is>
          <t>068959E</t>
        </is>
      </c>
      <c r="B391" t="inlineStr">
        <is>
          <t>Graduate Certificate in Global Health</t>
        </is>
      </c>
      <c r="C391" t="inlineStr">
        <is>
          <t>Graduate Certificate</t>
        </is>
      </c>
      <c r="D391" t="inlineStr">
        <is>
          <t>Postgraduate coursework</t>
        </is>
      </c>
      <c r="E391" t="inlineStr">
        <is>
          <t>Advertised: official page in place</t>
        </is>
      </c>
      <c r="F391" t="inlineStr">
        <is>
          <t>https://www.unsw.edu.au/study/postgraduate/graduate-certificate-in-global-health</t>
        </is>
      </c>
      <c r="G391" t="inlineStr">
        <is>
          <t>https://www.unsw.edu.au/study/postgraduate/graduate-certificate-in-global-health</t>
        </is>
      </c>
      <c r="H391" t="inlineStr">
        <is>
          <t>Read</t>
        </is>
      </c>
      <c r="I391" t="inlineStr">
        <is>
          <t>CRICOS code on page</t>
        </is>
      </c>
      <c r="J391" t="inlineStr"/>
      <c r="K391" t="inlineStr">
        <is>
          <t>Not sent to re-link</t>
        </is>
      </c>
      <c r="L391" t="inlineStr">
        <is>
          <t>Filled</t>
        </is>
      </c>
      <c r="M391" t="inlineStr">
        <is>
          <t>Filled</t>
        </is>
      </c>
      <c r="N391" t="inlineStr">
        <is>
          <t>30500.00 2026</t>
        </is>
      </c>
      <c r="O391" t="n">
        <v>0</v>
      </c>
      <c r="P391" t="inlineStr">
        <is>
          <t>Page reader</t>
        </is>
      </c>
      <c r="Q391" t="inlineStr">
        <is>
          <t>Filled</t>
        </is>
      </c>
      <c r="R391" t="n">
        <v>6</v>
      </c>
      <c r="S391" t="inlineStr">
        <is>
          <t>Central English policy</t>
        </is>
      </c>
      <c r="T391" t="inlineStr">
        <is>
          <t>Central rule applies (value agrees)</t>
        </is>
      </c>
      <c r="U391" t="inlineStr"/>
      <c r="V391" t="inlineStr">
        <is>
          <t>Filled</t>
        </is>
      </c>
      <c r="W391" t="inlineStr">
        <is>
          <t>February, May, September</t>
        </is>
      </c>
      <c r="X391" t="inlineStr">
        <is>
          <t>University adapter</t>
        </is>
      </c>
      <c r="Y391" t="n">
        <v>0</v>
      </c>
      <c r="Z391" t="inlineStr">
        <is>
          <t>No</t>
        </is>
      </c>
      <c r="AA391" t="inlineStr">
        <is>
          <t>Filled</t>
        </is>
      </c>
      <c r="AB391" t="inlineStr">
        <is>
          <t>on campus and online</t>
        </is>
      </c>
      <c r="AC391" t="inlineStr"/>
      <c r="AD391" t="n">
        <v>0</v>
      </c>
      <c r="AE391" t="inlineStr"/>
      <c r="AF391" t="inlineStr"/>
      <c r="AG391" t="inlineStr"/>
      <c r="AH391" t="inlineStr"/>
      <c r="AI391" t="inlineStr"/>
      <c r="AJ391" t="inlineStr"/>
      <c r="AK391" t="inlineStr"/>
      <c r="AL391" t="inlineStr"/>
      <c r="AM391" t="inlineStr"/>
    </row>
    <row r="392">
      <c r="A392" t="inlineStr">
        <is>
          <t>096227J</t>
        </is>
      </c>
      <c r="B392" t="inlineStr">
        <is>
          <t>Graduate Certificate in Health Data Science</t>
        </is>
      </c>
      <c r="C392" t="inlineStr">
        <is>
          <t>Graduate Certificate</t>
        </is>
      </c>
      <c r="D392" t="inlineStr">
        <is>
          <t>Postgraduate coursework</t>
        </is>
      </c>
      <c r="E392" t="inlineStr">
        <is>
          <t>Advertised: official page in place</t>
        </is>
      </c>
      <c r="F392" t="inlineStr">
        <is>
          <t>https://www.unsw.edu.au/study/postgraduate/graduate-certificate-in-health-data-science</t>
        </is>
      </c>
      <c r="G392" t="inlineStr">
        <is>
          <t>https://www.unsw.edu.au/study/postgraduate/graduate-certificate-in-health-data-science</t>
        </is>
      </c>
      <c r="H392" t="inlineStr">
        <is>
          <t>Read</t>
        </is>
      </c>
      <c r="I392" t="inlineStr">
        <is>
          <t>CRICOS code on page</t>
        </is>
      </c>
      <c r="J392" t="inlineStr"/>
      <c r="K392" t="inlineStr">
        <is>
          <t>Not sent to re-link</t>
        </is>
      </c>
      <c r="L392" t="inlineStr">
        <is>
          <t>Filled</t>
        </is>
      </c>
      <c r="M392" t="inlineStr">
        <is>
          <t>Filled</t>
        </is>
      </c>
      <c r="N392" t="inlineStr">
        <is>
          <t>26000.00 2026</t>
        </is>
      </c>
      <c r="O392" t="n">
        <v>0</v>
      </c>
      <c r="P392" t="inlineStr">
        <is>
          <t>Page reader</t>
        </is>
      </c>
      <c r="Q392" t="inlineStr">
        <is>
          <t>Filled</t>
        </is>
      </c>
      <c r="R392" t="n">
        <v>6</v>
      </c>
      <c r="S392" t="inlineStr">
        <is>
          <t>Central English policy</t>
        </is>
      </c>
      <c r="T392" t="inlineStr">
        <is>
          <t>Central rule applies (value agrees)</t>
        </is>
      </c>
      <c r="U392" t="inlineStr"/>
      <c r="V392" t="inlineStr">
        <is>
          <t>Filled</t>
        </is>
      </c>
      <c r="W392" t="inlineStr">
        <is>
          <t>February, September</t>
        </is>
      </c>
      <c r="X392" t="inlineStr">
        <is>
          <t>University adapter</t>
        </is>
      </c>
      <c r="Y392" t="n">
        <v>0</v>
      </c>
      <c r="Z392" t="inlineStr">
        <is>
          <t>No</t>
        </is>
      </c>
      <c r="AA392" t="inlineStr">
        <is>
          <t>Filled</t>
        </is>
      </c>
      <c r="AB392" t="inlineStr">
        <is>
          <t>on campus and online</t>
        </is>
      </c>
      <c r="AC392" t="inlineStr"/>
      <c r="AD392" t="n">
        <v>0</v>
      </c>
      <c r="AE392" t="inlineStr"/>
      <c r="AF392" t="inlineStr"/>
      <c r="AG392" t="inlineStr"/>
      <c r="AH392" t="inlineStr"/>
      <c r="AI392" t="inlineStr"/>
      <c r="AJ392" t="inlineStr"/>
      <c r="AK392" t="inlineStr"/>
      <c r="AL392" t="inlineStr"/>
      <c r="AM392" t="inlineStr"/>
    </row>
    <row r="393">
      <c r="A393" t="inlineStr">
        <is>
          <t>015016B</t>
        </is>
      </c>
      <c r="B393" t="inlineStr">
        <is>
          <t>Graduate Certificate in Health Leadership and Management</t>
        </is>
      </c>
      <c r="C393" t="inlineStr">
        <is>
          <t>Graduate Certificate</t>
        </is>
      </c>
      <c r="D393" t="inlineStr">
        <is>
          <t>Postgraduate coursework</t>
        </is>
      </c>
      <c r="E393" t="inlineStr">
        <is>
          <t>Advertised: official page in place</t>
        </is>
      </c>
      <c r="F393" t="inlineStr">
        <is>
          <t>https://www.unsw.edu.au/study/postgraduate/graduate-certificate-in-health-leadership-and-management</t>
        </is>
      </c>
      <c r="G393" t="inlineStr">
        <is>
          <t>https://www.unsw.edu.au/study/postgraduate/graduate-certificate-in-health-leadership-and-management</t>
        </is>
      </c>
      <c r="H393" t="inlineStr">
        <is>
          <t>Read</t>
        </is>
      </c>
      <c r="I393" t="inlineStr">
        <is>
          <t>CRICOS code on page</t>
        </is>
      </c>
      <c r="J393" t="inlineStr"/>
      <c r="K393" t="inlineStr">
        <is>
          <t>Not sent to re-link</t>
        </is>
      </c>
      <c r="L393" t="inlineStr">
        <is>
          <t>Filled</t>
        </is>
      </c>
      <c r="M393" t="inlineStr">
        <is>
          <t>Filled</t>
        </is>
      </c>
      <c r="N393" t="inlineStr">
        <is>
          <t>30500.00 2026</t>
        </is>
      </c>
      <c r="O393" t="n">
        <v>0</v>
      </c>
      <c r="P393" t="inlineStr">
        <is>
          <t>Page reader</t>
        </is>
      </c>
      <c r="Q393" t="inlineStr">
        <is>
          <t>Filled</t>
        </is>
      </c>
      <c r="R393" t="n">
        <v>6</v>
      </c>
      <c r="S393" t="inlineStr">
        <is>
          <t>Central English policy</t>
        </is>
      </c>
      <c r="T393" t="inlineStr">
        <is>
          <t>Central rule applies (value agrees)</t>
        </is>
      </c>
      <c r="U393" t="inlineStr"/>
      <c r="V393" t="inlineStr">
        <is>
          <t>Filled</t>
        </is>
      </c>
      <c r="W393" t="inlineStr">
        <is>
          <t>February, May, September</t>
        </is>
      </c>
      <c r="X393" t="inlineStr">
        <is>
          <t>University adapter</t>
        </is>
      </c>
      <c r="Y393" t="n">
        <v>0</v>
      </c>
      <c r="Z393" t="inlineStr">
        <is>
          <t>No</t>
        </is>
      </c>
      <c r="AA393" t="inlineStr">
        <is>
          <t>Filled</t>
        </is>
      </c>
      <c r="AB393" t="inlineStr">
        <is>
          <t>on campus and online</t>
        </is>
      </c>
      <c r="AC393" t="inlineStr"/>
      <c r="AD393" t="n">
        <v>0</v>
      </c>
      <c r="AE393" t="inlineStr"/>
      <c r="AF393" t="inlineStr"/>
      <c r="AG393" t="inlineStr"/>
      <c r="AH393" t="inlineStr"/>
      <c r="AI393" t="inlineStr"/>
      <c r="AJ393" t="inlineStr"/>
      <c r="AK393" t="inlineStr"/>
      <c r="AL393" t="inlineStr"/>
      <c r="AM393" t="inlineStr"/>
    </row>
    <row r="394">
      <c r="A394" t="inlineStr">
        <is>
          <t>0100357</t>
        </is>
      </c>
      <c r="B394" t="inlineStr">
        <is>
          <t>Graduate Certificate in Infectious Diseases Intelligence</t>
        </is>
      </c>
      <c r="C394" t="inlineStr">
        <is>
          <t>Graduate Certificate</t>
        </is>
      </c>
      <c r="D394" t="inlineStr">
        <is>
          <t>Postgraduate coursework</t>
        </is>
      </c>
      <c r="E394" t="inlineStr">
        <is>
          <t>Advertised: official page in place</t>
        </is>
      </c>
      <c r="F394" t="inlineStr">
        <is>
          <t>https://www.unsw.edu.au/study/postgraduate/graduate-certificate-in-infectious-diseases-intelligence</t>
        </is>
      </c>
      <c r="G394" t="inlineStr">
        <is>
          <t>https://www.unsw.edu.au/study/postgraduate/graduate-certificate-in-infectious-diseases-intelligence</t>
        </is>
      </c>
      <c r="H394" t="inlineStr">
        <is>
          <t>Read</t>
        </is>
      </c>
      <c r="I394" t="inlineStr">
        <is>
          <t>CRICOS code on page</t>
        </is>
      </c>
      <c r="J394" t="inlineStr"/>
      <c r="K394" t="inlineStr">
        <is>
          <t>Not sent to re-link</t>
        </is>
      </c>
      <c r="L394" t="inlineStr">
        <is>
          <t>Filled</t>
        </is>
      </c>
      <c r="M394" t="inlineStr">
        <is>
          <t>Filled</t>
        </is>
      </c>
      <c r="N394" t="inlineStr">
        <is>
          <t>30500.00 2026</t>
        </is>
      </c>
      <c r="O394" t="n">
        <v>0</v>
      </c>
      <c r="P394" t="inlineStr">
        <is>
          <t>Page reader</t>
        </is>
      </c>
      <c r="Q394" t="inlineStr">
        <is>
          <t>Filled</t>
        </is>
      </c>
      <c r="R394" t="n">
        <v>6</v>
      </c>
      <c r="S394" t="inlineStr">
        <is>
          <t>Central English policy</t>
        </is>
      </c>
      <c r="T394" t="inlineStr">
        <is>
          <t>Central rule applies (value agrees)</t>
        </is>
      </c>
      <c r="U394" t="inlineStr"/>
      <c r="V394" t="inlineStr">
        <is>
          <t>Filled</t>
        </is>
      </c>
      <c r="W394" t="inlineStr">
        <is>
          <t>February, May, September</t>
        </is>
      </c>
      <c r="X394" t="inlineStr">
        <is>
          <t>University adapter</t>
        </is>
      </c>
      <c r="Y394" t="n">
        <v>0</v>
      </c>
      <c r="Z394" t="inlineStr">
        <is>
          <t>No</t>
        </is>
      </c>
      <c r="AA394" t="inlineStr">
        <is>
          <t>Filled</t>
        </is>
      </c>
      <c r="AB394" t="inlineStr">
        <is>
          <t>on campus and online</t>
        </is>
      </c>
      <c r="AC394" t="inlineStr"/>
      <c r="AD394" t="n">
        <v>0</v>
      </c>
      <c r="AE394" t="inlineStr"/>
      <c r="AF394" t="inlineStr"/>
      <c r="AG394" t="inlineStr"/>
      <c r="AH394" t="inlineStr"/>
      <c r="AI394" t="inlineStr"/>
      <c r="AJ394" t="inlineStr"/>
      <c r="AK394" t="inlineStr"/>
      <c r="AL394" t="inlineStr"/>
      <c r="AM394" t="inlineStr"/>
    </row>
    <row r="395">
      <c r="A395" t="inlineStr">
        <is>
          <t>113781D</t>
        </is>
      </c>
      <c r="B395" t="inlineStr">
        <is>
          <t>Graduate Certificate in Information Technology</t>
        </is>
      </c>
      <c r="C395" t="inlineStr">
        <is>
          <t>Graduate Certificate</t>
        </is>
      </c>
      <c r="D395" t="inlineStr">
        <is>
          <t>Postgraduate coursework</t>
        </is>
      </c>
      <c r="E395" t="inlineStr">
        <is>
          <t>Advertised: official page in place</t>
        </is>
      </c>
      <c r="F395" t="inlineStr">
        <is>
          <t>https://www.unsw.edu.au/study/postgraduate/graduate-certificate-information-technology</t>
        </is>
      </c>
      <c r="G395" t="inlineStr">
        <is>
          <t>https://www.unsw.edu.au/study/postgraduate/graduate-certificate-information-technology</t>
        </is>
      </c>
      <c r="H395" t="inlineStr">
        <is>
          <t>Read</t>
        </is>
      </c>
      <c r="I395" t="inlineStr">
        <is>
          <t>CRICOS code on page</t>
        </is>
      </c>
      <c r="J395" t="inlineStr"/>
      <c r="K395" t="inlineStr">
        <is>
          <t>Not sent to re-link</t>
        </is>
      </c>
      <c r="L395" t="inlineStr">
        <is>
          <t>Filled</t>
        </is>
      </c>
      <c r="M395" t="inlineStr">
        <is>
          <t>Filled</t>
        </is>
      </c>
      <c r="N395" t="inlineStr">
        <is>
          <t>63000.00 2026</t>
        </is>
      </c>
      <c r="O395" t="n">
        <v>0</v>
      </c>
      <c r="P395" t="inlineStr">
        <is>
          <t>University adapter</t>
        </is>
      </c>
      <c r="Q395" t="inlineStr">
        <is>
          <t>Filled</t>
        </is>
      </c>
      <c r="R395" t="n">
        <v>6</v>
      </c>
      <c r="S395" t="inlineStr">
        <is>
          <t>Central English policy</t>
        </is>
      </c>
      <c r="T395" t="inlineStr">
        <is>
          <t>Central rule applies (value agrees)</t>
        </is>
      </c>
      <c r="U395" t="inlineStr"/>
      <c r="V395" t="inlineStr">
        <is>
          <t>Filled</t>
        </is>
      </c>
      <c r="W395" t="inlineStr">
        <is>
          <t>February, May, September</t>
        </is>
      </c>
      <c r="X395" t="inlineStr">
        <is>
          <t>University adapter</t>
        </is>
      </c>
      <c r="Y395" t="n">
        <v>0</v>
      </c>
      <c r="Z395" t="inlineStr">
        <is>
          <t>No</t>
        </is>
      </c>
      <c r="AA395" t="inlineStr">
        <is>
          <t>Filled</t>
        </is>
      </c>
      <c r="AB395" t="inlineStr">
        <is>
          <t>on campus</t>
        </is>
      </c>
      <c r="AC395" t="inlineStr"/>
      <c r="AD395" t="n">
        <v>0</v>
      </c>
      <c r="AE395" t="inlineStr"/>
      <c r="AF395" t="inlineStr"/>
      <c r="AG395" t="inlineStr"/>
      <c r="AH395" t="inlineStr"/>
      <c r="AI395" t="inlineStr"/>
      <c r="AJ395" t="inlineStr"/>
      <c r="AK395" t="inlineStr"/>
      <c r="AL395" t="inlineStr"/>
      <c r="AM395" t="inlineStr"/>
    </row>
    <row r="396">
      <c r="A396" t="inlineStr">
        <is>
          <t>056230A</t>
        </is>
      </c>
      <c r="B396" t="inlineStr">
        <is>
          <t>Graduate Certificate in Mathematics and Statistics</t>
        </is>
      </c>
      <c r="C396" t="inlineStr">
        <is>
          <t>Graduate Certificate</t>
        </is>
      </c>
      <c r="D396" t="inlineStr">
        <is>
          <t>Postgraduate coursework</t>
        </is>
      </c>
      <c r="E396" t="inlineStr">
        <is>
          <t>Advertised: official page in place</t>
        </is>
      </c>
      <c r="F396" t="inlineStr">
        <is>
          <t>https://www.unsw.edu.au/study/postgraduate/graduate-certificate-in-mathematics-and-statistics</t>
        </is>
      </c>
      <c r="G396" t="inlineStr">
        <is>
          <t>https://www.unsw.edu.au/study/postgraduate/graduate-certificate-in-mathematics-and-statistics</t>
        </is>
      </c>
      <c r="H396" t="inlineStr">
        <is>
          <t>Read</t>
        </is>
      </c>
      <c r="I396" t="inlineStr">
        <is>
          <t>CRICOS code on page</t>
        </is>
      </c>
      <c r="J396" t="inlineStr"/>
      <c r="K396" t="inlineStr">
        <is>
          <t>Not sent to re-link</t>
        </is>
      </c>
      <c r="L396" t="inlineStr">
        <is>
          <t>Filled</t>
        </is>
      </c>
      <c r="M396" t="inlineStr">
        <is>
          <t>Filled</t>
        </is>
      </c>
      <c r="N396" t="inlineStr">
        <is>
          <t>30000.00 2026</t>
        </is>
      </c>
      <c r="O396" t="n">
        <v>0</v>
      </c>
      <c r="P396" t="inlineStr">
        <is>
          <t>Page reader</t>
        </is>
      </c>
      <c r="Q396" t="inlineStr">
        <is>
          <t>Filled</t>
        </is>
      </c>
      <c r="R396" t="n">
        <v>6</v>
      </c>
      <c r="S396" t="inlineStr">
        <is>
          <t>Central English policy</t>
        </is>
      </c>
      <c r="T396" t="inlineStr">
        <is>
          <t>Central rule applies (value agrees)</t>
        </is>
      </c>
      <c r="U396" t="inlineStr"/>
      <c r="V396" t="inlineStr">
        <is>
          <t>Filled</t>
        </is>
      </c>
      <c r="W396" t="inlineStr">
        <is>
          <t>February, September</t>
        </is>
      </c>
      <c r="X396" t="inlineStr">
        <is>
          <t>University adapter</t>
        </is>
      </c>
      <c r="Y396" t="n">
        <v>0</v>
      </c>
      <c r="Z396" t="inlineStr">
        <is>
          <t>No</t>
        </is>
      </c>
      <c r="AA396" t="inlineStr">
        <is>
          <t>Filled</t>
        </is>
      </c>
      <c r="AB396" t="inlineStr">
        <is>
          <t>on campus</t>
        </is>
      </c>
      <c r="AC396" t="inlineStr"/>
      <c r="AD396" t="n">
        <v>0</v>
      </c>
      <c r="AE396" t="inlineStr"/>
      <c r="AF396" t="inlineStr"/>
      <c r="AG396" t="inlineStr"/>
      <c r="AH396" t="inlineStr"/>
      <c r="AI396" t="inlineStr"/>
      <c r="AJ396" t="inlineStr"/>
      <c r="AK396" t="inlineStr"/>
      <c r="AL396" t="inlineStr"/>
      <c r="AM396" t="inlineStr"/>
    </row>
    <row r="397">
      <c r="A397" t="inlineStr">
        <is>
          <t>108475A</t>
        </is>
      </c>
      <c r="B397" t="inlineStr">
        <is>
          <t>Graduate Certificate in Mining Engineering</t>
        </is>
      </c>
      <c r="C397" t="inlineStr">
        <is>
          <t>Graduate Certificate</t>
        </is>
      </c>
      <c r="D397" t="inlineStr">
        <is>
          <t>Postgraduate coursework</t>
        </is>
      </c>
      <c r="E397" t="inlineStr">
        <is>
          <t>Advertised: official page in place</t>
        </is>
      </c>
      <c r="F397" t="inlineStr">
        <is>
          <t>https://www.unsw.edu.au/study/postgraduate/graduate-certificate-in-mining-engineering</t>
        </is>
      </c>
      <c r="G397" t="inlineStr">
        <is>
          <t>https://www.unsw.edu.au/study/postgraduate/graduate-certificate-in-mining-engineering</t>
        </is>
      </c>
      <c r="H397" t="inlineStr">
        <is>
          <t>Read</t>
        </is>
      </c>
      <c r="I397" t="inlineStr">
        <is>
          <t>CRICOS code on page</t>
        </is>
      </c>
      <c r="J397" t="inlineStr"/>
      <c r="K397" t="inlineStr">
        <is>
          <t>Not sent to re-link</t>
        </is>
      </c>
      <c r="L397" t="inlineStr">
        <is>
          <t>Filled</t>
        </is>
      </c>
      <c r="M397" t="inlineStr">
        <is>
          <t>Not stated on course page</t>
        </is>
      </c>
      <c r="N397" t="inlineStr"/>
      <c r="O397" t="n">
        <v>0</v>
      </c>
      <c r="P397" t="inlineStr"/>
      <c r="Q397" t="inlineStr">
        <is>
          <t>Filled</t>
        </is>
      </c>
      <c r="R397" t="n">
        <v>6</v>
      </c>
      <c r="S397" t="inlineStr">
        <is>
          <t>Central English policy</t>
        </is>
      </c>
      <c r="T397" t="inlineStr">
        <is>
          <t>Central rule applies (value agrees)</t>
        </is>
      </c>
      <c r="U397" t="inlineStr"/>
      <c r="V397" t="inlineStr">
        <is>
          <t>Filled</t>
        </is>
      </c>
      <c r="W397" t="inlineStr">
        <is>
          <t>February, September</t>
        </is>
      </c>
      <c r="X397" t="inlineStr">
        <is>
          <t>University adapter</t>
        </is>
      </c>
      <c r="Y397" t="n">
        <v>0</v>
      </c>
      <c r="Z397" t="inlineStr">
        <is>
          <t>No</t>
        </is>
      </c>
      <c r="AA397" t="inlineStr">
        <is>
          <t>Filled</t>
        </is>
      </c>
      <c r="AB397" t="inlineStr">
        <is>
          <t>on campus</t>
        </is>
      </c>
      <c r="AC397" t="inlineStr"/>
      <c r="AD397" t="n">
        <v>0</v>
      </c>
      <c r="AE397" t="inlineStr"/>
      <c r="AF397" t="inlineStr"/>
      <c r="AG397" t="inlineStr"/>
      <c r="AH397" t="inlineStr"/>
      <c r="AI397" t="inlineStr"/>
      <c r="AJ397" t="inlineStr"/>
      <c r="AK397" t="inlineStr"/>
      <c r="AL397" t="inlineStr"/>
      <c r="AM397" t="inlineStr"/>
    </row>
    <row r="398">
      <c r="A398" t="inlineStr">
        <is>
          <t>038408G</t>
        </is>
      </c>
      <c r="B398" t="inlineStr">
        <is>
          <t>Graduate Certificate in Optometry</t>
        </is>
      </c>
      <c r="C398" t="inlineStr">
        <is>
          <t>Graduate Certificate</t>
        </is>
      </c>
      <c r="D398" t="inlineStr">
        <is>
          <t>Postgraduate coursework</t>
        </is>
      </c>
      <c r="E398" t="inlineStr">
        <is>
          <t>Page address no longer works</t>
        </is>
      </c>
      <c r="F398" t="inlineStr"/>
      <c r="G398" t="inlineStr">
        <is>
          <t>https://www.handbook.unsw.edu.au/postgraduate/programs/2026/7435</t>
        </is>
      </c>
      <c r="H398" t="inlineStr">
        <is>
          <t>Address no longer works</t>
        </is>
      </c>
      <c r="I398" t="inlineStr"/>
      <c r="J398" t="inlineStr"/>
      <c r="K398" t="inlineStr">
        <is>
          <t>Finished, no page: no address from the university's address forms or stored lis</t>
        </is>
      </c>
      <c r="L398" t="inlineStr">
        <is>
          <t>Page found, being read</t>
        </is>
      </c>
      <c r="M398" t="inlineStr">
        <is>
          <t>Page found, being read</t>
        </is>
      </c>
      <c r="N398" t="inlineStr"/>
      <c r="O398" t="n">
        <v>0</v>
      </c>
      <c r="P398" t="inlineStr"/>
      <c r="Q398" t="inlineStr">
        <is>
          <t>Filled</t>
        </is>
      </c>
      <c r="R398" t="n">
        <v>6</v>
      </c>
      <c r="S398" t="inlineStr">
        <is>
          <t>Central English policy</t>
        </is>
      </c>
      <c r="T398" t="inlineStr">
        <is>
          <t>Central rule applies (value agrees)</t>
        </is>
      </c>
      <c r="U398" t="inlineStr"/>
      <c r="V398" t="inlineStr">
        <is>
          <t>Page found, being read</t>
        </is>
      </c>
      <c r="W398" t="inlineStr"/>
      <c r="X398" t="inlineStr"/>
      <c r="Y398" t="n">
        <v>0</v>
      </c>
      <c r="Z398" t="inlineStr">
        <is>
          <t>No</t>
        </is>
      </c>
      <c r="AA398" t="inlineStr">
        <is>
          <t>Not stated on course page</t>
        </is>
      </c>
      <c r="AB398" t="inlineStr"/>
      <c r="AC398" t="inlineStr">
        <is>
          <t>Skipped: no allowed source had a value</t>
        </is>
      </c>
      <c r="AD398" t="n">
        <v>1</v>
      </c>
      <c r="AE398" t="inlineStr"/>
      <c r="AF398" t="inlineStr"/>
      <c r="AG398" t="inlineStr"/>
      <c r="AH398" t="inlineStr"/>
      <c r="AI398" t="inlineStr"/>
      <c r="AJ398" t="inlineStr"/>
      <c r="AK398" t="inlineStr"/>
      <c r="AL398" t="inlineStr"/>
      <c r="AM398" t="inlineStr"/>
    </row>
    <row r="399">
      <c r="A399" t="inlineStr">
        <is>
          <t>088768B</t>
        </is>
      </c>
      <c r="B399" t="inlineStr">
        <is>
          <t>Graduate Certificate in Petroleum Engineering</t>
        </is>
      </c>
      <c r="C399" t="inlineStr">
        <is>
          <t>Graduate Certificate</t>
        </is>
      </c>
      <c r="D399" t="inlineStr">
        <is>
          <t>Postgraduate coursework</t>
        </is>
      </c>
      <c r="E399" t="inlineStr">
        <is>
          <t>Page address no longer works</t>
        </is>
      </c>
      <c r="F399" t="inlineStr"/>
      <c r="G399" t="inlineStr">
        <is>
          <t>https://www.handbook.unsw.edu.au/postgraduate/programs/2026/7343</t>
        </is>
      </c>
      <c r="H399" t="inlineStr">
        <is>
          <t>Address no longer works</t>
        </is>
      </c>
      <c r="I399" t="inlineStr"/>
      <c r="J399" t="inlineStr"/>
      <c r="K399" t="inlineStr">
        <is>
          <t>Not sent to re-link</t>
        </is>
      </c>
      <c r="L399" t="inlineStr">
        <is>
          <t>Page found, being read</t>
        </is>
      </c>
      <c r="M399" t="inlineStr">
        <is>
          <t>Page found, being read</t>
        </is>
      </c>
      <c r="N399" t="inlineStr"/>
      <c r="O399" t="n">
        <v>0</v>
      </c>
      <c r="P399" t="inlineStr"/>
      <c r="Q399" t="inlineStr">
        <is>
          <t>Filled</t>
        </is>
      </c>
      <c r="R399" t="n">
        <v>6</v>
      </c>
      <c r="S399" t="inlineStr">
        <is>
          <t>Central English policy</t>
        </is>
      </c>
      <c r="T399" t="inlineStr">
        <is>
          <t>Central rule applies (value agrees)</t>
        </is>
      </c>
      <c r="U399" t="inlineStr"/>
      <c r="V399" t="inlineStr">
        <is>
          <t>Page found, being read</t>
        </is>
      </c>
      <c r="W399" t="inlineStr"/>
      <c r="X399" t="inlineStr"/>
      <c r="Y399" t="n">
        <v>0</v>
      </c>
      <c r="Z399" t="inlineStr">
        <is>
          <t>No</t>
        </is>
      </c>
      <c r="AA399" t="inlineStr">
        <is>
          <t>Not stated on course page</t>
        </is>
      </c>
      <c r="AB399" t="inlineStr"/>
      <c r="AC399" t="inlineStr">
        <is>
          <t>Skipped: no allowed source had a value</t>
        </is>
      </c>
      <c r="AD399" t="n">
        <v>0</v>
      </c>
      <c r="AE399" t="inlineStr"/>
      <c r="AF399" t="inlineStr"/>
      <c r="AG399" t="inlineStr"/>
      <c r="AH399" t="inlineStr"/>
      <c r="AI399" t="inlineStr"/>
      <c r="AJ399" t="inlineStr"/>
      <c r="AK399" t="inlineStr"/>
      <c r="AL399" t="inlineStr"/>
      <c r="AM399" t="inlineStr"/>
    </row>
    <row r="400">
      <c r="A400" t="inlineStr">
        <is>
          <t>028076E</t>
        </is>
      </c>
      <c r="B400" t="inlineStr">
        <is>
          <t>Graduate Certificate in Public Health</t>
        </is>
      </c>
      <c r="C400" t="inlineStr">
        <is>
          <t>Graduate Certificate</t>
        </is>
      </c>
      <c r="D400" t="inlineStr">
        <is>
          <t>Postgraduate coursework</t>
        </is>
      </c>
      <c r="E400" t="inlineStr">
        <is>
          <t>Advertised: official page in place</t>
        </is>
      </c>
      <c r="F400" t="inlineStr">
        <is>
          <t>https://www.unsw.edu.au/study/postgraduate/graduate-certificate-in-public-health</t>
        </is>
      </c>
      <c r="G400" t="inlineStr">
        <is>
          <t>https://www.unsw.edu.au/study/postgraduate/graduate-certificate-in-public-health</t>
        </is>
      </c>
      <c r="H400" t="inlineStr">
        <is>
          <t>Read</t>
        </is>
      </c>
      <c r="I400" t="inlineStr">
        <is>
          <t>CRICOS code on page</t>
        </is>
      </c>
      <c r="J400" t="inlineStr"/>
      <c r="K400" t="inlineStr">
        <is>
          <t>Not sent to re-link</t>
        </is>
      </c>
      <c r="L400" t="inlineStr">
        <is>
          <t>Filled</t>
        </is>
      </c>
      <c r="M400" t="inlineStr">
        <is>
          <t>Filled</t>
        </is>
      </c>
      <c r="N400" t="inlineStr">
        <is>
          <t>30500.00 2026</t>
        </is>
      </c>
      <c r="O400" t="n">
        <v>0</v>
      </c>
      <c r="P400" t="inlineStr">
        <is>
          <t>Page reader</t>
        </is>
      </c>
      <c r="Q400" t="inlineStr">
        <is>
          <t>Filled</t>
        </is>
      </c>
      <c r="R400" t="n">
        <v>6</v>
      </c>
      <c r="S400" t="inlineStr">
        <is>
          <t>Central English policy</t>
        </is>
      </c>
      <c r="T400" t="inlineStr">
        <is>
          <t>Central rule applies (value agrees)</t>
        </is>
      </c>
      <c r="U400" t="inlineStr"/>
      <c r="V400" t="inlineStr">
        <is>
          <t>Filled</t>
        </is>
      </c>
      <c r="W400" t="inlineStr">
        <is>
          <t>February, May, September</t>
        </is>
      </c>
      <c r="X400" t="inlineStr">
        <is>
          <t>University adapter</t>
        </is>
      </c>
      <c r="Y400" t="n">
        <v>0</v>
      </c>
      <c r="Z400" t="inlineStr">
        <is>
          <t>No</t>
        </is>
      </c>
      <c r="AA400" t="inlineStr">
        <is>
          <t>Filled</t>
        </is>
      </c>
      <c r="AB400" t="inlineStr">
        <is>
          <t>on campus and online</t>
        </is>
      </c>
      <c r="AC400" t="inlineStr"/>
      <c r="AD400" t="n">
        <v>0</v>
      </c>
      <c r="AE400" t="inlineStr"/>
      <c r="AF400" t="inlineStr"/>
      <c r="AG400" t="inlineStr"/>
      <c r="AH400" t="inlineStr"/>
      <c r="AI400" t="inlineStr"/>
      <c r="AJ400" t="inlineStr"/>
      <c r="AK400" t="inlineStr"/>
      <c r="AL400" t="inlineStr"/>
      <c r="AM400" t="inlineStr"/>
    </row>
    <row r="401">
      <c r="A401" t="inlineStr">
        <is>
          <t>102632H</t>
        </is>
      </c>
      <c r="B401" t="inlineStr">
        <is>
          <t>Graduate Certificate in Regulation, Compliance and Governance</t>
        </is>
      </c>
      <c r="C401" t="inlineStr">
        <is>
          <t>Graduate Certificate</t>
        </is>
      </c>
      <c r="D401" t="inlineStr">
        <is>
          <t>Postgraduate coursework</t>
        </is>
      </c>
      <c r="E401" t="inlineStr">
        <is>
          <t>Page address no longer works</t>
        </is>
      </c>
      <c r="F401" t="inlineStr"/>
      <c r="G401" t="inlineStr">
        <is>
          <t>https://www.handbook.unsw.edu.au/postgraduate/programs/2026/7455</t>
        </is>
      </c>
      <c r="H401" t="inlineStr">
        <is>
          <t>Address no longer works</t>
        </is>
      </c>
      <c r="I401" t="inlineStr"/>
      <c r="J401" t="inlineStr"/>
      <c r="K401" t="inlineStr">
        <is>
          <t>Not sent to re-link</t>
        </is>
      </c>
      <c r="L401" t="inlineStr">
        <is>
          <t>Page found, being read</t>
        </is>
      </c>
      <c r="M401" t="inlineStr">
        <is>
          <t>Page found, being read</t>
        </is>
      </c>
      <c r="N401" t="inlineStr"/>
      <c r="O401" t="n">
        <v>0</v>
      </c>
      <c r="P401" t="inlineStr"/>
      <c r="Q401" t="inlineStr">
        <is>
          <t>Filled</t>
        </is>
      </c>
      <c r="R401" t="n">
        <v>6</v>
      </c>
      <c r="S401" t="inlineStr">
        <is>
          <t>Central English policy</t>
        </is>
      </c>
      <c r="T401" t="inlineStr">
        <is>
          <t>Central rule applies (value agrees)</t>
        </is>
      </c>
      <c r="U401" t="inlineStr"/>
      <c r="V401" t="inlineStr">
        <is>
          <t>Page found, being read</t>
        </is>
      </c>
      <c r="W401" t="inlineStr"/>
      <c r="X401" t="inlineStr"/>
      <c r="Y401" t="n">
        <v>0</v>
      </c>
      <c r="Z401" t="inlineStr">
        <is>
          <t>No</t>
        </is>
      </c>
      <c r="AA401" t="inlineStr">
        <is>
          <t>Not stated on course page</t>
        </is>
      </c>
      <c r="AB401" t="inlineStr"/>
      <c r="AC401" t="inlineStr">
        <is>
          <t>Skipped: no allowed source had a value</t>
        </is>
      </c>
      <c r="AD401" t="n">
        <v>0</v>
      </c>
      <c r="AE401" t="inlineStr"/>
      <c r="AF401" t="inlineStr"/>
      <c r="AG401" t="inlineStr"/>
      <c r="AH401" t="inlineStr"/>
      <c r="AI401" t="inlineStr"/>
      <c r="AJ401" t="inlineStr"/>
      <c r="AK401" t="inlineStr"/>
      <c r="AL401" t="inlineStr"/>
      <c r="AM401" t="inlineStr"/>
    </row>
    <row r="402">
      <c r="A402" t="inlineStr">
        <is>
          <t>099994A</t>
        </is>
      </c>
      <c r="B402" t="inlineStr">
        <is>
          <t>Graduate Certificate in Simulation and Immersive Technologies</t>
        </is>
      </c>
      <c r="C402" t="inlineStr">
        <is>
          <t>Graduate Certificate</t>
        </is>
      </c>
      <c r="D402" t="inlineStr">
        <is>
          <t>Postgraduate coursework</t>
        </is>
      </c>
      <c r="E402" t="inlineStr">
        <is>
          <t>Advertised: official page in place</t>
        </is>
      </c>
      <c r="F402" t="inlineStr">
        <is>
          <t>https://www.unsw.edu.au/study/postgraduate/graduate-certificate-in-simulation-and-immersive-technologies</t>
        </is>
      </c>
      <c r="G402" t="inlineStr">
        <is>
          <t>https://www.unsw.edu.au/study/postgraduate/graduate-certificate-in-simulation-and-immersive-technologies</t>
        </is>
      </c>
      <c r="H402" t="inlineStr">
        <is>
          <t>Read</t>
        </is>
      </c>
      <c r="I402" t="inlineStr">
        <is>
          <t>CRICOS code on page</t>
        </is>
      </c>
      <c r="J402" t="inlineStr"/>
      <c r="K402" t="inlineStr">
        <is>
          <t>Not sent to re-link</t>
        </is>
      </c>
      <c r="L402" t="inlineStr">
        <is>
          <t>Filled</t>
        </is>
      </c>
      <c r="M402" t="inlineStr">
        <is>
          <t>Not stated on course page</t>
        </is>
      </c>
      <c r="N402" t="inlineStr"/>
      <c r="O402" t="n">
        <v>0</v>
      </c>
      <c r="P402" t="inlineStr"/>
      <c r="Q402" t="inlineStr">
        <is>
          <t>Filled</t>
        </is>
      </c>
      <c r="R402" t="n">
        <v>6</v>
      </c>
      <c r="S402" t="inlineStr">
        <is>
          <t>Central English policy</t>
        </is>
      </c>
      <c r="T402" t="inlineStr">
        <is>
          <t>Central rule applies (value agrees)</t>
        </is>
      </c>
      <c r="U402" t="inlineStr"/>
      <c r="V402" t="inlineStr">
        <is>
          <t>Filled</t>
        </is>
      </c>
      <c r="W402" t="inlineStr">
        <is>
          <t>February, September</t>
        </is>
      </c>
      <c r="X402" t="inlineStr">
        <is>
          <t>University adapter</t>
        </is>
      </c>
      <c r="Y402" t="n">
        <v>0</v>
      </c>
      <c r="Z402" t="inlineStr">
        <is>
          <t>No</t>
        </is>
      </c>
      <c r="AA402" t="inlineStr">
        <is>
          <t>Filled</t>
        </is>
      </c>
      <c r="AB402" t="inlineStr">
        <is>
          <t>on campus and online</t>
        </is>
      </c>
      <c r="AC402" t="inlineStr"/>
      <c r="AD402" t="n">
        <v>0</v>
      </c>
      <c r="AE402" t="inlineStr"/>
      <c r="AF402" t="inlineStr"/>
      <c r="AG402" t="inlineStr"/>
      <c r="AH402" t="inlineStr"/>
      <c r="AI402" t="inlineStr"/>
      <c r="AJ402" t="inlineStr"/>
      <c r="AK402" t="inlineStr"/>
      <c r="AL402" t="inlineStr"/>
      <c r="AM402" t="inlineStr"/>
    </row>
    <row r="403">
      <c r="A403" t="inlineStr">
        <is>
          <t>0100131</t>
        </is>
      </c>
      <c r="B403" t="inlineStr">
        <is>
          <t>Graduate Certificate in Social Impact</t>
        </is>
      </c>
      <c r="C403" t="inlineStr">
        <is>
          <t>Graduate Certificate</t>
        </is>
      </c>
      <c r="D403" t="inlineStr">
        <is>
          <t>Postgraduate coursework</t>
        </is>
      </c>
      <c r="E403" t="inlineStr">
        <is>
          <t>Advertised: official page in place</t>
        </is>
      </c>
      <c r="F403" t="inlineStr">
        <is>
          <t>https://www.unsw.edu.au/study/postgraduate/graduate-certificate-in-social-impact</t>
        </is>
      </c>
      <c r="G403" t="inlineStr">
        <is>
          <t>https://www.unsw.edu.au/study/postgraduate/graduate-certificate-in-social-impact</t>
        </is>
      </c>
      <c r="H403" t="inlineStr">
        <is>
          <t>Read</t>
        </is>
      </c>
      <c r="I403" t="inlineStr">
        <is>
          <t>CRICOS code on page</t>
        </is>
      </c>
      <c r="J403" t="inlineStr"/>
      <c r="K403" t="inlineStr">
        <is>
          <t>Not sent to re-link</t>
        </is>
      </c>
      <c r="L403" t="inlineStr">
        <is>
          <t>Filled</t>
        </is>
      </c>
      <c r="M403" t="inlineStr">
        <is>
          <t>Filled</t>
        </is>
      </c>
      <c r="N403" t="inlineStr">
        <is>
          <t>31000.00 2026</t>
        </is>
      </c>
      <c r="O403" t="n">
        <v>0</v>
      </c>
      <c r="P403" t="inlineStr">
        <is>
          <t>Page reader</t>
        </is>
      </c>
      <c r="Q403" t="inlineStr">
        <is>
          <t>Filled</t>
        </is>
      </c>
      <c r="R403" t="n">
        <v>6</v>
      </c>
      <c r="S403" t="inlineStr">
        <is>
          <t>Central English policy</t>
        </is>
      </c>
      <c r="T403" t="inlineStr">
        <is>
          <t>Central rule applies (value agrees)</t>
        </is>
      </c>
      <c r="U403" t="inlineStr"/>
      <c r="V403" t="inlineStr">
        <is>
          <t>Filled</t>
        </is>
      </c>
      <c r="W403" t="inlineStr">
        <is>
          <t>February, May, September</t>
        </is>
      </c>
      <c r="X403" t="inlineStr">
        <is>
          <t>University adapter</t>
        </is>
      </c>
      <c r="Y403" t="n">
        <v>0</v>
      </c>
      <c r="Z403" t="inlineStr">
        <is>
          <t>No</t>
        </is>
      </c>
      <c r="AA403" t="inlineStr">
        <is>
          <t>Filled</t>
        </is>
      </c>
      <c r="AB403" t="inlineStr">
        <is>
          <t>on campus and online</t>
        </is>
      </c>
      <c r="AC403" t="inlineStr"/>
      <c r="AD403" t="n">
        <v>0</v>
      </c>
      <c r="AE403" t="inlineStr"/>
      <c r="AF403" t="inlineStr"/>
      <c r="AG403" t="inlineStr"/>
      <c r="AH403" t="inlineStr"/>
      <c r="AI403" t="inlineStr"/>
      <c r="AJ403" t="inlineStr"/>
      <c r="AK403" t="inlineStr"/>
      <c r="AL403" t="inlineStr"/>
      <c r="AM403" t="inlineStr"/>
    </row>
    <row r="404">
      <c r="A404" t="inlineStr">
        <is>
          <t>0100908</t>
        </is>
      </c>
      <c r="B404" t="inlineStr">
        <is>
          <t>Graduate Certificate in Taxation</t>
        </is>
      </c>
      <c r="C404" t="inlineStr">
        <is>
          <t>Graduate Certificate</t>
        </is>
      </c>
      <c r="D404" t="inlineStr">
        <is>
          <t>Postgraduate coursework</t>
        </is>
      </c>
      <c r="E404" t="inlineStr">
        <is>
          <t>Advertised: official page in place</t>
        </is>
      </c>
      <c r="F404" t="inlineStr">
        <is>
          <t>https://www.unsw.edu.au/study/postgraduate/graduate-certificate-in-taxation</t>
        </is>
      </c>
      <c r="G404" t="inlineStr">
        <is>
          <t>https://www.unsw.edu.au/study/postgraduate/graduate-certificate-in-taxation</t>
        </is>
      </c>
      <c r="H404" t="inlineStr">
        <is>
          <t>Read</t>
        </is>
      </c>
      <c r="I404" t="inlineStr">
        <is>
          <t>CRICOS code on page</t>
        </is>
      </c>
      <c r="J404" t="inlineStr"/>
      <c r="K404" t="inlineStr">
        <is>
          <t>Not sent to re-link</t>
        </is>
      </c>
      <c r="L404" t="inlineStr">
        <is>
          <t>Filled</t>
        </is>
      </c>
      <c r="M404" t="inlineStr">
        <is>
          <t>Not stated on course page</t>
        </is>
      </c>
      <c r="N404" t="inlineStr"/>
      <c r="O404" t="n">
        <v>0</v>
      </c>
      <c r="P404" t="inlineStr"/>
      <c r="Q404" t="inlineStr">
        <is>
          <t>Filled</t>
        </is>
      </c>
      <c r="R404" t="n">
        <v>6</v>
      </c>
      <c r="S404" t="inlineStr">
        <is>
          <t>Central English policy</t>
        </is>
      </c>
      <c r="T404" t="inlineStr">
        <is>
          <t>Central rule applies (value agrees)</t>
        </is>
      </c>
      <c r="U404" t="inlineStr"/>
      <c r="V404" t="inlineStr">
        <is>
          <t>Filled</t>
        </is>
      </c>
      <c r="W404" t="inlineStr">
        <is>
          <t>February, May, September</t>
        </is>
      </c>
      <c r="X404" t="inlineStr">
        <is>
          <t>University adapter</t>
        </is>
      </c>
      <c r="Y404" t="n">
        <v>0</v>
      </c>
      <c r="Z404" t="inlineStr">
        <is>
          <t>No</t>
        </is>
      </c>
      <c r="AA404" t="inlineStr">
        <is>
          <t>Filled</t>
        </is>
      </c>
      <c r="AB404" t="inlineStr">
        <is>
          <t>on campus and online</t>
        </is>
      </c>
      <c r="AC404" t="inlineStr"/>
      <c r="AD404" t="n">
        <v>0</v>
      </c>
      <c r="AE404" t="inlineStr"/>
      <c r="AF404" t="inlineStr"/>
      <c r="AG404" t="inlineStr"/>
      <c r="AH404" t="inlineStr"/>
      <c r="AI404" t="inlineStr"/>
      <c r="AJ404" t="inlineStr"/>
      <c r="AK404" t="inlineStr"/>
      <c r="AL404" t="inlineStr"/>
      <c r="AM404" t="inlineStr"/>
    </row>
    <row r="405">
      <c r="A405" t="inlineStr">
        <is>
          <t>083137G</t>
        </is>
      </c>
      <c r="B405" t="inlineStr">
        <is>
          <t>Graduate Certificate in the Built Environment</t>
        </is>
      </c>
      <c r="C405" t="inlineStr">
        <is>
          <t>Graduate Certificate</t>
        </is>
      </c>
      <c r="D405" t="inlineStr">
        <is>
          <t>Postgraduate coursework</t>
        </is>
      </c>
      <c r="E405" t="inlineStr">
        <is>
          <t>Page address no longer works</t>
        </is>
      </c>
      <c r="F405" t="inlineStr"/>
      <c r="G405" t="inlineStr">
        <is>
          <t>https://www.handbook.unsw.edu.au/postgraduate/programs/2026/7131</t>
        </is>
      </c>
      <c r="H405" t="inlineStr">
        <is>
          <t>Address no longer works</t>
        </is>
      </c>
      <c r="I405" t="inlineStr"/>
      <c r="J405" t="inlineStr"/>
      <c r="K405" t="inlineStr">
        <is>
          <t>Finished, no page: no address from the university's address forms or stored lis</t>
        </is>
      </c>
      <c r="L405" t="inlineStr">
        <is>
          <t>Page found, being read</t>
        </is>
      </c>
      <c r="M405" t="inlineStr">
        <is>
          <t>Page found, being read</t>
        </is>
      </c>
      <c r="N405" t="inlineStr"/>
      <c r="O405" t="n">
        <v>0</v>
      </c>
      <c r="P405" t="inlineStr"/>
      <c r="Q405" t="inlineStr">
        <is>
          <t>Filled</t>
        </is>
      </c>
      <c r="R405" t="n">
        <v>6</v>
      </c>
      <c r="S405" t="inlineStr">
        <is>
          <t>Central English policy</t>
        </is>
      </c>
      <c r="T405" t="inlineStr">
        <is>
          <t>Central rule applies (value agrees)</t>
        </is>
      </c>
      <c r="U405" t="inlineStr"/>
      <c r="V405" t="inlineStr">
        <is>
          <t>Page found, being read</t>
        </is>
      </c>
      <c r="W405" t="inlineStr"/>
      <c r="X405" t="inlineStr"/>
      <c r="Y405" t="n">
        <v>0</v>
      </c>
      <c r="Z405" t="inlineStr">
        <is>
          <t>No</t>
        </is>
      </c>
      <c r="AA405" t="inlineStr">
        <is>
          <t>Not stated on course page</t>
        </is>
      </c>
      <c r="AB405" t="inlineStr"/>
      <c r="AC405" t="inlineStr">
        <is>
          <t>Skipped: no allowed source had a value</t>
        </is>
      </c>
      <c r="AD405" t="n">
        <v>1</v>
      </c>
      <c r="AE405" t="inlineStr"/>
      <c r="AF405" t="inlineStr"/>
      <c r="AG405" t="inlineStr"/>
      <c r="AH405" t="inlineStr"/>
      <c r="AI405" t="inlineStr"/>
      <c r="AJ405" t="inlineStr"/>
      <c r="AK405" t="inlineStr"/>
      <c r="AL405" t="inlineStr"/>
      <c r="AM405" t="inlineStr"/>
    </row>
    <row r="406">
      <c r="A406" t="inlineStr">
        <is>
          <t>106116G</t>
        </is>
      </c>
      <c r="B406" t="inlineStr">
        <is>
          <t>Graduate Certificate in Translation and Interpreting</t>
        </is>
      </c>
      <c r="C406" t="inlineStr">
        <is>
          <t>Graduate Certificate</t>
        </is>
      </c>
      <c r="D406" t="inlineStr">
        <is>
          <t>Postgraduate coursework</t>
        </is>
      </c>
      <c r="E406" t="inlineStr">
        <is>
          <t>Advertised: official page in place</t>
        </is>
      </c>
      <c r="F406" t="inlineStr">
        <is>
          <t>https://www.unsw.edu.au/study/postgraduate/graduate-certificate-in-translation-and-interpreting</t>
        </is>
      </c>
      <c r="G406" t="inlineStr">
        <is>
          <t>https://www.unsw.edu.au/study/postgraduate/graduate-certificate-in-translation-and-interpreting</t>
        </is>
      </c>
      <c r="H406" t="inlineStr">
        <is>
          <t>Read</t>
        </is>
      </c>
      <c r="I406" t="inlineStr">
        <is>
          <t>CRICOS code on page</t>
        </is>
      </c>
      <c r="J406" t="inlineStr"/>
      <c r="K406" t="inlineStr">
        <is>
          <t>Not sent to re-link</t>
        </is>
      </c>
      <c r="L406" t="inlineStr">
        <is>
          <t>Filled</t>
        </is>
      </c>
      <c r="M406" t="inlineStr">
        <is>
          <t>Filled</t>
        </is>
      </c>
      <c r="N406" t="inlineStr">
        <is>
          <t>25000.00 2026</t>
        </is>
      </c>
      <c r="O406" t="n">
        <v>0</v>
      </c>
      <c r="P406" t="inlineStr">
        <is>
          <t>Page reader</t>
        </is>
      </c>
      <c r="Q406" t="inlineStr">
        <is>
          <t>Filled</t>
        </is>
      </c>
      <c r="R406" t="n">
        <v>6</v>
      </c>
      <c r="S406" t="inlineStr">
        <is>
          <t>Central English policy</t>
        </is>
      </c>
      <c r="T406" t="inlineStr">
        <is>
          <t>Central rule applies (value agrees)</t>
        </is>
      </c>
      <c r="U406" t="inlineStr"/>
      <c r="V406" t="inlineStr">
        <is>
          <t>Filled</t>
        </is>
      </c>
      <c r="W406" t="inlineStr">
        <is>
          <t>February, September</t>
        </is>
      </c>
      <c r="X406" t="inlineStr">
        <is>
          <t>University adapter</t>
        </is>
      </c>
      <c r="Y406" t="n">
        <v>0</v>
      </c>
      <c r="Z406" t="inlineStr">
        <is>
          <t>No</t>
        </is>
      </c>
      <c r="AA406" t="inlineStr">
        <is>
          <t>Filled</t>
        </is>
      </c>
      <c r="AB406" t="inlineStr">
        <is>
          <t>on campus and online</t>
        </is>
      </c>
      <c r="AC406" t="inlineStr"/>
      <c r="AD406" t="n">
        <v>0</v>
      </c>
      <c r="AE406" t="inlineStr"/>
      <c r="AF406" t="inlineStr"/>
      <c r="AG406" t="inlineStr"/>
      <c r="AH406" t="inlineStr"/>
      <c r="AI406" t="inlineStr"/>
      <c r="AJ406" t="inlineStr"/>
      <c r="AK406" t="inlineStr"/>
      <c r="AL406" t="inlineStr"/>
      <c r="AM406" t="inlineStr"/>
    </row>
    <row r="407">
      <c r="A407" t="inlineStr">
        <is>
          <t>033884G</t>
        </is>
      </c>
      <c r="B407" t="inlineStr">
        <is>
          <t>Graduate Certificate of Environmental Management</t>
        </is>
      </c>
      <c r="C407" t="inlineStr">
        <is>
          <t>Graduate Certificate</t>
        </is>
      </c>
      <c r="D407" t="inlineStr">
        <is>
          <t>Postgraduate coursework</t>
        </is>
      </c>
      <c r="E407" t="inlineStr">
        <is>
          <t>Advertised: official page in place</t>
        </is>
      </c>
      <c r="F407" t="inlineStr">
        <is>
          <t>https://www.unsw.edu.au/study/postgraduate/graduate-certificate-in-environmental-management</t>
        </is>
      </c>
      <c r="G407" t="inlineStr">
        <is>
          <t>https://www.unsw.edu.au/study/postgraduate/graduate-certificate-in-environmental-management</t>
        </is>
      </c>
      <c r="H407" t="inlineStr">
        <is>
          <t>Read</t>
        </is>
      </c>
      <c r="I407" t="inlineStr">
        <is>
          <t>CRICOS code on page</t>
        </is>
      </c>
      <c r="J407" t="inlineStr"/>
      <c r="K407" t="inlineStr">
        <is>
          <t>Not sent to re-link</t>
        </is>
      </c>
      <c r="L407" t="inlineStr">
        <is>
          <t>Filled</t>
        </is>
      </c>
      <c r="M407" t="inlineStr">
        <is>
          <t>Filled</t>
        </is>
      </c>
      <c r="N407" t="inlineStr">
        <is>
          <t>26500.00 2026</t>
        </is>
      </c>
      <c r="O407" t="n">
        <v>0</v>
      </c>
      <c r="P407" t="inlineStr">
        <is>
          <t>Page reader</t>
        </is>
      </c>
      <c r="Q407" t="inlineStr">
        <is>
          <t>Filled</t>
        </is>
      </c>
      <c r="R407" t="n">
        <v>6</v>
      </c>
      <c r="S407" t="inlineStr">
        <is>
          <t>Central English policy</t>
        </is>
      </c>
      <c r="T407" t="inlineStr">
        <is>
          <t>Central rule applies (value agrees)</t>
        </is>
      </c>
      <c r="U407" t="inlineStr"/>
      <c r="V407" t="inlineStr">
        <is>
          <t>Filled</t>
        </is>
      </c>
      <c r="W407" t="inlineStr">
        <is>
          <t>February, May, September</t>
        </is>
      </c>
      <c r="X407" t="inlineStr">
        <is>
          <t>University adapter</t>
        </is>
      </c>
      <c r="Y407" t="n">
        <v>0</v>
      </c>
      <c r="Z407" t="inlineStr">
        <is>
          <t>No</t>
        </is>
      </c>
      <c r="AA407" t="inlineStr">
        <is>
          <t>Filled</t>
        </is>
      </c>
      <c r="AB407" t="inlineStr">
        <is>
          <t>on campus and online</t>
        </is>
      </c>
      <c r="AC407" t="inlineStr"/>
      <c r="AD407" t="n">
        <v>0</v>
      </c>
      <c r="AE407" t="inlineStr"/>
      <c r="AF407" t="inlineStr"/>
      <c r="AG407" t="inlineStr"/>
      <c r="AH407" t="inlineStr"/>
      <c r="AI407" t="inlineStr"/>
      <c r="AJ407" t="inlineStr"/>
      <c r="AK407" t="inlineStr"/>
      <c r="AL407" t="inlineStr"/>
      <c r="AM407" t="inlineStr"/>
    </row>
    <row r="408">
      <c r="A408" t="inlineStr">
        <is>
          <t>113671K</t>
        </is>
      </c>
      <c r="B408" t="inlineStr">
        <is>
          <t>Graduate Diploma in Animation and Visual Effects</t>
        </is>
      </c>
      <c r="C408" t="inlineStr">
        <is>
          <t>Graduate Diploma</t>
        </is>
      </c>
      <c r="D408" t="inlineStr">
        <is>
          <t>Postgraduate coursework</t>
        </is>
      </c>
      <c r="E408" t="inlineStr">
        <is>
          <t>Advertised: official page in place</t>
        </is>
      </c>
      <c r="F408" t="inlineStr">
        <is>
          <t>https://www.unsw.edu.au/study/postgraduate/graduate-diploma-in-animation-and-visual-effects</t>
        </is>
      </c>
      <c r="G408" t="inlineStr">
        <is>
          <t>https://www.unsw.edu.au/study/postgraduate/graduate-diploma-in-animation-and-visual-effects</t>
        </is>
      </c>
      <c r="H408" t="inlineStr">
        <is>
          <t>Read</t>
        </is>
      </c>
      <c r="I408" t="inlineStr">
        <is>
          <t>CRICOS code on page</t>
        </is>
      </c>
      <c r="J408" t="inlineStr"/>
      <c r="K408" t="inlineStr">
        <is>
          <t>Not sent to re-link</t>
        </is>
      </c>
      <c r="L408" t="inlineStr">
        <is>
          <t>Filled</t>
        </is>
      </c>
      <c r="M408" t="inlineStr">
        <is>
          <t>Filled</t>
        </is>
      </c>
      <c r="N408" t="inlineStr">
        <is>
          <t>48500.00 2026</t>
        </is>
      </c>
      <c r="O408" t="n">
        <v>0</v>
      </c>
      <c r="P408" t="inlineStr">
        <is>
          <t>University adapter</t>
        </is>
      </c>
      <c r="Q408" t="inlineStr">
        <is>
          <t>Filled</t>
        </is>
      </c>
      <c r="R408" t="n">
        <v>6</v>
      </c>
      <c r="S408" t="inlineStr">
        <is>
          <t>Central English policy</t>
        </is>
      </c>
      <c r="T408" t="inlineStr">
        <is>
          <t>Central rule applies (value agrees)</t>
        </is>
      </c>
      <c r="U408" t="inlineStr"/>
      <c r="V408" t="inlineStr">
        <is>
          <t>Filled</t>
        </is>
      </c>
      <c r="W408" t="inlineStr">
        <is>
          <t>February, May, September</t>
        </is>
      </c>
      <c r="X408" t="inlineStr">
        <is>
          <t>University adapter</t>
        </is>
      </c>
      <c r="Y408" t="n">
        <v>0</v>
      </c>
      <c r="Z408" t="inlineStr">
        <is>
          <t>No</t>
        </is>
      </c>
      <c r="AA408" t="inlineStr">
        <is>
          <t>Filled</t>
        </is>
      </c>
      <c r="AB408" t="inlineStr">
        <is>
          <t>on campus</t>
        </is>
      </c>
      <c r="AC408" t="inlineStr"/>
      <c r="AD408" t="n">
        <v>0</v>
      </c>
      <c r="AE408" t="inlineStr"/>
      <c r="AF408" t="inlineStr"/>
      <c r="AG408" t="inlineStr"/>
      <c r="AH408" t="inlineStr"/>
      <c r="AI408" t="inlineStr"/>
      <c r="AJ408" t="inlineStr"/>
      <c r="AK408" t="inlineStr"/>
      <c r="AL408" t="inlineStr"/>
      <c r="AM408" t="inlineStr"/>
    </row>
    <row r="409">
      <c r="A409" t="inlineStr">
        <is>
          <t>000845K</t>
        </is>
      </c>
      <c r="B409" t="inlineStr">
        <is>
          <t>Graduate Diploma in Biomedical Engineering</t>
        </is>
      </c>
      <c r="C409" t="inlineStr">
        <is>
          <t>Graduate Diploma</t>
        </is>
      </c>
      <c r="D409" t="inlineStr">
        <is>
          <t>Postgraduate coursework</t>
        </is>
      </c>
      <c r="E409" t="inlineStr">
        <is>
          <t>Held: page found is for another course</t>
        </is>
      </c>
      <c r="F409" t="inlineStr"/>
      <c r="G409" t="inlineStr">
        <is>
          <t>https://www.unsw.edu.au/study/postgraduate/graduate-diploma-in-biomedical-engineering</t>
        </is>
      </c>
      <c r="H409" t="inlineStr">
        <is>
          <t>Read</t>
        </is>
      </c>
      <c r="I409" t="inlineStr">
        <is>
          <t>Set by hand</t>
        </is>
      </c>
      <c r="J409" t="inlineStr"/>
      <c r="K409" t="inlineStr">
        <is>
          <t>Not sent to re-link</t>
        </is>
      </c>
      <c r="L409" t="inlineStr">
        <is>
          <t>Not stated on course page</t>
        </is>
      </c>
      <c r="M409" t="inlineStr">
        <is>
          <t>Not stated on course page</t>
        </is>
      </c>
      <c r="N409" t="inlineStr"/>
      <c r="O409" t="n">
        <v>0</v>
      </c>
      <c r="P409" t="inlineStr"/>
      <c r="Q409" t="inlineStr">
        <is>
          <t>Filled</t>
        </is>
      </c>
      <c r="R409" t="n">
        <v>6</v>
      </c>
      <c r="S409" t="inlineStr">
        <is>
          <t>Central English policy</t>
        </is>
      </c>
      <c r="T409" t="inlineStr">
        <is>
          <t>Central rule applies (value agrees)</t>
        </is>
      </c>
      <c r="U409" t="inlineStr"/>
      <c r="V409" t="inlineStr">
        <is>
          <t>Not stated on course page</t>
        </is>
      </c>
      <c r="W409" t="inlineStr"/>
      <c r="X409" t="inlineStr"/>
      <c r="Y409" t="n">
        <v>0</v>
      </c>
      <c r="Z409" t="inlineStr">
        <is>
          <t>No</t>
        </is>
      </c>
      <c r="AA409" t="inlineStr">
        <is>
          <t>Not stated on course page</t>
        </is>
      </c>
      <c r="AB409" t="inlineStr"/>
      <c r="AC409" t="inlineStr">
        <is>
          <t>Skipped: the page does not state it</t>
        </is>
      </c>
      <c r="AD409" t="n">
        <v>0</v>
      </c>
      <c r="AE409" t="inlineStr"/>
      <c r="AF409" t="inlineStr"/>
      <c r="AG409" t="inlineStr"/>
      <c r="AH409" t="inlineStr"/>
      <c r="AI409" t="inlineStr"/>
      <c r="AJ409" t="inlineStr"/>
      <c r="AK409" t="inlineStr"/>
      <c r="AL409" t="inlineStr"/>
      <c r="AM409" t="inlineStr"/>
    </row>
    <row r="410">
      <c r="A410" t="inlineStr">
        <is>
          <t>093860G</t>
        </is>
      </c>
      <c r="B410" t="inlineStr">
        <is>
          <t>Graduate Diploma in City Analytics</t>
        </is>
      </c>
      <c r="C410" t="inlineStr">
        <is>
          <t>Graduate Diploma</t>
        </is>
      </c>
      <c r="D410" t="inlineStr">
        <is>
          <t>Postgraduate coursework</t>
        </is>
      </c>
      <c r="E410" t="inlineStr">
        <is>
          <t>Page address no longer works</t>
        </is>
      </c>
      <c r="F410" t="inlineStr"/>
      <c r="G410" t="inlineStr">
        <is>
          <t>https://www.handbook.unsw.edu.au/postgraduate/programs/2026/8151</t>
        </is>
      </c>
      <c r="H410" t="inlineStr">
        <is>
          <t>Address no longer works</t>
        </is>
      </c>
      <c r="I410" t="inlineStr"/>
      <c r="J410" t="inlineStr"/>
      <c r="K410" t="inlineStr">
        <is>
          <t>Not sent to re-link</t>
        </is>
      </c>
      <c r="L410" t="inlineStr">
        <is>
          <t>Page found, being read</t>
        </is>
      </c>
      <c r="M410" t="inlineStr">
        <is>
          <t>Page found, being read</t>
        </is>
      </c>
      <c r="N410" t="inlineStr"/>
      <c r="O410" t="n">
        <v>0</v>
      </c>
      <c r="P410" t="inlineStr"/>
      <c r="Q410" t="inlineStr">
        <is>
          <t>Filled</t>
        </is>
      </c>
      <c r="R410" t="n">
        <v>6</v>
      </c>
      <c r="S410" t="inlineStr">
        <is>
          <t>Central English policy</t>
        </is>
      </c>
      <c r="T410" t="inlineStr">
        <is>
          <t>Central rule applies (value agrees)</t>
        </is>
      </c>
      <c r="U410" t="inlineStr"/>
      <c r="V410" t="inlineStr">
        <is>
          <t>Page found, being read</t>
        </is>
      </c>
      <c r="W410" t="inlineStr"/>
      <c r="X410" t="inlineStr"/>
      <c r="Y410" t="n">
        <v>0</v>
      </c>
      <c r="Z410" t="inlineStr">
        <is>
          <t>No</t>
        </is>
      </c>
      <c r="AA410" t="inlineStr">
        <is>
          <t>Not stated on course page</t>
        </is>
      </c>
      <c r="AB410" t="inlineStr"/>
      <c r="AC410" t="inlineStr">
        <is>
          <t>Skipped: no allowed source had a value</t>
        </is>
      </c>
      <c r="AD410" t="n">
        <v>0</v>
      </c>
      <c r="AE410" t="inlineStr"/>
      <c r="AF410" t="inlineStr"/>
      <c r="AG410" t="inlineStr"/>
      <c r="AH410" t="inlineStr"/>
      <c r="AI410" t="inlineStr"/>
      <c r="AJ410" t="inlineStr"/>
      <c r="AK410" t="inlineStr"/>
      <c r="AL410" t="inlineStr"/>
      <c r="AM410" t="inlineStr"/>
    </row>
    <row r="411">
      <c r="A411" t="inlineStr">
        <is>
          <t>088356M</t>
        </is>
      </c>
      <c r="B411" t="inlineStr">
        <is>
          <t>Graduate Diploma in City Planning</t>
        </is>
      </c>
      <c r="C411" t="inlineStr">
        <is>
          <t>Graduate Diploma</t>
        </is>
      </c>
      <c r="D411" t="inlineStr">
        <is>
          <t>Postgraduate coursework</t>
        </is>
      </c>
      <c r="E411" t="inlineStr">
        <is>
          <t>Advertised: official page in place</t>
        </is>
      </c>
      <c r="F411" t="inlineStr">
        <is>
          <t>https://www.unsw.edu.au/study/postgraduate/graduate-diploma-in-city-planning</t>
        </is>
      </c>
      <c r="G411" t="inlineStr">
        <is>
          <t>https://www.unsw.edu.au/study/postgraduate/graduate-diploma-in-city-planning</t>
        </is>
      </c>
      <c r="H411" t="inlineStr">
        <is>
          <t>Read</t>
        </is>
      </c>
      <c r="I411" t="inlineStr">
        <is>
          <t>CRICOS code on page</t>
        </is>
      </c>
      <c r="J411" t="inlineStr"/>
      <c r="K411" t="inlineStr">
        <is>
          <t>Not sent to re-link</t>
        </is>
      </c>
      <c r="L411" t="inlineStr">
        <is>
          <t>Filled</t>
        </is>
      </c>
      <c r="M411" t="inlineStr">
        <is>
          <t>Filled</t>
        </is>
      </c>
      <c r="N411" t="inlineStr">
        <is>
          <t>49000.00 2026</t>
        </is>
      </c>
      <c r="O411" t="n">
        <v>0</v>
      </c>
      <c r="P411" t="inlineStr">
        <is>
          <t>University adapter</t>
        </is>
      </c>
      <c r="Q411" t="inlineStr">
        <is>
          <t>Filled</t>
        </is>
      </c>
      <c r="R411" t="n">
        <v>6</v>
      </c>
      <c r="S411" t="inlineStr">
        <is>
          <t>Central English policy</t>
        </is>
      </c>
      <c r="T411" t="inlineStr">
        <is>
          <t>Central rule applies (value agrees)</t>
        </is>
      </c>
      <c r="U411" t="inlineStr"/>
      <c r="V411" t="inlineStr">
        <is>
          <t>Filled</t>
        </is>
      </c>
      <c r="W411" t="inlineStr">
        <is>
          <t>February, September</t>
        </is>
      </c>
      <c r="X411" t="inlineStr">
        <is>
          <t>University adapter</t>
        </is>
      </c>
      <c r="Y411" t="n">
        <v>0</v>
      </c>
      <c r="Z411" t="inlineStr">
        <is>
          <t>No</t>
        </is>
      </c>
      <c r="AA411" t="inlineStr">
        <is>
          <t>Filled</t>
        </is>
      </c>
      <c r="AB411" t="inlineStr">
        <is>
          <t>on campus</t>
        </is>
      </c>
      <c r="AC411" t="inlineStr"/>
      <c r="AD411" t="n">
        <v>0</v>
      </c>
      <c r="AE411" t="inlineStr"/>
      <c r="AF411" t="inlineStr"/>
      <c r="AG411" t="inlineStr"/>
      <c r="AH411" t="inlineStr"/>
      <c r="AI411" t="inlineStr"/>
      <c r="AJ411" t="inlineStr"/>
      <c r="AK411" t="inlineStr"/>
      <c r="AL411" t="inlineStr"/>
      <c r="AM411" t="inlineStr"/>
    </row>
    <row r="412">
      <c r="A412" t="inlineStr">
        <is>
          <t>082202M</t>
        </is>
      </c>
      <c r="B412" t="inlineStr">
        <is>
          <t>Graduate Diploma in Cultural Leadership</t>
        </is>
      </c>
      <c r="C412" t="inlineStr">
        <is>
          <t>Graduate Diploma</t>
        </is>
      </c>
      <c r="D412" t="inlineStr">
        <is>
          <t>Postgraduate coursework</t>
        </is>
      </c>
      <c r="E412" t="inlineStr">
        <is>
          <t>Advertised: official page in place</t>
        </is>
      </c>
      <c r="F412" t="inlineStr">
        <is>
          <t>https://www.unsw.edu.au/study/postgraduate/graduate-diploma-in-cultural-leadership</t>
        </is>
      </c>
      <c r="G412" t="inlineStr">
        <is>
          <t>https://www.unsw.edu.au/study/postgraduate/graduate-diploma-in-cultural-leadership</t>
        </is>
      </c>
      <c r="H412" t="inlineStr">
        <is>
          <t>Read</t>
        </is>
      </c>
      <c r="I412" t="inlineStr">
        <is>
          <t>CRICOS code on page</t>
        </is>
      </c>
      <c r="J412" t="inlineStr"/>
      <c r="K412" t="inlineStr">
        <is>
          <t>Not sent to re-link</t>
        </is>
      </c>
      <c r="L412" t="inlineStr">
        <is>
          <t>Filled</t>
        </is>
      </c>
      <c r="M412" t="inlineStr">
        <is>
          <t>Filled</t>
        </is>
      </c>
      <c r="N412" t="inlineStr">
        <is>
          <t>48500.00 2026</t>
        </is>
      </c>
      <c r="O412" t="n">
        <v>0</v>
      </c>
      <c r="P412" t="inlineStr">
        <is>
          <t>University adapter</t>
        </is>
      </c>
      <c r="Q412" t="inlineStr">
        <is>
          <t>Filled</t>
        </is>
      </c>
      <c r="R412" t="n">
        <v>6</v>
      </c>
      <c r="S412" t="inlineStr">
        <is>
          <t>Central English policy</t>
        </is>
      </c>
      <c r="T412" t="inlineStr">
        <is>
          <t>Central rule applies (value agrees)</t>
        </is>
      </c>
      <c r="U412" t="inlineStr"/>
      <c r="V412" t="inlineStr">
        <is>
          <t>Filled</t>
        </is>
      </c>
      <c r="W412" t="inlineStr">
        <is>
          <t>February, May, September</t>
        </is>
      </c>
      <c r="X412" t="inlineStr">
        <is>
          <t>University adapter</t>
        </is>
      </c>
      <c r="Y412" t="n">
        <v>0</v>
      </c>
      <c r="Z412" t="inlineStr">
        <is>
          <t>No</t>
        </is>
      </c>
      <c r="AA412" t="inlineStr">
        <is>
          <t>Filled</t>
        </is>
      </c>
      <c r="AB412" t="inlineStr">
        <is>
          <t>on campus and online</t>
        </is>
      </c>
      <c r="AC412" t="inlineStr"/>
      <c r="AD412" t="n">
        <v>0</v>
      </c>
      <c r="AE412" t="inlineStr"/>
      <c r="AF412" t="inlineStr"/>
      <c r="AG412" t="inlineStr"/>
      <c r="AH412" t="inlineStr"/>
      <c r="AI412" t="inlineStr"/>
      <c r="AJ412" t="inlineStr"/>
      <c r="AK412" t="inlineStr"/>
      <c r="AL412" t="inlineStr"/>
      <c r="AM412" t="inlineStr"/>
    </row>
    <row r="413">
      <c r="A413" t="inlineStr">
        <is>
          <t>0100703</t>
        </is>
      </c>
      <c r="B413" t="inlineStr">
        <is>
          <t>Graduate Diploma in Data Science and Decisions</t>
        </is>
      </c>
      <c r="C413" t="inlineStr">
        <is>
          <t>Graduate Diploma</t>
        </is>
      </c>
      <c r="D413" t="inlineStr">
        <is>
          <t>Postgraduate coursework</t>
        </is>
      </c>
      <c r="E413" t="inlineStr">
        <is>
          <t>Advertised: official page in place</t>
        </is>
      </c>
      <c r="F413" t="inlineStr">
        <is>
          <t>https://www.unsw.edu.au/study/postgraduate/graduate-diploma-in-data-science-and-decisions</t>
        </is>
      </c>
      <c r="G413" t="inlineStr">
        <is>
          <t>https://www.unsw.edu.au/study/postgraduate/graduate-diploma-in-data-science-and-decisions</t>
        </is>
      </c>
      <c r="H413" t="inlineStr">
        <is>
          <t>Read</t>
        </is>
      </c>
      <c r="I413" t="inlineStr">
        <is>
          <t>CRICOS code on page</t>
        </is>
      </c>
      <c r="J413" t="inlineStr"/>
      <c r="K413" t="inlineStr">
        <is>
          <t>Not sent to re-link</t>
        </is>
      </c>
      <c r="L413" t="inlineStr">
        <is>
          <t>Filled</t>
        </is>
      </c>
      <c r="M413" t="inlineStr">
        <is>
          <t>Filled</t>
        </is>
      </c>
      <c r="N413" t="inlineStr">
        <is>
          <t>61000.00 2026</t>
        </is>
      </c>
      <c r="O413" t="n">
        <v>0</v>
      </c>
      <c r="P413" t="inlineStr">
        <is>
          <t>University adapter</t>
        </is>
      </c>
      <c r="Q413" t="inlineStr">
        <is>
          <t>Filled</t>
        </is>
      </c>
      <c r="R413" t="n">
        <v>6</v>
      </c>
      <c r="S413" t="inlineStr">
        <is>
          <t>Central English policy</t>
        </is>
      </c>
      <c r="T413" t="inlineStr">
        <is>
          <t>Central rule applies (value agrees)</t>
        </is>
      </c>
      <c r="U413" t="inlineStr"/>
      <c r="V413" t="inlineStr">
        <is>
          <t>Filled</t>
        </is>
      </c>
      <c r="W413" t="inlineStr">
        <is>
          <t>February, September</t>
        </is>
      </c>
      <c r="X413" t="inlineStr">
        <is>
          <t>University adapter</t>
        </is>
      </c>
      <c r="Y413" t="n">
        <v>0</v>
      </c>
      <c r="Z413" t="inlineStr">
        <is>
          <t>No</t>
        </is>
      </c>
      <c r="AA413" t="inlineStr">
        <is>
          <t>Filled</t>
        </is>
      </c>
      <c r="AB413" t="inlineStr">
        <is>
          <t>on campus</t>
        </is>
      </c>
      <c r="AC413" t="inlineStr"/>
      <c r="AD413" t="n">
        <v>0</v>
      </c>
      <c r="AE413" t="inlineStr"/>
      <c r="AF413" t="inlineStr"/>
      <c r="AG413" t="inlineStr"/>
      <c r="AH413" t="inlineStr"/>
      <c r="AI413" t="inlineStr"/>
      <c r="AJ413" t="inlineStr"/>
      <c r="AK413" t="inlineStr"/>
      <c r="AL413" t="inlineStr"/>
      <c r="AM413" t="inlineStr"/>
    </row>
    <row r="414">
      <c r="A414" t="inlineStr">
        <is>
          <t>082199A</t>
        </is>
      </c>
      <c r="B414" t="inlineStr">
        <is>
          <t>Graduate Diploma in Design</t>
        </is>
      </c>
      <c r="C414" t="inlineStr">
        <is>
          <t>Graduate Diploma</t>
        </is>
      </c>
      <c r="D414" t="inlineStr">
        <is>
          <t>Postgraduate coursework</t>
        </is>
      </c>
      <c r="E414" t="inlineStr">
        <is>
          <t>Advertised: official page in place</t>
        </is>
      </c>
      <c r="F414" t="inlineStr">
        <is>
          <t>https://www.unsw.edu.au/study/postgraduate/graduate-diploma-in-design</t>
        </is>
      </c>
      <c r="G414" t="inlineStr">
        <is>
          <t>https://www.unsw.edu.au/study/postgraduate/graduate-diploma-in-design</t>
        </is>
      </c>
      <c r="H414" t="inlineStr">
        <is>
          <t>Read</t>
        </is>
      </c>
      <c r="I414" t="inlineStr">
        <is>
          <t>CRICOS code on page</t>
        </is>
      </c>
      <c r="J414" t="inlineStr"/>
      <c r="K414" t="inlineStr">
        <is>
          <t>Not sent to re-link</t>
        </is>
      </c>
      <c r="L414" t="inlineStr">
        <is>
          <t>Filled</t>
        </is>
      </c>
      <c r="M414" t="inlineStr">
        <is>
          <t>Filled</t>
        </is>
      </c>
      <c r="N414" t="inlineStr">
        <is>
          <t>48500.00 2026</t>
        </is>
      </c>
      <c r="O414" t="n">
        <v>0</v>
      </c>
      <c r="P414" t="inlineStr">
        <is>
          <t>University adapter</t>
        </is>
      </c>
      <c r="Q414" t="inlineStr">
        <is>
          <t>Filled</t>
        </is>
      </c>
      <c r="R414" t="n">
        <v>6</v>
      </c>
      <c r="S414" t="inlineStr">
        <is>
          <t>Central English policy</t>
        </is>
      </c>
      <c r="T414" t="inlineStr">
        <is>
          <t>Central rule applies (value agrees)</t>
        </is>
      </c>
      <c r="U414" t="inlineStr"/>
      <c r="V414" t="inlineStr">
        <is>
          <t>Filled</t>
        </is>
      </c>
      <c r="W414" t="inlineStr">
        <is>
          <t>February, May, September</t>
        </is>
      </c>
      <c r="X414" t="inlineStr">
        <is>
          <t>University adapter</t>
        </is>
      </c>
      <c r="Y414" t="n">
        <v>0</v>
      </c>
      <c r="Z414" t="inlineStr">
        <is>
          <t>No</t>
        </is>
      </c>
      <c r="AA414" t="inlineStr">
        <is>
          <t>Filled</t>
        </is>
      </c>
      <c r="AB414" t="inlineStr">
        <is>
          <t>on campus</t>
        </is>
      </c>
      <c r="AC414" t="inlineStr"/>
      <c r="AD414" t="n">
        <v>0</v>
      </c>
      <c r="AE414" t="inlineStr"/>
      <c r="AF414" t="inlineStr"/>
      <c r="AG414" t="inlineStr"/>
      <c r="AH414" t="inlineStr"/>
      <c r="AI414" t="inlineStr"/>
      <c r="AJ414" t="inlineStr"/>
      <c r="AK414" t="inlineStr"/>
      <c r="AL414" t="inlineStr"/>
      <c r="AM414" t="inlineStr"/>
    </row>
    <row r="415">
      <c r="A415" t="inlineStr">
        <is>
          <t>113779J</t>
        </is>
      </c>
      <c r="B415" t="inlineStr">
        <is>
          <t>Graduate Diploma in Engineering Science</t>
        </is>
      </c>
      <c r="C415" t="inlineStr">
        <is>
          <t>Graduate Diploma</t>
        </is>
      </c>
      <c r="D415" t="inlineStr">
        <is>
          <t>Postgraduate coursework</t>
        </is>
      </c>
      <c r="E415" t="inlineStr">
        <is>
          <t>Advertised: official page in place</t>
        </is>
      </c>
      <c r="F415" t="inlineStr">
        <is>
          <t>https://www.unsw.edu.au/study/postgraduate/graduate-diploma-in-engineering-science</t>
        </is>
      </c>
      <c r="G415" t="inlineStr">
        <is>
          <t>https://www.unsw.edu.au/study/postgraduate/graduate-diploma-in-engineering-science</t>
        </is>
      </c>
      <c r="H415" t="inlineStr">
        <is>
          <t>Read</t>
        </is>
      </c>
      <c r="I415" t="inlineStr">
        <is>
          <t>CRICOS code on page</t>
        </is>
      </c>
      <c r="J415" t="inlineStr"/>
      <c r="K415" t="inlineStr">
        <is>
          <t>Not sent to re-link</t>
        </is>
      </c>
      <c r="L415" t="inlineStr">
        <is>
          <t>Filled</t>
        </is>
      </c>
      <c r="M415" t="inlineStr">
        <is>
          <t>Filled</t>
        </is>
      </c>
      <c r="N415" t="inlineStr">
        <is>
          <t>61000.00 2026</t>
        </is>
      </c>
      <c r="O415" t="n">
        <v>0</v>
      </c>
      <c r="P415" t="inlineStr">
        <is>
          <t>University adapter</t>
        </is>
      </c>
      <c r="Q415" t="inlineStr">
        <is>
          <t>Filled</t>
        </is>
      </c>
      <c r="R415" t="n">
        <v>6</v>
      </c>
      <c r="S415" t="inlineStr">
        <is>
          <t>Central English policy</t>
        </is>
      </c>
      <c r="T415" t="inlineStr">
        <is>
          <t>Central rule applies (value agrees)</t>
        </is>
      </c>
      <c r="U415" t="inlineStr"/>
      <c r="V415" t="inlineStr">
        <is>
          <t>Filled</t>
        </is>
      </c>
      <c r="W415" t="inlineStr">
        <is>
          <t>February, May, September</t>
        </is>
      </c>
      <c r="X415" t="inlineStr">
        <is>
          <t>University adapter</t>
        </is>
      </c>
      <c r="Y415" t="n">
        <v>0</v>
      </c>
      <c r="Z415" t="inlineStr">
        <is>
          <t>No</t>
        </is>
      </c>
      <c r="AA415" t="inlineStr">
        <is>
          <t>Filled</t>
        </is>
      </c>
      <c r="AB415" t="inlineStr">
        <is>
          <t>on campus</t>
        </is>
      </c>
      <c r="AC415" t="inlineStr"/>
      <c r="AD415" t="n">
        <v>0</v>
      </c>
      <c r="AE415" t="inlineStr"/>
      <c r="AF415" t="inlineStr"/>
      <c r="AG415" t="inlineStr"/>
      <c r="AH415" t="inlineStr"/>
      <c r="AI415" t="inlineStr"/>
      <c r="AJ415" t="inlineStr"/>
      <c r="AK415" t="inlineStr"/>
      <c r="AL415" t="inlineStr"/>
      <c r="AM415" t="inlineStr"/>
    </row>
    <row r="416">
      <c r="A416" t="inlineStr">
        <is>
          <t>033894F</t>
        </is>
      </c>
      <c r="B416" t="inlineStr">
        <is>
          <t>Graduate Diploma in Environmental Management</t>
        </is>
      </c>
      <c r="C416" t="inlineStr">
        <is>
          <t>Graduate Diploma</t>
        </is>
      </c>
      <c r="D416" t="inlineStr">
        <is>
          <t>Postgraduate coursework</t>
        </is>
      </c>
      <c r="E416" t="inlineStr">
        <is>
          <t>Advertised: official page in place</t>
        </is>
      </c>
      <c r="F416" t="inlineStr">
        <is>
          <t>https://www.unsw.edu.au/study/postgraduate/graduate-diploma-in-environmental-management</t>
        </is>
      </c>
      <c r="G416" t="inlineStr">
        <is>
          <t>https://www.unsw.edu.au/study/postgraduate/graduate-diploma-in-environmental-management</t>
        </is>
      </c>
      <c r="H416" t="inlineStr">
        <is>
          <t>Read</t>
        </is>
      </c>
      <c r="I416" t="inlineStr">
        <is>
          <t>CRICOS code on page</t>
        </is>
      </c>
      <c r="J416" t="inlineStr"/>
      <c r="K416" t="inlineStr">
        <is>
          <t>Not sent to re-link</t>
        </is>
      </c>
      <c r="L416" t="inlineStr">
        <is>
          <t>Filled</t>
        </is>
      </c>
      <c r="M416" t="inlineStr">
        <is>
          <t>Filled</t>
        </is>
      </c>
      <c r="N416" t="inlineStr">
        <is>
          <t>52000.00 2026</t>
        </is>
      </c>
      <c r="O416" t="n">
        <v>0</v>
      </c>
      <c r="P416" t="inlineStr">
        <is>
          <t>University adapter</t>
        </is>
      </c>
      <c r="Q416" t="inlineStr">
        <is>
          <t>Filled</t>
        </is>
      </c>
      <c r="R416" t="n">
        <v>6</v>
      </c>
      <c r="S416" t="inlineStr">
        <is>
          <t>Central English policy</t>
        </is>
      </c>
      <c r="T416" t="inlineStr">
        <is>
          <t>Central rule applies (value agrees)</t>
        </is>
      </c>
      <c r="U416" t="inlineStr"/>
      <c r="V416" t="inlineStr">
        <is>
          <t>Filled</t>
        </is>
      </c>
      <c r="W416" t="inlineStr">
        <is>
          <t>February, May, September</t>
        </is>
      </c>
      <c r="X416" t="inlineStr">
        <is>
          <t>University adapter</t>
        </is>
      </c>
      <c r="Y416" t="n">
        <v>0</v>
      </c>
      <c r="Z416" t="inlineStr">
        <is>
          <t>No</t>
        </is>
      </c>
      <c r="AA416" t="inlineStr">
        <is>
          <t>Filled</t>
        </is>
      </c>
      <c r="AB416" t="inlineStr">
        <is>
          <t>on campus and online</t>
        </is>
      </c>
      <c r="AC416" t="inlineStr"/>
      <c r="AD416" t="n">
        <v>0</v>
      </c>
      <c r="AE416" t="inlineStr"/>
      <c r="AF416" t="inlineStr"/>
      <c r="AG416" t="inlineStr"/>
      <c r="AH416" t="inlineStr"/>
      <c r="AI416" t="inlineStr"/>
      <c r="AJ416" t="inlineStr"/>
      <c r="AK416" t="inlineStr"/>
      <c r="AL416" t="inlineStr"/>
      <c r="AM416" t="inlineStr"/>
    </row>
    <row r="417">
      <c r="A417" t="inlineStr">
        <is>
          <t>075259G</t>
        </is>
      </c>
      <c r="B417" t="inlineStr">
        <is>
          <t>Graduate Diploma in Financial Planning</t>
        </is>
      </c>
      <c r="C417" t="inlineStr">
        <is>
          <t>Graduate Diploma</t>
        </is>
      </c>
      <c r="D417" t="inlineStr">
        <is>
          <t>Postgraduate coursework</t>
        </is>
      </c>
      <c r="E417" t="inlineStr">
        <is>
          <t>Advertised: official page in place</t>
        </is>
      </c>
      <c r="F417" t="inlineStr">
        <is>
          <t>https://www.handbook.unsw.edu.au/postgraduate/programs/2026/5273</t>
        </is>
      </c>
      <c r="G417" t="inlineStr">
        <is>
          <t>https://www.handbook.unsw.edu.au/postgraduate/programs/2026/7273</t>
        </is>
      </c>
      <c r="H417" t="inlineStr">
        <is>
          <t>Address no longer works</t>
        </is>
      </c>
      <c r="I417" t="inlineStr"/>
      <c r="J417" t="inlineStr"/>
      <c r="K417" t="inlineStr">
        <is>
          <t>Finished, no page: no address from the university's address forms or stored lis</t>
        </is>
      </c>
      <c r="L417" t="inlineStr">
        <is>
          <t>Filled</t>
        </is>
      </c>
      <c r="M417" t="inlineStr">
        <is>
          <t>Not stated on course page</t>
        </is>
      </c>
      <c r="N417" t="inlineStr"/>
      <c r="O417" t="n">
        <v>0</v>
      </c>
      <c r="P417" t="inlineStr"/>
      <c r="Q417" t="inlineStr">
        <is>
          <t>Filled</t>
        </is>
      </c>
      <c r="R417" t="n">
        <v>6</v>
      </c>
      <c r="S417" t="inlineStr">
        <is>
          <t>Central English policy</t>
        </is>
      </c>
      <c r="T417" t="inlineStr">
        <is>
          <t>Central rule applies (value agrees)</t>
        </is>
      </c>
      <c r="U417" t="inlineStr"/>
      <c r="V417" t="inlineStr">
        <is>
          <t>Filled</t>
        </is>
      </c>
      <c r="W417" t="inlineStr">
        <is>
          <t>February, May, September</t>
        </is>
      </c>
      <c r="X417" t="inlineStr">
        <is>
          <t>Other</t>
        </is>
      </c>
      <c r="Y417" t="n">
        <v>0</v>
      </c>
      <c r="Z417" t="inlineStr">
        <is>
          <t>No</t>
        </is>
      </c>
      <c r="AA417" t="inlineStr">
        <is>
          <t>Filled</t>
        </is>
      </c>
      <c r="AB417" t="inlineStr">
        <is>
          <t>blended</t>
        </is>
      </c>
      <c r="AC417" t="inlineStr">
        <is>
          <t>Filled</t>
        </is>
      </c>
      <c r="AD417" t="n">
        <v>0</v>
      </c>
      <c r="AE417" t="inlineStr"/>
      <c r="AF417" t="inlineStr"/>
      <c r="AG417" t="inlineStr"/>
      <c r="AH417" t="inlineStr"/>
      <c r="AI417" t="inlineStr"/>
      <c r="AJ417" t="inlineStr"/>
      <c r="AK417" t="inlineStr"/>
      <c r="AL417" t="inlineStr"/>
      <c r="AM417" t="inlineStr"/>
    </row>
    <row r="418">
      <c r="A418" t="inlineStr">
        <is>
          <t>113780E</t>
        </is>
      </c>
      <c r="B418" t="inlineStr">
        <is>
          <t>Graduate Diploma in Food Science</t>
        </is>
      </c>
      <c r="C418" t="inlineStr">
        <is>
          <t>Graduate Diploma</t>
        </is>
      </c>
      <c r="D418" t="inlineStr">
        <is>
          <t>Postgraduate coursework</t>
        </is>
      </c>
      <c r="E418" t="inlineStr">
        <is>
          <t>Advertised: official page in place</t>
        </is>
      </c>
      <c r="F418" t="inlineStr">
        <is>
          <t>https://www.unsw.edu.au/study/postgraduate/graduate-diploma-in-food-science</t>
        </is>
      </c>
      <c r="G418" t="inlineStr">
        <is>
          <t>https://www.unsw.edu.au/study/postgraduate/graduate-diploma-in-food-science</t>
        </is>
      </c>
      <c r="H418" t="inlineStr">
        <is>
          <t>Read</t>
        </is>
      </c>
      <c r="I418" t="inlineStr">
        <is>
          <t>CRICOS code on page</t>
        </is>
      </c>
      <c r="J418" t="inlineStr"/>
      <c r="K418" t="inlineStr">
        <is>
          <t>Not sent to re-link</t>
        </is>
      </c>
      <c r="L418" t="inlineStr">
        <is>
          <t>Filled</t>
        </is>
      </c>
      <c r="M418" t="inlineStr">
        <is>
          <t>Filled</t>
        </is>
      </c>
      <c r="N418" t="inlineStr">
        <is>
          <t>61000.00 2026</t>
        </is>
      </c>
      <c r="O418" t="n">
        <v>0</v>
      </c>
      <c r="P418" t="inlineStr">
        <is>
          <t>University adapter</t>
        </is>
      </c>
      <c r="Q418" t="inlineStr">
        <is>
          <t>Filled</t>
        </is>
      </c>
      <c r="R418" t="n">
        <v>6</v>
      </c>
      <c r="S418" t="inlineStr">
        <is>
          <t>Central English policy</t>
        </is>
      </c>
      <c r="T418" t="inlineStr">
        <is>
          <t>Central rule applies (value agrees)</t>
        </is>
      </c>
      <c r="U418" t="inlineStr"/>
      <c r="V418" t="inlineStr">
        <is>
          <t>Filled</t>
        </is>
      </c>
      <c r="W418" t="inlineStr">
        <is>
          <t>February, May, September</t>
        </is>
      </c>
      <c r="X418" t="inlineStr">
        <is>
          <t>University adapter</t>
        </is>
      </c>
      <c r="Y418" t="n">
        <v>0</v>
      </c>
      <c r="Z418" t="inlineStr">
        <is>
          <t>No</t>
        </is>
      </c>
      <c r="AA418" t="inlineStr">
        <is>
          <t>Filled</t>
        </is>
      </c>
      <c r="AB418" t="inlineStr">
        <is>
          <t>on campus</t>
        </is>
      </c>
      <c r="AC418" t="inlineStr"/>
      <c r="AD418" t="n">
        <v>0</v>
      </c>
      <c r="AE418" t="inlineStr"/>
      <c r="AF418" t="inlineStr"/>
      <c r="AG418" t="inlineStr"/>
      <c r="AH418" t="inlineStr"/>
      <c r="AI418" t="inlineStr"/>
      <c r="AJ418" t="inlineStr"/>
      <c r="AK418" t="inlineStr"/>
      <c r="AL418" t="inlineStr"/>
      <c r="AM418" t="inlineStr"/>
    </row>
    <row r="419">
      <c r="A419" t="inlineStr">
        <is>
          <t>068958F</t>
        </is>
      </c>
      <c r="B419" t="inlineStr">
        <is>
          <t>Graduate Diploma in Global Health</t>
        </is>
      </c>
      <c r="C419" t="inlineStr">
        <is>
          <t>Graduate Diploma</t>
        </is>
      </c>
      <c r="D419" t="inlineStr">
        <is>
          <t>Postgraduate coursework</t>
        </is>
      </c>
      <c r="E419" t="inlineStr">
        <is>
          <t>Advertised: official page in place</t>
        </is>
      </c>
      <c r="F419" t="inlineStr">
        <is>
          <t>https://www.unsw.edu.au/study/postgraduate/graduate-diploma-in-global-health</t>
        </is>
      </c>
      <c r="G419" t="inlineStr">
        <is>
          <t>https://www.unsw.edu.au/study/postgraduate/graduate-diploma-in-global-health</t>
        </is>
      </c>
      <c r="H419" t="inlineStr">
        <is>
          <t>Read</t>
        </is>
      </c>
      <c r="I419" t="inlineStr">
        <is>
          <t>CRICOS code on page</t>
        </is>
      </c>
      <c r="J419" t="inlineStr"/>
      <c r="K419" t="inlineStr">
        <is>
          <t>Not sent to re-link</t>
        </is>
      </c>
      <c r="L419" t="inlineStr">
        <is>
          <t>Filled</t>
        </is>
      </c>
      <c r="M419" t="inlineStr">
        <is>
          <t>Filled</t>
        </is>
      </c>
      <c r="N419" t="inlineStr">
        <is>
          <t>45500.00 2026</t>
        </is>
      </c>
      <c r="O419" t="n">
        <v>0</v>
      </c>
      <c r="P419" t="inlineStr">
        <is>
          <t>Page reader</t>
        </is>
      </c>
      <c r="Q419" t="inlineStr">
        <is>
          <t>Filled</t>
        </is>
      </c>
      <c r="R419" t="n">
        <v>6</v>
      </c>
      <c r="S419" t="inlineStr">
        <is>
          <t>Central English policy</t>
        </is>
      </c>
      <c r="T419" t="inlineStr">
        <is>
          <t>Central rule applies (value agrees)</t>
        </is>
      </c>
      <c r="U419" t="inlineStr"/>
      <c r="V419" t="inlineStr">
        <is>
          <t>Filled</t>
        </is>
      </c>
      <c r="W419" t="inlineStr">
        <is>
          <t>February, May, September</t>
        </is>
      </c>
      <c r="X419" t="inlineStr">
        <is>
          <t>University adapter</t>
        </is>
      </c>
      <c r="Y419" t="n">
        <v>0</v>
      </c>
      <c r="Z419" t="inlineStr">
        <is>
          <t>No</t>
        </is>
      </c>
      <c r="AA419" t="inlineStr">
        <is>
          <t>Filled</t>
        </is>
      </c>
      <c r="AB419" t="inlineStr">
        <is>
          <t>on campus and online</t>
        </is>
      </c>
      <c r="AC419" t="inlineStr"/>
      <c r="AD419" t="n">
        <v>0</v>
      </c>
      <c r="AE419" t="inlineStr"/>
      <c r="AF419" t="inlineStr"/>
      <c r="AG419" t="inlineStr"/>
      <c r="AH419" t="inlineStr"/>
      <c r="AI419" t="inlineStr"/>
      <c r="AJ419" t="inlineStr"/>
      <c r="AK419" t="inlineStr"/>
      <c r="AL419" t="inlineStr"/>
      <c r="AM419" t="inlineStr"/>
    </row>
    <row r="420">
      <c r="A420" t="inlineStr">
        <is>
          <t>096226K</t>
        </is>
      </c>
      <c r="B420" t="inlineStr">
        <is>
          <t>Graduate Diploma in Health Data Science</t>
        </is>
      </c>
      <c r="C420" t="inlineStr">
        <is>
          <t>Graduate Diploma</t>
        </is>
      </c>
      <c r="D420" t="inlineStr">
        <is>
          <t>Postgraduate coursework</t>
        </is>
      </c>
      <c r="E420" t="inlineStr">
        <is>
          <t>Advertised: official page in place</t>
        </is>
      </c>
      <c r="F420" t="inlineStr">
        <is>
          <t>https://www.unsw.edu.au/study/postgraduate/graduate-diploma-in-health-data-science</t>
        </is>
      </c>
      <c r="G420" t="inlineStr">
        <is>
          <t>https://www.unsw.edu.au/study/postgraduate/graduate-diploma-in-health-data-science</t>
        </is>
      </c>
      <c r="H420" t="inlineStr">
        <is>
          <t>Read</t>
        </is>
      </c>
      <c r="I420" t="inlineStr">
        <is>
          <t>CRICOS code on page</t>
        </is>
      </c>
      <c r="J420" t="inlineStr"/>
      <c r="K420" t="inlineStr">
        <is>
          <t>Not sent to re-link</t>
        </is>
      </c>
      <c r="L420" t="inlineStr">
        <is>
          <t>Filled</t>
        </is>
      </c>
      <c r="M420" t="inlineStr">
        <is>
          <t>Filled</t>
        </is>
      </c>
      <c r="N420" t="inlineStr">
        <is>
          <t>51500.00 2026</t>
        </is>
      </c>
      <c r="O420" t="n">
        <v>0</v>
      </c>
      <c r="P420" t="inlineStr">
        <is>
          <t>University adapter</t>
        </is>
      </c>
      <c r="Q420" t="inlineStr">
        <is>
          <t>Filled</t>
        </is>
      </c>
      <c r="R420" t="n">
        <v>6</v>
      </c>
      <c r="S420" t="inlineStr">
        <is>
          <t>Central English policy</t>
        </is>
      </c>
      <c r="T420" t="inlineStr">
        <is>
          <t>Central rule applies (value agrees)</t>
        </is>
      </c>
      <c r="U420" t="inlineStr"/>
      <c r="V420" t="inlineStr">
        <is>
          <t>Filled</t>
        </is>
      </c>
      <c r="W420" t="inlineStr">
        <is>
          <t>February, September</t>
        </is>
      </c>
      <c r="X420" t="inlineStr">
        <is>
          <t>University adapter</t>
        </is>
      </c>
      <c r="Y420" t="n">
        <v>0</v>
      </c>
      <c r="Z420" t="inlineStr">
        <is>
          <t>No</t>
        </is>
      </c>
      <c r="AA420" t="inlineStr">
        <is>
          <t>Filled</t>
        </is>
      </c>
      <c r="AB420" t="inlineStr">
        <is>
          <t>on campus and online</t>
        </is>
      </c>
      <c r="AC420" t="inlineStr"/>
      <c r="AD420" t="n">
        <v>0</v>
      </c>
      <c r="AE420" t="inlineStr"/>
      <c r="AF420" t="inlineStr"/>
      <c r="AG420" t="inlineStr"/>
      <c r="AH420" t="inlineStr"/>
      <c r="AI420" t="inlineStr"/>
      <c r="AJ420" t="inlineStr"/>
      <c r="AK420" t="inlineStr"/>
      <c r="AL420" t="inlineStr"/>
      <c r="AM420" t="inlineStr"/>
    </row>
    <row r="421">
      <c r="A421" t="inlineStr">
        <is>
          <t>061249C</t>
        </is>
      </c>
      <c r="B421" t="inlineStr">
        <is>
          <t>Graduate Diploma in Health Leadership and Management</t>
        </is>
      </c>
      <c r="C421" t="inlineStr">
        <is>
          <t>Graduate Diploma</t>
        </is>
      </c>
      <c r="D421" t="inlineStr">
        <is>
          <t>Postgraduate coursework</t>
        </is>
      </c>
      <c r="E421" t="inlineStr">
        <is>
          <t>Advertised: official page in place</t>
        </is>
      </c>
      <c r="F421" t="inlineStr">
        <is>
          <t>https://www.unsw.edu.au/study/postgraduate/graduate-diploma-in-health-leadership-and-management</t>
        </is>
      </c>
      <c r="G421" t="inlineStr">
        <is>
          <t>https://www.unsw.edu.au/study/postgraduate/graduate-diploma-in-health-leadership-and-management</t>
        </is>
      </c>
      <c r="H421" t="inlineStr">
        <is>
          <t>Read</t>
        </is>
      </c>
      <c r="I421" t="inlineStr">
        <is>
          <t>CRICOS code on page</t>
        </is>
      </c>
      <c r="J421" t="inlineStr"/>
      <c r="K421" t="inlineStr">
        <is>
          <t>Not sent to re-link</t>
        </is>
      </c>
      <c r="L421" t="inlineStr">
        <is>
          <t>Filled</t>
        </is>
      </c>
      <c r="M421" t="inlineStr">
        <is>
          <t>Filled</t>
        </is>
      </c>
      <c r="N421" t="inlineStr">
        <is>
          <t>45500.00 2026</t>
        </is>
      </c>
      <c r="O421" t="n">
        <v>0</v>
      </c>
      <c r="P421" t="inlineStr">
        <is>
          <t>Page reader</t>
        </is>
      </c>
      <c r="Q421" t="inlineStr">
        <is>
          <t>Filled</t>
        </is>
      </c>
      <c r="R421" t="n">
        <v>6</v>
      </c>
      <c r="S421" t="inlineStr">
        <is>
          <t>Central English policy</t>
        </is>
      </c>
      <c r="T421" t="inlineStr">
        <is>
          <t>Central rule applies (value agrees)</t>
        </is>
      </c>
      <c r="U421" t="inlineStr"/>
      <c r="V421" t="inlineStr">
        <is>
          <t>Filled</t>
        </is>
      </c>
      <c r="W421" t="inlineStr">
        <is>
          <t>February, May, September</t>
        </is>
      </c>
      <c r="X421" t="inlineStr">
        <is>
          <t>University adapter</t>
        </is>
      </c>
      <c r="Y421" t="n">
        <v>0</v>
      </c>
      <c r="Z421" t="inlineStr">
        <is>
          <t>No</t>
        </is>
      </c>
      <c r="AA421" t="inlineStr">
        <is>
          <t>Filled</t>
        </is>
      </c>
      <c r="AB421" t="inlineStr">
        <is>
          <t>on campus and online</t>
        </is>
      </c>
      <c r="AC421" t="inlineStr"/>
      <c r="AD421" t="n">
        <v>0</v>
      </c>
      <c r="AE421" t="inlineStr"/>
      <c r="AF421" t="inlineStr"/>
      <c r="AG421" t="inlineStr"/>
      <c r="AH421" t="inlineStr"/>
      <c r="AI421" t="inlineStr"/>
      <c r="AJ421" t="inlineStr"/>
      <c r="AK421" t="inlineStr"/>
      <c r="AL421" t="inlineStr"/>
      <c r="AM421" t="inlineStr"/>
    </row>
    <row r="422">
      <c r="A422" t="inlineStr">
        <is>
          <t>0100356</t>
        </is>
      </c>
      <c r="B422" t="inlineStr">
        <is>
          <t>Graduate Diploma in Infectious Diseases Intelligence</t>
        </is>
      </c>
      <c r="C422" t="inlineStr">
        <is>
          <t>Graduate Diploma</t>
        </is>
      </c>
      <c r="D422" t="inlineStr">
        <is>
          <t>Postgraduate coursework</t>
        </is>
      </c>
      <c r="E422" t="inlineStr">
        <is>
          <t>Advertised: official page in place</t>
        </is>
      </c>
      <c r="F422" t="inlineStr">
        <is>
          <t>https://www.unsw.edu.au/study/postgraduate/graduate-diploma-in-infectious-diseases-intelligence</t>
        </is>
      </c>
      <c r="G422" t="inlineStr">
        <is>
          <t>https://www.unsw.edu.au/study/postgraduate/graduate-diploma-in-infectious-diseases-intelligence</t>
        </is>
      </c>
      <c r="H422" t="inlineStr">
        <is>
          <t>Read</t>
        </is>
      </c>
      <c r="I422" t="inlineStr">
        <is>
          <t>CRICOS code on page</t>
        </is>
      </c>
      <c r="J422" t="inlineStr"/>
      <c r="K422" t="inlineStr">
        <is>
          <t>Not sent to re-link</t>
        </is>
      </c>
      <c r="L422" t="inlineStr">
        <is>
          <t>Filled</t>
        </is>
      </c>
      <c r="M422" t="inlineStr">
        <is>
          <t>Filled</t>
        </is>
      </c>
      <c r="N422" t="inlineStr">
        <is>
          <t>45500.00 2026</t>
        </is>
      </c>
      <c r="O422" t="n">
        <v>0</v>
      </c>
      <c r="P422" t="inlineStr">
        <is>
          <t>Page reader</t>
        </is>
      </c>
      <c r="Q422" t="inlineStr">
        <is>
          <t>Filled</t>
        </is>
      </c>
      <c r="R422" t="n">
        <v>6</v>
      </c>
      <c r="S422" t="inlineStr">
        <is>
          <t>Central English policy</t>
        </is>
      </c>
      <c r="T422" t="inlineStr">
        <is>
          <t>Central rule applies (value agrees)</t>
        </is>
      </c>
      <c r="U422" t="inlineStr"/>
      <c r="V422" t="inlineStr">
        <is>
          <t>Filled</t>
        </is>
      </c>
      <c r="W422" t="inlineStr">
        <is>
          <t>February, May, September</t>
        </is>
      </c>
      <c r="X422" t="inlineStr">
        <is>
          <t>University adapter</t>
        </is>
      </c>
      <c r="Y422" t="n">
        <v>0</v>
      </c>
      <c r="Z422" t="inlineStr">
        <is>
          <t>No</t>
        </is>
      </c>
      <c r="AA422" t="inlineStr">
        <is>
          <t>Filled</t>
        </is>
      </c>
      <c r="AB422" t="inlineStr">
        <is>
          <t>on campus and online</t>
        </is>
      </c>
      <c r="AC422" t="inlineStr"/>
      <c r="AD422" t="n">
        <v>0</v>
      </c>
      <c r="AE422" t="inlineStr"/>
      <c r="AF422" t="inlineStr"/>
      <c r="AG422" t="inlineStr"/>
      <c r="AH422" t="inlineStr"/>
      <c r="AI422" t="inlineStr"/>
      <c r="AJ422" t="inlineStr"/>
      <c r="AK422" t="inlineStr"/>
      <c r="AL422" t="inlineStr"/>
      <c r="AM422" t="inlineStr"/>
    </row>
    <row r="423">
      <c r="A423" t="inlineStr">
        <is>
          <t>061293K</t>
        </is>
      </c>
      <c r="B423" t="inlineStr">
        <is>
          <t>Graduate Diploma in Information Technology</t>
        </is>
      </c>
      <c r="C423" t="inlineStr">
        <is>
          <t>Graduate Diploma</t>
        </is>
      </c>
      <c r="D423" t="inlineStr">
        <is>
          <t>Postgraduate coursework</t>
        </is>
      </c>
      <c r="E423" t="inlineStr">
        <is>
          <t>Advertised: official page in place</t>
        </is>
      </c>
      <c r="F423" t="inlineStr">
        <is>
          <t>https://www.unsw.edu.au/study/postgraduate/graduate-diploma-in-information-technology</t>
        </is>
      </c>
      <c r="G423" t="inlineStr">
        <is>
          <t>https://www.unsw.edu.au/study/postgraduate/graduate-diploma-in-information-technology</t>
        </is>
      </c>
      <c r="H423" t="inlineStr">
        <is>
          <t>Read</t>
        </is>
      </c>
      <c r="I423" t="inlineStr">
        <is>
          <t>Exact title match</t>
        </is>
      </c>
      <c r="J423" t="inlineStr"/>
      <c r="K423" t="inlineStr">
        <is>
          <t>Not sent to re-link</t>
        </is>
      </c>
      <c r="L423" t="inlineStr">
        <is>
          <t>Filled</t>
        </is>
      </c>
      <c r="M423" t="inlineStr">
        <is>
          <t>Filled</t>
        </is>
      </c>
      <c r="N423" t="inlineStr">
        <is>
          <t>63000.00 2026</t>
        </is>
      </c>
      <c r="O423" t="n">
        <v>0</v>
      </c>
      <c r="P423" t="inlineStr">
        <is>
          <t>University adapter</t>
        </is>
      </c>
      <c r="Q423" t="inlineStr">
        <is>
          <t>Filled</t>
        </is>
      </c>
      <c r="R423" t="n">
        <v>6</v>
      </c>
      <c r="S423" t="inlineStr">
        <is>
          <t>Central English policy</t>
        </is>
      </c>
      <c r="T423" t="inlineStr">
        <is>
          <t>Central rule applies (value agrees)</t>
        </is>
      </c>
      <c r="U423" t="inlineStr"/>
      <c r="V423" t="inlineStr">
        <is>
          <t>Filled</t>
        </is>
      </c>
      <c r="W423" t="inlineStr">
        <is>
          <t>February, May, September</t>
        </is>
      </c>
      <c r="X423" t="inlineStr">
        <is>
          <t>University adapter</t>
        </is>
      </c>
      <c r="Y423" t="n">
        <v>0</v>
      </c>
      <c r="Z423" t="inlineStr">
        <is>
          <t>No</t>
        </is>
      </c>
      <c r="AA423" t="inlineStr">
        <is>
          <t>Filled</t>
        </is>
      </c>
      <c r="AB423" t="inlineStr">
        <is>
          <t>on campus</t>
        </is>
      </c>
      <c r="AC423" t="inlineStr"/>
      <c r="AD423" t="n">
        <v>0</v>
      </c>
      <c r="AE423" t="inlineStr"/>
      <c r="AF423" t="inlineStr"/>
      <c r="AG423" t="inlineStr"/>
      <c r="AH423" t="inlineStr"/>
      <c r="AI423" t="inlineStr"/>
      <c r="AJ423" t="inlineStr"/>
      <c r="AK423" t="inlineStr"/>
      <c r="AL423" t="inlineStr"/>
      <c r="AM423" t="inlineStr"/>
    </row>
    <row r="424">
      <c r="A424" t="inlineStr">
        <is>
          <t>113778K</t>
        </is>
      </c>
      <c r="B424" t="inlineStr">
        <is>
          <t>Graduate Diploma in Information Technology</t>
        </is>
      </c>
      <c r="C424" t="inlineStr">
        <is>
          <t>Graduate Diploma</t>
        </is>
      </c>
      <c r="D424" t="inlineStr">
        <is>
          <t>Postgraduate coursework</t>
        </is>
      </c>
      <c r="E424" t="inlineStr">
        <is>
          <t>Advertised: official page in place</t>
        </is>
      </c>
      <c r="F424" t="inlineStr">
        <is>
          <t>https://www.unsw.edu.au/study/postgraduate/graduate-diploma-in-information-technology</t>
        </is>
      </c>
      <c r="G424" t="inlineStr">
        <is>
          <t>https://www.unsw.edu.au/study/postgraduate/graduate-diploma-in-information-technology</t>
        </is>
      </c>
      <c r="H424" t="inlineStr">
        <is>
          <t>Read</t>
        </is>
      </c>
      <c r="I424" t="inlineStr">
        <is>
          <t>CRICOS code on page</t>
        </is>
      </c>
      <c r="J424" t="inlineStr"/>
      <c r="K424" t="inlineStr">
        <is>
          <t>Not sent to re-link</t>
        </is>
      </c>
      <c r="L424" t="inlineStr">
        <is>
          <t>Filled</t>
        </is>
      </c>
      <c r="M424" t="inlineStr">
        <is>
          <t>Filled</t>
        </is>
      </c>
      <c r="N424" t="inlineStr">
        <is>
          <t>63000.00 2026</t>
        </is>
      </c>
      <c r="O424" t="n">
        <v>0</v>
      </c>
      <c r="P424" t="inlineStr">
        <is>
          <t>University adapter</t>
        </is>
      </c>
      <c r="Q424" t="inlineStr">
        <is>
          <t>Filled</t>
        </is>
      </c>
      <c r="R424" t="n">
        <v>6</v>
      </c>
      <c r="S424" t="inlineStr">
        <is>
          <t>Central English policy</t>
        </is>
      </c>
      <c r="T424" t="inlineStr">
        <is>
          <t>Central rule applies (value agrees)</t>
        </is>
      </c>
      <c r="U424" t="inlineStr"/>
      <c r="V424" t="inlineStr">
        <is>
          <t>Filled</t>
        </is>
      </c>
      <c r="W424" t="inlineStr">
        <is>
          <t>February, May, September</t>
        </is>
      </c>
      <c r="X424" t="inlineStr">
        <is>
          <t>University adapter</t>
        </is>
      </c>
      <c r="Y424" t="n">
        <v>0</v>
      </c>
      <c r="Z424" t="inlineStr">
        <is>
          <t>No</t>
        </is>
      </c>
      <c r="AA424" t="inlineStr">
        <is>
          <t>Filled</t>
        </is>
      </c>
      <c r="AB424" t="inlineStr">
        <is>
          <t>on campus</t>
        </is>
      </c>
      <c r="AC424" t="inlineStr"/>
      <c r="AD424" t="n">
        <v>0</v>
      </c>
      <c r="AE424" t="inlineStr"/>
      <c r="AF424" t="inlineStr"/>
      <c r="AG424" t="inlineStr"/>
      <c r="AH424" t="inlineStr"/>
      <c r="AI424" t="inlineStr"/>
      <c r="AJ424" t="inlineStr"/>
      <c r="AK424" t="inlineStr"/>
      <c r="AL424" t="inlineStr"/>
      <c r="AM424" t="inlineStr"/>
    </row>
    <row r="425">
      <c r="A425" t="inlineStr">
        <is>
          <t>028077D</t>
        </is>
      </c>
      <c r="B425" t="inlineStr">
        <is>
          <t>Graduate Diploma in Mathematics and Statistics</t>
        </is>
      </c>
      <c r="C425" t="inlineStr">
        <is>
          <t>Graduate Diploma</t>
        </is>
      </c>
      <c r="D425" t="inlineStr">
        <is>
          <t>Postgraduate coursework</t>
        </is>
      </c>
      <c r="E425" t="inlineStr">
        <is>
          <t>Advertised: official page in place</t>
        </is>
      </c>
      <c r="F425" t="inlineStr">
        <is>
          <t>https://www.unsw.edu.au/study/postgraduate/graduate-diploma-in-mathematics-and-statistics</t>
        </is>
      </c>
      <c r="G425" t="inlineStr">
        <is>
          <t>https://www.unsw.edu.au/study/postgraduate/graduate-diploma-in-mathematics-and-statistics</t>
        </is>
      </c>
      <c r="H425" t="inlineStr">
        <is>
          <t>Read</t>
        </is>
      </c>
      <c r="I425" t="inlineStr">
        <is>
          <t>CRICOS code on page</t>
        </is>
      </c>
      <c r="J425" t="inlineStr"/>
      <c r="K425" t="inlineStr">
        <is>
          <t>Not sent to re-link</t>
        </is>
      </c>
      <c r="L425" t="inlineStr">
        <is>
          <t>Filled</t>
        </is>
      </c>
      <c r="M425" t="inlineStr">
        <is>
          <t>Filled</t>
        </is>
      </c>
      <c r="N425" t="inlineStr">
        <is>
          <t>60000.00 2026</t>
        </is>
      </c>
      <c r="O425" t="n">
        <v>0</v>
      </c>
      <c r="P425" t="inlineStr">
        <is>
          <t>University adapter</t>
        </is>
      </c>
      <c r="Q425" t="inlineStr">
        <is>
          <t>Filled</t>
        </is>
      </c>
      <c r="R425" t="n">
        <v>6</v>
      </c>
      <c r="S425" t="inlineStr">
        <is>
          <t>Central English policy</t>
        </is>
      </c>
      <c r="T425" t="inlineStr">
        <is>
          <t>Central rule applies (value agrees)</t>
        </is>
      </c>
      <c r="U425" t="inlineStr"/>
      <c r="V425" t="inlineStr">
        <is>
          <t>Filled</t>
        </is>
      </c>
      <c r="W425" t="inlineStr">
        <is>
          <t>February, May, September</t>
        </is>
      </c>
      <c r="X425" t="inlineStr">
        <is>
          <t>University adapter</t>
        </is>
      </c>
      <c r="Y425" t="n">
        <v>0</v>
      </c>
      <c r="Z425" t="inlineStr">
        <is>
          <t>No</t>
        </is>
      </c>
      <c r="AA425" t="inlineStr">
        <is>
          <t>Filled</t>
        </is>
      </c>
      <c r="AB425" t="inlineStr">
        <is>
          <t>on campus</t>
        </is>
      </c>
      <c r="AC425" t="inlineStr"/>
      <c r="AD425" t="n">
        <v>0</v>
      </c>
      <c r="AE425" t="inlineStr"/>
      <c r="AF425" t="inlineStr"/>
      <c r="AG425" t="inlineStr"/>
      <c r="AH425" t="inlineStr"/>
      <c r="AI425" t="inlineStr"/>
      <c r="AJ425" t="inlineStr"/>
      <c r="AK425" t="inlineStr"/>
      <c r="AL425" t="inlineStr"/>
      <c r="AM425" t="inlineStr"/>
    </row>
    <row r="426">
      <c r="A426" t="inlineStr">
        <is>
          <t>117246F</t>
        </is>
      </c>
      <c r="B426" t="inlineStr">
        <is>
          <t>Graduate Diploma in Mine Ventilation</t>
        </is>
      </c>
      <c r="C426" t="inlineStr">
        <is>
          <t>Graduate Diploma</t>
        </is>
      </c>
      <c r="D426" t="inlineStr">
        <is>
          <t>Postgraduate coursework</t>
        </is>
      </c>
      <c r="E426" t="inlineStr">
        <is>
          <t>Advertised: official page in place</t>
        </is>
      </c>
      <c r="F426" t="inlineStr">
        <is>
          <t>https://www.unsw.edu.au/study/postgraduate/graduate-diploma-in-mine-ventilation</t>
        </is>
      </c>
      <c r="G426" t="inlineStr">
        <is>
          <t>https://www.unsw.edu.au/study/postgraduate/graduate-diploma-in-mine-ventilation</t>
        </is>
      </c>
      <c r="H426" t="inlineStr">
        <is>
          <t>Read</t>
        </is>
      </c>
      <c r="I426" t="inlineStr">
        <is>
          <t>CRICOS code on page</t>
        </is>
      </c>
      <c r="J426" t="inlineStr"/>
      <c r="K426" t="inlineStr">
        <is>
          <t>Not sent to re-link</t>
        </is>
      </c>
      <c r="L426" t="inlineStr">
        <is>
          <t>Filled</t>
        </is>
      </c>
      <c r="M426" t="inlineStr">
        <is>
          <t>Filled</t>
        </is>
      </c>
      <c r="N426" t="inlineStr">
        <is>
          <t>61000.00 2026</t>
        </is>
      </c>
      <c r="O426" t="n">
        <v>0</v>
      </c>
      <c r="P426" t="inlineStr">
        <is>
          <t>University adapter</t>
        </is>
      </c>
      <c r="Q426" t="inlineStr">
        <is>
          <t>Filled</t>
        </is>
      </c>
      <c r="R426" t="n">
        <v>6</v>
      </c>
      <c r="S426" t="inlineStr">
        <is>
          <t>Central English policy</t>
        </is>
      </c>
      <c r="T426" t="inlineStr">
        <is>
          <t>Central rule applies (value agrees)</t>
        </is>
      </c>
      <c r="U426" t="inlineStr"/>
      <c r="V426" t="inlineStr">
        <is>
          <t>Filled</t>
        </is>
      </c>
      <c r="W426" t="inlineStr">
        <is>
          <t>May</t>
        </is>
      </c>
      <c r="X426" t="inlineStr">
        <is>
          <t>University adapter</t>
        </is>
      </c>
      <c r="Y426" t="n">
        <v>0</v>
      </c>
      <c r="Z426" t="inlineStr">
        <is>
          <t>No</t>
        </is>
      </c>
      <c r="AA426" t="inlineStr">
        <is>
          <t>Filled</t>
        </is>
      </c>
      <c r="AB426" t="inlineStr">
        <is>
          <t>on campus</t>
        </is>
      </c>
      <c r="AC426" t="inlineStr"/>
      <c r="AD426" t="n">
        <v>0</v>
      </c>
      <c r="AE426" t="inlineStr"/>
      <c r="AF426" t="inlineStr"/>
      <c r="AG426" t="inlineStr"/>
      <c r="AH426" t="inlineStr"/>
      <c r="AI426" t="inlineStr"/>
      <c r="AJ426" t="inlineStr"/>
      <c r="AK426" t="inlineStr"/>
      <c r="AL426" t="inlineStr"/>
      <c r="AM426" t="inlineStr"/>
    </row>
    <row r="427">
      <c r="A427" t="inlineStr">
        <is>
          <t>038410B</t>
        </is>
      </c>
      <c r="B427" t="inlineStr">
        <is>
          <t>Graduate Diploma in Optometry</t>
        </is>
      </c>
      <c r="C427" t="inlineStr">
        <is>
          <t>Graduate Diploma</t>
        </is>
      </c>
      <c r="D427" t="inlineStr">
        <is>
          <t>Postgraduate coursework</t>
        </is>
      </c>
      <c r="E427" t="inlineStr">
        <is>
          <t>Page address no longer works</t>
        </is>
      </c>
      <c r="F427" t="inlineStr"/>
      <c r="G427" t="inlineStr">
        <is>
          <t>https://www.handbook.unsw.edu.au/postgraduate/programs/2026/8073</t>
        </is>
      </c>
      <c r="H427" t="inlineStr">
        <is>
          <t>Address no longer works</t>
        </is>
      </c>
      <c r="I427" t="inlineStr"/>
      <c r="J427" t="inlineStr"/>
      <c r="K427" t="inlineStr">
        <is>
          <t>Not sent to re-link</t>
        </is>
      </c>
      <c r="L427" t="inlineStr">
        <is>
          <t>Page found, being read</t>
        </is>
      </c>
      <c r="M427" t="inlineStr">
        <is>
          <t>Page found, being read</t>
        </is>
      </c>
      <c r="N427" t="inlineStr"/>
      <c r="O427" t="n">
        <v>0</v>
      </c>
      <c r="P427" t="inlineStr"/>
      <c r="Q427" t="inlineStr">
        <is>
          <t>Filled</t>
        </is>
      </c>
      <c r="R427" t="n">
        <v>6</v>
      </c>
      <c r="S427" t="inlineStr">
        <is>
          <t>Central English policy</t>
        </is>
      </c>
      <c r="T427" t="inlineStr">
        <is>
          <t>Central rule applies (value agrees)</t>
        </is>
      </c>
      <c r="U427" t="inlineStr"/>
      <c r="V427" t="inlineStr">
        <is>
          <t>Page found, being read</t>
        </is>
      </c>
      <c r="W427" t="inlineStr"/>
      <c r="X427" t="inlineStr"/>
      <c r="Y427" t="n">
        <v>0</v>
      </c>
      <c r="Z427" t="inlineStr">
        <is>
          <t>No</t>
        </is>
      </c>
      <c r="AA427" t="inlineStr">
        <is>
          <t>Not stated on course page</t>
        </is>
      </c>
      <c r="AB427" t="inlineStr"/>
      <c r="AC427" t="inlineStr">
        <is>
          <t>Skipped: no allowed source had a value</t>
        </is>
      </c>
      <c r="AD427" t="n">
        <v>0</v>
      </c>
      <c r="AE427" t="inlineStr"/>
      <c r="AF427" t="inlineStr"/>
      <c r="AG427" t="inlineStr"/>
      <c r="AH427" t="inlineStr"/>
      <c r="AI427" t="inlineStr"/>
      <c r="AJ427" t="inlineStr"/>
      <c r="AK427" t="inlineStr"/>
      <c r="AL427" t="inlineStr"/>
      <c r="AM427" t="inlineStr"/>
    </row>
    <row r="428">
      <c r="A428" t="inlineStr">
        <is>
          <t>106117F</t>
        </is>
      </c>
      <c r="B428" t="inlineStr">
        <is>
          <t>Graduate Diploma in Physical Oceanography</t>
        </is>
      </c>
      <c r="C428" t="inlineStr">
        <is>
          <t>Graduate Diploma</t>
        </is>
      </c>
      <c r="D428" t="inlineStr">
        <is>
          <t>Postgraduate coursework</t>
        </is>
      </c>
      <c r="E428" t="inlineStr">
        <is>
          <t>Advertised: official page in place</t>
        </is>
      </c>
      <c r="F428" t="inlineStr">
        <is>
          <t>https://www.unsw.edu.au/study/postgraduate/graduate-diploma-in-physical-oceanography</t>
        </is>
      </c>
      <c r="G428" t="inlineStr">
        <is>
          <t>https://www.unsw.edu.au/study/postgraduate/graduate-diploma-in-physical-oceanography</t>
        </is>
      </c>
      <c r="H428" t="inlineStr">
        <is>
          <t>Read</t>
        </is>
      </c>
      <c r="I428" t="inlineStr">
        <is>
          <t>CRICOS code on page</t>
        </is>
      </c>
      <c r="J428" t="inlineStr"/>
      <c r="K428" t="inlineStr">
        <is>
          <t>Not sent to re-link</t>
        </is>
      </c>
      <c r="L428" t="inlineStr">
        <is>
          <t>Filled</t>
        </is>
      </c>
      <c r="M428" t="inlineStr">
        <is>
          <t>Filled</t>
        </is>
      </c>
      <c r="N428" t="inlineStr">
        <is>
          <t>60000.00 2026</t>
        </is>
      </c>
      <c r="O428" t="n">
        <v>0</v>
      </c>
      <c r="P428" t="inlineStr">
        <is>
          <t>University adapter</t>
        </is>
      </c>
      <c r="Q428" t="inlineStr">
        <is>
          <t>Filled</t>
        </is>
      </c>
      <c r="R428" t="n">
        <v>6</v>
      </c>
      <c r="S428" t="inlineStr">
        <is>
          <t>Central English policy</t>
        </is>
      </c>
      <c r="T428" t="inlineStr">
        <is>
          <t>Central rule applies (value agrees)</t>
        </is>
      </c>
      <c r="U428" t="inlineStr"/>
      <c r="V428" t="inlineStr">
        <is>
          <t>Filled</t>
        </is>
      </c>
      <c r="W428" t="inlineStr">
        <is>
          <t>February, May, September</t>
        </is>
      </c>
      <c r="X428" t="inlineStr">
        <is>
          <t>University adapter</t>
        </is>
      </c>
      <c r="Y428" t="n">
        <v>0</v>
      </c>
      <c r="Z428" t="inlineStr">
        <is>
          <t>No</t>
        </is>
      </c>
      <c r="AA428" t="inlineStr">
        <is>
          <t>Filled</t>
        </is>
      </c>
      <c r="AB428" t="inlineStr">
        <is>
          <t>on campus and online</t>
        </is>
      </c>
      <c r="AC428" t="inlineStr"/>
      <c r="AD428" t="n">
        <v>0</v>
      </c>
      <c r="AE428" t="inlineStr"/>
      <c r="AF428" t="inlineStr"/>
      <c r="AG428" t="inlineStr"/>
      <c r="AH428" t="inlineStr"/>
      <c r="AI428" t="inlineStr"/>
      <c r="AJ428" t="inlineStr"/>
      <c r="AK428" t="inlineStr"/>
      <c r="AL428" t="inlineStr"/>
      <c r="AM428" t="inlineStr"/>
    </row>
    <row r="429">
      <c r="A429" t="inlineStr">
        <is>
          <t>111890D</t>
        </is>
      </c>
      <c r="B429" t="inlineStr">
        <is>
          <t>Graduate Diploma in Professional Accounting</t>
        </is>
      </c>
      <c r="C429" t="inlineStr">
        <is>
          <t>Graduate Diploma</t>
        </is>
      </c>
      <c r="D429" t="inlineStr">
        <is>
          <t>Postgraduate coursework</t>
        </is>
      </c>
      <c r="E429" t="inlineStr">
        <is>
          <t>Advertised: official page in place</t>
        </is>
      </c>
      <c r="F429" t="inlineStr">
        <is>
          <t>https://www.unsw.edu.au/study/postgraduate/graduate-diploma-in-professional-accounting</t>
        </is>
      </c>
      <c r="G429" t="inlineStr">
        <is>
          <t>https://www.unsw.edu.au/study/postgraduate/graduate-diploma-in-professional-accounting</t>
        </is>
      </c>
      <c r="H429" t="inlineStr">
        <is>
          <t>Read</t>
        </is>
      </c>
      <c r="I429" t="inlineStr">
        <is>
          <t>Exact title match</t>
        </is>
      </c>
      <c r="J429" t="inlineStr"/>
      <c r="K429" t="inlineStr">
        <is>
          <t>Not sent to re-link</t>
        </is>
      </c>
      <c r="L429" t="inlineStr">
        <is>
          <t>Filled</t>
        </is>
      </c>
      <c r="M429" t="inlineStr">
        <is>
          <t>Filled</t>
        </is>
      </c>
      <c r="N429" t="inlineStr">
        <is>
          <t>46500.00 2026</t>
        </is>
      </c>
      <c r="O429" t="n">
        <v>0</v>
      </c>
      <c r="P429" t="inlineStr">
        <is>
          <t>University adapter</t>
        </is>
      </c>
      <c r="Q429" t="inlineStr">
        <is>
          <t>Filled</t>
        </is>
      </c>
      <c r="R429" t="n">
        <v>6</v>
      </c>
      <c r="S429" t="inlineStr">
        <is>
          <t>Central English policy</t>
        </is>
      </c>
      <c r="T429" t="inlineStr">
        <is>
          <t>Central rule applies (value agrees)</t>
        </is>
      </c>
      <c r="U429" t="inlineStr"/>
      <c r="V429" t="inlineStr">
        <is>
          <t>Filled</t>
        </is>
      </c>
      <c r="W429" t="inlineStr">
        <is>
          <t>February, May</t>
        </is>
      </c>
      <c r="X429" t="inlineStr">
        <is>
          <t>University adapter</t>
        </is>
      </c>
      <c r="Y429" t="n">
        <v>0</v>
      </c>
      <c r="Z429" t="inlineStr">
        <is>
          <t>No</t>
        </is>
      </c>
      <c r="AA429" t="inlineStr">
        <is>
          <t>Filled</t>
        </is>
      </c>
      <c r="AB429" t="inlineStr">
        <is>
          <t>on campus</t>
        </is>
      </c>
      <c r="AC429" t="inlineStr">
        <is>
          <t>Filled</t>
        </is>
      </c>
      <c r="AD429" t="n">
        <v>0</v>
      </c>
      <c r="AE429" t="inlineStr"/>
      <c r="AF429" t="inlineStr"/>
      <c r="AG429" t="inlineStr"/>
      <c r="AH429" t="inlineStr"/>
      <c r="AI429" t="inlineStr"/>
      <c r="AJ429" t="inlineStr"/>
      <c r="AK429" t="inlineStr"/>
      <c r="AL429" t="inlineStr"/>
      <c r="AM429" t="inlineStr"/>
    </row>
    <row r="430">
      <c r="A430" t="inlineStr">
        <is>
          <t>111881E</t>
        </is>
      </c>
      <c r="B430" t="inlineStr">
        <is>
          <t>Graduate Diploma in Professional Accounting</t>
        </is>
      </c>
      <c r="C430" t="inlineStr">
        <is>
          <t>Graduate Diploma</t>
        </is>
      </c>
      <c r="D430" t="inlineStr">
        <is>
          <t>Postgraduate coursework</t>
        </is>
      </c>
      <c r="E430" t="inlineStr">
        <is>
          <t>Advertised: official page in place</t>
        </is>
      </c>
      <c r="F430" t="inlineStr">
        <is>
          <t>https://www.unsw.edu.au/study/postgraduate/graduate-diploma-in-professional-accounting</t>
        </is>
      </c>
      <c r="G430" t="inlineStr">
        <is>
          <t>https://www.unsw.edu.au/study/postgraduate/graduate-diploma-in-professional-accounting</t>
        </is>
      </c>
      <c r="H430" t="inlineStr">
        <is>
          <t>Read</t>
        </is>
      </c>
      <c r="I430" t="inlineStr">
        <is>
          <t>CRICOS code on page</t>
        </is>
      </c>
      <c r="J430" t="inlineStr"/>
      <c r="K430" t="inlineStr">
        <is>
          <t>Not sent to re-link</t>
        </is>
      </c>
      <c r="L430" t="inlineStr">
        <is>
          <t>Filled</t>
        </is>
      </c>
      <c r="M430" t="inlineStr">
        <is>
          <t>Filled</t>
        </is>
      </c>
      <c r="N430" t="inlineStr">
        <is>
          <t>46500.00 2026</t>
        </is>
      </c>
      <c r="O430" t="n">
        <v>0</v>
      </c>
      <c r="P430" t="inlineStr">
        <is>
          <t>University adapter</t>
        </is>
      </c>
      <c r="Q430" t="inlineStr">
        <is>
          <t>Filled</t>
        </is>
      </c>
      <c r="R430" t="n">
        <v>6</v>
      </c>
      <c r="S430" t="inlineStr">
        <is>
          <t>Central English policy</t>
        </is>
      </c>
      <c r="T430" t="inlineStr">
        <is>
          <t>Central rule applies (value agrees)</t>
        </is>
      </c>
      <c r="U430" t="inlineStr"/>
      <c r="V430" t="inlineStr">
        <is>
          <t>Filled</t>
        </is>
      </c>
      <c r="W430" t="inlineStr">
        <is>
          <t>February, May</t>
        </is>
      </c>
      <c r="X430" t="inlineStr">
        <is>
          <t>University adapter</t>
        </is>
      </c>
      <c r="Y430" t="n">
        <v>0</v>
      </c>
      <c r="Z430" t="inlineStr">
        <is>
          <t>No</t>
        </is>
      </c>
      <c r="AA430" t="inlineStr">
        <is>
          <t>Filled</t>
        </is>
      </c>
      <c r="AB430" t="inlineStr">
        <is>
          <t>on campus</t>
        </is>
      </c>
      <c r="AC430" t="inlineStr">
        <is>
          <t>Filled</t>
        </is>
      </c>
      <c r="AD430" t="n">
        <v>0</v>
      </c>
      <c r="AE430" t="inlineStr"/>
      <c r="AF430" t="inlineStr"/>
      <c r="AG430" t="inlineStr"/>
      <c r="AH430" t="inlineStr"/>
      <c r="AI430" t="inlineStr"/>
      <c r="AJ430" t="inlineStr"/>
      <c r="AK430" t="inlineStr"/>
      <c r="AL430" t="inlineStr"/>
      <c r="AM430" t="inlineStr"/>
    </row>
    <row r="431">
      <c r="A431" t="inlineStr">
        <is>
          <t>028073G</t>
        </is>
      </c>
      <c r="B431" t="inlineStr">
        <is>
          <t>Graduate Diploma in Public Health</t>
        </is>
      </c>
      <c r="C431" t="inlineStr">
        <is>
          <t>Graduate Diploma</t>
        </is>
      </c>
      <c r="D431" t="inlineStr">
        <is>
          <t>Postgraduate coursework</t>
        </is>
      </c>
      <c r="E431" t="inlineStr">
        <is>
          <t>Advertised: official page in place</t>
        </is>
      </c>
      <c r="F431" t="inlineStr">
        <is>
          <t>https://www.unsw.edu.au/study/postgraduate/graduate-diploma-in-public-health</t>
        </is>
      </c>
      <c r="G431" t="inlineStr">
        <is>
          <t>https://www.unsw.edu.au/study/postgraduate/graduate-diploma-in-public-health</t>
        </is>
      </c>
      <c r="H431" t="inlineStr">
        <is>
          <t>Read</t>
        </is>
      </c>
      <c r="I431" t="inlineStr">
        <is>
          <t>CRICOS code on page</t>
        </is>
      </c>
      <c r="J431" t="inlineStr"/>
      <c r="K431" t="inlineStr">
        <is>
          <t>Not sent to re-link</t>
        </is>
      </c>
      <c r="L431" t="inlineStr">
        <is>
          <t>Filled</t>
        </is>
      </c>
      <c r="M431" t="inlineStr">
        <is>
          <t>Filled</t>
        </is>
      </c>
      <c r="N431" t="inlineStr">
        <is>
          <t>45500.00 2026</t>
        </is>
      </c>
      <c r="O431" t="n">
        <v>0</v>
      </c>
      <c r="P431" t="inlineStr">
        <is>
          <t>Page reader</t>
        </is>
      </c>
      <c r="Q431" t="inlineStr">
        <is>
          <t>Filled</t>
        </is>
      </c>
      <c r="R431" t="n">
        <v>6</v>
      </c>
      <c r="S431" t="inlineStr">
        <is>
          <t>Central English policy</t>
        </is>
      </c>
      <c r="T431" t="inlineStr">
        <is>
          <t>Central rule applies (value agrees)</t>
        </is>
      </c>
      <c r="U431" t="inlineStr"/>
      <c r="V431" t="inlineStr">
        <is>
          <t>Filled</t>
        </is>
      </c>
      <c r="W431" t="inlineStr">
        <is>
          <t>February, May, September</t>
        </is>
      </c>
      <c r="X431" t="inlineStr">
        <is>
          <t>University adapter</t>
        </is>
      </c>
      <c r="Y431" t="n">
        <v>0</v>
      </c>
      <c r="Z431" t="inlineStr">
        <is>
          <t>No</t>
        </is>
      </c>
      <c r="AA431" t="inlineStr">
        <is>
          <t>Filled</t>
        </is>
      </c>
      <c r="AB431" t="inlineStr">
        <is>
          <t>on campus and online</t>
        </is>
      </c>
      <c r="AC431" t="inlineStr"/>
      <c r="AD431" t="n">
        <v>0</v>
      </c>
      <c r="AE431" t="inlineStr"/>
      <c r="AF431" t="inlineStr"/>
      <c r="AG431" t="inlineStr"/>
      <c r="AH431" t="inlineStr"/>
      <c r="AI431" t="inlineStr"/>
      <c r="AJ431" t="inlineStr"/>
      <c r="AK431" t="inlineStr"/>
      <c r="AL431" t="inlineStr"/>
      <c r="AM431" t="inlineStr"/>
    </row>
    <row r="432">
      <c r="A432" t="inlineStr">
        <is>
          <t>081526K</t>
        </is>
      </c>
      <c r="B432" t="inlineStr">
        <is>
          <t>Graduate Diploma in Science (Research)</t>
        </is>
      </c>
      <c r="C432" t="inlineStr">
        <is>
          <t>Graduate Diploma</t>
        </is>
      </c>
      <c r="D432" t="inlineStr">
        <is>
          <t>Postgraduate coursework</t>
        </is>
      </c>
      <c r="E432" t="inlineStr">
        <is>
          <t>Advertised: official page in place</t>
        </is>
      </c>
      <c r="F432" t="inlineStr">
        <is>
          <t>https://www.unsw.edu.au/study/postgraduate/graduate-diploma-in-science-research</t>
        </is>
      </c>
      <c r="G432" t="inlineStr">
        <is>
          <t>https://www.unsw.edu.au/study/postgraduate/graduate-diploma-in-science-research</t>
        </is>
      </c>
      <c r="H432" t="inlineStr">
        <is>
          <t>Read</t>
        </is>
      </c>
      <c r="I432" t="inlineStr">
        <is>
          <t>CRICOS code on page</t>
        </is>
      </c>
      <c r="J432" t="inlineStr"/>
      <c r="K432" t="inlineStr">
        <is>
          <t>Not sent to re-link</t>
        </is>
      </c>
      <c r="L432" t="inlineStr">
        <is>
          <t>Filled</t>
        </is>
      </c>
      <c r="M432" t="inlineStr">
        <is>
          <t>Filled</t>
        </is>
      </c>
      <c r="N432" t="inlineStr">
        <is>
          <t>60000.00 2026</t>
        </is>
      </c>
      <c r="O432" t="n">
        <v>0</v>
      </c>
      <c r="P432" t="inlineStr">
        <is>
          <t>University adapter</t>
        </is>
      </c>
      <c r="Q432" t="inlineStr">
        <is>
          <t>Filled</t>
        </is>
      </c>
      <c r="R432" t="n">
        <v>6</v>
      </c>
      <c r="S432" t="inlineStr">
        <is>
          <t>Central English policy</t>
        </is>
      </c>
      <c r="T432" t="inlineStr">
        <is>
          <t>Central rule applies (value agrees)</t>
        </is>
      </c>
      <c r="U432" t="inlineStr"/>
      <c r="V432" t="inlineStr">
        <is>
          <t>Filled</t>
        </is>
      </c>
      <c r="W432" t="inlineStr">
        <is>
          <t>February, May, September</t>
        </is>
      </c>
      <c r="X432" t="inlineStr">
        <is>
          <t>University adapter</t>
        </is>
      </c>
      <c r="Y432" t="n">
        <v>0</v>
      </c>
      <c r="Z432" t="inlineStr">
        <is>
          <t>No</t>
        </is>
      </c>
      <c r="AA432" t="inlineStr">
        <is>
          <t>Filled</t>
        </is>
      </c>
      <c r="AB432" t="inlineStr">
        <is>
          <t>on campus</t>
        </is>
      </c>
      <c r="AC432" t="inlineStr"/>
      <c r="AD432" t="n">
        <v>0</v>
      </c>
      <c r="AE432" t="inlineStr"/>
      <c r="AF432" t="inlineStr"/>
      <c r="AG432" t="inlineStr"/>
      <c r="AH432" t="inlineStr"/>
      <c r="AI432" t="inlineStr"/>
      <c r="AJ432" t="inlineStr"/>
      <c r="AK432" t="inlineStr"/>
      <c r="AL432" t="inlineStr"/>
      <c r="AM432" t="inlineStr"/>
    </row>
    <row r="433">
      <c r="A433" t="inlineStr">
        <is>
          <t>0101074</t>
        </is>
      </c>
      <c r="B433" t="inlineStr">
        <is>
          <t>Graduate Diploma in Social Impact</t>
        </is>
      </c>
      <c r="C433" t="inlineStr">
        <is>
          <t>Graduate Diploma</t>
        </is>
      </c>
      <c r="D433" t="inlineStr">
        <is>
          <t>Postgraduate coursework</t>
        </is>
      </c>
      <c r="E433" t="inlineStr">
        <is>
          <t>Advertised: official page in place</t>
        </is>
      </c>
      <c r="F433" t="inlineStr">
        <is>
          <t>https://www.unsw.edu.au/study/postgraduate/graduate-diploma-in-social-impact</t>
        </is>
      </c>
      <c r="G433" t="inlineStr">
        <is>
          <t>https://www.unsw.edu.au/study/postgraduate/graduate-diploma-in-social-impact</t>
        </is>
      </c>
      <c r="H433" t="inlineStr">
        <is>
          <t>Read</t>
        </is>
      </c>
      <c r="I433" t="inlineStr">
        <is>
          <t>CRICOS code on page</t>
        </is>
      </c>
      <c r="J433" t="inlineStr"/>
      <c r="K433" t="inlineStr">
        <is>
          <t>Not sent to re-link</t>
        </is>
      </c>
      <c r="L433" t="inlineStr">
        <is>
          <t>Filled</t>
        </is>
      </c>
      <c r="M433" t="inlineStr">
        <is>
          <t>Filled</t>
        </is>
      </c>
      <c r="N433" t="inlineStr">
        <is>
          <t>62000.00 2026</t>
        </is>
      </c>
      <c r="O433" t="n">
        <v>0</v>
      </c>
      <c r="P433" t="inlineStr">
        <is>
          <t>University adapter</t>
        </is>
      </c>
      <c r="Q433" t="inlineStr">
        <is>
          <t>Filled</t>
        </is>
      </c>
      <c r="R433" t="n">
        <v>6</v>
      </c>
      <c r="S433" t="inlineStr">
        <is>
          <t>Central English policy</t>
        </is>
      </c>
      <c r="T433" t="inlineStr">
        <is>
          <t>Central rule applies (value agrees)</t>
        </is>
      </c>
      <c r="U433" t="inlineStr"/>
      <c r="V433" t="inlineStr">
        <is>
          <t>Filled</t>
        </is>
      </c>
      <c r="W433" t="inlineStr">
        <is>
          <t>February, May, September</t>
        </is>
      </c>
      <c r="X433" t="inlineStr">
        <is>
          <t>University adapter</t>
        </is>
      </c>
      <c r="Y433" t="n">
        <v>0</v>
      </c>
      <c r="Z433" t="inlineStr">
        <is>
          <t>No</t>
        </is>
      </c>
      <c r="AA433" t="inlineStr">
        <is>
          <t>Filled</t>
        </is>
      </c>
      <c r="AB433" t="inlineStr">
        <is>
          <t>on campus and online</t>
        </is>
      </c>
      <c r="AC433" t="inlineStr"/>
      <c r="AD433" t="n">
        <v>0</v>
      </c>
      <c r="AE433" t="inlineStr"/>
      <c r="AF433" t="inlineStr"/>
      <c r="AG433" t="inlineStr"/>
      <c r="AH433" t="inlineStr"/>
      <c r="AI433" t="inlineStr"/>
      <c r="AJ433" t="inlineStr"/>
      <c r="AK433" t="inlineStr"/>
      <c r="AL433" t="inlineStr"/>
      <c r="AM433" t="inlineStr"/>
    </row>
    <row r="434">
      <c r="A434" t="inlineStr">
        <is>
          <t>028055K</t>
        </is>
      </c>
      <c r="B434" t="inlineStr">
        <is>
          <t>Graduate Diploma in Sustainable Built Development</t>
        </is>
      </c>
      <c r="C434" t="inlineStr">
        <is>
          <t>Graduate Diploma</t>
        </is>
      </c>
      <c r="D434" t="inlineStr">
        <is>
          <t>Postgraduate coursework</t>
        </is>
      </c>
      <c r="E434" t="inlineStr">
        <is>
          <t>Page address no longer works</t>
        </is>
      </c>
      <c r="F434" t="inlineStr"/>
      <c r="G434" t="inlineStr">
        <is>
          <t>https://www.handbook.unsw.edu.au/postgraduate/programs/2026/8132</t>
        </is>
      </c>
      <c r="H434" t="inlineStr">
        <is>
          <t>Address no longer works</t>
        </is>
      </c>
      <c r="I434" t="inlineStr"/>
      <c r="J434" t="inlineStr"/>
      <c r="K434" t="inlineStr">
        <is>
          <t>Finished, no page: no address from the university's address forms or stored lis</t>
        </is>
      </c>
      <c r="L434" t="inlineStr">
        <is>
          <t>Page found, being read</t>
        </is>
      </c>
      <c r="M434" t="inlineStr">
        <is>
          <t>Page found, being read</t>
        </is>
      </c>
      <c r="N434" t="inlineStr"/>
      <c r="O434" t="n">
        <v>0</v>
      </c>
      <c r="P434" t="inlineStr"/>
      <c r="Q434" t="inlineStr">
        <is>
          <t>Filled</t>
        </is>
      </c>
      <c r="R434" t="n">
        <v>6</v>
      </c>
      <c r="S434" t="inlineStr">
        <is>
          <t>Central English policy</t>
        </is>
      </c>
      <c r="T434" t="inlineStr">
        <is>
          <t>Central rule applies (value agrees)</t>
        </is>
      </c>
      <c r="U434" t="inlineStr"/>
      <c r="V434" t="inlineStr">
        <is>
          <t>Page found, being read</t>
        </is>
      </c>
      <c r="W434" t="inlineStr"/>
      <c r="X434" t="inlineStr"/>
      <c r="Y434" t="n">
        <v>0</v>
      </c>
      <c r="Z434" t="inlineStr">
        <is>
          <t>No</t>
        </is>
      </c>
      <c r="AA434" t="inlineStr">
        <is>
          <t>Not stated on course page</t>
        </is>
      </c>
      <c r="AB434" t="inlineStr"/>
      <c r="AC434" t="inlineStr">
        <is>
          <t>Skipped: the page does not state it</t>
        </is>
      </c>
      <c r="AD434" t="n">
        <v>0</v>
      </c>
      <c r="AE434" t="inlineStr"/>
      <c r="AF434" t="inlineStr"/>
      <c r="AG434" t="inlineStr"/>
      <c r="AH434" t="inlineStr"/>
      <c r="AI434" t="inlineStr"/>
      <c r="AJ434" t="inlineStr"/>
      <c r="AK434" t="inlineStr"/>
      <c r="AL434" t="inlineStr"/>
      <c r="AM434" t="inlineStr"/>
    </row>
    <row r="435">
      <c r="A435" t="inlineStr">
        <is>
          <t>106115H</t>
        </is>
      </c>
      <c r="B435" t="inlineStr">
        <is>
          <t>Graduate Diploma in Translation and Interpreting</t>
        </is>
      </c>
      <c r="C435" t="inlineStr">
        <is>
          <t>Graduate Diploma</t>
        </is>
      </c>
      <c r="D435" t="inlineStr">
        <is>
          <t>Postgraduate coursework</t>
        </is>
      </c>
      <c r="E435" t="inlineStr">
        <is>
          <t>Advertised: official page in place</t>
        </is>
      </c>
      <c r="F435" t="inlineStr">
        <is>
          <t>https://www.unsw.edu.au/study/postgraduate/graduate-diploma-in-translation-and-interpreting</t>
        </is>
      </c>
      <c r="G435" t="inlineStr">
        <is>
          <t>https://www.unsw.edu.au/study/postgraduate/graduate-diploma-in-translation-and-interpreting</t>
        </is>
      </c>
      <c r="H435" t="inlineStr">
        <is>
          <t>Read</t>
        </is>
      </c>
      <c r="I435" t="inlineStr">
        <is>
          <t>CRICOS code on page</t>
        </is>
      </c>
      <c r="J435" t="inlineStr"/>
      <c r="K435" t="inlineStr">
        <is>
          <t>Not sent to re-link</t>
        </is>
      </c>
      <c r="L435" t="inlineStr">
        <is>
          <t>Filled</t>
        </is>
      </c>
      <c r="M435" t="inlineStr">
        <is>
          <t>Filled</t>
        </is>
      </c>
      <c r="N435" t="inlineStr">
        <is>
          <t>49500.00 2026</t>
        </is>
      </c>
      <c r="O435" t="n">
        <v>0</v>
      </c>
      <c r="P435" t="inlineStr">
        <is>
          <t>University adapter</t>
        </is>
      </c>
      <c r="Q435" t="inlineStr">
        <is>
          <t>Filled</t>
        </is>
      </c>
      <c r="R435" t="n">
        <v>6</v>
      </c>
      <c r="S435" t="inlineStr">
        <is>
          <t>Central English policy</t>
        </is>
      </c>
      <c r="T435" t="inlineStr">
        <is>
          <t>Central rule applies (value agrees)</t>
        </is>
      </c>
      <c r="U435" t="inlineStr"/>
      <c r="V435" t="inlineStr">
        <is>
          <t>Filled</t>
        </is>
      </c>
      <c r="W435" t="inlineStr">
        <is>
          <t>February, September</t>
        </is>
      </c>
      <c r="X435" t="inlineStr">
        <is>
          <t>University adapter</t>
        </is>
      </c>
      <c r="Y435" t="n">
        <v>0</v>
      </c>
      <c r="Z435" t="inlineStr">
        <is>
          <t>No</t>
        </is>
      </c>
      <c r="AA435" t="inlineStr">
        <is>
          <t>Filled</t>
        </is>
      </c>
      <c r="AB435" t="inlineStr">
        <is>
          <t>on campus and online</t>
        </is>
      </c>
      <c r="AC435" t="inlineStr"/>
      <c r="AD435" t="n">
        <v>0</v>
      </c>
      <c r="AE435" t="inlineStr"/>
      <c r="AF435" t="inlineStr"/>
      <c r="AG435" t="inlineStr"/>
      <c r="AH435" t="inlineStr"/>
      <c r="AI435" t="inlineStr"/>
      <c r="AJ435" t="inlineStr"/>
      <c r="AK435" t="inlineStr"/>
      <c r="AL435" t="inlineStr"/>
      <c r="AM435" t="inlineStr"/>
    </row>
    <row r="436">
      <c r="A436" t="inlineStr">
        <is>
          <t>084279G</t>
        </is>
      </c>
      <c r="B436" t="inlineStr">
        <is>
          <t>Graduate Diploma of Engineering Science</t>
        </is>
      </c>
      <c r="C436" t="inlineStr">
        <is>
          <t>Graduate Diploma</t>
        </is>
      </c>
      <c r="D436" t="inlineStr">
        <is>
          <t>Postgraduate coursework</t>
        </is>
      </c>
      <c r="E436" t="inlineStr">
        <is>
          <t>Page read, not yet admitted</t>
        </is>
      </c>
      <c r="F436" t="inlineStr"/>
      <c r="G436" t="inlineStr">
        <is>
          <t>https://www.unsw.edu.au/study/postgraduate/graduate-diploma-in-engineering-science</t>
        </is>
      </c>
      <c r="H436" t="inlineStr">
        <is>
          <t>Read</t>
        </is>
      </c>
      <c r="I436" t="inlineStr">
        <is>
          <t>University adapter (title)</t>
        </is>
      </c>
      <c r="J436" t="inlineStr"/>
      <c r="K436" t="inlineStr">
        <is>
          <t>Not sent to re-link</t>
        </is>
      </c>
      <c r="L436" t="inlineStr">
        <is>
          <t>Page found, being read</t>
        </is>
      </c>
      <c r="M436" t="inlineStr">
        <is>
          <t>Page found, being read</t>
        </is>
      </c>
      <c r="N436" t="inlineStr"/>
      <c r="O436" t="n">
        <v>0</v>
      </c>
      <c r="P436" t="inlineStr"/>
      <c r="Q436" t="inlineStr">
        <is>
          <t>Filled</t>
        </is>
      </c>
      <c r="R436" t="n">
        <v>6</v>
      </c>
      <c r="S436" t="inlineStr">
        <is>
          <t>Central English policy</t>
        </is>
      </c>
      <c r="T436" t="inlineStr">
        <is>
          <t>Central rule applies (value agrees)</t>
        </is>
      </c>
      <c r="U436" t="inlineStr"/>
      <c r="V436" t="inlineStr">
        <is>
          <t>Filled</t>
        </is>
      </c>
      <c r="W436" t="inlineStr">
        <is>
          <t>February, May, September</t>
        </is>
      </c>
      <c r="X436" t="inlineStr">
        <is>
          <t>University adapter</t>
        </is>
      </c>
      <c r="Y436" t="n">
        <v>0</v>
      </c>
      <c r="Z436" t="inlineStr">
        <is>
          <t>No</t>
        </is>
      </c>
      <c r="AA436" t="inlineStr">
        <is>
          <t>Filled</t>
        </is>
      </c>
      <c r="AB436" t="inlineStr">
        <is>
          <t>on campus</t>
        </is>
      </c>
      <c r="AC436" t="inlineStr">
        <is>
          <t>Skipped: no allowed source had a value</t>
        </is>
      </c>
      <c r="AD436" t="n">
        <v>0</v>
      </c>
      <c r="AE436" t="inlineStr"/>
      <c r="AF436" t="inlineStr"/>
      <c r="AG436" t="inlineStr"/>
      <c r="AH436" t="inlineStr"/>
      <c r="AI436" t="inlineStr"/>
      <c r="AJ436" t="inlineStr"/>
      <c r="AK436" t="inlineStr"/>
      <c r="AL436" t="inlineStr"/>
      <c r="AM436" t="inlineStr"/>
    </row>
    <row r="437">
      <c r="A437" t="inlineStr">
        <is>
          <t>084280C</t>
        </is>
      </c>
      <c r="B437" t="inlineStr">
        <is>
          <t>Graduate Diploma of Food Science</t>
        </is>
      </c>
      <c r="C437" t="inlineStr">
        <is>
          <t>Graduate Diploma</t>
        </is>
      </c>
      <c r="D437" t="inlineStr">
        <is>
          <t>Postgraduate coursework</t>
        </is>
      </c>
      <c r="E437" t="inlineStr">
        <is>
          <t>Page address no longer works</t>
        </is>
      </c>
      <c r="F437" t="inlineStr"/>
      <c r="G437" t="inlineStr">
        <is>
          <t>https://www.handbook.unsw.edu.au/postgraduate/programs/2026/5037</t>
        </is>
      </c>
      <c r="H437" t="inlineStr">
        <is>
          <t>Address no longer works</t>
        </is>
      </c>
      <c r="I437" t="inlineStr"/>
      <c r="J437" t="inlineStr"/>
      <c r="K437" t="inlineStr">
        <is>
          <t>Finished, no page: no address from the university's address forms or stored lis</t>
        </is>
      </c>
      <c r="L437" t="inlineStr">
        <is>
          <t>Not stated on course page</t>
        </is>
      </c>
      <c r="M437" t="inlineStr">
        <is>
          <t>Not stated on course page</t>
        </is>
      </c>
      <c r="N437" t="inlineStr"/>
      <c r="O437" t="n">
        <v>0</v>
      </c>
      <c r="P437" t="inlineStr"/>
      <c r="Q437" t="inlineStr">
        <is>
          <t>Filled</t>
        </is>
      </c>
      <c r="R437" t="n">
        <v>6</v>
      </c>
      <c r="S437" t="inlineStr">
        <is>
          <t>Central English policy</t>
        </is>
      </c>
      <c r="T437" t="inlineStr">
        <is>
          <t>Central rule applies (value agrees)</t>
        </is>
      </c>
      <c r="U437" t="inlineStr"/>
      <c r="V437" t="inlineStr">
        <is>
          <t>Not stated on course page</t>
        </is>
      </c>
      <c r="W437" t="inlineStr"/>
      <c r="X437" t="inlineStr"/>
      <c r="Y437" t="n">
        <v>3</v>
      </c>
      <c r="Z437" t="inlineStr">
        <is>
          <t>No</t>
        </is>
      </c>
      <c r="AA437" t="inlineStr">
        <is>
          <t>Filled</t>
        </is>
      </c>
      <c r="AB437" t="inlineStr">
        <is>
          <t>on campus</t>
        </is>
      </c>
      <c r="AC437" t="inlineStr"/>
      <c r="AD437" t="n">
        <v>0</v>
      </c>
      <c r="AE437" t="inlineStr"/>
      <c r="AF437" t="inlineStr"/>
      <c r="AG437" t="inlineStr"/>
      <c r="AH437" t="inlineStr"/>
      <c r="AI437" t="inlineStr"/>
      <c r="AJ437" t="inlineStr"/>
      <c r="AK437" t="inlineStr"/>
      <c r="AL437" t="inlineStr"/>
      <c r="AM437" t="inlineStr"/>
    </row>
    <row r="438">
      <c r="A438" t="inlineStr">
        <is>
          <t>084281B</t>
        </is>
      </c>
      <c r="B438" t="inlineStr">
        <is>
          <t>Graduate Diploma of Mining Engineering</t>
        </is>
      </c>
      <c r="C438" t="inlineStr">
        <is>
          <t>Graduate Diploma</t>
        </is>
      </c>
      <c r="D438" t="inlineStr">
        <is>
          <t>Postgraduate coursework</t>
        </is>
      </c>
      <c r="E438" t="inlineStr">
        <is>
          <t>Advertised: official page in place</t>
        </is>
      </c>
      <c r="F438" t="inlineStr">
        <is>
          <t>https://www.unsw.edu.au/study/postgraduate/graduate-diploma-in-mining-engineering</t>
        </is>
      </c>
      <c r="G438" t="inlineStr">
        <is>
          <t>https://www.unsw.edu.au/study/postgraduate/graduate-diploma-in-mining-engineering</t>
        </is>
      </c>
      <c r="H438" t="inlineStr">
        <is>
          <t>Read</t>
        </is>
      </c>
      <c r="I438" t="inlineStr">
        <is>
          <t>CRICOS code on page</t>
        </is>
      </c>
      <c r="J438" t="inlineStr"/>
      <c r="K438" t="inlineStr">
        <is>
          <t>Not sent to re-link</t>
        </is>
      </c>
      <c r="L438" t="inlineStr">
        <is>
          <t>Filled</t>
        </is>
      </c>
      <c r="M438" t="inlineStr">
        <is>
          <t>Filled</t>
        </is>
      </c>
      <c r="N438" t="inlineStr">
        <is>
          <t>61000.00 2026</t>
        </is>
      </c>
      <c r="O438" t="n">
        <v>0</v>
      </c>
      <c r="P438" t="inlineStr">
        <is>
          <t>University adapter</t>
        </is>
      </c>
      <c r="Q438" t="inlineStr">
        <is>
          <t>Filled</t>
        </is>
      </c>
      <c r="R438" t="n">
        <v>6</v>
      </c>
      <c r="S438" t="inlineStr">
        <is>
          <t>Central English policy</t>
        </is>
      </c>
      <c r="T438" t="inlineStr">
        <is>
          <t>Central rule applies (value agrees)</t>
        </is>
      </c>
      <c r="U438" t="inlineStr"/>
      <c r="V438" t="inlineStr">
        <is>
          <t>Filled</t>
        </is>
      </c>
      <c r="W438" t="inlineStr">
        <is>
          <t>February, September</t>
        </is>
      </c>
      <c r="X438" t="inlineStr">
        <is>
          <t>University adapter</t>
        </is>
      </c>
      <c r="Y438" t="n">
        <v>0</v>
      </c>
      <c r="Z438" t="inlineStr">
        <is>
          <t>No</t>
        </is>
      </c>
      <c r="AA438" t="inlineStr">
        <is>
          <t>Filled</t>
        </is>
      </c>
      <c r="AB438" t="inlineStr">
        <is>
          <t>on campus</t>
        </is>
      </c>
      <c r="AC438" t="inlineStr"/>
      <c r="AD438" t="n">
        <v>0</v>
      </c>
      <c r="AE438" t="inlineStr"/>
      <c r="AF438" t="inlineStr"/>
      <c r="AG438" t="inlineStr"/>
      <c r="AH438" t="inlineStr"/>
      <c r="AI438" t="inlineStr"/>
      <c r="AJ438" t="inlineStr"/>
      <c r="AK438" t="inlineStr"/>
      <c r="AL438" t="inlineStr"/>
      <c r="AM438" t="inlineStr"/>
    </row>
    <row r="439">
      <c r="A439" t="inlineStr">
        <is>
          <t>022173G</t>
        </is>
      </c>
      <c r="B439" t="inlineStr">
        <is>
          <t>Introductory Academic Program (IAP)</t>
        </is>
      </c>
      <c r="C439" t="inlineStr">
        <is>
          <t>Non AQF Award</t>
        </is>
      </c>
      <c r="D439" t="inlineStr">
        <is>
          <t>Non-award</t>
        </is>
      </c>
      <c r="E439" t="inlineStr">
        <is>
          <t>Advertised: official page in place</t>
        </is>
      </c>
      <c r="F439" t="inlineStr">
        <is>
          <t>https://www.unsw.edu.au/student/support/financial-support/scholarships/australia-awards/iap</t>
        </is>
      </c>
      <c r="G439" t="inlineStr">
        <is>
          <t>https://www.unsw.edu.au/student/support/services/english-language-development/academic-confidence-essentials</t>
        </is>
      </c>
      <c r="H439" t="inlineStr">
        <is>
          <t>Page is for another course</t>
        </is>
      </c>
      <c r="I439" t="inlineStr"/>
      <c r="J439" t="inlineStr"/>
      <c r="K439" t="inlineStr">
        <is>
          <t>Finished, no page: no address from the university's address forms or stored lis</t>
        </is>
      </c>
      <c r="L439" t="inlineStr">
        <is>
          <t>Filled</t>
        </is>
      </c>
      <c r="M439" t="inlineStr">
        <is>
          <t>Not stated on course page</t>
        </is>
      </c>
      <c r="N439" t="inlineStr"/>
      <c r="O439" t="n">
        <v>0</v>
      </c>
      <c r="P439" t="inlineStr"/>
      <c r="Q439" t="inlineStr">
        <is>
          <t>Not stated on course page</t>
        </is>
      </c>
      <c r="S439" t="inlineStr"/>
      <c r="T439" t="inlineStr">
        <is>
          <t>Held: level not covered by the policy default</t>
        </is>
      </c>
      <c r="U439" t="inlineStr"/>
      <c r="V439" t="inlineStr">
        <is>
          <t>Filled</t>
        </is>
      </c>
      <c r="W439" t="inlineStr">
        <is>
          <t>August</t>
        </is>
      </c>
      <c r="X439" t="inlineStr">
        <is>
          <t>Other</t>
        </is>
      </c>
      <c r="Y439" t="n">
        <v>0</v>
      </c>
      <c r="Z439" t="inlineStr">
        <is>
          <t>No</t>
        </is>
      </c>
      <c r="AA439" t="inlineStr">
        <is>
          <t>Not stated on course page</t>
        </is>
      </c>
      <c r="AB439" t="inlineStr"/>
      <c r="AC439" t="inlineStr">
        <is>
          <t>Skipped: no correct course page: the page found is for another course</t>
        </is>
      </c>
      <c r="AD439" t="n">
        <v>1</v>
      </c>
      <c r="AE439" t="inlineStr"/>
      <c r="AF439" t="inlineStr"/>
      <c r="AG439" t="inlineStr"/>
      <c r="AH439" t="inlineStr"/>
      <c r="AI439" t="inlineStr"/>
      <c r="AJ439" t="inlineStr">
        <is>
          <t>Yes</t>
        </is>
      </c>
      <c r="AK439" t="inlineStr"/>
      <c r="AL439" t="inlineStr"/>
      <c r="AM439" t="inlineStr"/>
    </row>
    <row r="440">
      <c r="A440" t="inlineStr">
        <is>
          <t>068850G</t>
        </is>
      </c>
      <c r="B440" t="inlineStr">
        <is>
          <t>Juris Doctor</t>
        </is>
      </c>
      <c r="C440" t="inlineStr">
        <is>
          <t>Masters Degree (Coursework)</t>
        </is>
      </c>
      <c r="D440" t="inlineStr">
        <is>
          <t>Postgraduate coursework</t>
        </is>
      </c>
      <c r="E440" t="inlineStr">
        <is>
          <t>Advertised: official page in place</t>
        </is>
      </c>
      <c r="F440" t="inlineStr">
        <is>
          <t>https://www.unsw.edu.au/study/postgraduate/juris-doctor</t>
        </is>
      </c>
      <c r="G440" t="inlineStr">
        <is>
          <t>https://www.unsw.edu.au/study/postgraduate/juris-doctor</t>
        </is>
      </c>
      <c r="H440" t="inlineStr">
        <is>
          <t>Read</t>
        </is>
      </c>
      <c r="I440" t="inlineStr">
        <is>
          <t>CRICOS code on page</t>
        </is>
      </c>
      <c r="J440" t="inlineStr"/>
      <c r="K440" t="inlineStr">
        <is>
          <t>Not sent to re-link</t>
        </is>
      </c>
      <c r="L440" t="inlineStr">
        <is>
          <t>Filled</t>
        </is>
      </c>
      <c r="M440" t="inlineStr">
        <is>
          <t>Filled</t>
        </is>
      </c>
      <c r="N440" t="inlineStr">
        <is>
          <t>60500.00 2026</t>
        </is>
      </c>
      <c r="O440" t="n">
        <v>0</v>
      </c>
      <c r="P440" t="inlineStr">
        <is>
          <t>University adapter</t>
        </is>
      </c>
      <c r="Q440" t="inlineStr">
        <is>
          <t>Filled</t>
        </is>
      </c>
      <c r="R440" t="n">
        <v>6</v>
      </c>
      <c r="S440" t="inlineStr">
        <is>
          <t>Central English policy</t>
        </is>
      </c>
      <c r="T440" t="inlineStr">
        <is>
          <t>Central rule applies (value agrees)</t>
        </is>
      </c>
      <c r="U440" t="inlineStr"/>
      <c r="V440" t="inlineStr">
        <is>
          <t>Filled</t>
        </is>
      </c>
      <c r="W440" t="inlineStr">
        <is>
          <t>February, September</t>
        </is>
      </c>
      <c r="X440" t="inlineStr">
        <is>
          <t>University adapter</t>
        </is>
      </c>
      <c r="Y440" t="n">
        <v>0</v>
      </c>
      <c r="Z440" t="inlineStr">
        <is>
          <t>No</t>
        </is>
      </c>
      <c r="AA440" t="inlineStr">
        <is>
          <t>Filled</t>
        </is>
      </c>
      <c r="AB440" t="inlineStr">
        <is>
          <t>on campus</t>
        </is>
      </c>
      <c r="AC440" t="inlineStr"/>
      <c r="AD440" t="n">
        <v>0</v>
      </c>
      <c r="AE440" t="inlineStr"/>
      <c r="AF440" t="inlineStr"/>
      <c r="AG440" t="inlineStr"/>
      <c r="AH440" t="inlineStr"/>
      <c r="AI440" t="inlineStr"/>
      <c r="AJ440" t="inlineStr"/>
      <c r="AK440" t="inlineStr"/>
      <c r="AL440" t="inlineStr"/>
      <c r="AM440" t="inlineStr"/>
    </row>
    <row r="441">
      <c r="A441" t="inlineStr">
        <is>
          <t>068961M</t>
        </is>
      </c>
      <c r="B441" t="inlineStr">
        <is>
          <t>Master Global Health/Master of Health Leadership Management</t>
        </is>
      </c>
      <c r="C441" t="inlineStr">
        <is>
          <t>Masters Degree (Coursework)</t>
        </is>
      </c>
      <c r="D441" t="inlineStr">
        <is>
          <t>Postgraduate coursework</t>
        </is>
      </c>
      <c r="E441" t="inlineStr">
        <is>
          <t>Advertised: official page in place</t>
        </is>
      </c>
      <c r="F441" t="inlineStr">
        <is>
          <t>https://www.unsw.edu.au/study/postgraduate/master-of-global-health-health-leadership-and-management</t>
        </is>
      </c>
      <c r="G441" t="inlineStr">
        <is>
          <t>https://www.unsw.edu.au/study/postgraduate/master-of-global-health-health-leadership-and-management</t>
        </is>
      </c>
      <c r="H441" t="inlineStr">
        <is>
          <t>Read</t>
        </is>
      </c>
      <c r="I441" t="inlineStr">
        <is>
          <t>CRICOS code on page</t>
        </is>
      </c>
      <c r="J441" t="inlineStr"/>
      <c r="K441" t="inlineStr">
        <is>
          <t>Not sent to re-link</t>
        </is>
      </c>
      <c r="L441" t="inlineStr">
        <is>
          <t>Filled</t>
        </is>
      </c>
      <c r="M441" t="inlineStr">
        <is>
          <t>Filled</t>
        </is>
      </c>
      <c r="N441" t="inlineStr">
        <is>
          <t>60500.00 2026</t>
        </is>
      </c>
      <c r="O441" t="n">
        <v>0</v>
      </c>
      <c r="P441" t="inlineStr">
        <is>
          <t>University adapter</t>
        </is>
      </c>
      <c r="Q441" t="inlineStr">
        <is>
          <t>Filled</t>
        </is>
      </c>
      <c r="R441" t="n">
        <v>6</v>
      </c>
      <c r="S441" t="inlineStr">
        <is>
          <t>Central English policy</t>
        </is>
      </c>
      <c r="T441" t="inlineStr">
        <is>
          <t>Central rule applies (value agrees)</t>
        </is>
      </c>
      <c r="U441" t="inlineStr"/>
      <c r="V441" t="inlineStr">
        <is>
          <t>Filled</t>
        </is>
      </c>
      <c r="W441" t="inlineStr">
        <is>
          <t>February, May, September</t>
        </is>
      </c>
      <c r="X441" t="inlineStr">
        <is>
          <t>University adapter</t>
        </is>
      </c>
      <c r="Y441" t="n">
        <v>0</v>
      </c>
      <c r="Z441" t="inlineStr">
        <is>
          <t>No</t>
        </is>
      </c>
      <c r="AA441" t="inlineStr">
        <is>
          <t>Filled</t>
        </is>
      </c>
      <c r="AB441" t="inlineStr">
        <is>
          <t>on campus and online</t>
        </is>
      </c>
      <c r="AC441" t="inlineStr"/>
      <c r="AD441" t="n">
        <v>0</v>
      </c>
      <c r="AE441" t="inlineStr"/>
      <c r="AF441" t="inlineStr"/>
      <c r="AG441" t="inlineStr"/>
      <c r="AH441" t="inlineStr"/>
      <c r="AI441" t="inlineStr"/>
      <c r="AJ441" t="inlineStr"/>
      <c r="AK441" t="inlineStr"/>
      <c r="AL441" t="inlineStr"/>
      <c r="AM441" t="inlineStr"/>
    </row>
    <row r="442">
      <c r="A442" t="inlineStr">
        <is>
          <t>051222G</t>
        </is>
      </c>
      <c r="B442" t="inlineStr">
        <is>
          <t>Master of Actuarial Studies</t>
        </is>
      </c>
      <c r="C442" t="inlineStr">
        <is>
          <t>Masters Degree (Coursework)</t>
        </is>
      </c>
      <c r="D442" t="inlineStr">
        <is>
          <t>Postgraduate coursework</t>
        </is>
      </c>
      <c r="E442" t="inlineStr">
        <is>
          <t>Advertised: official page in place</t>
        </is>
      </c>
      <c r="F442" t="inlineStr">
        <is>
          <t>https://www.unsw.edu.au/study/postgraduate/master-of-actuarial-studies</t>
        </is>
      </c>
      <c r="G442" t="inlineStr">
        <is>
          <t>https://www.unsw.edu.au/study/postgraduate/master-of-actuarial-studies</t>
        </is>
      </c>
      <c r="H442" t="inlineStr">
        <is>
          <t>Read</t>
        </is>
      </c>
      <c r="I442" t="inlineStr">
        <is>
          <t>CRICOS code on page</t>
        </is>
      </c>
      <c r="J442" t="inlineStr"/>
      <c r="K442" t="inlineStr">
        <is>
          <t>Not sent to re-link</t>
        </is>
      </c>
      <c r="L442" t="inlineStr">
        <is>
          <t>Filled</t>
        </is>
      </c>
      <c r="M442" t="inlineStr">
        <is>
          <t>Filled</t>
        </is>
      </c>
      <c r="N442" t="inlineStr">
        <is>
          <t>62000.00 2026</t>
        </is>
      </c>
      <c r="O442" t="n">
        <v>0</v>
      </c>
      <c r="P442" t="inlineStr">
        <is>
          <t>University adapter</t>
        </is>
      </c>
      <c r="Q442" t="inlineStr">
        <is>
          <t>Filled</t>
        </is>
      </c>
      <c r="R442" t="n">
        <v>6</v>
      </c>
      <c r="S442" t="inlineStr">
        <is>
          <t>Central English policy</t>
        </is>
      </c>
      <c r="T442" t="inlineStr">
        <is>
          <t>Central rule applies (value agrees)</t>
        </is>
      </c>
      <c r="U442" t="inlineStr"/>
      <c r="V442" t="inlineStr">
        <is>
          <t>Filled</t>
        </is>
      </c>
      <c r="W442" t="inlineStr">
        <is>
          <t>February, May, September</t>
        </is>
      </c>
      <c r="X442" t="inlineStr">
        <is>
          <t>University adapter</t>
        </is>
      </c>
      <c r="Y442" t="n">
        <v>0</v>
      </c>
      <c r="Z442" t="inlineStr">
        <is>
          <t>No</t>
        </is>
      </c>
      <c r="AA442" t="inlineStr">
        <is>
          <t>Filled</t>
        </is>
      </c>
      <c r="AB442" t="inlineStr">
        <is>
          <t>on campus</t>
        </is>
      </c>
      <c r="AC442" t="inlineStr"/>
      <c r="AD442" t="n">
        <v>0</v>
      </c>
      <c r="AE442" t="inlineStr"/>
      <c r="AF442" t="inlineStr"/>
      <c r="AG442" t="inlineStr"/>
      <c r="AH442" t="inlineStr"/>
      <c r="AI442" t="inlineStr"/>
      <c r="AJ442" t="inlineStr"/>
      <c r="AK442" t="inlineStr"/>
      <c r="AL442" t="inlineStr"/>
      <c r="AM442" t="inlineStr"/>
    </row>
    <row r="443">
      <c r="A443" t="inlineStr">
        <is>
          <t>068778K</t>
        </is>
      </c>
      <c r="B443" t="inlineStr">
        <is>
          <t>Master of Actuarial Studies (Extension)</t>
        </is>
      </c>
      <c r="C443" t="inlineStr">
        <is>
          <t>Masters Degree (Coursework)</t>
        </is>
      </c>
      <c r="D443" t="inlineStr">
        <is>
          <t>Postgraduate coursework</t>
        </is>
      </c>
      <c r="E443" t="inlineStr">
        <is>
          <t>Advertised: official page in place</t>
        </is>
      </c>
      <c r="F443" t="inlineStr">
        <is>
          <t>https://www.unsw.edu.au/study/postgraduate/master-of-actuarial-studies-extension</t>
        </is>
      </c>
      <c r="G443" t="inlineStr">
        <is>
          <t>https://www.unsw.edu.au/study/postgraduate/master-of-actuarial-studies-extension</t>
        </is>
      </c>
      <c r="H443" t="inlineStr">
        <is>
          <t>Read</t>
        </is>
      </c>
      <c r="I443" t="inlineStr">
        <is>
          <t>CRICOS code on page</t>
        </is>
      </c>
      <c r="J443" t="inlineStr"/>
      <c r="K443" t="inlineStr">
        <is>
          <t>Not sent to re-link</t>
        </is>
      </c>
      <c r="L443" t="inlineStr">
        <is>
          <t>Filled</t>
        </is>
      </c>
      <c r="M443" t="inlineStr">
        <is>
          <t>Filled</t>
        </is>
      </c>
      <c r="N443" t="inlineStr">
        <is>
          <t>62000.00 2026</t>
        </is>
      </c>
      <c r="O443" t="n">
        <v>0</v>
      </c>
      <c r="P443" t="inlineStr">
        <is>
          <t>University adapter</t>
        </is>
      </c>
      <c r="Q443" t="inlineStr">
        <is>
          <t>Filled</t>
        </is>
      </c>
      <c r="R443" t="n">
        <v>6</v>
      </c>
      <c r="S443" t="inlineStr">
        <is>
          <t>Central English policy</t>
        </is>
      </c>
      <c r="T443" t="inlineStr">
        <is>
          <t>Central rule applies (value agrees)</t>
        </is>
      </c>
      <c r="U443" t="inlineStr"/>
      <c r="V443" t="inlineStr">
        <is>
          <t>Filled</t>
        </is>
      </c>
      <c r="W443" t="inlineStr">
        <is>
          <t>February, May, September</t>
        </is>
      </c>
      <c r="X443" t="inlineStr">
        <is>
          <t>University adapter</t>
        </is>
      </c>
      <c r="Y443" t="n">
        <v>0</v>
      </c>
      <c r="Z443" t="inlineStr">
        <is>
          <t>No</t>
        </is>
      </c>
      <c r="AA443" t="inlineStr">
        <is>
          <t>Filled</t>
        </is>
      </c>
      <c r="AB443" t="inlineStr">
        <is>
          <t>on campus</t>
        </is>
      </c>
      <c r="AC443" t="inlineStr"/>
      <c r="AD443" t="n">
        <v>0</v>
      </c>
      <c r="AE443" t="inlineStr"/>
      <c r="AF443" t="inlineStr"/>
      <c r="AG443" t="inlineStr"/>
      <c r="AH443" t="inlineStr"/>
      <c r="AI443" t="inlineStr"/>
      <c r="AJ443" t="inlineStr"/>
      <c r="AK443" t="inlineStr"/>
      <c r="AL443" t="inlineStr"/>
      <c r="AM443" t="inlineStr"/>
    </row>
    <row r="444">
      <c r="A444" t="inlineStr">
        <is>
          <t>113670M</t>
        </is>
      </c>
      <c r="B444" t="inlineStr">
        <is>
          <t>Master of Animation and Visual Effects</t>
        </is>
      </c>
      <c r="C444" t="inlineStr">
        <is>
          <t>Masters Degree (Coursework)</t>
        </is>
      </c>
      <c r="D444" t="inlineStr">
        <is>
          <t>Postgraduate coursework</t>
        </is>
      </c>
      <c r="E444" t="inlineStr">
        <is>
          <t>Advertised: official page in place</t>
        </is>
      </c>
      <c r="F444" t="inlineStr">
        <is>
          <t>https://www.unsw.edu.au/study/postgraduate/master-of-animation-and-visual-effects</t>
        </is>
      </c>
      <c r="G444" t="inlineStr">
        <is>
          <t>https://www.unsw.edu.au/study/postgraduate/master-of-animation-and-visual-effects</t>
        </is>
      </c>
      <c r="H444" t="inlineStr">
        <is>
          <t>Read</t>
        </is>
      </c>
      <c r="I444" t="inlineStr">
        <is>
          <t>CRICOS code on page</t>
        </is>
      </c>
      <c r="J444" t="inlineStr"/>
      <c r="K444" t="inlineStr">
        <is>
          <t>Not sent to re-link</t>
        </is>
      </c>
      <c r="L444" t="inlineStr">
        <is>
          <t>Filled</t>
        </is>
      </c>
      <c r="M444" t="inlineStr">
        <is>
          <t>Filled</t>
        </is>
      </c>
      <c r="N444" t="inlineStr">
        <is>
          <t>48500.00 2026</t>
        </is>
      </c>
      <c r="O444" t="n">
        <v>0</v>
      </c>
      <c r="P444" t="inlineStr">
        <is>
          <t>University adapter</t>
        </is>
      </c>
      <c r="Q444" t="inlineStr">
        <is>
          <t>Filled</t>
        </is>
      </c>
      <c r="R444" t="n">
        <v>6</v>
      </c>
      <c r="S444" t="inlineStr">
        <is>
          <t>Central English policy</t>
        </is>
      </c>
      <c r="T444" t="inlineStr">
        <is>
          <t>Central rule applies (value agrees)</t>
        </is>
      </c>
      <c r="U444" t="inlineStr"/>
      <c r="V444" t="inlineStr">
        <is>
          <t>Filled</t>
        </is>
      </c>
      <c r="W444" t="inlineStr">
        <is>
          <t>February, May, September</t>
        </is>
      </c>
      <c r="X444" t="inlineStr">
        <is>
          <t>University adapter</t>
        </is>
      </c>
      <c r="Y444" t="n">
        <v>0</v>
      </c>
      <c r="Z444" t="inlineStr">
        <is>
          <t>No</t>
        </is>
      </c>
      <c r="AA444" t="inlineStr">
        <is>
          <t>Filled</t>
        </is>
      </c>
      <c r="AB444" t="inlineStr">
        <is>
          <t>on campus</t>
        </is>
      </c>
      <c r="AC444" t="inlineStr"/>
      <c r="AD444" t="n">
        <v>0</v>
      </c>
      <c r="AE444" t="inlineStr"/>
      <c r="AF444" t="inlineStr"/>
      <c r="AG444" t="inlineStr"/>
      <c r="AH444" t="inlineStr"/>
      <c r="AI444" t="inlineStr"/>
      <c r="AJ444" t="inlineStr"/>
      <c r="AK444" t="inlineStr"/>
      <c r="AL444" t="inlineStr"/>
      <c r="AM444" t="inlineStr"/>
    </row>
    <row r="445">
      <c r="A445" t="inlineStr">
        <is>
          <t>102633G</t>
        </is>
      </c>
      <c r="B445" t="inlineStr">
        <is>
          <t>Master of Applied Economics</t>
        </is>
      </c>
      <c r="C445" t="inlineStr">
        <is>
          <t>Masters Degree (Coursework)</t>
        </is>
      </c>
      <c r="D445" t="inlineStr">
        <is>
          <t>Postgraduate coursework</t>
        </is>
      </c>
      <c r="E445" t="inlineStr">
        <is>
          <t>Advertised: official page in place</t>
        </is>
      </c>
      <c r="F445" t="inlineStr">
        <is>
          <t>https://www.unsw.edu.au/study/postgraduate/master-of-applied-economics</t>
        </is>
      </c>
      <c r="G445" t="inlineStr">
        <is>
          <t>https://www.unsw.edu.au/study/postgraduate/master-of-applied-economics</t>
        </is>
      </c>
      <c r="H445" t="inlineStr">
        <is>
          <t>Read</t>
        </is>
      </c>
      <c r="I445" t="inlineStr">
        <is>
          <t>CRICOS code on page</t>
        </is>
      </c>
      <c r="J445" t="inlineStr"/>
      <c r="K445" t="inlineStr">
        <is>
          <t>Not sent to re-link</t>
        </is>
      </c>
      <c r="L445" t="inlineStr">
        <is>
          <t>Filled</t>
        </is>
      </c>
      <c r="M445" t="inlineStr">
        <is>
          <t>Filled</t>
        </is>
      </c>
      <c r="N445" t="inlineStr">
        <is>
          <t>62000.00 2026</t>
        </is>
      </c>
      <c r="O445" t="n">
        <v>0</v>
      </c>
      <c r="P445" t="inlineStr">
        <is>
          <t>University adapter</t>
        </is>
      </c>
      <c r="Q445" t="inlineStr">
        <is>
          <t>Filled</t>
        </is>
      </c>
      <c r="R445" t="n">
        <v>7</v>
      </c>
      <c r="S445" t="inlineStr">
        <is>
          <t>Page reader</t>
        </is>
      </c>
      <c r="T445" t="inlineStr">
        <is>
          <t>Central rule applies (course value differs)</t>
        </is>
      </c>
      <c r="U445" t="inlineStr">
        <is>
          <t>Yes: course has IELTS 7.00, central rule says 6</t>
        </is>
      </c>
      <c r="V445" t="inlineStr">
        <is>
          <t>Filled</t>
        </is>
      </c>
      <c r="W445" t="inlineStr">
        <is>
          <t>February, September</t>
        </is>
      </c>
      <c r="X445" t="inlineStr">
        <is>
          <t>University adapter</t>
        </is>
      </c>
      <c r="Y445" t="n">
        <v>0</v>
      </c>
      <c r="Z445" t="inlineStr">
        <is>
          <t>No</t>
        </is>
      </c>
      <c r="AA445" t="inlineStr">
        <is>
          <t>Filled</t>
        </is>
      </c>
      <c r="AB445" t="inlineStr">
        <is>
          <t>on campus and online</t>
        </is>
      </c>
      <c r="AC445" t="inlineStr"/>
      <c r="AD445" t="n">
        <v>0</v>
      </c>
      <c r="AE445" t="inlineStr"/>
      <c r="AF445" t="inlineStr"/>
      <c r="AG445" t="inlineStr"/>
      <c r="AH445" t="inlineStr"/>
      <c r="AI445" t="inlineStr"/>
      <c r="AJ445" t="inlineStr"/>
      <c r="AK445" t="inlineStr"/>
      <c r="AL445" t="inlineStr"/>
      <c r="AM445" t="inlineStr"/>
    </row>
    <row r="446">
      <c r="A446" t="inlineStr">
        <is>
          <t>083248M</t>
        </is>
      </c>
      <c r="B446" t="inlineStr">
        <is>
          <t>Master of Applied Linguistics</t>
        </is>
      </c>
      <c r="C446" t="inlineStr">
        <is>
          <t>Masters Degree (Coursework)</t>
        </is>
      </c>
      <c r="D446" t="inlineStr">
        <is>
          <t>Postgraduate coursework</t>
        </is>
      </c>
      <c r="E446" t="inlineStr">
        <is>
          <t>Advertised: official page in place</t>
        </is>
      </c>
      <c r="F446" t="inlineStr">
        <is>
          <t>https://www.unsw.edu.au/study/postgraduate/master-of-applied-linguistics</t>
        </is>
      </c>
      <c r="G446" t="inlineStr">
        <is>
          <t>https://www.unsw.edu.au/study/postgraduate/master-of-applied-linguistics</t>
        </is>
      </c>
      <c r="H446" t="inlineStr">
        <is>
          <t>Read</t>
        </is>
      </c>
      <c r="I446" t="inlineStr">
        <is>
          <t>CRICOS code on page</t>
        </is>
      </c>
      <c r="J446" t="inlineStr"/>
      <c r="K446" t="inlineStr">
        <is>
          <t>Not sent to re-link</t>
        </is>
      </c>
      <c r="L446" t="inlineStr">
        <is>
          <t>Filled</t>
        </is>
      </c>
      <c r="M446" t="inlineStr">
        <is>
          <t>Filled</t>
        </is>
      </c>
      <c r="N446" t="inlineStr">
        <is>
          <t>47000.00 2026</t>
        </is>
      </c>
      <c r="O446" t="n">
        <v>0</v>
      </c>
      <c r="P446" t="inlineStr">
        <is>
          <t>University adapter</t>
        </is>
      </c>
      <c r="Q446" t="inlineStr">
        <is>
          <t>Filled</t>
        </is>
      </c>
      <c r="R446" t="n">
        <v>6</v>
      </c>
      <c r="S446" t="inlineStr">
        <is>
          <t>Central English policy</t>
        </is>
      </c>
      <c r="T446" t="inlineStr">
        <is>
          <t>Central rule applies (value agrees)</t>
        </is>
      </c>
      <c r="U446" t="inlineStr"/>
      <c r="V446" t="inlineStr">
        <is>
          <t>Filled</t>
        </is>
      </c>
      <c r="W446" t="inlineStr">
        <is>
          <t>February, May, September</t>
        </is>
      </c>
      <c r="X446" t="inlineStr">
        <is>
          <t>University adapter</t>
        </is>
      </c>
      <c r="Y446" t="n">
        <v>0</v>
      </c>
      <c r="Z446" t="inlineStr">
        <is>
          <t>No</t>
        </is>
      </c>
      <c r="AA446" t="inlineStr">
        <is>
          <t>Filled</t>
        </is>
      </c>
      <c r="AB446" t="inlineStr">
        <is>
          <t>on campus</t>
        </is>
      </c>
      <c r="AC446" t="inlineStr"/>
      <c r="AD446" t="n">
        <v>0</v>
      </c>
      <c r="AE446" t="inlineStr"/>
      <c r="AF446" t="inlineStr"/>
      <c r="AG446" t="inlineStr"/>
      <c r="AH446" t="inlineStr"/>
      <c r="AI446" t="inlineStr"/>
      <c r="AJ446" t="inlineStr"/>
      <c r="AK446" t="inlineStr"/>
      <c r="AL446" t="inlineStr"/>
      <c r="AM446" t="inlineStr"/>
    </row>
    <row r="447">
      <c r="A447" t="inlineStr">
        <is>
          <t>061906G</t>
        </is>
      </c>
      <c r="B447" t="inlineStr">
        <is>
          <t>Master of Architecture</t>
        </is>
      </c>
      <c r="C447" t="inlineStr">
        <is>
          <t>Masters Degree (Coursework)</t>
        </is>
      </c>
      <c r="D447" t="inlineStr">
        <is>
          <t>Postgraduate coursework</t>
        </is>
      </c>
      <c r="E447" t="inlineStr">
        <is>
          <t>Advertised: official page in place</t>
        </is>
      </c>
      <c r="F447" t="inlineStr">
        <is>
          <t>https://www.unsw.edu.au/study/postgraduate/master-of-architecture</t>
        </is>
      </c>
      <c r="G447" t="inlineStr">
        <is>
          <t>https://www.unsw.edu.au/study/postgraduate/master-of-architecture</t>
        </is>
      </c>
      <c r="H447" t="inlineStr">
        <is>
          <t>Read</t>
        </is>
      </c>
      <c r="I447" t="inlineStr">
        <is>
          <t>CRICOS code on page</t>
        </is>
      </c>
      <c r="J447" t="inlineStr"/>
      <c r="K447" t="inlineStr">
        <is>
          <t>Not sent to re-link</t>
        </is>
      </c>
      <c r="L447" t="inlineStr">
        <is>
          <t>Filled</t>
        </is>
      </c>
      <c r="M447" t="inlineStr">
        <is>
          <t>Filled</t>
        </is>
      </c>
      <c r="N447" t="inlineStr">
        <is>
          <t>48500.00 2026</t>
        </is>
      </c>
      <c r="O447" t="n">
        <v>0</v>
      </c>
      <c r="P447" t="inlineStr">
        <is>
          <t>University adapter</t>
        </is>
      </c>
      <c r="Q447" t="inlineStr">
        <is>
          <t>Filled</t>
        </is>
      </c>
      <c r="R447" t="n">
        <v>6</v>
      </c>
      <c r="S447" t="inlineStr">
        <is>
          <t>Central English policy</t>
        </is>
      </c>
      <c r="T447" t="inlineStr">
        <is>
          <t>Central rule applies (value agrees)</t>
        </is>
      </c>
      <c r="U447" t="inlineStr"/>
      <c r="V447" t="inlineStr">
        <is>
          <t>Filled</t>
        </is>
      </c>
      <c r="W447" t="inlineStr">
        <is>
          <t>February, September</t>
        </is>
      </c>
      <c r="X447" t="inlineStr">
        <is>
          <t>University adapter</t>
        </is>
      </c>
      <c r="Y447" t="n">
        <v>0</v>
      </c>
      <c r="Z447" t="inlineStr">
        <is>
          <t>No</t>
        </is>
      </c>
      <c r="AA447" t="inlineStr">
        <is>
          <t>Filled</t>
        </is>
      </c>
      <c r="AB447" t="inlineStr">
        <is>
          <t>on campus</t>
        </is>
      </c>
      <c r="AC447" t="inlineStr"/>
      <c r="AD447" t="n">
        <v>0</v>
      </c>
      <c r="AE447" t="inlineStr"/>
      <c r="AF447" t="inlineStr"/>
      <c r="AG447" t="inlineStr"/>
      <c r="AH447" t="inlineStr"/>
      <c r="AI447" t="inlineStr"/>
      <c r="AJ447" t="inlineStr"/>
      <c r="AK447" t="inlineStr"/>
      <c r="AL447" t="inlineStr"/>
      <c r="AM447" t="inlineStr"/>
    </row>
    <row r="448">
      <c r="A448" t="inlineStr">
        <is>
          <t>000883D</t>
        </is>
      </c>
      <c r="B448" t="inlineStr">
        <is>
          <t>Master of Architecture (By Research)</t>
        </is>
      </c>
      <c r="C448" t="inlineStr">
        <is>
          <t>Masters Degree (Research)</t>
        </is>
      </c>
      <c r="D448" t="inlineStr">
        <is>
          <t>Research degree</t>
        </is>
      </c>
      <c r="E448" t="inlineStr">
        <is>
          <t>Held: page found is for another course</t>
        </is>
      </c>
      <c r="F448" t="inlineStr"/>
      <c r="G448" t="inlineStr">
        <is>
          <t>https://www.unsw.edu.au/study/postgraduate/master-of-architecture-property-and-development</t>
        </is>
      </c>
      <c r="H448" t="inlineStr">
        <is>
          <t>Page is for another course</t>
        </is>
      </c>
      <c r="I448" t="inlineStr"/>
      <c r="J448" t="inlineStr"/>
      <c r="K448" t="inlineStr">
        <is>
          <t>Finished, no page: no address from the university's address forms or stored lis</t>
        </is>
      </c>
      <c r="L448" t="inlineStr">
        <is>
          <t>Searching for course page</t>
        </is>
      </c>
      <c r="M448" t="inlineStr">
        <is>
          <t>Searching for course page</t>
        </is>
      </c>
      <c r="N448" t="inlineStr"/>
      <c r="O448" t="n">
        <v>0</v>
      </c>
      <c r="P448" t="inlineStr"/>
      <c r="Q448" t="inlineStr">
        <is>
          <t>Searching for course page</t>
        </is>
      </c>
      <c r="S448" t="inlineStr"/>
      <c r="T448" t="inlineStr">
        <is>
          <t>Held: research degree (the policy states no research requirement)</t>
        </is>
      </c>
      <c r="U448" t="inlineStr"/>
      <c r="V448" t="inlineStr">
        <is>
          <t>Searching for course page</t>
        </is>
      </c>
      <c r="W448" t="inlineStr"/>
      <c r="X448" t="inlineStr"/>
      <c r="Y448" t="n">
        <v>0</v>
      </c>
      <c r="Z448" t="inlineStr">
        <is>
          <t>No</t>
        </is>
      </c>
      <c r="AA448" t="inlineStr">
        <is>
          <t>Not stated on course page</t>
        </is>
      </c>
      <c r="AB448" t="inlineStr"/>
      <c r="AC448" t="inlineStr">
        <is>
          <t>Skipped: no correct course page: the page found is for another course</t>
        </is>
      </c>
      <c r="AD448" t="n">
        <v>1</v>
      </c>
      <c r="AE448" t="inlineStr"/>
      <c r="AF448" t="inlineStr"/>
      <c r="AG448" t="inlineStr"/>
      <c r="AH448" t="inlineStr"/>
      <c r="AI448" t="inlineStr"/>
      <c r="AJ448" t="inlineStr">
        <is>
          <t>Yes</t>
        </is>
      </c>
      <c r="AK448" t="inlineStr"/>
      <c r="AL448" t="inlineStr"/>
      <c r="AM448" t="inlineStr"/>
    </row>
    <row r="449">
      <c r="A449" t="inlineStr">
        <is>
          <t>113667F</t>
        </is>
      </c>
      <c r="B449" t="inlineStr">
        <is>
          <t>Master of Architecture and Master of Property Development</t>
        </is>
      </c>
      <c r="C449" t="inlineStr">
        <is>
          <t>Masters Degree (Coursework)</t>
        </is>
      </c>
      <c r="D449" t="inlineStr">
        <is>
          <t>Postgraduate coursework</t>
        </is>
      </c>
      <c r="E449" t="inlineStr">
        <is>
          <t>Advertised: official page in place</t>
        </is>
      </c>
      <c r="F449" t="inlineStr">
        <is>
          <t>https://www.unsw.edu.au/study/postgraduate/master-of-architecture-property-and-development</t>
        </is>
      </c>
      <c r="G449" t="inlineStr">
        <is>
          <t>https://www.unsw.edu.au/study/postgraduate/master-of-architecture-property-and-development</t>
        </is>
      </c>
      <c r="H449" t="inlineStr">
        <is>
          <t>Read</t>
        </is>
      </c>
      <c r="I449" t="inlineStr">
        <is>
          <t>CRICOS code on page</t>
        </is>
      </c>
      <c r="J449" t="inlineStr"/>
      <c r="K449" t="inlineStr">
        <is>
          <t>Not sent to re-link</t>
        </is>
      </c>
      <c r="L449" t="inlineStr">
        <is>
          <t>Filled</t>
        </is>
      </c>
      <c r="M449" t="inlineStr">
        <is>
          <t>Filled</t>
        </is>
      </c>
      <c r="N449" t="inlineStr">
        <is>
          <t>49000.00 2026</t>
        </is>
      </c>
      <c r="O449" t="n">
        <v>0</v>
      </c>
      <c r="P449" t="inlineStr">
        <is>
          <t>University adapter</t>
        </is>
      </c>
      <c r="Q449" t="inlineStr">
        <is>
          <t>Filled</t>
        </is>
      </c>
      <c r="R449" t="n">
        <v>6</v>
      </c>
      <c r="S449" t="inlineStr">
        <is>
          <t>Central English policy</t>
        </is>
      </c>
      <c r="T449" t="inlineStr">
        <is>
          <t>Central rule applies (value agrees)</t>
        </is>
      </c>
      <c r="U449" t="inlineStr"/>
      <c r="V449" t="inlineStr">
        <is>
          <t>Filled</t>
        </is>
      </c>
      <c r="W449" t="inlineStr">
        <is>
          <t>February, September</t>
        </is>
      </c>
      <c r="X449" t="inlineStr">
        <is>
          <t>University adapter</t>
        </is>
      </c>
      <c r="Y449" t="n">
        <v>0</v>
      </c>
      <c r="Z449" t="inlineStr">
        <is>
          <t>No</t>
        </is>
      </c>
      <c r="AA449" t="inlineStr">
        <is>
          <t>Filled</t>
        </is>
      </c>
      <c r="AB449" t="inlineStr">
        <is>
          <t>on campus and online</t>
        </is>
      </c>
      <c r="AC449" t="inlineStr"/>
      <c r="AD449" t="n">
        <v>0</v>
      </c>
      <c r="AE449" t="inlineStr"/>
      <c r="AF449" t="inlineStr"/>
      <c r="AG449" t="inlineStr"/>
      <c r="AH449" t="inlineStr"/>
      <c r="AI449" t="inlineStr"/>
      <c r="AJ449" t="inlineStr"/>
      <c r="AK449" t="inlineStr"/>
      <c r="AL449" t="inlineStr"/>
      <c r="AM449" t="inlineStr"/>
    </row>
    <row r="450">
      <c r="A450" t="inlineStr">
        <is>
          <t>000913C</t>
        </is>
      </c>
      <c r="B450" t="inlineStr">
        <is>
          <t>Master of Arts (All Specialisations)</t>
        </is>
      </c>
      <c r="C450" t="inlineStr">
        <is>
          <t>Masters Degree (Research)</t>
        </is>
      </c>
      <c r="D450" t="inlineStr">
        <is>
          <t>Research degree</t>
        </is>
      </c>
      <c r="E450" t="inlineStr">
        <is>
          <t>Advertised: official page in place</t>
        </is>
      </c>
      <c r="F450" t="inlineStr">
        <is>
          <t>https://www.handbook.unsw.edu.au/research/programs/2026/2353</t>
        </is>
      </c>
      <c r="G450" t="inlineStr">
        <is>
          <t>https://www.handbook.unsw.edu.au/research/programs/2026/2353</t>
        </is>
      </c>
      <c r="H450" t="inlineStr">
        <is>
          <t>Read</t>
        </is>
      </c>
      <c r="I450" t="inlineStr">
        <is>
          <t>CRICOS code on page</t>
        </is>
      </c>
      <c r="J450" t="inlineStr"/>
      <c r="K450" t="inlineStr">
        <is>
          <t>Not sent to re-link</t>
        </is>
      </c>
      <c r="L450" t="inlineStr">
        <is>
          <t>Filled</t>
        </is>
      </c>
      <c r="M450" t="inlineStr">
        <is>
          <t>Not stated on course page</t>
        </is>
      </c>
      <c r="N450" t="inlineStr"/>
      <c r="O450" t="n">
        <v>0</v>
      </c>
      <c r="P450" t="inlineStr"/>
      <c r="Q450" t="inlineStr">
        <is>
          <t>Not stated on course page</t>
        </is>
      </c>
      <c r="S450" t="inlineStr"/>
      <c r="T450" t="inlineStr">
        <is>
          <t>Held: research degree (the policy states no research requirement)</t>
        </is>
      </c>
      <c r="U450" t="inlineStr"/>
      <c r="V450" t="inlineStr">
        <is>
          <t>Filled</t>
        </is>
      </c>
      <c r="W450" t="inlineStr">
        <is>
          <t>January, February, May, September</t>
        </is>
      </c>
      <c r="X450" t="inlineStr">
        <is>
          <t>University adapter</t>
        </is>
      </c>
      <c r="Y450" t="n">
        <v>0</v>
      </c>
      <c r="Z450" t="inlineStr">
        <is>
          <t>No</t>
        </is>
      </c>
      <c r="AA450" t="inlineStr">
        <is>
          <t>Filled</t>
        </is>
      </c>
      <c r="AB450" t="inlineStr">
        <is>
          <t>on campus</t>
        </is>
      </c>
      <c r="AC450" t="inlineStr"/>
      <c r="AD450" t="n">
        <v>0</v>
      </c>
      <c r="AE450" t="inlineStr"/>
      <c r="AF450" t="inlineStr"/>
      <c r="AG450" t="inlineStr"/>
      <c r="AH450" t="inlineStr"/>
      <c r="AI450" t="inlineStr"/>
      <c r="AJ450" t="inlineStr">
        <is>
          <t>Yes</t>
        </is>
      </c>
      <c r="AK450" t="inlineStr"/>
      <c r="AL450" t="inlineStr"/>
      <c r="AM450" t="inlineStr"/>
    </row>
    <row r="451">
      <c r="A451" t="inlineStr">
        <is>
          <t>085772G</t>
        </is>
      </c>
      <c r="B451" t="inlineStr">
        <is>
          <t>Master of Arts (By Research)</t>
        </is>
      </c>
      <c r="C451" t="inlineStr">
        <is>
          <t>Masters Degree (Research)</t>
        </is>
      </c>
      <c r="D451" t="inlineStr">
        <is>
          <t>Research degree</t>
        </is>
      </c>
      <c r="E451" t="inlineStr">
        <is>
          <t>Advertised: official page in place</t>
        </is>
      </c>
      <c r="F451" t="inlineStr">
        <is>
          <t>https://www.handbook.unsw.edu.au/research/programs/2026/2406</t>
        </is>
      </c>
      <c r="G451" t="inlineStr">
        <is>
          <t>https://www.handbook.unsw.edu.au/research/programs/2026/2406</t>
        </is>
      </c>
      <c r="H451" t="inlineStr">
        <is>
          <t>Read</t>
        </is>
      </c>
      <c r="I451" t="inlineStr">
        <is>
          <t>CRICOS code on page</t>
        </is>
      </c>
      <c r="J451" t="inlineStr"/>
      <c r="K451" t="inlineStr">
        <is>
          <t>Not sent to re-link</t>
        </is>
      </c>
      <c r="L451" t="inlineStr">
        <is>
          <t>Filled</t>
        </is>
      </c>
      <c r="M451" t="inlineStr">
        <is>
          <t>Not stated on course page</t>
        </is>
      </c>
      <c r="N451" t="inlineStr"/>
      <c r="O451" t="n">
        <v>0</v>
      </c>
      <c r="P451" t="inlineStr"/>
      <c r="Q451" t="inlineStr">
        <is>
          <t>Not stated on course page</t>
        </is>
      </c>
      <c r="S451" t="inlineStr"/>
      <c r="T451" t="inlineStr">
        <is>
          <t>Held: research degree (the policy states no research requirement)</t>
        </is>
      </c>
      <c r="U451" t="inlineStr"/>
      <c r="V451" t="inlineStr">
        <is>
          <t>Filled</t>
        </is>
      </c>
      <c r="W451" t="inlineStr">
        <is>
          <t>January, February, May, September</t>
        </is>
      </c>
      <c r="X451" t="inlineStr">
        <is>
          <t>University adapter</t>
        </is>
      </c>
      <c r="Y451" t="n">
        <v>0</v>
      </c>
      <c r="Z451" t="inlineStr">
        <is>
          <t>No</t>
        </is>
      </c>
      <c r="AA451" t="inlineStr">
        <is>
          <t>Filled</t>
        </is>
      </c>
      <c r="AB451" t="inlineStr">
        <is>
          <t>on campus</t>
        </is>
      </c>
      <c r="AC451" t="inlineStr"/>
      <c r="AD451" t="n">
        <v>0</v>
      </c>
      <c r="AE451" t="inlineStr"/>
      <c r="AF451" t="inlineStr"/>
      <c r="AG451" t="inlineStr"/>
      <c r="AH451" t="inlineStr"/>
      <c r="AI451" t="inlineStr"/>
      <c r="AJ451" t="inlineStr">
        <is>
          <t>Yes</t>
        </is>
      </c>
      <c r="AK451" t="inlineStr"/>
      <c r="AL451" t="inlineStr"/>
      <c r="AM451" t="inlineStr"/>
    </row>
    <row r="452">
      <c r="A452" t="inlineStr">
        <is>
          <t>000929F</t>
        </is>
      </c>
      <c r="B452" t="inlineStr">
        <is>
          <t>Master of Biomedical Engineering</t>
        </is>
      </c>
      <c r="C452" t="inlineStr">
        <is>
          <t>Masters Degree (Coursework)</t>
        </is>
      </c>
      <c r="D452" t="inlineStr">
        <is>
          <t>Postgraduate coursework</t>
        </is>
      </c>
      <c r="E452" t="inlineStr">
        <is>
          <t>Advertised: official page in place</t>
        </is>
      </c>
      <c r="F452" t="inlineStr">
        <is>
          <t>https://www.handbook.unsw.edu.au/postgraduate/programs/2026/8660</t>
        </is>
      </c>
      <c r="G452" t="inlineStr">
        <is>
          <t>https://www.handbook.unsw.edu.au/postgraduate/programs/2026/8660</t>
        </is>
      </c>
      <c r="H452" t="inlineStr">
        <is>
          <t>Read</t>
        </is>
      </c>
      <c r="I452" t="inlineStr">
        <is>
          <t>Set by hand</t>
        </is>
      </c>
      <c r="J452" t="inlineStr"/>
      <c r="K452" t="inlineStr">
        <is>
          <t>Not sent to re-link</t>
        </is>
      </c>
      <c r="L452" t="inlineStr">
        <is>
          <t>Filled</t>
        </is>
      </c>
      <c r="M452" t="inlineStr">
        <is>
          <t>Not stated on course page</t>
        </is>
      </c>
      <c r="N452" t="inlineStr"/>
      <c r="O452" t="n">
        <v>0</v>
      </c>
      <c r="P452" t="inlineStr"/>
      <c r="Q452" t="inlineStr">
        <is>
          <t>Filled</t>
        </is>
      </c>
      <c r="R452" t="n">
        <v>6</v>
      </c>
      <c r="S452" t="inlineStr">
        <is>
          <t>Central English policy</t>
        </is>
      </c>
      <c r="T452" t="inlineStr">
        <is>
          <t>Central rule applies (value agrees)</t>
        </is>
      </c>
      <c r="U452" t="inlineStr"/>
      <c r="V452" t="inlineStr">
        <is>
          <t>Filled</t>
        </is>
      </c>
      <c r="W452" t="inlineStr">
        <is>
          <t>February, September</t>
        </is>
      </c>
      <c r="X452" t="inlineStr">
        <is>
          <t>Other</t>
        </is>
      </c>
      <c r="Y452" t="n">
        <v>0</v>
      </c>
      <c r="Z452" t="inlineStr">
        <is>
          <t>No</t>
        </is>
      </c>
      <c r="AA452" t="inlineStr">
        <is>
          <t>Filled</t>
        </is>
      </c>
      <c r="AB452" t="inlineStr">
        <is>
          <t>blended</t>
        </is>
      </c>
      <c r="AC452" t="inlineStr">
        <is>
          <t>Filled</t>
        </is>
      </c>
      <c r="AD452" t="n">
        <v>0</v>
      </c>
      <c r="AE452" t="inlineStr"/>
      <c r="AF452" t="inlineStr"/>
      <c r="AG452" t="inlineStr"/>
      <c r="AH452" t="inlineStr"/>
      <c r="AI452" t="inlineStr"/>
      <c r="AJ452" t="inlineStr"/>
      <c r="AK452" t="inlineStr"/>
      <c r="AL452" t="inlineStr"/>
      <c r="AM452" t="inlineStr"/>
    </row>
    <row r="453">
      <c r="A453" t="inlineStr">
        <is>
          <t>008953G</t>
        </is>
      </c>
      <c r="B453" t="inlineStr">
        <is>
          <t>Master of Built Environment</t>
        </is>
      </c>
      <c r="C453" t="inlineStr">
        <is>
          <t>Masters Degree (Research)</t>
        </is>
      </c>
      <c r="D453" t="inlineStr">
        <is>
          <t>Research degree</t>
        </is>
      </c>
      <c r="E453" t="inlineStr">
        <is>
          <t>Advertised: official page in place</t>
        </is>
      </c>
      <c r="F453" t="inlineStr">
        <is>
          <t>https://www.handbook.unsw.edu.au/research/programs/2026/2240</t>
        </is>
      </c>
      <c r="G453" t="inlineStr">
        <is>
          <t>https://www.handbook.unsw.edu.au/research/programs/2026/2240</t>
        </is>
      </c>
      <c r="H453" t="inlineStr">
        <is>
          <t>Read</t>
        </is>
      </c>
      <c r="I453" t="inlineStr">
        <is>
          <t>CRICOS code on page</t>
        </is>
      </c>
      <c r="J453" t="inlineStr"/>
      <c r="K453" t="inlineStr">
        <is>
          <t>Not sent to re-link</t>
        </is>
      </c>
      <c r="L453" t="inlineStr">
        <is>
          <t>Filled</t>
        </is>
      </c>
      <c r="M453" t="inlineStr">
        <is>
          <t>Not stated on course page</t>
        </is>
      </c>
      <c r="N453" t="inlineStr"/>
      <c r="O453" t="n">
        <v>0</v>
      </c>
      <c r="P453" t="inlineStr"/>
      <c r="Q453" t="inlineStr">
        <is>
          <t>Not stated on course page</t>
        </is>
      </c>
      <c r="S453" t="inlineStr"/>
      <c r="T453" t="inlineStr">
        <is>
          <t>Held: research degree (the policy states no research requirement)</t>
        </is>
      </c>
      <c r="U453" t="inlineStr"/>
      <c r="V453" t="inlineStr">
        <is>
          <t>Filled</t>
        </is>
      </c>
      <c r="W453" t="inlineStr">
        <is>
          <t>January, February, May, September</t>
        </is>
      </c>
      <c r="X453" t="inlineStr">
        <is>
          <t>University adapter</t>
        </is>
      </c>
      <c r="Y453" t="n">
        <v>0</v>
      </c>
      <c r="Z453" t="inlineStr">
        <is>
          <t>No</t>
        </is>
      </c>
      <c r="AA453" t="inlineStr">
        <is>
          <t>Filled</t>
        </is>
      </c>
      <c r="AB453" t="inlineStr">
        <is>
          <t>on campus</t>
        </is>
      </c>
      <c r="AC453" t="inlineStr"/>
      <c r="AD453" t="n">
        <v>0</v>
      </c>
      <c r="AE453" t="inlineStr"/>
      <c r="AF453" t="inlineStr"/>
      <c r="AG453" t="inlineStr"/>
      <c r="AH453" t="inlineStr"/>
      <c r="AI453" t="inlineStr"/>
      <c r="AJ453" t="inlineStr">
        <is>
          <t>Yes</t>
        </is>
      </c>
      <c r="AK453" t="inlineStr"/>
      <c r="AL453" t="inlineStr"/>
      <c r="AM453" t="inlineStr"/>
    </row>
    <row r="454">
      <c r="A454" t="inlineStr">
        <is>
          <t>0101807</t>
        </is>
      </c>
      <c r="B454" t="inlineStr">
        <is>
          <t>Master of Built Environment</t>
        </is>
      </c>
      <c r="C454" t="inlineStr">
        <is>
          <t>Masters Degree (Coursework)</t>
        </is>
      </c>
      <c r="D454" t="inlineStr">
        <is>
          <t>Postgraduate coursework</t>
        </is>
      </c>
      <c r="E454" t="inlineStr">
        <is>
          <t>Held: page found is for another course</t>
        </is>
      </c>
      <c r="F454" t="inlineStr"/>
      <c r="G454" t="inlineStr">
        <is>
          <t>https://www.handbook.unsw.edu.au/research/programs/2026/2240</t>
        </is>
      </c>
      <c r="H454" t="inlineStr">
        <is>
          <t>Page is for another course</t>
        </is>
      </c>
      <c r="I454" t="inlineStr"/>
      <c r="J454" t="inlineStr"/>
      <c r="K454" t="inlineStr">
        <is>
          <t>Finished, no page: no address from the university's address forms or stored lis</t>
        </is>
      </c>
      <c r="L454" t="inlineStr">
        <is>
          <t>Searching for course page</t>
        </is>
      </c>
      <c r="M454" t="inlineStr">
        <is>
          <t>Searching for course page</t>
        </is>
      </c>
      <c r="N454" t="inlineStr"/>
      <c r="O454" t="n">
        <v>0</v>
      </c>
      <c r="P454" t="inlineStr"/>
      <c r="Q454" t="inlineStr">
        <is>
          <t>Filled</t>
        </is>
      </c>
      <c r="R454" t="n">
        <v>6</v>
      </c>
      <c r="S454" t="inlineStr">
        <is>
          <t>Central English policy</t>
        </is>
      </c>
      <c r="T454" t="inlineStr">
        <is>
          <t>Central rule applies (value agrees)</t>
        </is>
      </c>
      <c r="U454" t="inlineStr"/>
      <c r="V454" t="inlineStr">
        <is>
          <t>Searching for course page</t>
        </is>
      </c>
      <c r="W454" t="inlineStr"/>
      <c r="X454" t="inlineStr"/>
      <c r="Y454" t="n">
        <v>0</v>
      </c>
      <c r="Z454" t="inlineStr">
        <is>
          <t>No</t>
        </is>
      </c>
      <c r="AA454" t="inlineStr">
        <is>
          <t>Not stated on course page</t>
        </is>
      </c>
      <c r="AB454" t="inlineStr"/>
      <c r="AC454" t="inlineStr">
        <is>
          <t>Skipped: no correct course page: the page found is for another course</t>
        </is>
      </c>
      <c r="AD454" t="n">
        <v>0</v>
      </c>
      <c r="AE454" t="inlineStr"/>
      <c r="AF454" t="inlineStr"/>
      <c r="AG454" t="inlineStr"/>
      <c r="AH454" t="inlineStr"/>
      <c r="AI454" t="inlineStr"/>
      <c r="AJ454" t="inlineStr"/>
      <c r="AK454" t="inlineStr"/>
      <c r="AL454" t="inlineStr"/>
      <c r="AM454" t="inlineStr"/>
    </row>
    <row r="455">
      <c r="A455" t="inlineStr">
        <is>
          <t>093557D</t>
        </is>
      </c>
      <c r="B455" t="inlineStr">
        <is>
          <t>Master of Business (Research)</t>
        </is>
      </c>
      <c r="C455" t="inlineStr">
        <is>
          <t>Masters Degree (Research)</t>
        </is>
      </c>
      <c r="D455" t="inlineStr">
        <is>
          <t>Research degree</t>
        </is>
      </c>
      <c r="E455" t="inlineStr">
        <is>
          <t>Held: page found is for another course</t>
        </is>
      </c>
      <c r="F455" t="inlineStr"/>
      <c r="G455" t="inlineStr">
        <is>
          <t>https://www.handbook.unsw.edu.au/research/programs/2026/2223</t>
        </is>
      </c>
      <c r="H455" t="inlineStr">
        <is>
          <t>Page is for another course</t>
        </is>
      </c>
      <c r="I455" t="inlineStr"/>
      <c r="J455" t="inlineStr"/>
      <c r="K455" t="inlineStr">
        <is>
          <t>Finished, no page: no address from the university's address forms or stored lis</t>
        </is>
      </c>
      <c r="L455" t="inlineStr">
        <is>
          <t>Searching for course page</t>
        </is>
      </c>
      <c r="M455" t="inlineStr">
        <is>
          <t>Searching for course page</t>
        </is>
      </c>
      <c r="N455" t="inlineStr"/>
      <c r="O455" t="n">
        <v>0</v>
      </c>
      <c r="P455" t="inlineStr"/>
      <c r="Q455" t="inlineStr">
        <is>
          <t>Searching for course page</t>
        </is>
      </c>
      <c r="S455" t="inlineStr"/>
      <c r="T455" t="inlineStr">
        <is>
          <t>Held: research degree (the policy states no research requirement)</t>
        </is>
      </c>
      <c r="U455" t="inlineStr"/>
      <c r="V455" t="inlineStr">
        <is>
          <t>Searching for course page</t>
        </is>
      </c>
      <c r="W455" t="inlineStr"/>
      <c r="X455" t="inlineStr"/>
      <c r="Y455" t="n">
        <v>0</v>
      </c>
      <c r="Z455" t="inlineStr">
        <is>
          <t>No</t>
        </is>
      </c>
      <c r="AA455" t="inlineStr">
        <is>
          <t>Not stated on course page</t>
        </is>
      </c>
      <c r="AB455" t="inlineStr"/>
      <c r="AC455" t="inlineStr">
        <is>
          <t>Skipped: no correct course page: the page found is for another course</t>
        </is>
      </c>
      <c r="AD455" t="n">
        <v>1</v>
      </c>
      <c r="AE455" t="inlineStr"/>
      <c r="AF455" t="inlineStr"/>
      <c r="AG455" t="inlineStr"/>
      <c r="AH455" t="inlineStr"/>
      <c r="AI455" t="inlineStr"/>
      <c r="AJ455" t="inlineStr">
        <is>
          <t>Yes</t>
        </is>
      </c>
      <c r="AK455" t="inlineStr"/>
      <c r="AL455" t="inlineStr"/>
      <c r="AM455" t="inlineStr"/>
    </row>
    <row r="456">
      <c r="A456" t="inlineStr">
        <is>
          <t>006681K</t>
        </is>
      </c>
      <c r="B456" t="inlineStr">
        <is>
          <t>Master of Business Administration</t>
        </is>
      </c>
      <c r="C456" t="inlineStr">
        <is>
          <t>Masters Degree (Coursework)</t>
        </is>
      </c>
      <c r="D456" t="inlineStr">
        <is>
          <t>Postgraduate coursework</t>
        </is>
      </c>
      <c r="E456" t="inlineStr">
        <is>
          <t>Held: page found is for another course</t>
        </is>
      </c>
      <c r="F456" t="inlineStr"/>
      <c r="G456" t="inlineStr">
        <is>
          <t>https://www.unsw.edu.au/study/postgraduate/agsm-mbax-master-of-business-administration-online-cyber-security-leadership</t>
        </is>
      </c>
      <c r="H456" t="inlineStr">
        <is>
          <t>Page is for another course</t>
        </is>
      </c>
      <c r="I456" t="inlineStr"/>
      <c r="J456" t="inlineStr"/>
      <c r="K456" t="inlineStr">
        <is>
          <t>Finished, no page: no address from the university's address forms or stored lis</t>
        </is>
      </c>
      <c r="L456" t="inlineStr">
        <is>
          <t>Searching for course page</t>
        </is>
      </c>
      <c r="M456" t="inlineStr">
        <is>
          <t>Searching for course page</t>
        </is>
      </c>
      <c r="N456" t="inlineStr"/>
      <c r="O456" t="n">
        <v>0</v>
      </c>
      <c r="P456" t="inlineStr"/>
      <c r="Q456" t="inlineStr">
        <is>
          <t>Filled</t>
        </is>
      </c>
      <c r="R456" t="n">
        <v>6</v>
      </c>
      <c r="S456" t="inlineStr">
        <is>
          <t>Central English policy</t>
        </is>
      </c>
      <c r="T456" t="inlineStr">
        <is>
          <t>Central rule applies (value agrees)</t>
        </is>
      </c>
      <c r="U456" t="inlineStr"/>
      <c r="V456" t="inlineStr">
        <is>
          <t>Searching for course page</t>
        </is>
      </c>
      <c r="W456" t="inlineStr"/>
      <c r="X456" t="inlineStr"/>
      <c r="Y456" t="n">
        <v>0</v>
      </c>
      <c r="Z456" t="inlineStr">
        <is>
          <t>No</t>
        </is>
      </c>
      <c r="AA456" t="inlineStr">
        <is>
          <t>Not stated on course page</t>
        </is>
      </c>
      <c r="AB456" t="inlineStr"/>
      <c r="AC456" t="inlineStr">
        <is>
          <t>Skipped: no correct course page: the page found is for another course</t>
        </is>
      </c>
      <c r="AD456" t="n">
        <v>1</v>
      </c>
      <c r="AE456" t="inlineStr"/>
      <c r="AF456" t="inlineStr"/>
      <c r="AG456" t="inlineStr"/>
      <c r="AH456" t="inlineStr"/>
      <c r="AI456" t="inlineStr"/>
      <c r="AJ456" t="inlineStr"/>
      <c r="AK456" t="inlineStr"/>
      <c r="AL456" t="inlineStr"/>
      <c r="AM456" t="inlineStr"/>
    </row>
    <row r="457">
      <c r="A457" t="inlineStr">
        <is>
          <t>106822C</t>
        </is>
      </c>
      <c r="B457" t="inlineStr">
        <is>
          <t>Master of Business Administration</t>
        </is>
      </c>
      <c r="C457" t="inlineStr">
        <is>
          <t>Masters Degree (Coursework)</t>
        </is>
      </c>
      <c r="D457" t="inlineStr">
        <is>
          <t>Postgraduate coursework</t>
        </is>
      </c>
      <c r="E457" t="inlineStr">
        <is>
          <t>Advertised: official page in place</t>
        </is>
      </c>
      <c r="F457" t="inlineStr">
        <is>
          <t>https://www.unsw.edu.au/study/postgraduate/agsm-mba-master-of-business-administration</t>
        </is>
      </c>
      <c r="G457" t="inlineStr">
        <is>
          <t>https://www.unsw.edu.au/study/postgraduate/master-of-business-administration-extension</t>
        </is>
      </c>
      <c r="H457" t="inlineStr">
        <is>
          <t>Read</t>
        </is>
      </c>
      <c r="I457" t="inlineStr">
        <is>
          <t>CRICOS code on page</t>
        </is>
      </c>
      <c r="J457" t="inlineStr"/>
      <c r="K457" t="inlineStr">
        <is>
          <t>Not sent to re-link</t>
        </is>
      </c>
      <c r="L457" t="inlineStr">
        <is>
          <t>Filled</t>
        </is>
      </c>
      <c r="M457" t="inlineStr">
        <is>
          <t>Filled</t>
        </is>
      </c>
      <c r="N457" t="inlineStr">
        <is>
          <t>87500.00 2026</t>
        </is>
      </c>
      <c r="O457" t="n">
        <v>0</v>
      </c>
      <c r="P457" t="inlineStr">
        <is>
          <t>University adapter</t>
        </is>
      </c>
      <c r="Q457" t="inlineStr">
        <is>
          <t>Filled</t>
        </is>
      </c>
      <c r="R457" t="n">
        <v>6</v>
      </c>
      <c r="S457" t="inlineStr">
        <is>
          <t>Central English policy</t>
        </is>
      </c>
      <c r="T457" t="inlineStr">
        <is>
          <t>Central rule applies (value agrees)</t>
        </is>
      </c>
      <c r="U457" t="inlineStr"/>
      <c r="V457" t="inlineStr">
        <is>
          <t>Filled</t>
        </is>
      </c>
      <c r="W457" t="inlineStr">
        <is>
          <t>February</t>
        </is>
      </c>
      <c r="X457" t="inlineStr">
        <is>
          <t>University adapter</t>
        </is>
      </c>
      <c r="Y457" t="n">
        <v>1</v>
      </c>
      <c r="Z457" t="inlineStr">
        <is>
          <t>No</t>
        </is>
      </c>
      <c r="AA457" t="inlineStr">
        <is>
          <t>Filled</t>
        </is>
      </c>
      <c r="AB457" t="inlineStr">
        <is>
          <t>on campus</t>
        </is>
      </c>
      <c r="AC457" t="inlineStr"/>
      <c r="AD457" t="n">
        <v>0</v>
      </c>
      <c r="AE457" t="inlineStr"/>
      <c r="AF457" t="inlineStr"/>
      <c r="AG457" t="inlineStr"/>
      <c r="AH457" t="inlineStr"/>
      <c r="AI457" t="inlineStr"/>
      <c r="AJ457" t="inlineStr"/>
      <c r="AK457" t="inlineStr"/>
      <c r="AL457" t="inlineStr"/>
      <c r="AM457" t="inlineStr"/>
    </row>
    <row r="458">
      <c r="A458" t="inlineStr">
        <is>
          <t>109016J</t>
        </is>
      </c>
      <c r="B458" t="inlineStr">
        <is>
          <t>Master of Business Administration (Extension)</t>
        </is>
      </c>
      <c r="C458" t="inlineStr">
        <is>
          <t>Masters Degree (Coursework)</t>
        </is>
      </c>
      <c r="D458" t="inlineStr">
        <is>
          <t>Postgraduate coursework</t>
        </is>
      </c>
      <c r="E458" t="inlineStr">
        <is>
          <t>Advertised: official page in place</t>
        </is>
      </c>
      <c r="F458" t="inlineStr">
        <is>
          <t>https://www.unsw.edu.au/study/postgraduate/agsm-mba-master-of-business-administration-extension</t>
        </is>
      </c>
      <c r="G458" t="inlineStr">
        <is>
          <t>https://www.unsw.edu.au/study/postgraduate/agsm-mba-master-of-business-administration-extension</t>
        </is>
      </c>
      <c r="H458" t="inlineStr">
        <is>
          <t>Read</t>
        </is>
      </c>
      <c r="I458" t="inlineStr">
        <is>
          <t>CRICOS code on page</t>
        </is>
      </c>
      <c r="J458" t="inlineStr"/>
      <c r="K458" t="inlineStr">
        <is>
          <t>Not sent to re-link</t>
        </is>
      </c>
      <c r="L458" t="inlineStr">
        <is>
          <t>Filled</t>
        </is>
      </c>
      <c r="M458" t="inlineStr">
        <is>
          <t>Filled</t>
        </is>
      </c>
      <c r="N458" t="inlineStr">
        <is>
          <t>87500.00 2026</t>
        </is>
      </c>
      <c r="O458" t="n">
        <v>0</v>
      </c>
      <c r="P458" t="inlineStr">
        <is>
          <t>University adapter</t>
        </is>
      </c>
      <c r="Q458" t="inlineStr">
        <is>
          <t>Filled</t>
        </is>
      </c>
      <c r="R458" t="n">
        <v>6</v>
      </c>
      <c r="S458" t="inlineStr">
        <is>
          <t>Central English policy</t>
        </is>
      </c>
      <c r="T458" t="inlineStr">
        <is>
          <t>Central rule applies (value agrees)</t>
        </is>
      </c>
      <c r="U458" t="inlineStr"/>
      <c r="V458" t="inlineStr">
        <is>
          <t>Filled</t>
        </is>
      </c>
      <c r="W458" t="inlineStr">
        <is>
          <t>February</t>
        </is>
      </c>
      <c r="X458" t="inlineStr">
        <is>
          <t>University adapter</t>
        </is>
      </c>
      <c r="Y458" t="n">
        <v>0</v>
      </c>
      <c r="Z458" t="inlineStr">
        <is>
          <t>No</t>
        </is>
      </c>
      <c r="AA458" t="inlineStr">
        <is>
          <t>Filled</t>
        </is>
      </c>
      <c r="AB458" t="inlineStr">
        <is>
          <t>on campus</t>
        </is>
      </c>
      <c r="AC458" t="inlineStr"/>
      <c r="AD458" t="n">
        <v>0</v>
      </c>
      <c r="AE458" t="inlineStr"/>
      <c r="AF458" t="inlineStr"/>
      <c r="AG458" t="inlineStr"/>
      <c r="AH458" t="inlineStr"/>
      <c r="AI458" t="inlineStr"/>
      <c r="AJ458" t="inlineStr"/>
      <c r="AK458" t="inlineStr"/>
      <c r="AL458" t="inlineStr"/>
      <c r="AM458" t="inlineStr"/>
    </row>
    <row r="459">
      <c r="A459" t="inlineStr">
        <is>
          <t>085468E</t>
        </is>
      </c>
      <c r="B459" t="inlineStr">
        <is>
          <t>Master of Business Administration (Extension)</t>
        </is>
      </c>
      <c r="C459" t="inlineStr">
        <is>
          <t>Masters Degree (Coursework)</t>
        </is>
      </c>
      <c r="D459" t="inlineStr">
        <is>
          <t>Postgraduate coursework</t>
        </is>
      </c>
      <c r="E459" t="inlineStr">
        <is>
          <t>Held: page found is for another course</t>
        </is>
      </c>
      <c r="F459" t="inlineStr"/>
      <c r="G459" t="inlineStr">
        <is>
          <t>https://www.unsw.edu.au/study/postgraduate/master-of-business-administration-extension</t>
        </is>
      </c>
      <c r="H459" t="inlineStr">
        <is>
          <t>Read</t>
        </is>
      </c>
      <c r="I459" t="inlineStr">
        <is>
          <t>Set by hand</t>
        </is>
      </c>
      <c r="J459" t="inlineStr"/>
      <c r="K459" t="inlineStr">
        <is>
          <t>Not sent to re-link</t>
        </is>
      </c>
      <c r="L459" t="inlineStr">
        <is>
          <t>Not stated on course page</t>
        </is>
      </c>
      <c r="M459" t="inlineStr">
        <is>
          <t>Filled</t>
        </is>
      </c>
      <c r="N459" t="inlineStr">
        <is>
          <t>87500.00 2026</t>
        </is>
      </c>
      <c r="O459" t="n">
        <v>0</v>
      </c>
      <c r="P459" t="inlineStr">
        <is>
          <t>University adapter</t>
        </is>
      </c>
      <c r="Q459" t="inlineStr">
        <is>
          <t>Filled</t>
        </is>
      </c>
      <c r="R459" t="n">
        <v>6</v>
      </c>
      <c r="S459" t="inlineStr">
        <is>
          <t>Central English policy</t>
        </is>
      </c>
      <c r="T459" t="inlineStr">
        <is>
          <t>Central rule applies (value agrees)</t>
        </is>
      </c>
      <c r="U459" t="inlineStr"/>
      <c r="V459" t="inlineStr">
        <is>
          <t>Filled</t>
        </is>
      </c>
      <c r="W459" t="inlineStr">
        <is>
          <t>February</t>
        </is>
      </c>
      <c r="X459" t="inlineStr">
        <is>
          <t>University adapter</t>
        </is>
      </c>
      <c r="Y459" t="n">
        <v>1</v>
      </c>
      <c r="Z459" t="inlineStr">
        <is>
          <t>No</t>
        </is>
      </c>
      <c r="AA459" t="inlineStr">
        <is>
          <t>Filled</t>
        </is>
      </c>
      <c r="AB459" t="inlineStr">
        <is>
          <t>on campus</t>
        </is>
      </c>
      <c r="AC459" t="inlineStr"/>
      <c r="AD459" t="n">
        <v>0</v>
      </c>
      <c r="AE459" t="inlineStr"/>
      <c r="AF459" t="inlineStr"/>
      <c r="AG459" t="inlineStr"/>
      <c r="AH459" t="inlineStr"/>
      <c r="AI459" t="inlineStr"/>
      <c r="AJ459" t="inlineStr"/>
      <c r="AK459" t="inlineStr"/>
      <c r="AL459" t="inlineStr"/>
      <c r="AM459" t="inlineStr"/>
    </row>
    <row r="460">
      <c r="A460" t="inlineStr">
        <is>
          <t>093861G</t>
        </is>
      </c>
      <c r="B460" t="inlineStr">
        <is>
          <t>Master of City Analytics</t>
        </is>
      </c>
      <c r="C460" t="inlineStr">
        <is>
          <t>Masters Degree (Coursework)</t>
        </is>
      </c>
      <c r="D460" t="inlineStr">
        <is>
          <t>Postgraduate coursework</t>
        </is>
      </c>
      <c r="E460" t="inlineStr">
        <is>
          <t>Page address no longer works</t>
        </is>
      </c>
      <c r="F460" t="inlineStr"/>
      <c r="G460" t="inlineStr">
        <is>
          <t>https://www.handbook.unsw.edu.au/postgraduate/programs/2026/7451</t>
        </is>
      </c>
      <c r="H460" t="inlineStr">
        <is>
          <t>Address no longer works</t>
        </is>
      </c>
      <c r="I460" t="inlineStr"/>
      <c r="J460" t="inlineStr"/>
      <c r="K460" t="inlineStr">
        <is>
          <t>Not sent to re-link</t>
        </is>
      </c>
      <c r="L460" t="inlineStr">
        <is>
          <t>Page found, being read</t>
        </is>
      </c>
      <c r="M460" t="inlineStr">
        <is>
          <t>Page found, being read</t>
        </is>
      </c>
      <c r="N460" t="inlineStr"/>
      <c r="O460" t="n">
        <v>0</v>
      </c>
      <c r="P460" t="inlineStr"/>
      <c r="Q460" t="inlineStr">
        <is>
          <t>Filled</t>
        </is>
      </c>
      <c r="R460" t="n">
        <v>6</v>
      </c>
      <c r="S460" t="inlineStr">
        <is>
          <t>Central English policy</t>
        </is>
      </c>
      <c r="T460" t="inlineStr">
        <is>
          <t>Central rule applies (value agrees)</t>
        </is>
      </c>
      <c r="U460" t="inlineStr"/>
      <c r="V460" t="inlineStr">
        <is>
          <t>Page found, being read</t>
        </is>
      </c>
      <c r="W460" t="inlineStr"/>
      <c r="X460" t="inlineStr"/>
      <c r="Y460" t="n">
        <v>0</v>
      </c>
      <c r="Z460" t="inlineStr">
        <is>
          <t>No</t>
        </is>
      </c>
      <c r="AA460" t="inlineStr">
        <is>
          <t>Not stated on course page</t>
        </is>
      </c>
      <c r="AB460" t="inlineStr"/>
      <c r="AC460" t="inlineStr">
        <is>
          <t>Skipped: no allowed source had a value</t>
        </is>
      </c>
      <c r="AD460" t="n">
        <v>0</v>
      </c>
      <c r="AE460" t="inlineStr"/>
      <c r="AF460" t="inlineStr"/>
      <c r="AG460" t="inlineStr"/>
      <c r="AH460" t="inlineStr"/>
      <c r="AI460" t="inlineStr"/>
      <c r="AJ460" t="inlineStr"/>
      <c r="AK460" t="inlineStr"/>
      <c r="AL460" t="inlineStr"/>
      <c r="AM460" t="inlineStr"/>
    </row>
    <row r="461">
      <c r="A461" t="inlineStr">
        <is>
          <t>093773G</t>
        </is>
      </c>
      <c r="B461" t="inlineStr">
        <is>
          <t>Master of City Analytics (Extension)</t>
        </is>
      </c>
      <c r="C461" t="inlineStr">
        <is>
          <t>Masters Degree (Coursework)</t>
        </is>
      </c>
      <c r="D461" t="inlineStr">
        <is>
          <t>Postgraduate coursework</t>
        </is>
      </c>
      <c r="E461" t="inlineStr">
        <is>
          <t>Page address no longer works</t>
        </is>
      </c>
      <c r="F461" t="inlineStr"/>
      <c r="G461" t="inlineStr">
        <is>
          <t>https://www.handbook.unsw.edu.au/postgraduate/programs/2026/8152</t>
        </is>
      </c>
      <c r="H461" t="inlineStr">
        <is>
          <t>Address no longer works</t>
        </is>
      </c>
      <c r="I461" t="inlineStr"/>
      <c r="J461" t="inlineStr"/>
      <c r="K461" t="inlineStr">
        <is>
          <t>Not sent to re-link</t>
        </is>
      </c>
      <c r="L461" t="inlineStr">
        <is>
          <t>Page found, being read</t>
        </is>
      </c>
      <c r="M461" t="inlineStr">
        <is>
          <t>Page found, being read</t>
        </is>
      </c>
      <c r="N461" t="inlineStr"/>
      <c r="O461" t="n">
        <v>0</v>
      </c>
      <c r="P461" t="inlineStr"/>
      <c r="Q461" t="inlineStr">
        <is>
          <t>Filled</t>
        </is>
      </c>
      <c r="R461" t="n">
        <v>6</v>
      </c>
      <c r="S461" t="inlineStr">
        <is>
          <t>Central English policy</t>
        </is>
      </c>
      <c r="T461" t="inlineStr">
        <is>
          <t>Central rule applies (value agrees)</t>
        </is>
      </c>
      <c r="U461" t="inlineStr"/>
      <c r="V461" t="inlineStr">
        <is>
          <t>Page found, being read</t>
        </is>
      </c>
      <c r="W461" t="inlineStr"/>
      <c r="X461" t="inlineStr"/>
      <c r="Y461" t="n">
        <v>0</v>
      </c>
      <c r="Z461" t="inlineStr">
        <is>
          <t>No</t>
        </is>
      </c>
      <c r="AA461" t="inlineStr">
        <is>
          <t>Not stated on course page</t>
        </is>
      </c>
      <c r="AB461" t="inlineStr"/>
      <c r="AC461" t="inlineStr">
        <is>
          <t>Skipped: no allowed source had a value</t>
        </is>
      </c>
      <c r="AD461" t="n">
        <v>0</v>
      </c>
      <c r="AE461" t="inlineStr"/>
      <c r="AF461" t="inlineStr"/>
      <c r="AG461" t="inlineStr"/>
      <c r="AH461" t="inlineStr"/>
      <c r="AI461" t="inlineStr"/>
      <c r="AJ461" t="inlineStr"/>
      <c r="AK461" t="inlineStr"/>
      <c r="AL461" t="inlineStr"/>
      <c r="AM461" t="inlineStr"/>
    </row>
    <row r="462">
      <c r="A462" t="inlineStr">
        <is>
          <t>088355A</t>
        </is>
      </c>
      <c r="B462" t="inlineStr">
        <is>
          <t>Master of City Planning</t>
        </is>
      </c>
      <c r="C462" t="inlineStr">
        <is>
          <t>Masters Degree (Coursework)</t>
        </is>
      </c>
      <c r="D462" t="inlineStr">
        <is>
          <t>Postgraduate coursework</t>
        </is>
      </c>
      <c r="E462" t="inlineStr">
        <is>
          <t>Advertised: official page in place</t>
        </is>
      </c>
      <c r="F462" t="inlineStr">
        <is>
          <t>https://www.unsw.edu.au/study/postgraduate/master-of-city-planning</t>
        </is>
      </c>
      <c r="G462" t="inlineStr">
        <is>
          <t>https://www.unsw.edu.au/study/postgraduate/master-of-city-planning</t>
        </is>
      </c>
      <c r="H462" t="inlineStr">
        <is>
          <t>Read</t>
        </is>
      </c>
      <c r="I462" t="inlineStr">
        <is>
          <t>CRICOS code on page</t>
        </is>
      </c>
      <c r="J462" t="inlineStr"/>
      <c r="K462" t="inlineStr">
        <is>
          <t>Not sent to re-link</t>
        </is>
      </c>
      <c r="L462" t="inlineStr">
        <is>
          <t>Filled</t>
        </is>
      </c>
      <c r="M462" t="inlineStr">
        <is>
          <t>Filled</t>
        </is>
      </c>
      <c r="N462" t="inlineStr">
        <is>
          <t>49000.00 2026</t>
        </is>
      </c>
      <c r="O462" t="n">
        <v>0</v>
      </c>
      <c r="P462" t="inlineStr">
        <is>
          <t>University adapter</t>
        </is>
      </c>
      <c r="Q462" t="inlineStr">
        <is>
          <t>Filled</t>
        </is>
      </c>
      <c r="R462" t="n">
        <v>6</v>
      </c>
      <c r="S462" t="inlineStr">
        <is>
          <t>Central English policy</t>
        </is>
      </c>
      <c r="T462" t="inlineStr">
        <is>
          <t>Central rule applies (value agrees)</t>
        </is>
      </c>
      <c r="U462" t="inlineStr"/>
      <c r="V462" t="inlineStr">
        <is>
          <t>Filled</t>
        </is>
      </c>
      <c r="W462" t="inlineStr">
        <is>
          <t>February, September</t>
        </is>
      </c>
      <c r="X462" t="inlineStr">
        <is>
          <t>University adapter</t>
        </is>
      </c>
      <c r="Y462" t="n">
        <v>0</v>
      </c>
      <c r="Z462" t="inlineStr">
        <is>
          <t>No</t>
        </is>
      </c>
      <c r="AA462" t="inlineStr">
        <is>
          <t>Filled</t>
        </is>
      </c>
      <c r="AB462" t="inlineStr">
        <is>
          <t>on campus</t>
        </is>
      </c>
      <c r="AC462" t="inlineStr"/>
      <c r="AD462" t="n">
        <v>0</v>
      </c>
      <c r="AE462" t="inlineStr"/>
      <c r="AF462" t="inlineStr"/>
      <c r="AG462" t="inlineStr"/>
      <c r="AH462" t="inlineStr"/>
      <c r="AI462" t="inlineStr"/>
      <c r="AJ462" t="inlineStr"/>
      <c r="AK462" t="inlineStr"/>
      <c r="AL462" t="inlineStr"/>
      <c r="AM462" t="inlineStr"/>
    </row>
    <row r="463">
      <c r="A463" t="inlineStr">
        <is>
          <t>114034J</t>
        </is>
      </c>
      <c r="B463" t="inlineStr">
        <is>
          <t>Master of Clinical Neuropsychology</t>
        </is>
      </c>
      <c r="C463" t="inlineStr">
        <is>
          <t>Masters Degree (Coursework)</t>
        </is>
      </c>
      <c r="D463" t="inlineStr">
        <is>
          <t>Postgraduate coursework</t>
        </is>
      </c>
      <c r="E463" t="inlineStr">
        <is>
          <t>Advertised: official page in place</t>
        </is>
      </c>
      <c r="F463" t="inlineStr">
        <is>
          <t>https://www.unsw.edu.au/study/postgraduate/master-of-clinical-neuropsychology</t>
        </is>
      </c>
      <c r="G463" t="inlineStr">
        <is>
          <t>https://www.unsw.edu.au/study/postgraduate/master-of-clinical-neuropsychology</t>
        </is>
      </c>
      <c r="H463" t="inlineStr">
        <is>
          <t>Read</t>
        </is>
      </c>
      <c r="I463" t="inlineStr">
        <is>
          <t>CRICOS code on page</t>
        </is>
      </c>
      <c r="J463" t="inlineStr"/>
      <c r="K463" t="inlineStr">
        <is>
          <t>Not sent to re-link</t>
        </is>
      </c>
      <c r="L463" t="inlineStr">
        <is>
          <t>Filled</t>
        </is>
      </c>
      <c r="M463" t="inlineStr">
        <is>
          <t>Filled</t>
        </is>
      </c>
      <c r="N463" t="inlineStr">
        <is>
          <t>58500.00 2026</t>
        </is>
      </c>
      <c r="O463" t="n">
        <v>0</v>
      </c>
      <c r="P463" t="inlineStr">
        <is>
          <t>University adapter</t>
        </is>
      </c>
      <c r="Q463" t="inlineStr">
        <is>
          <t>Filled</t>
        </is>
      </c>
      <c r="R463" t="n">
        <v>6</v>
      </c>
      <c r="S463" t="inlineStr">
        <is>
          <t>Central English policy</t>
        </is>
      </c>
      <c r="T463" t="inlineStr">
        <is>
          <t>Central rule applies (value agrees)</t>
        </is>
      </c>
      <c r="U463" t="inlineStr"/>
      <c r="V463" t="inlineStr">
        <is>
          <t>Filled</t>
        </is>
      </c>
      <c r="W463" t="inlineStr">
        <is>
          <t>February</t>
        </is>
      </c>
      <c r="X463" t="inlineStr">
        <is>
          <t>University adapter</t>
        </is>
      </c>
      <c r="Y463" t="n">
        <v>0</v>
      </c>
      <c r="Z463" t="inlineStr">
        <is>
          <t>No</t>
        </is>
      </c>
      <c r="AA463" t="inlineStr">
        <is>
          <t>Filled</t>
        </is>
      </c>
      <c r="AB463" t="inlineStr">
        <is>
          <t>on campus</t>
        </is>
      </c>
      <c r="AC463" t="inlineStr"/>
      <c r="AD463" t="n">
        <v>0</v>
      </c>
      <c r="AE463" t="inlineStr"/>
      <c r="AF463" t="inlineStr"/>
      <c r="AG463" t="inlineStr"/>
      <c r="AH463" t="inlineStr"/>
      <c r="AI463" t="inlineStr"/>
      <c r="AJ463" t="inlineStr"/>
      <c r="AK463" t="inlineStr"/>
      <c r="AL463" t="inlineStr"/>
      <c r="AM463" t="inlineStr"/>
    </row>
    <row r="464">
      <c r="A464" t="inlineStr">
        <is>
          <t>093022B</t>
        </is>
      </c>
      <c r="B464" t="inlineStr">
        <is>
          <t>Master of Clinical Optometry</t>
        </is>
      </c>
      <c r="C464" t="inlineStr">
        <is>
          <t>Masters Degree (Coursework)</t>
        </is>
      </c>
      <c r="D464" t="inlineStr">
        <is>
          <t>Postgraduate coursework</t>
        </is>
      </c>
      <c r="E464" t="inlineStr">
        <is>
          <t>Advertised: official page in place</t>
        </is>
      </c>
      <c r="F464" t="inlineStr">
        <is>
          <t>https://www.unsw.edu.au/study/postgraduate/master-of-clinical-optometry</t>
        </is>
      </c>
      <c r="G464" t="inlineStr">
        <is>
          <t>https://www.unsw.edu.au/study/postgraduate/master-of-clinical-optometry</t>
        </is>
      </c>
      <c r="H464" t="inlineStr">
        <is>
          <t>Read</t>
        </is>
      </c>
      <c r="I464" t="inlineStr">
        <is>
          <t>CRICOS code on page</t>
        </is>
      </c>
      <c r="J464" t="inlineStr"/>
      <c r="K464" t="inlineStr">
        <is>
          <t>Not sent to re-link</t>
        </is>
      </c>
      <c r="L464" t="inlineStr">
        <is>
          <t>Filled</t>
        </is>
      </c>
      <c r="M464" t="inlineStr">
        <is>
          <t>Filled</t>
        </is>
      </c>
      <c r="N464" t="inlineStr">
        <is>
          <t>52500.00 2026</t>
        </is>
      </c>
      <c r="O464" t="n">
        <v>0</v>
      </c>
      <c r="P464" t="inlineStr">
        <is>
          <t>University adapter</t>
        </is>
      </c>
      <c r="Q464" t="inlineStr">
        <is>
          <t>Filled</t>
        </is>
      </c>
      <c r="R464" t="n">
        <v>6</v>
      </c>
      <c r="S464" t="inlineStr">
        <is>
          <t>Central English policy</t>
        </is>
      </c>
      <c r="T464" t="inlineStr">
        <is>
          <t>Central rule applies (value agrees)</t>
        </is>
      </c>
      <c r="U464" t="inlineStr"/>
      <c r="V464" t="inlineStr">
        <is>
          <t>Filled</t>
        </is>
      </c>
      <c r="W464" t="inlineStr">
        <is>
          <t>February</t>
        </is>
      </c>
      <c r="X464" t="inlineStr">
        <is>
          <t>University adapter</t>
        </is>
      </c>
      <c r="Y464" t="n">
        <v>0</v>
      </c>
      <c r="Z464" t="inlineStr">
        <is>
          <t>No</t>
        </is>
      </c>
      <c r="AA464" t="inlineStr">
        <is>
          <t>Filled</t>
        </is>
      </c>
      <c r="AB464" t="inlineStr">
        <is>
          <t>on campus</t>
        </is>
      </c>
      <c r="AC464" t="inlineStr"/>
      <c r="AD464" t="n">
        <v>0</v>
      </c>
      <c r="AE464" t="inlineStr"/>
      <c r="AF464" t="inlineStr"/>
      <c r="AG464" t="inlineStr"/>
      <c r="AH464" t="inlineStr"/>
      <c r="AI464" t="inlineStr"/>
      <c r="AJ464" t="inlineStr"/>
      <c r="AK464" t="inlineStr"/>
      <c r="AL464" t="inlineStr"/>
      <c r="AM464" t="inlineStr"/>
    </row>
    <row r="465">
      <c r="A465" t="inlineStr">
        <is>
          <t>000933K</t>
        </is>
      </c>
      <c r="B465" t="inlineStr">
        <is>
          <t>Master of Commerce - All Specifications</t>
        </is>
      </c>
      <c r="C465" t="inlineStr">
        <is>
          <t>Masters Degree (Coursework)</t>
        </is>
      </c>
      <c r="D465" t="inlineStr">
        <is>
          <t>Postgraduate coursework</t>
        </is>
      </c>
      <c r="E465" t="inlineStr">
        <is>
          <t>Advertised: official page in place</t>
        </is>
      </c>
      <c r="F465" t="inlineStr">
        <is>
          <t>https://www.unsw.edu.au/study/postgraduate/master-of-commerce</t>
        </is>
      </c>
      <c r="G465" t="inlineStr">
        <is>
          <t>https://www.unsw.edu.au/study/postgraduate/master-of-commerce</t>
        </is>
      </c>
      <c r="H465" t="inlineStr">
        <is>
          <t>Read</t>
        </is>
      </c>
      <c r="I465" t="inlineStr">
        <is>
          <t>CRICOS code on page</t>
        </is>
      </c>
      <c r="J465" t="inlineStr"/>
      <c r="K465" t="inlineStr">
        <is>
          <t>Not sent to re-link</t>
        </is>
      </c>
      <c r="L465" t="inlineStr">
        <is>
          <t>Filled</t>
        </is>
      </c>
      <c r="M465" t="inlineStr">
        <is>
          <t>Filled</t>
        </is>
      </c>
      <c r="N465" t="inlineStr">
        <is>
          <t>62000.00 2026</t>
        </is>
      </c>
      <c r="O465" t="n">
        <v>0</v>
      </c>
      <c r="P465" t="inlineStr">
        <is>
          <t>University adapter</t>
        </is>
      </c>
      <c r="Q465" t="inlineStr">
        <is>
          <t>Filled</t>
        </is>
      </c>
      <c r="R465" t="n">
        <v>6</v>
      </c>
      <c r="S465" t="inlineStr">
        <is>
          <t>Central English policy</t>
        </is>
      </c>
      <c r="T465" t="inlineStr">
        <is>
          <t>Central rule applies (value agrees)</t>
        </is>
      </c>
      <c r="U465" t="inlineStr"/>
      <c r="V465" t="inlineStr">
        <is>
          <t>Filled</t>
        </is>
      </c>
      <c r="W465" t="inlineStr">
        <is>
          <t>February, May, September</t>
        </is>
      </c>
      <c r="X465" t="inlineStr">
        <is>
          <t>University adapter</t>
        </is>
      </c>
      <c r="Y465" t="n">
        <v>0</v>
      </c>
      <c r="Z465" t="inlineStr">
        <is>
          <t>No</t>
        </is>
      </c>
      <c r="AA465" t="inlineStr">
        <is>
          <t>Filled</t>
        </is>
      </c>
      <c r="AB465" t="inlineStr">
        <is>
          <t>on campus</t>
        </is>
      </c>
      <c r="AC465" t="inlineStr"/>
      <c r="AD465" t="n">
        <v>0</v>
      </c>
      <c r="AE465" t="inlineStr"/>
      <c r="AF465" t="inlineStr"/>
      <c r="AG465" t="inlineStr"/>
      <c r="AH465" t="inlineStr"/>
      <c r="AI465" t="inlineStr"/>
      <c r="AJ465" t="inlineStr"/>
      <c r="AK465" t="inlineStr"/>
      <c r="AL465" t="inlineStr"/>
      <c r="AM465" t="inlineStr"/>
    </row>
    <row r="466">
      <c r="A466" t="inlineStr">
        <is>
          <t>056227G</t>
        </is>
      </c>
      <c r="B466" t="inlineStr">
        <is>
          <t>Master of Commerce (Extension)</t>
        </is>
      </c>
      <c r="C466" t="inlineStr">
        <is>
          <t>Masters Degree (Coursework)</t>
        </is>
      </c>
      <c r="D466" t="inlineStr">
        <is>
          <t>Postgraduate coursework</t>
        </is>
      </c>
      <c r="E466" t="inlineStr">
        <is>
          <t>Advertised: official page in place</t>
        </is>
      </c>
      <c r="F466" t="inlineStr">
        <is>
          <t>https://www.unsw.edu.au/study/postgraduate/master-of-commerce-extension</t>
        </is>
      </c>
      <c r="G466" t="inlineStr">
        <is>
          <t>https://www.unsw.edu.au/study/postgraduate/master-of-commerce-extension</t>
        </is>
      </c>
      <c r="H466" t="inlineStr">
        <is>
          <t>Read</t>
        </is>
      </c>
      <c r="I466" t="inlineStr">
        <is>
          <t>CRICOS code on page</t>
        </is>
      </c>
      <c r="J466" t="inlineStr"/>
      <c r="K466" t="inlineStr">
        <is>
          <t>Not sent to re-link</t>
        </is>
      </c>
      <c r="L466" t="inlineStr">
        <is>
          <t>Filled</t>
        </is>
      </c>
      <c r="M466" t="inlineStr">
        <is>
          <t>Filled</t>
        </is>
      </c>
      <c r="N466" t="inlineStr">
        <is>
          <t>62000.00 2026</t>
        </is>
      </c>
      <c r="O466" t="n">
        <v>0</v>
      </c>
      <c r="P466" t="inlineStr">
        <is>
          <t>University adapter</t>
        </is>
      </c>
      <c r="Q466" t="inlineStr">
        <is>
          <t>Filled</t>
        </is>
      </c>
      <c r="R466" t="n">
        <v>6</v>
      </c>
      <c r="S466" t="inlineStr">
        <is>
          <t>Central English policy</t>
        </is>
      </c>
      <c r="T466" t="inlineStr">
        <is>
          <t>Central rule applies (value agrees)</t>
        </is>
      </c>
      <c r="U466" t="inlineStr"/>
      <c r="V466" t="inlineStr">
        <is>
          <t>Filled</t>
        </is>
      </c>
      <c r="W466" t="inlineStr">
        <is>
          <t>February, May, September</t>
        </is>
      </c>
      <c r="X466" t="inlineStr">
        <is>
          <t>University adapter</t>
        </is>
      </c>
      <c r="Y466" t="n">
        <v>0</v>
      </c>
      <c r="Z466" t="inlineStr">
        <is>
          <t>No</t>
        </is>
      </c>
      <c r="AA466" t="inlineStr">
        <is>
          <t>Filled</t>
        </is>
      </c>
      <c r="AB466" t="inlineStr">
        <is>
          <t>on campus</t>
        </is>
      </c>
      <c r="AC466" t="inlineStr"/>
      <c r="AD466" t="n">
        <v>0</v>
      </c>
      <c r="AE466" t="inlineStr"/>
      <c r="AF466" t="inlineStr"/>
      <c r="AG466" t="inlineStr"/>
      <c r="AH466" t="inlineStr"/>
      <c r="AI466" t="inlineStr"/>
      <c r="AJ466" t="inlineStr"/>
      <c r="AK466" t="inlineStr"/>
      <c r="AL466" t="inlineStr"/>
      <c r="AM466" t="inlineStr"/>
    </row>
    <row r="467">
      <c r="A467" t="inlineStr">
        <is>
          <t>085910C</t>
        </is>
      </c>
      <c r="B467" t="inlineStr">
        <is>
          <t>Master of Construction Project Management</t>
        </is>
      </c>
      <c r="C467" t="inlineStr">
        <is>
          <t>Masters Degree (Coursework)</t>
        </is>
      </c>
      <c r="D467" t="inlineStr">
        <is>
          <t>Postgraduate coursework</t>
        </is>
      </c>
      <c r="E467" t="inlineStr">
        <is>
          <t>Advertised: official page in place</t>
        </is>
      </c>
      <c r="F467" t="inlineStr">
        <is>
          <t>https://www.unsw.edu.au/study/postgraduate/master-of-construction-project-management</t>
        </is>
      </c>
      <c r="G467" t="inlineStr">
        <is>
          <t>https://www.unsw.edu.au/study/postgraduate/master-of-construction-project-management</t>
        </is>
      </c>
      <c r="H467" t="inlineStr">
        <is>
          <t>Read</t>
        </is>
      </c>
      <c r="I467" t="inlineStr">
        <is>
          <t>CRICOS code on page</t>
        </is>
      </c>
      <c r="J467" t="inlineStr"/>
      <c r="K467" t="inlineStr">
        <is>
          <t>Not sent to re-link</t>
        </is>
      </c>
      <c r="L467" t="inlineStr">
        <is>
          <t>Filled</t>
        </is>
      </c>
      <c r="M467" t="inlineStr">
        <is>
          <t>Filled</t>
        </is>
      </c>
      <c r="N467" t="inlineStr">
        <is>
          <t>49000.00 2026</t>
        </is>
      </c>
      <c r="O467" t="n">
        <v>0</v>
      </c>
      <c r="P467" t="inlineStr">
        <is>
          <t>University adapter</t>
        </is>
      </c>
      <c r="Q467" t="inlineStr">
        <is>
          <t>Filled</t>
        </is>
      </c>
      <c r="R467" t="n">
        <v>6</v>
      </c>
      <c r="S467" t="inlineStr">
        <is>
          <t>Central English policy</t>
        </is>
      </c>
      <c r="T467" t="inlineStr">
        <is>
          <t>Central rule applies (value agrees)</t>
        </is>
      </c>
      <c r="U467" t="inlineStr"/>
      <c r="V467" t="inlineStr">
        <is>
          <t>Filled</t>
        </is>
      </c>
      <c r="W467" t="inlineStr">
        <is>
          <t>February, September</t>
        </is>
      </c>
      <c r="X467" t="inlineStr">
        <is>
          <t>University adapter</t>
        </is>
      </c>
      <c r="Y467" t="n">
        <v>0</v>
      </c>
      <c r="Z467" t="inlineStr">
        <is>
          <t>No</t>
        </is>
      </c>
      <c r="AA467" t="inlineStr">
        <is>
          <t>Filled</t>
        </is>
      </c>
      <c r="AB467" t="inlineStr">
        <is>
          <t>on campus and online</t>
        </is>
      </c>
      <c r="AC467" t="inlineStr"/>
      <c r="AD467" t="n">
        <v>0</v>
      </c>
      <c r="AE467" t="inlineStr"/>
      <c r="AF467" t="inlineStr"/>
      <c r="AG467" t="inlineStr"/>
      <c r="AH467" t="inlineStr"/>
      <c r="AI467" t="inlineStr"/>
      <c r="AJ467" t="inlineStr"/>
      <c r="AK467" t="inlineStr"/>
      <c r="AL467" t="inlineStr"/>
      <c r="AM467" t="inlineStr"/>
    </row>
    <row r="468">
      <c r="A468" t="inlineStr">
        <is>
          <t>102395E</t>
        </is>
      </c>
      <c r="B468" t="inlineStr">
        <is>
          <t>Master of Construction Project Management/Property and Development</t>
        </is>
      </c>
      <c r="C468" t="inlineStr">
        <is>
          <t>Masters Degree (Coursework)</t>
        </is>
      </c>
      <c r="D468" t="inlineStr">
        <is>
          <t>Postgraduate coursework</t>
        </is>
      </c>
      <c r="E468" t="inlineStr">
        <is>
          <t>Advertised: official page in place</t>
        </is>
      </c>
      <c r="F468" t="inlineStr">
        <is>
          <t>https://www.unsw.edu.au/study/postgraduate/master-of-construction-project-management-property-and-development</t>
        </is>
      </c>
      <c r="G468" t="inlineStr">
        <is>
          <t>https://www.unsw.edu.au/study/postgraduate/master-of-construction-project-management-property-and-development</t>
        </is>
      </c>
      <c r="H468" t="inlineStr">
        <is>
          <t>Read</t>
        </is>
      </c>
      <c r="I468" t="inlineStr">
        <is>
          <t>CRICOS code on page</t>
        </is>
      </c>
      <c r="J468" t="inlineStr"/>
      <c r="K468" t="inlineStr">
        <is>
          <t>Not sent to re-link</t>
        </is>
      </c>
      <c r="L468" t="inlineStr">
        <is>
          <t>Filled</t>
        </is>
      </c>
      <c r="M468" t="inlineStr">
        <is>
          <t>Filled</t>
        </is>
      </c>
      <c r="N468" t="inlineStr">
        <is>
          <t>49000.00 2026</t>
        </is>
      </c>
      <c r="O468" t="n">
        <v>0</v>
      </c>
      <c r="P468" t="inlineStr">
        <is>
          <t>University adapter</t>
        </is>
      </c>
      <c r="Q468" t="inlineStr">
        <is>
          <t>Not stated on course page</t>
        </is>
      </c>
      <c r="S468" t="inlineStr"/>
      <c r="T468" t="inlineStr">
        <is>
          <t>Held: double degree (its parts are at different levels)</t>
        </is>
      </c>
      <c r="U468" t="inlineStr"/>
      <c r="V468" t="inlineStr">
        <is>
          <t>Filled</t>
        </is>
      </c>
      <c r="W468" t="inlineStr">
        <is>
          <t>February, May, September</t>
        </is>
      </c>
      <c r="X468" t="inlineStr">
        <is>
          <t>University adapter</t>
        </is>
      </c>
      <c r="Y468" t="n">
        <v>0</v>
      </c>
      <c r="Z468" t="inlineStr">
        <is>
          <t>No</t>
        </is>
      </c>
      <c r="AA468" t="inlineStr">
        <is>
          <t>Filled</t>
        </is>
      </c>
      <c r="AB468" t="inlineStr">
        <is>
          <t>on campus</t>
        </is>
      </c>
      <c r="AC468" t="inlineStr"/>
      <c r="AD468" t="n">
        <v>0</v>
      </c>
      <c r="AE468" t="inlineStr"/>
      <c r="AF468" t="inlineStr"/>
      <c r="AG468" t="inlineStr"/>
      <c r="AH468" t="inlineStr"/>
      <c r="AI468" t="inlineStr"/>
      <c r="AJ468" t="inlineStr">
        <is>
          <t>Yes</t>
        </is>
      </c>
      <c r="AK468" t="inlineStr"/>
      <c r="AL468" t="inlineStr"/>
      <c r="AM468" t="inlineStr"/>
    </row>
    <row r="469">
      <c r="A469" t="inlineStr">
        <is>
          <t>082201A</t>
        </is>
      </c>
      <c r="B469" t="inlineStr">
        <is>
          <t>Master of Curating and Cultural Leadership</t>
        </is>
      </c>
      <c r="C469" t="inlineStr">
        <is>
          <t>Masters Degree (Coursework)</t>
        </is>
      </c>
      <c r="D469" t="inlineStr">
        <is>
          <t>Postgraduate coursework</t>
        </is>
      </c>
      <c r="E469" t="inlineStr">
        <is>
          <t>Advertised: official page in place</t>
        </is>
      </c>
      <c r="F469" t="inlineStr">
        <is>
          <t>https://www.unsw.edu.au/study/postgraduate/master-of-curating-and-cultural-leadership</t>
        </is>
      </c>
      <c r="G469" t="inlineStr">
        <is>
          <t>https://www.unsw.edu.au/study/postgraduate/master-of-curating-and-cultural-leadership</t>
        </is>
      </c>
      <c r="H469" t="inlineStr">
        <is>
          <t>Read</t>
        </is>
      </c>
      <c r="I469" t="inlineStr">
        <is>
          <t>CRICOS code on page</t>
        </is>
      </c>
      <c r="J469" t="inlineStr"/>
      <c r="K469" t="inlineStr">
        <is>
          <t>Not sent to re-link</t>
        </is>
      </c>
      <c r="L469" t="inlineStr">
        <is>
          <t>Filled</t>
        </is>
      </c>
      <c r="M469" t="inlineStr">
        <is>
          <t>Filled</t>
        </is>
      </c>
      <c r="N469" t="inlineStr">
        <is>
          <t>48500.00 2026</t>
        </is>
      </c>
      <c r="O469" t="n">
        <v>0</v>
      </c>
      <c r="P469" t="inlineStr">
        <is>
          <t>University adapter</t>
        </is>
      </c>
      <c r="Q469" t="inlineStr">
        <is>
          <t>Filled</t>
        </is>
      </c>
      <c r="R469" t="n">
        <v>6</v>
      </c>
      <c r="S469" t="inlineStr">
        <is>
          <t>Central English policy</t>
        </is>
      </c>
      <c r="T469" t="inlineStr">
        <is>
          <t>Central rule applies (value agrees)</t>
        </is>
      </c>
      <c r="U469" t="inlineStr"/>
      <c r="V469" t="inlineStr">
        <is>
          <t>Filled</t>
        </is>
      </c>
      <c r="W469" t="inlineStr">
        <is>
          <t>February, May, September</t>
        </is>
      </c>
      <c r="X469" t="inlineStr">
        <is>
          <t>University adapter</t>
        </is>
      </c>
      <c r="Y469" t="n">
        <v>0</v>
      </c>
      <c r="Z469" t="inlineStr">
        <is>
          <t>No</t>
        </is>
      </c>
      <c r="AA469" t="inlineStr">
        <is>
          <t>Filled</t>
        </is>
      </c>
      <c r="AB469" t="inlineStr">
        <is>
          <t>on campus and online</t>
        </is>
      </c>
      <c r="AC469" t="inlineStr"/>
      <c r="AD469" t="n">
        <v>0</v>
      </c>
      <c r="AE469" t="inlineStr"/>
      <c r="AF469" t="inlineStr"/>
      <c r="AG469" t="inlineStr"/>
      <c r="AH469" t="inlineStr"/>
      <c r="AI469" t="inlineStr"/>
      <c r="AJ469" t="inlineStr"/>
      <c r="AK469" t="inlineStr"/>
      <c r="AL469" t="inlineStr"/>
      <c r="AM469" t="inlineStr"/>
    </row>
    <row r="470">
      <c r="A470" t="inlineStr">
        <is>
          <t>114617H</t>
        </is>
      </c>
      <c r="B470" t="inlineStr">
        <is>
          <t>Master of Cyber Security (Research)</t>
        </is>
      </c>
      <c r="C470" t="inlineStr">
        <is>
          <t>Masters Degree (Research)</t>
        </is>
      </c>
      <c r="D470" t="inlineStr">
        <is>
          <t>Research degree</t>
        </is>
      </c>
      <c r="E470" t="inlineStr">
        <is>
          <t>Advertised: official page in place</t>
        </is>
      </c>
      <c r="F470" t="inlineStr">
        <is>
          <t>https://www.handbook.unsw.edu.au/research/programs/2026/2408</t>
        </is>
      </c>
      <c r="G470" t="inlineStr">
        <is>
          <t>https://www.handbook.unsw.edu.au/research/programs/2026/2408</t>
        </is>
      </c>
      <c r="H470" t="inlineStr">
        <is>
          <t>Read</t>
        </is>
      </c>
      <c r="I470" t="inlineStr">
        <is>
          <t>CRICOS code on page</t>
        </is>
      </c>
      <c r="J470" t="inlineStr"/>
      <c r="K470" t="inlineStr">
        <is>
          <t>Not sent to re-link</t>
        </is>
      </c>
      <c r="L470" t="inlineStr">
        <is>
          <t>Filled</t>
        </is>
      </c>
      <c r="M470" t="inlineStr">
        <is>
          <t>Not stated on course page</t>
        </is>
      </c>
      <c r="N470" t="inlineStr"/>
      <c r="O470" t="n">
        <v>0</v>
      </c>
      <c r="P470" t="inlineStr"/>
      <c r="Q470" t="inlineStr">
        <is>
          <t>Not stated on course page</t>
        </is>
      </c>
      <c r="S470" t="inlineStr"/>
      <c r="T470" t="inlineStr">
        <is>
          <t>Held: research degree (the policy states no research requirement)</t>
        </is>
      </c>
      <c r="U470" t="inlineStr"/>
      <c r="V470" t="inlineStr">
        <is>
          <t>Filled</t>
        </is>
      </c>
      <c r="W470" t="inlineStr">
        <is>
          <t>January, February, May, September</t>
        </is>
      </c>
      <c r="X470" t="inlineStr">
        <is>
          <t>University adapter</t>
        </is>
      </c>
      <c r="Y470" t="n">
        <v>0</v>
      </c>
      <c r="Z470" t="inlineStr">
        <is>
          <t>No</t>
        </is>
      </c>
      <c r="AA470" t="inlineStr">
        <is>
          <t>Filled</t>
        </is>
      </c>
      <c r="AB470" t="inlineStr">
        <is>
          <t>on campus</t>
        </is>
      </c>
      <c r="AC470" t="inlineStr"/>
      <c r="AD470" t="n">
        <v>0</v>
      </c>
      <c r="AE470" t="inlineStr"/>
      <c r="AF470" t="inlineStr"/>
      <c r="AG470" t="inlineStr"/>
      <c r="AH470" t="inlineStr"/>
      <c r="AI470" t="inlineStr"/>
      <c r="AJ470" t="inlineStr">
        <is>
          <t>Yes</t>
        </is>
      </c>
      <c r="AK470" t="inlineStr"/>
      <c r="AL470" t="inlineStr"/>
      <c r="AM470" t="inlineStr"/>
    </row>
    <row r="471">
      <c r="A471" t="inlineStr">
        <is>
          <t>0101866</t>
        </is>
      </c>
      <c r="B471" t="inlineStr">
        <is>
          <t>Master of Data Science and Decisions</t>
        </is>
      </c>
      <c r="C471" t="inlineStr">
        <is>
          <t>Masters Degree (Coursework)</t>
        </is>
      </c>
      <c r="D471" t="inlineStr">
        <is>
          <t>Postgraduate coursework</t>
        </is>
      </c>
      <c r="E471" t="inlineStr">
        <is>
          <t>Advertised: official page in place</t>
        </is>
      </c>
      <c r="F471" t="inlineStr">
        <is>
          <t>https://www.unsw.edu.au/study/postgraduate/master-of-data-science-and-decisions</t>
        </is>
      </c>
      <c r="G471" t="inlineStr">
        <is>
          <t>https://www.unsw.edu.au/study/postgraduate/master-of-data-science-and-decisions</t>
        </is>
      </c>
      <c r="H471" t="inlineStr">
        <is>
          <t>Read</t>
        </is>
      </c>
      <c r="I471" t="inlineStr">
        <is>
          <t>CRICOS code on page</t>
        </is>
      </c>
      <c r="J471" t="inlineStr"/>
      <c r="K471" t="inlineStr">
        <is>
          <t>Not sent to re-link</t>
        </is>
      </c>
      <c r="L471" t="inlineStr">
        <is>
          <t>Filled</t>
        </is>
      </c>
      <c r="M471" t="inlineStr">
        <is>
          <t>Filled</t>
        </is>
      </c>
      <c r="N471" t="inlineStr">
        <is>
          <t>62000.00 2026</t>
        </is>
      </c>
      <c r="O471" t="n">
        <v>0</v>
      </c>
      <c r="P471" t="inlineStr">
        <is>
          <t>University adapter</t>
        </is>
      </c>
      <c r="Q471" t="inlineStr">
        <is>
          <t>Filled</t>
        </is>
      </c>
      <c r="R471" t="n">
        <v>6</v>
      </c>
      <c r="S471" t="inlineStr">
        <is>
          <t>Central English policy</t>
        </is>
      </c>
      <c r="T471" t="inlineStr">
        <is>
          <t>Central rule applies (value agrees)</t>
        </is>
      </c>
      <c r="U471" t="inlineStr"/>
      <c r="V471" t="inlineStr">
        <is>
          <t>Filled</t>
        </is>
      </c>
      <c r="W471" t="inlineStr">
        <is>
          <t>February, September</t>
        </is>
      </c>
      <c r="X471" t="inlineStr">
        <is>
          <t>University adapter</t>
        </is>
      </c>
      <c r="Y471" t="n">
        <v>0</v>
      </c>
      <c r="Z471" t="inlineStr">
        <is>
          <t>No</t>
        </is>
      </c>
      <c r="AA471" t="inlineStr">
        <is>
          <t>Filled</t>
        </is>
      </c>
      <c r="AB471" t="inlineStr">
        <is>
          <t>on campus</t>
        </is>
      </c>
      <c r="AC471" t="inlineStr"/>
      <c r="AD471" t="n">
        <v>0</v>
      </c>
      <c r="AE471" t="inlineStr"/>
      <c r="AF471" t="inlineStr"/>
      <c r="AG471" t="inlineStr"/>
      <c r="AH471" t="inlineStr"/>
      <c r="AI471" t="inlineStr"/>
      <c r="AJ471" t="inlineStr"/>
      <c r="AK471" t="inlineStr"/>
      <c r="AL471" t="inlineStr"/>
      <c r="AM471" t="inlineStr"/>
    </row>
    <row r="472">
      <c r="A472" t="inlineStr">
        <is>
          <t>082198B</t>
        </is>
      </c>
      <c r="B472" t="inlineStr">
        <is>
          <t>Master of Design</t>
        </is>
      </c>
      <c r="C472" t="inlineStr">
        <is>
          <t>Masters Degree (Coursework)</t>
        </is>
      </c>
      <c r="D472" t="inlineStr">
        <is>
          <t>Postgraduate coursework</t>
        </is>
      </c>
      <c r="E472" t="inlineStr">
        <is>
          <t>Advertised: official page in place</t>
        </is>
      </c>
      <c r="F472" t="inlineStr">
        <is>
          <t>https://www.unsw.edu.au/study/postgraduate/master-of-design</t>
        </is>
      </c>
      <c r="G472" t="inlineStr">
        <is>
          <t>https://www.unsw.edu.au/study/postgraduate/master-of-design</t>
        </is>
      </c>
      <c r="H472" t="inlineStr">
        <is>
          <t>Read</t>
        </is>
      </c>
      <c r="I472" t="inlineStr">
        <is>
          <t>CRICOS code on page</t>
        </is>
      </c>
      <c r="J472" t="inlineStr"/>
      <c r="K472" t="inlineStr">
        <is>
          <t>Not sent to re-link</t>
        </is>
      </c>
      <c r="L472" t="inlineStr">
        <is>
          <t>Filled</t>
        </is>
      </c>
      <c r="M472" t="inlineStr">
        <is>
          <t>Filled</t>
        </is>
      </c>
      <c r="N472" t="inlineStr">
        <is>
          <t>48500.00 2026</t>
        </is>
      </c>
      <c r="O472" t="n">
        <v>0</v>
      </c>
      <c r="P472" t="inlineStr">
        <is>
          <t>University adapter</t>
        </is>
      </c>
      <c r="Q472" t="inlineStr">
        <is>
          <t>Filled</t>
        </is>
      </c>
      <c r="R472" t="n">
        <v>6</v>
      </c>
      <c r="S472" t="inlineStr">
        <is>
          <t>Central English policy</t>
        </is>
      </c>
      <c r="T472" t="inlineStr">
        <is>
          <t>Central rule applies (value agrees)</t>
        </is>
      </c>
      <c r="U472" t="inlineStr"/>
      <c r="V472" t="inlineStr">
        <is>
          <t>Filled</t>
        </is>
      </c>
      <c r="W472" t="inlineStr">
        <is>
          <t>February, May, September</t>
        </is>
      </c>
      <c r="X472" t="inlineStr">
        <is>
          <t>University adapter</t>
        </is>
      </c>
      <c r="Y472" t="n">
        <v>0</v>
      </c>
      <c r="Z472" t="inlineStr">
        <is>
          <t>No</t>
        </is>
      </c>
      <c r="AA472" t="inlineStr">
        <is>
          <t>Filled</t>
        </is>
      </c>
      <c r="AB472" t="inlineStr">
        <is>
          <t>on campus</t>
        </is>
      </c>
      <c r="AC472" t="inlineStr"/>
      <c r="AD472" t="n">
        <v>0</v>
      </c>
      <c r="AE472" t="inlineStr"/>
      <c r="AF472" t="inlineStr"/>
      <c r="AG472" t="inlineStr"/>
      <c r="AH472" t="inlineStr"/>
      <c r="AI472" t="inlineStr"/>
      <c r="AJ472" t="inlineStr"/>
      <c r="AK472" t="inlineStr"/>
      <c r="AL472" t="inlineStr"/>
      <c r="AM472" t="inlineStr"/>
    </row>
    <row r="473">
      <c r="A473" t="inlineStr">
        <is>
          <t>083236D</t>
        </is>
      </c>
      <c r="B473" t="inlineStr">
        <is>
          <t>Master of Development Studies</t>
        </is>
      </c>
      <c r="C473" t="inlineStr">
        <is>
          <t>Masters Degree (Coursework)</t>
        </is>
      </c>
      <c r="D473" t="inlineStr">
        <is>
          <t>Postgraduate coursework</t>
        </is>
      </c>
      <c r="E473" t="inlineStr">
        <is>
          <t>Advertised: official page in place</t>
        </is>
      </c>
      <c r="F473" t="inlineStr">
        <is>
          <t>https://www.unsw.edu.au/study/postgraduate/master-of-development-studies</t>
        </is>
      </c>
      <c r="G473" t="inlineStr">
        <is>
          <t>https://www.unsw.edu.au/study/postgraduate/master-of-development-studies</t>
        </is>
      </c>
      <c r="H473" t="inlineStr">
        <is>
          <t>Read</t>
        </is>
      </c>
      <c r="I473" t="inlineStr">
        <is>
          <t>CRICOS code on page</t>
        </is>
      </c>
      <c r="J473" t="inlineStr"/>
      <c r="K473" t="inlineStr">
        <is>
          <t>Not sent to re-link</t>
        </is>
      </c>
      <c r="L473" t="inlineStr">
        <is>
          <t>Filled</t>
        </is>
      </c>
      <c r="M473" t="inlineStr">
        <is>
          <t>Filled</t>
        </is>
      </c>
      <c r="N473" t="inlineStr">
        <is>
          <t>47000.00 2026</t>
        </is>
      </c>
      <c r="O473" t="n">
        <v>0</v>
      </c>
      <c r="P473" t="inlineStr">
        <is>
          <t>University adapter</t>
        </is>
      </c>
      <c r="Q473" t="inlineStr">
        <is>
          <t>Filled</t>
        </is>
      </c>
      <c r="R473" t="n">
        <v>6</v>
      </c>
      <c r="S473" t="inlineStr">
        <is>
          <t>Central English policy</t>
        </is>
      </c>
      <c r="T473" t="inlineStr">
        <is>
          <t>Central rule applies (value agrees)</t>
        </is>
      </c>
      <c r="U473" t="inlineStr"/>
      <c r="V473" t="inlineStr">
        <is>
          <t>Filled</t>
        </is>
      </c>
      <c r="W473" t="inlineStr">
        <is>
          <t>February, September</t>
        </is>
      </c>
      <c r="X473" t="inlineStr">
        <is>
          <t>University adapter</t>
        </is>
      </c>
      <c r="Y473" t="n">
        <v>0</v>
      </c>
      <c r="Z473" t="inlineStr">
        <is>
          <t>No</t>
        </is>
      </c>
      <c r="AA473" t="inlineStr">
        <is>
          <t>Filled</t>
        </is>
      </c>
      <c r="AB473" t="inlineStr">
        <is>
          <t>on campus</t>
        </is>
      </c>
      <c r="AC473" t="inlineStr"/>
      <c r="AD473" t="n">
        <v>0</v>
      </c>
      <c r="AE473" t="inlineStr"/>
      <c r="AF473" t="inlineStr"/>
      <c r="AG473" t="inlineStr"/>
      <c r="AH473" t="inlineStr"/>
      <c r="AI473" t="inlineStr"/>
      <c r="AJ473" t="inlineStr"/>
      <c r="AK473" t="inlineStr"/>
      <c r="AL473" t="inlineStr"/>
      <c r="AM473" t="inlineStr"/>
    </row>
    <row r="474">
      <c r="A474" t="inlineStr">
        <is>
          <t>055189E</t>
        </is>
      </c>
      <c r="B474" t="inlineStr">
        <is>
          <t>Master of Economics</t>
        </is>
      </c>
      <c r="C474" t="inlineStr">
        <is>
          <t>Masters Degree (Coursework)</t>
        </is>
      </c>
      <c r="D474" t="inlineStr">
        <is>
          <t>Postgraduate coursework</t>
        </is>
      </c>
      <c r="E474" t="inlineStr">
        <is>
          <t>Advertised: official page in place</t>
        </is>
      </c>
      <c r="F474" t="inlineStr">
        <is>
          <t>https://www.unsw.edu.au/study/postgraduate/master-of-economics</t>
        </is>
      </c>
      <c r="G474" t="inlineStr">
        <is>
          <t>https://www.unsw.edu.au/study/postgraduate/master-of-economics</t>
        </is>
      </c>
      <c r="H474" t="inlineStr">
        <is>
          <t>Read</t>
        </is>
      </c>
      <c r="I474" t="inlineStr">
        <is>
          <t>CRICOS code on page</t>
        </is>
      </c>
      <c r="J474" t="inlineStr"/>
      <c r="K474" t="inlineStr">
        <is>
          <t>Not sent to re-link</t>
        </is>
      </c>
      <c r="L474" t="inlineStr">
        <is>
          <t>Filled</t>
        </is>
      </c>
      <c r="M474" t="inlineStr">
        <is>
          <t>Filled</t>
        </is>
      </c>
      <c r="N474" t="inlineStr">
        <is>
          <t>62000.00 2026</t>
        </is>
      </c>
      <c r="O474" t="n">
        <v>0</v>
      </c>
      <c r="P474" t="inlineStr">
        <is>
          <t>University adapter</t>
        </is>
      </c>
      <c r="Q474" t="inlineStr">
        <is>
          <t>Filled</t>
        </is>
      </c>
      <c r="R474" t="n">
        <v>7</v>
      </c>
      <c r="S474" t="inlineStr">
        <is>
          <t>Page reader</t>
        </is>
      </c>
      <c r="T474" t="inlineStr">
        <is>
          <t>Central rule applies (course value differs)</t>
        </is>
      </c>
      <c r="U474" t="inlineStr">
        <is>
          <t>Yes: course has IELTS 7.00, central rule says 6</t>
        </is>
      </c>
      <c r="V474" t="inlineStr">
        <is>
          <t>Filled</t>
        </is>
      </c>
      <c r="W474" t="inlineStr">
        <is>
          <t>February</t>
        </is>
      </c>
      <c r="X474" t="inlineStr">
        <is>
          <t>University adapter</t>
        </is>
      </c>
      <c r="Y474" t="n">
        <v>0</v>
      </c>
      <c r="Z474" t="inlineStr">
        <is>
          <t>No</t>
        </is>
      </c>
      <c r="AA474" t="inlineStr">
        <is>
          <t>Filled</t>
        </is>
      </c>
      <c r="AB474" t="inlineStr">
        <is>
          <t>on campus and online</t>
        </is>
      </c>
      <c r="AC474" t="inlineStr"/>
      <c r="AD474" t="n">
        <v>0</v>
      </c>
      <c r="AE474" t="inlineStr"/>
      <c r="AF474" t="inlineStr"/>
      <c r="AG474" t="inlineStr"/>
      <c r="AH474" t="inlineStr"/>
      <c r="AI474" t="inlineStr"/>
      <c r="AJ474" t="inlineStr"/>
      <c r="AK474" t="inlineStr"/>
      <c r="AL474" t="inlineStr"/>
      <c r="AM474" t="inlineStr"/>
    </row>
    <row r="475">
      <c r="A475" t="inlineStr">
        <is>
          <t>000948C</t>
        </is>
      </c>
      <c r="B475" t="inlineStr">
        <is>
          <t>Master of Education</t>
        </is>
      </c>
      <c r="C475" t="inlineStr">
        <is>
          <t>Masters Degree (Research)</t>
        </is>
      </c>
      <c r="D475" t="inlineStr">
        <is>
          <t>Research degree</t>
        </is>
      </c>
      <c r="E475" t="inlineStr">
        <is>
          <t>Advertised: official page in place</t>
        </is>
      </c>
      <c r="F475" t="inlineStr">
        <is>
          <t>https://www.handbook.unsw.edu.au/research/programs/2026/2354</t>
        </is>
      </c>
      <c r="G475" t="inlineStr">
        <is>
          <t>https://www.handbook.unsw.edu.au/research/programs/2026/2354</t>
        </is>
      </c>
      <c r="H475" t="inlineStr">
        <is>
          <t>Read</t>
        </is>
      </c>
      <c r="I475" t="inlineStr">
        <is>
          <t>CRICOS code on page</t>
        </is>
      </c>
      <c r="J475" t="inlineStr"/>
      <c r="K475" t="inlineStr">
        <is>
          <t>Not sent to re-link</t>
        </is>
      </c>
      <c r="L475" t="inlineStr">
        <is>
          <t>Filled</t>
        </is>
      </c>
      <c r="M475" t="inlineStr">
        <is>
          <t>Not stated on course page</t>
        </is>
      </c>
      <c r="N475" t="inlineStr"/>
      <c r="O475" t="n">
        <v>0</v>
      </c>
      <c r="P475" t="inlineStr"/>
      <c r="Q475" t="inlineStr">
        <is>
          <t>Not stated on course page</t>
        </is>
      </c>
      <c r="S475" t="inlineStr"/>
      <c r="T475" t="inlineStr">
        <is>
          <t>Held: research degree (the policy states no research requirement)</t>
        </is>
      </c>
      <c r="U475" t="inlineStr"/>
      <c r="V475" t="inlineStr">
        <is>
          <t>Filled</t>
        </is>
      </c>
      <c r="W475" t="inlineStr">
        <is>
          <t>January, February, May, September</t>
        </is>
      </c>
      <c r="X475" t="inlineStr">
        <is>
          <t>University adapter</t>
        </is>
      </c>
      <c r="Y475" t="n">
        <v>0</v>
      </c>
      <c r="Z475" t="inlineStr">
        <is>
          <t>No</t>
        </is>
      </c>
      <c r="AA475" t="inlineStr">
        <is>
          <t>Filled</t>
        </is>
      </c>
      <c r="AB475" t="inlineStr">
        <is>
          <t>on campus</t>
        </is>
      </c>
      <c r="AC475" t="inlineStr"/>
      <c r="AD475" t="n">
        <v>0</v>
      </c>
      <c r="AE475" t="inlineStr"/>
      <c r="AF475" t="inlineStr"/>
      <c r="AG475" t="inlineStr"/>
      <c r="AH475" t="inlineStr"/>
      <c r="AI475" t="inlineStr"/>
      <c r="AJ475" t="inlineStr">
        <is>
          <t>Yes</t>
        </is>
      </c>
      <c r="AK475" t="inlineStr"/>
      <c r="AL475" t="inlineStr"/>
      <c r="AM475" t="inlineStr"/>
    </row>
    <row r="476">
      <c r="A476" t="inlineStr">
        <is>
          <t>110653C</t>
        </is>
      </c>
      <c r="B476" t="inlineStr">
        <is>
          <t>Master of Education</t>
        </is>
      </c>
      <c r="C476" t="inlineStr">
        <is>
          <t>Masters Degree (Coursework)</t>
        </is>
      </c>
      <c r="D476" t="inlineStr">
        <is>
          <t>Postgraduate coursework</t>
        </is>
      </c>
      <c r="E476" t="inlineStr">
        <is>
          <t>Advertised: official page in place</t>
        </is>
      </c>
      <c r="F476" t="inlineStr">
        <is>
          <t>https://www.unsw.edu.au/study/postgraduate/master-of-education</t>
        </is>
      </c>
      <c r="G476" t="inlineStr">
        <is>
          <t>https://www.unsw.edu.au/study/postgraduate/master-of-education</t>
        </is>
      </c>
      <c r="H476" t="inlineStr">
        <is>
          <t>Read</t>
        </is>
      </c>
      <c r="I476" t="inlineStr">
        <is>
          <t>CRICOS code on page</t>
        </is>
      </c>
      <c r="J476" t="inlineStr"/>
      <c r="K476" t="inlineStr">
        <is>
          <t>Not sent to re-link</t>
        </is>
      </c>
      <c r="L476" t="inlineStr">
        <is>
          <t>Filled</t>
        </is>
      </c>
      <c r="M476" t="inlineStr">
        <is>
          <t>Filled</t>
        </is>
      </c>
      <c r="N476" t="inlineStr">
        <is>
          <t>47000.00 2026</t>
        </is>
      </c>
      <c r="O476" t="n">
        <v>0</v>
      </c>
      <c r="P476" t="inlineStr">
        <is>
          <t>University adapter</t>
        </is>
      </c>
      <c r="Q476" t="inlineStr">
        <is>
          <t>Filled</t>
        </is>
      </c>
      <c r="R476" t="n">
        <v>6</v>
      </c>
      <c r="S476" t="inlineStr">
        <is>
          <t>Central English policy</t>
        </is>
      </c>
      <c r="T476" t="inlineStr">
        <is>
          <t>Central rule applies (value agrees)</t>
        </is>
      </c>
      <c r="U476" t="inlineStr"/>
      <c r="V476" t="inlineStr">
        <is>
          <t>Filled</t>
        </is>
      </c>
      <c r="W476" t="inlineStr">
        <is>
          <t>February, May, September</t>
        </is>
      </c>
      <c r="X476" t="inlineStr">
        <is>
          <t>University adapter</t>
        </is>
      </c>
      <c r="Y476" t="n">
        <v>0</v>
      </c>
      <c r="Z476" t="inlineStr">
        <is>
          <t>No</t>
        </is>
      </c>
      <c r="AA476" t="inlineStr">
        <is>
          <t>Filled</t>
        </is>
      </c>
      <c r="AB476" t="inlineStr">
        <is>
          <t>on campus and online</t>
        </is>
      </c>
      <c r="AC476" t="inlineStr"/>
      <c r="AD476" t="n">
        <v>0</v>
      </c>
      <c r="AE476" t="inlineStr"/>
      <c r="AF476" t="inlineStr"/>
      <c r="AG476" t="inlineStr"/>
      <c r="AH476" t="inlineStr"/>
      <c r="AI476" t="inlineStr"/>
      <c r="AJ476" t="inlineStr"/>
      <c r="AK476" t="inlineStr"/>
      <c r="AL476" t="inlineStr"/>
      <c r="AM476" t="inlineStr"/>
    </row>
    <row r="477">
      <c r="A477" t="inlineStr">
        <is>
          <t>000947D</t>
        </is>
      </c>
      <c r="B477" t="inlineStr">
        <is>
          <t>Master of Education - Coursework</t>
        </is>
      </c>
      <c r="C477" t="inlineStr">
        <is>
          <t>Masters Degree (Coursework)</t>
        </is>
      </c>
      <c r="D477" t="inlineStr">
        <is>
          <t>Postgraduate coursework</t>
        </is>
      </c>
      <c r="E477" t="inlineStr">
        <is>
          <t>Held: page found is for another course</t>
        </is>
      </c>
      <c r="F477" t="inlineStr"/>
      <c r="G477" t="inlineStr">
        <is>
          <t>https://www.unsw.edu.au/study/postgraduate/master-of-teaching-secondary</t>
        </is>
      </c>
      <c r="H477" t="inlineStr">
        <is>
          <t>Page is for another course</t>
        </is>
      </c>
      <c r="I477" t="inlineStr"/>
      <c r="J477" t="inlineStr"/>
      <c r="K477" t="inlineStr">
        <is>
          <t>Finished, no page: no address from the university's address forms or stored lis</t>
        </is>
      </c>
      <c r="L477" t="inlineStr">
        <is>
          <t>Searching for course page</t>
        </is>
      </c>
      <c r="M477" t="inlineStr">
        <is>
          <t>Searching for course page</t>
        </is>
      </c>
      <c r="N477" t="inlineStr"/>
      <c r="O477" t="n">
        <v>0</v>
      </c>
      <c r="P477" t="inlineStr"/>
      <c r="Q477" t="inlineStr">
        <is>
          <t>Filled</t>
        </is>
      </c>
      <c r="R477" t="n">
        <v>6</v>
      </c>
      <c r="S477" t="inlineStr">
        <is>
          <t>Central English policy</t>
        </is>
      </c>
      <c r="T477" t="inlineStr">
        <is>
          <t>Central rule applies (value agrees)</t>
        </is>
      </c>
      <c r="U477" t="inlineStr"/>
      <c r="V477" t="inlineStr">
        <is>
          <t>Searching for course page</t>
        </is>
      </c>
      <c r="W477" t="inlineStr"/>
      <c r="X477" t="inlineStr"/>
      <c r="Y477" t="n">
        <v>0</v>
      </c>
      <c r="Z477" t="inlineStr">
        <is>
          <t>No</t>
        </is>
      </c>
      <c r="AA477" t="inlineStr">
        <is>
          <t>Not stated on course page</t>
        </is>
      </c>
      <c r="AB477" t="inlineStr"/>
      <c r="AC477" t="inlineStr">
        <is>
          <t>Skipped: no correct course page: the page found is for another course</t>
        </is>
      </c>
      <c r="AD477" t="n">
        <v>1</v>
      </c>
      <c r="AE477" t="inlineStr"/>
      <c r="AF477" t="inlineStr"/>
      <c r="AG477" t="inlineStr"/>
      <c r="AH477" t="inlineStr"/>
      <c r="AI477" t="inlineStr"/>
      <c r="AJ477" t="inlineStr"/>
      <c r="AK477" t="inlineStr"/>
      <c r="AL477" t="inlineStr"/>
      <c r="AM477" t="inlineStr"/>
    </row>
    <row r="478">
      <c r="A478" t="inlineStr">
        <is>
          <t>000949B</t>
        </is>
      </c>
      <c r="B478" t="inlineStr">
        <is>
          <t>Master of Educational Leadership</t>
        </is>
      </c>
      <c r="C478" t="inlineStr">
        <is>
          <t>Masters Degree (Coursework)</t>
        </is>
      </c>
      <c r="D478" t="inlineStr">
        <is>
          <t>Postgraduate coursework</t>
        </is>
      </c>
      <c r="E478" t="inlineStr">
        <is>
          <t>Advertised: official page in place</t>
        </is>
      </c>
      <c r="F478" t="inlineStr">
        <is>
          <t>https://www.unsw.edu.au/study/postgraduate/master-of-educational-leadership</t>
        </is>
      </c>
      <c r="G478" t="inlineStr">
        <is>
          <t>https://www.unsw.edu.au/study/postgraduate/master-of-educational-leadership</t>
        </is>
      </c>
      <c r="H478" t="inlineStr">
        <is>
          <t>Read</t>
        </is>
      </c>
      <c r="I478" t="inlineStr">
        <is>
          <t>Exact title match</t>
        </is>
      </c>
      <c r="J478" t="inlineStr"/>
      <c r="K478" t="inlineStr">
        <is>
          <t>Not sent to re-link</t>
        </is>
      </c>
      <c r="L478" t="inlineStr">
        <is>
          <t>Filled</t>
        </is>
      </c>
      <c r="M478" t="inlineStr">
        <is>
          <t>Filled</t>
        </is>
      </c>
      <c r="N478" t="inlineStr">
        <is>
          <t>47000.00 2026</t>
        </is>
      </c>
      <c r="O478" t="n">
        <v>0</v>
      </c>
      <c r="P478" t="inlineStr">
        <is>
          <t>University adapter</t>
        </is>
      </c>
      <c r="Q478" t="inlineStr">
        <is>
          <t>Filled</t>
        </is>
      </c>
      <c r="R478" t="n">
        <v>6</v>
      </c>
      <c r="S478" t="inlineStr">
        <is>
          <t>Central English policy</t>
        </is>
      </c>
      <c r="T478" t="inlineStr">
        <is>
          <t>Central rule applies (value agrees)</t>
        </is>
      </c>
      <c r="U478" t="inlineStr"/>
      <c r="V478" t="inlineStr">
        <is>
          <t>Filled</t>
        </is>
      </c>
      <c r="W478" t="inlineStr">
        <is>
          <t>February, May, September</t>
        </is>
      </c>
      <c r="X478" t="inlineStr">
        <is>
          <t>University adapter</t>
        </is>
      </c>
      <c r="Y478" t="n">
        <v>0</v>
      </c>
      <c r="Z478" t="inlineStr">
        <is>
          <t>No</t>
        </is>
      </c>
      <c r="AA478" t="inlineStr">
        <is>
          <t>Filled</t>
        </is>
      </c>
      <c r="AB478" t="inlineStr">
        <is>
          <t>on campus and online</t>
        </is>
      </c>
      <c r="AC478" t="inlineStr"/>
      <c r="AD478" t="n">
        <v>0</v>
      </c>
      <c r="AE478" t="inlineStr"/>
      <c r="AF478" t="inlineStr"/>
      <c r="AG478" t="inlineStr"/>
      <c r="AH478" t="inlineStr"/>
      <c r="AI478" t="inlineStr"/>
      <c r="AJ478" t="inlineStr"/>
      <c r="AK478" t="inlineStr"/>
      <c r="AL478" t="inlineStr"/>
      <c r="AM478" t="inlineStr"/>
    </row>
    <row r="479">
      <c r="A479" t="inlineStr">
        <is>
          <t>110654B</t>
        </is>
      </c>
      <c r="B479" t="inlineStr">
        <is>
          <t>Master of Educational Leadership</t>
        </is>
      </c>
      <c r="C479" t="inlineStr">
        <is>
          <t>Masters Degree (Coursework)</t>
        </is>
      </c>
      <c r="D479" t="inlineStr">
        <is>
          <t>Postgraduate coursework</t>
        </is>
      </c>
      <c r="E479" t="inlineStr">
        <is>
          <t>Advertised: official page in place</t>
        </is>
      </c>
      <c r="F479" t="inlineStr">
        <is>
          <t>https://www.unsw.edu.au/study/postgraduate/master-of-educational-leadership</t>
        </is>
      </c>
      <c r="G479" t="inlineStr">
        <is>
          <t>https://www.unsw.edu.au/study/postgraduate/master-of-educational-leadership</t>
        </is>
      </c>
      <c r="H479" t="inlineStr">
        <is>
          <t>Read</t>
        </is>
      </c>
      <c r="I479" t="inlineStr">
        <is>
          <t>CRICOS code on page</t>
        </is>
      </c>
      <c r="J479" t="inlineStr"/>
      <c r="K479" t="inlineStr">
        <is>
          <t>Not sent to re-link</t>
        </is>
      </c>
      <c r="L479" t="inlineStr">
        <is>
          <t>Filled</t>
        </is>
      </c>
      <c r="M479" t="inlineStr">
        <is>
          <t>Filled</t>
        </is>
      </c>
      <c r="N479" t="inlineStr">
        <is>
          <t>47000.00 2026</t>
        </is>
      </c>
      <c r="O479" t="n">
        <v>0</v>
      </c>
      <c r="P479" t="inlineStr">
        <is>
          <t>University adapter</t>
        </is>
      </c>
      <c r="Q479" t="inlineStr">
        <is>
          <t>Filled</t>
        </is>
      </c>
      <c r="R479" t="n">
        <v>6</v>
      </c>
      <c r="S479" t="inlineStr">
        <is>
          <t>Central English policy</t>
        </is>
      </c>
      <c r="T479" t="inlineStr">
        <is>
          <t>Central rule applies (value agrees)</t>
        </is>
      </c>
      <c r="U479" t="inlineStr"/>
      <c r="V479" t="inlineStr">
        <is>
          <t>Filled</t>
        </is>
      </c>
      <c r="W479" t="inlineStr">
        <is>
          <t>February, May, September</t>
        </is>
      </c>
      <c r="X479" t="inlineStr">
        <is>
          <t>University adapter</t>
        </is>
      </c>
      <c r="Y479" t="n">
        <v>0</v>
      </c>
      <c r="Z479" t="inlineStr">
        <is>
          <t>No</t>
        </is>
      </c>
      <c r="AA479" t="inlineStr">
        <is>
          <t>Filled</t>
        </is>
      </c>
      <c r="AB479" t="inlineStr">
        <is>
          <t>on campus and online</t>
        </is>
      </c>
      <c r="AC479" t="inlineStr"/>
      <c r="AD479" t="n">
        <v>0</v>
      </c>
      <c r="AE479" t="inlineStr"/>
      <c r="AF479" t="inlineStr"/>
      <c r="AG479" t="inlineStr"/>
      <c r="AH479" t="inlineStr"/>
      <c r="AI479" t="inlineStr"/>
      <c r="AJ479" t="inlineStr"/>
      <c r="AK479" t="inlineStr"/>
      <c r="AL479" t="inlineStr"/>
      <c r="AM479" t="inlineStr"/>
    </row>
    <row r="480">
      <c r="A480" t="inlineStr">
        <is>
          <t>067604G</t>
        </is>
      </c>
      <c r="B480" t="inlineStr">
        <is>
          <t>Master of Engineering</t>
        </is>
      </c>
      <c r="C480" t="inlineStr">
        <is>
          <t>Masters Degree (Coursework)</t>
        </is>
      </c>
      <c r="D480" t="inlineStr">
        <is>
          <t>Postgraduate coursework</t>
        </is>
      </c>
      <c r="E480" t="inlineStr">
        <is>
          <t>Advertised: official page in place</t>
        </is>
      </c>
      <c r="F480" t="inlineStr">
        <is>
          <t>https://www.unsw.edu.au/study/postgraduate/master-of-engineering</t>
        </is>
      </c>
      <c r="G480" t="inlineStr">
        <is>
          <t>https://www.unsw.edu.au/study/postgraduate/master-of-engineering</t>
        </is>
      </c>
      <c r="H480" t="inlineStr">
        <is>
          <t>Read</t>
        </is>
      </c>
      <c r="I480" t="inlineStr">
        <is>
          <t>CRICOS code on page</t>
        </is>
      </c>
      <c r="J480" t="inlineStr"/>
      <c r="K480" t="inlineStr">
        <is>
          <t>Not sent to re-link</t>
        </is>
      </c>
      <c r="L480" t="inlineStr">
        <is>
          <t>Filled</t>
        </is>
      </c>
      <c r="M480" t="inlineStr">
        <is>
          <t>Filled</t>
        </is>
      </c>
      <c r="N480" t="inlineStr">
        <is>
          <t>61000.00 2026</t>
        </is>
      </c>
      <c r="O480" t="n">
        <v>0</v>
      </c>
      <c r="P480" t="inlineStr">
        <is>
          <t>University adapter</t>
        </is>
      </c>
      <c r="Q480" t="inlineStr">
        <is>
          <t>Filled</t>
        </is>
      </c>
      <c r="R480" t="n">
        <v>6</v>
      </c>
      <c r="S480" t="inlineStr">
        <is>
          <t>Central English policy</t>
        </is>
      </c>
      <c r="T480" t="inlineStr">
        <is>
          <t>Central rule applies (value agrees)</t>
        </is>
      </c>
      <c r="U480" t="inlineStr"/>
      <c r="V480" t="inlineStr">
        <is>
          <t>Filled</t>
        </is>
      </c>
      <c r="W480" t="inlineStr">
        <is>
          <t>February, May, September</t>
        </is>
      </c>
      <c r="X480" t="inlineStr">
        <is>
          <t>University adapter</t>
        </is>
      </c>
      <c r="Y480" t="n">
        <v>0</v>
      </c>
      <c r="Z480" t="inlineStr">
        <is>
          <t>No</t>
        </is>
      </c>
      <c r="AA480" t="inlineStr">
        <is>
          <t>Filled</t>
        </is>
      </c>
      <c r="AB480" t="inlineStr">
        <is>
          <t>on campus</t>
        </is>
      </c>
      <c r="AC480" t="inlineStr"/>
      <c r="AD480" t="n">
        <v>0</v>
      </c>
      <c r="AE480" t="inlineStr"/>
      <c r="AF480" t="inlineStr"/>
      <c r="AG480" t="inlineStr"/>
      <c r="AH480" t="inlineStr"/>
      <c r="AI480" t="inlineStr"/>
      <c r="AJ480" t="inlineStr"/>
      <c r="AK480" t="inlineStr"/>
      <c r="AL480" t="inlineStr"/>
      <c r="AM480" t="inlineStr"/>
    </row>
    <row r="481">
      <c r="A481" t="inlineStr">
        <is>
          <t>085754K</t>
        </is>
      </c>
      <c r="B481" t="inlineStr">
        <is>
          <t>Master of Engineering (Aerospace Engineering) by Research</t>
        </is>
      </c>
      <c r="C481" t="inlineStr">
        <is>
          <t>Masters Degree (Research)</t>
        </is>
      </c>
      <c r="D481" t="inlineStr">
        <is>
          <t>Research degree</t>
        </is>
      </c>
      <c r="E481" t="inlineStr">
        <is>
          <t>Advertised: official page in place</t>
        </is>
      </c>
      <c r="F481" t="inlineStr">
        <is>
          <t>https://www.handbook.unsw.edu.au/research/programs/2026/2693</t>
        </is>
      </c>
      <c r="G481" t="inlineStr">
        <is>
          <t>https://www.handbook.unsw.edu.au/research/programs/2026/2693</t>
        </is>
      </c>
      <c r="H481" t="inlineStr">
        <is>
          <t>Read</t>
        </is>
      </c>
      <c r="I481" t="inlineStr">
        <is>
          <t>CRICOS code on page</t>
        </is>
      </c>
      <c r="J481" t="inlineStr"/>
      <c r="K481" t="inlineStr">
        <is>
          <t>Not sent to re-link</t>
        </is>
      </c>
      <c r="L481" t="inlineStr">
        <is>
          <t>Filled</t>
        </is>
      </c>
      <c r="M481" t="inlineStr">
        <is>
          <t>Not stated on course page</t>
        </is>
      </c>
      <c r="N481" t="inlineStr"/>
      <c r="O481" t="n">
        <v>0</v>
      </c>
      <c r="P481" t="inlineStr"/>
      <c r="Q481" t="inlineStr">
        <is>
          <t>Not stated on course page</t>
        </is>
      </c>
      <c r="S481" t="inlineStr"/>
      <c r="T481" t="inlineStr">
        <is>
          <t>Held: research degree (the policy states no research requirement)</t>
        </is>
      </c>
      <c r="U481" t="inlineStr"/>
      <c r="V481" t="inlineStr">
        <is>
          <t>Filled</t>
        </is>
      </c>
      <c r="W481" t="inlineStr">
        <is>
          <t>January, February, May, September</t>
        </is>
      </c>
      <c r="X481" t="inlineStr">
        <is>
          <t>University adapter</t>
        </is>
      </c>
      <c r="Y481" t="n">
        <v>0</v>
      </c>
      <c r="Z481" t="inlineStr">
        <is>
          <t>No</t>
        </is>
      </c>
      <c r="AA481" t="inlineStr">
        <is>
          <t>Filled</t>
        </is>
      </c>
      <c r="AB481" t="inlineStr">
        <is>
          <t>on campus</t>
        </is>
      </c>
      <c r="AC481" t="inlineStr"/>
      <c r="AD481" t="n">
        <v>0</v>
      </c>
      <c r="AE481" t="inlineStr"/>
      <c r="AF481" t="inlineStr"/>
      <c r="AG481" t="inlineStr"/>
      <c r="AH481" t="inlineStr"/>
      <c r="AI481" t="inlineStr"/>
      <c r="AJ481" t="inlineStr">
        <is>
          <t>Yes</t>
        </is>
      </c>
      <c r="AK481" t="inlineStr"/>
      <c r="AL481" t="inlineStr"/>
      <c r="AM481" t="inlineStr"/>
    </row>
    <row r="482">
      <c r="A482" t="inlineStr">
        <is>
          <t>085777C</t>
        </is>
      </c>
      <c r="B482" t="inlineStr">
        <is>
          <t>Master of Engineering (Civil Engineering)</t>
        </is>
      </c>
      <c r="C482" t="inlineStr">
        <is>
          <t>Masters Degree (Research)</t>
        </is>
      </c>
      <c r="D482" t="inlineStr">
        <is>
          <t>Research degree</t>
        </is>
      </c>
      <c r="E482" t="inlineStr">
        <is>
          <t>Advertised: official page in place</t>
        </is>
      </c>
      <c r="F482" t="inlineStr">
        <is>
          <t>https://www.unsw.edu.au/study/postgraduate/master-of-engineering-civil-engineering</t>
        </is>
      </c>
      <c r="G482" t="inlineStr">
        <is>
          <t>https://www.unsw.edu.au/study/postgraduate/master-of-engineering-civil-engineering</t>
        </is>
      </c>
      <c r="H482" t="inlineStr">
        <is>
          <t>Read</t>
        </is>
      </c>
      <c r="I482" t="inlineStr">
        <is>
          <t>Exact title match</t>
        </is>
      </c>
      <c r="J482" t="inlineStr"/>
      <c r="K482" t="inlineStr">
        <is>
          <t>Not sent to re-link</t>
        </is>
      </c>
      <c r="L482" t="inlineStr">
        <is>
          <t>Filled</t>
        </is>
      </c>
      <c r="M482" t="inlineStr">
        <is>
          <t>Filled</t>
        </is>
      </c>
      <c r="N482" t="inlineStr">
        <is>
          <t>61000.00 2026</t>
        </is>
      </c>
      <c r="O482" t="n">
        <v>0</v>
      </c>
      <c r="P482" t="inlineStr">
        <is>
          <t>University adapter</t>
        </is>
      </c>
      <c r="Q482" t="inlineStr">
        <is>
          <t>Not stated on course page</t>
        </is>
      </c>
      <c r="S482" t="inlineStr"/>
      <c r="T482" t="inlineStr">
        <is>
          <t>Held: research degree (the policy states no research requirement)</t>
        </is>
      </c>
      <c r="U482" t="inlineStr"/>
      <c r="V482" t="inlineStr">
        <is>
          <t>Filled</t>
        </is>
      </c>
      <c r="W482" t="inlineStr">
        <is>
          <t>February, May, September</t>
        </is>
      </c>
      <c r="X482" t="inlineStr">
        <is>
          <t>University adapter</t>
        </is>
      </c>
      <c r="Y482" t="n">
        <v>0</v>
      </c>
      <c r="Z482" t="inlineStr">
        <is>
          <t>No</t>
        </is>
      </c>
      <c r="AA482" t="inlineStr">
        <is>
          <t>Filled</t>
        </is>
      </c>
      <c r="AB482" t="inlineStr">
        <is>
          <t>on campus</t>
        </is>
      </c>
      <c r="AC482" t="inlineStr"/>
      <c r="AD482" t="n">
        <v>0</v>
      </c>
      <c r="AE482" t="inlineStr"/>
      <c r="AF482" t="inlineStr"/>
      <c r="AG482" t="inlineStr"/>
      <c r="AH482" t="inlineStr"/>
      <c r="AI482" t="inlineStr"/>
      <c r="AJ482" t="inlineStr">
        <is>
          <t>Yes</t>
        </is>
      </c>
      <c r="AK482" t="inlineStr"/>
      <c r="AL482" t="inlineStr"/>
      <c r="AM482" t="inlineStr"/>
    </row>
    <row r="483">
      <c r="A483" t="inlineStr">
        <is>
          <t>085778B</t>
        </is>
      </c>
      <c r="B483" t="inlineStr">
        <is>
          <t>Master of Engineering (Electrical Engineering)</t>
        </is>
      </c>
      <c r="C483" t="inlineStr">
        <is>
          <t>Masters Degree (Research)</t>
        </is>
      </c>
      <c r="D483" t="inlineStr">
        <is>
          <t>Research degree</t>
        </is>
      </c>
      <c r="E483" t="inlineStr">
        <is>
          <t>Advertised: official page in place</t>
        </is>
      </c>
      <c r="F483" t="inlineStr">
        <is>
          <t>https://www.unsw.edu.au/study/postgraduate/master-of-engineering-electrical-engineering</t>
        </is>
      </c>
      <c r="G483" t="inlineStr">
        <is>
          <t>https://www.unsw.edu.au/study/postgraduate/master-of-engineering-electrical-engineering</t>
        </is>
      </c>
      <c r="H483" t="inlineStr">
        <is>
          <t>Read</t>
        </is>
      </c>
      <c r="I483" t="inlineStr">
        <is>
          <t>Exact title match</t>
        </is>
      </c>
      <c r="J483" t="inlineStr"/>
      <c r="K483" t="inlineStr">
        <is>
          <t>Not sent to re-link</t>
        </is>
      </c>
      <c r="L483" t="inlineStr">
        <is>
          <t>Filled</t>
        </is>
      </c>
      <c r="M483" t="inlineStr">
        <is>
          <t>Filled</t>
        </is>
      </c>
      <c r="N483" t="inlineStr">
        <is>
          <t>61000.00 2026</t>
        </is>
      </c>
      <c r="O483" t="n">
        <v>0</v>
      </c>
      <c r="P483" t="inlineStr">
        <is>
          <t>University adapter</t>
        </is>
      </c>
      <c r="Q483" t="inlineStr">
        <is>
          <t>Not stated on course page</t>
        </is>
      </c>
      <c r="S483" t="inlineStr"/>
      <c r="T483" t="inlineStr">
        <is>
          <t>Held: research degree (the policy states no research requirement)</t>
        </is>
      </c>
      <c r="U483" t="inlineStr"/>
      <c r="V483" t="inlineStr">
        <is>
          <t>Filled</t>
        </is>
      </c>
      <c r="W483" t="inlineStr">
        <is>
          <t>February, May, September</t>
        </is>
      </c>
      <c r="X483" t="inlineStr">
        <is>
          <t>University adapter</t>
        </is>
      </c>
      <c r="Y483" t="n">
        <v>0</v>
      </c>
      <c r="Z483" t="inlineStr">
        <is>
          <t>No</t>
        </is>
      </c>
      <c r="AA483" t="inlineStr">
        <is>
          <t>Filled</t>
        </is>
      </c>
      <c r="AB483" t="inlineStr">
        <is>
          <t>on campus</t>
        </is>
      </c>
      <c r="AC483" t="inlineStr"/>
      <c r="AD483" t="n">
        <v>0</v>
      </c>
      <c r="AE483" t="inlineStr"/>
      <c r="AF483" t="inlineStr"/>
      <c r="AG483" t="inlineStr"/>
      <c r="AH483" t="inlineStr"/>
      <c r="AI483" t="inlineStr"/>
      <c r="AJ483" t="inlineStr">
        <is>
          <t>Yes</t>
        </is>
      </c>
      <c r="AK483" t="inlineStr"/>
      <c r="AL483" t="inlineStr"/>
      <c r="AM483" t="inlineStr"/>
    </row>
    <row r="484">
      <c r="A484" t="inlineStr">
        <is>
          <t>001890G</t>
        </is>
      </c>
      <c r="B484" t="inlineStr">
        <is>
          <t>Master of Engineering (Materials Science &amp; Engineering) (Research)</t>
        </is>
      </c>
      <c r="C484" t="inlineStr">
        <is>
          <t>Masters Degree (Research)</t>
        </is>
      </c>
      <c r="D484" t="inlineStr">
        <is>
          <t>Research degree</t>
        </is>
      </c>
      <c r="E484" t="inlineStr">
        <is>
          <t>Advertised: official page in place</t>
        </is>
      </c>
      <c r="F484" t="inlineStr">
        <is>
          <t>https://www.handbook.unsw.edu.au/research/programs/2026/2175</t>
        </is>
      </c>
      <c r="G484" t="inlineStr">
        <is>
          <t>https://www.handbook.unsw.edu.au/research/programs/2026/2175</t>
        </is>
      </c>
      <c r="H484" t="inlineStr">
        <is>
          <t>Read</t>
        </is>
      </c>
      <c r="I484" t="inlineStr">
        <is>
          <t>CRICOS code on page</t>
        </is>
      </c>
      <c r="J484" t="inlineStr"/>
      <c r="K484" t="inlineStr">
        <is>
          <t>Not sent to re-link</t>
        </is>
      </c>
      <c r="L484" t="inlineStr">
        <is>
          <t>Filled</t>
        </is>
      </c>
      <c r="M484" t="inlineStr">
        <is>
          <t>Not stated on course page</t>
        </is>
      </c>
      <c r="N484" t="inlineStr"/>
      <c r="O484" t="n">
        <v>0</v>
      </c>
      <c r="P484" t="inlineStr"/>
      <c r="Q484" t="inlineStr">
        <is>
          <t>Not stated on course page</t>
        </is>
      </c>
      <c r="S484" t="inlineStr"/>
      <c r="T484" t="inlineStr">
        <is>
          <t>Held: research degree (the policy states no research requirement)</t>
        </is>
      </c>
      <c r="U484" t="inlineStr"/>
      <c r="V484" t="inlineStr">
        <is>
          <t>Filled</t>
        </is>
      </c>
      <c r="W484" t="inlineStr">
        <is>
          <t>January, February, May, September</t>
        </is>
      </c>
      <c r="X484" t="inlineStr">
        <is>
          <t>University adapter</t>
        </is>
      </c>
      <c r="Y484" t="n">
        <v>0</v>
      </c>
      <c r="Z484" t="inlineStr">
        <is>
          <t>No</t>
        </is>
      </c>
      <c r="AA484" t="inlineStr">
        <is>
          <t>Filled</t>
        </is>
      </c>
      <c r="AB484" t="inlineStr">
        <is>
          <t>on campus</t>
        </is>
      </c>
      <c r="AC484" t="inlineStr"/>
      <c r="AD484" t="n">
        <v>0</v>
      </c>
      <c r="AE484" t="inlineStr"/>
      <c r="AF484" t="inlineStr"/>
      <c r="AG484" t="inlineStr"/>
      <c r="AH484" t="inlineStr"/>
      <c r="AI484" t="inlineStr"/>
      <c r="AJ484" t="inlineStr">
        <is>
          <t>Yes</t>
        </is>
      </c>
      <c r="AK484" t="inlineStr"/>
      <c r="AL484" t="inlineStr"/>
      <c r="AM484" t="inlineStr"/>
    </row>
    <row r="485">
      <c r="A485" t="inlineStr">
        <is>
          <t>085779A</t>
        </is>
      </c>
      <c r="B485" t="inlineStr">
        <is>
          <t>Master of Engineering (Mechanical Engineering)</t>
        </is>
      </c>
      <c r="C485" t="inlineStr">
        <is>
          <t>Masters Degree (Research)</t>
        </is>
      </c>
      <c r="D485" t="inlineStr">
        <is>
          <t>Research degree</t>
        </is>
      </c>
      <c r="E485" t="inlineStr">
        <is>
          <t>Advertised: official page in place</t>
        </is>
      </c>
      <c r="F485" t="inlineStr">
        <is>
          <t>https://www.unsw.edu.au/study/postgraduate/master-of-engineering-mechanical-engineering</t>
        </is>
      </c>
      <c r="G485" t="inlineStr">
        <is>
          <t>https://www.unsw.edu.au/study/postgraduate/master-of-engineering-mechanical-engineering</t>
        </is>
      </c>
      <c r="H485" t="inlineStr">
        <is>
          <t>Read</t>
        </is>
      </c>
      <c r="I485" t="inlineStr">
        <is>
          <t>Exact title match</t>
        </is>
      </c>
      <c r="J485" t="inlineStr"/>
      <c r="K485" t="inlineStr">
        <is>
          <t>Not sent to re-link</t>
        </is>
      </c>
      <c r="L485" t="inlineStr">
        <is>
          <t>Filled</t>
        </is>
      </c>
      <c r="M485" t="inlineStr">
        <is>
          <t>Filled</t>
        </is>
      </c>
      <c r="N485" t="inlineStr">
        <is>
          <t>61000.00 2026</t>
        </is>
      </c>
      <c r="O485" t="n">
        <v>0</v>
      </c>
      <c r="P485" t="inlineStr">
        <is>
          <t>University adapter</t>
        </is>
      </c>
      <c r="Q485" t="inlineStr">
        <is>
          <t>Not stated on course page</t>
        </is>
      </c>
      <c r="S485" t="inlineStr"/>
      <c r="T485" t="inlineStr">
        <is>
          <t>Held: research degree (the policy states no research requirement)</t>
        </is>
      </c>
      <c r="U485" t="inlineStr"/>
      <c r="V485" t="inlineStr">
        <is>
          <t>Filled</t>
        </is>
      </c>
      <c r="W485" t="inlineStr">
        <is>
          <t>February, May, September</t>
        </is>
      </c>
      <c r="X485" t="inlineStr">
        <is>
          <t>University adapter</t>
        </is>
      </c>
      <c r="Y485" t="n">
        <v>0</v>
      </c>
      <c r="Z485" t="inlineStr">
        <is>
          <t>No</t>
        </is>
      </c>
      <c r="AA485" t="inlineStr">
        <is>
          <t>Filled</t>
        </is>
      </c>
      <c r="AB485" t="inlineStr">
        <is>
          <t>on campus</t>
        </is>
      </c>
      <c r="AC485" t="inlineStr"/>
      <c r="AD485" t="n">
        <v>0</v>
      </c>
      <c r="AE485" t="inlineStr"/>
      <c r="AF485" t="inlineStr"/>
      <c r="AG485" t="inlineStr"/>
      <c r="AH485" t="inlineStr"/>
      <c r="AI485" t="inlineStr"/>
      <c r="AJ485" t="inlineStr">
        <is>
          <t>Yes</t>
        </is>
      </c>
      <c r="AK485" t="inlineStr"/>
      <c r="AL485" t="inlineStr"/>
      <c r="AM485" t="inlineStr"/>
    </row>
    <row r="486">
      <c r="A486" t="inlineStr">
        <is>
          <t>113184C</t>
        </is>
      </c>
      <c r="B486" t="inlineStr">
        <is>
          <t>Master of Engineering Research</t>
        </is>
      </c>
      <c r="C486" t="inlineStr">
        <is>
          <t>Masters Degree (Research)</t>
        </is>
      </c>
      <c r="D486" t="inlineStr">
        <is>
          <t>Research degree</t>
        </is>
      </c>
      <c r="E486" t="inlineStr">
        <is>
          <t>Held: page found is for another course</t>
        </is>
      </c>
      <c r="F486" t="inlineStr"/>
      <c r="G486" t="inlineStr">
        <is>
          <t>https://www.handbook.unsw.edu.au/research/programs/2026/2651</t>
        </is>
      </c>
      <c r="H486" t="inlineStr">
        <is>
          <t>Page is for another course</t>
        </is>
      </c>
      <c r="I486" t="inlineStr"/>
      <c r="J486" t="inlineStr"/>
      <c r="K486" t="inlineStr">
        <is>
          <t>Finished, no page: no address from the university's address forms or stored lis</t>
        </is>
      </c>
      <c r="L486" t="inlineStr">
        <is>
          <t>Searching for course page</t>
        </is>
      </c>
      <c r="M486" t="inlineStr">
        <is>
          <t>Searching for course page</t>
        </is>
      </c>
      <c r="N486" t="inlineStr"/>
      <c r="O486" t="n">
        <v>0</v>
      </c>
      <c r="P486" t="inlineStr"/>
      <c r="Q486" t="inlineStr">
        <is>
          <t>Searching for course page</t>
        </is>
      </c>
      <c r="S486" t="inlineStr"/>
      <c r="T486" t="inlineStr">
        <is>
          <t>Held: research degree (the policy states no research requirement)</t>
        </is>
      </c>
      <c r="U486" t="inlineStr"/>
      <c r="V486" t="inlineStr">
        <is>
          <t>Searching for course page</t>
        </is>
      </c>
      <c r="W486" t="inlineStr"/>
      <c r="X486" t="inlineStr"/>
      <c r="Y486" t="n">
        <v>0</v>
      </c>
      <c r="Z486" t="inlineStr">
        <is>
          <t>No</t>
        </is>
      </c>
      <c r="AA486" t="inlineStr">
        <is>
          <t>Not stated on course page</t>
        </is>
      </c>
      <c r="AB486" t="inlineStr"/>
      <c r="AC486" t="inlineStr">
        <is>
          <t>Skipped: no correct course page: the page found is for another course</t>
        </is>
      </c>
      <c r="AD486" t="n">
        <v>0</v>
      </c>
      <c r="AE486" t="inlineStr"/>
      <c r="AF486" t="inlineStr"/>
      <c r="AG486" t="inlineStr"/>
      <c r="AH486" t="inlineStr"/>
      <c r="AI486" t="inlineStr"/>
      <c r="AJ486" t="inlineStr">
        <is>
          <t>Yes</t>
        </is>
      </c>
      <c r="AK486" t="inlineStr"/>
      <c r="AL486" t="inlineStr"/>
      <c r="AM486" t="inlineStr"/>
    </row>
    <row r="487">
      <c r="A487" t="inlineStr">
        <is>
          <t>084282A</t>
        </is>
      </c>
      <c r="B487" t="inlineStr">
        <is>
          <t>Master of Engineering Science</t>
        </is>
      </c>
      <c r="C487" t="inlineStr">
        <is>
          <t>Masters Degree (Coursework)</t>
        </is>
      </c>
      <c r="D487" t="inlineStr">
        <is>
          <t>Postgraduate coursework</t>
        </is>
      </c>
      <c r="E487" t="inlineStr">
        <is>
          <t>Advertised: official page in place</t>
        </is>
      </c>
      <c r="F487" t="inlineStr">
        <is>
          <t>https://www.unsw.edu.au/study/postgraduate/master-of-engineering-science</t>
        </is>
      </c>
      <c r="G487" t="inlineStr">
        <is>
          <t>https://www.unsw.edu.au/study/postgraduate/master-of-engineering-science</t>
        </is>
      </c>
      <c r="H487" t="inlineStr">
        <is>
          <t>Read</t>
        </is>
      </c>
      <c r="I487" t="inlineStr">
        <is>
          <t>CRICOS code on page</t>
        </is>
      </c>
      <c r="J487" t="inlineStr"/>
      <c r="K487" t="inlineStr">
        <is>
          <t>Not sent to re-link</t>
        </is>
      </c>
      <c r="L487" t="inlineStr">
        <is>
          <t>Filled</t>
        </is>
      </c>
      <c r="M487" t="inlineStr">
        <is>
          <t>Filled</t>
        </is>
      </c>
      <c r="N487" t="inlineStr">
        <is>
          <t>61000.00 2026</t>
        </is>
      </c>
      <c r="O487" t="n">
        <v>0</v>
      </c>
      <c r="P487" t="inlineStr">
        <is>
          <t>University adapter</t>
        </is>
      </c>
      <c r="Q487" t="inlineStr">
        <is>
          <t>Filled</t>
        </is>
      </c>
      <c r="R487" t="n">
        <v>6</v>
      </c>
      <c r="S487" t="inlineStr">
        <is>
          <t>Central English policy</t>
        </is>
      </c>
      <c r="T487" t="inlineStr">
        <is>
          <t>Central rule applies (value agrees)</t>
        </is>
      </c>
      <c r="U487" t="inlineStr"/>
      <c r="V487" t="inlineStr">
        <is>
          <t>Filled</t>
        </is>
      </c>
      <c r="W487" t="inlineStr">
        <is>
          <t>February, May, September</t>
        </is>
      </c>
      <c r="X487" t="inlineStr">
        <is>
          <t>University adapter</t>
        </is>
      </c>
      <c r="Y487" t="n">
        <v>0</v>
      </c>
      <c r="Z487" t="inlineStr">
        <is>
          <t>No</t>
        </is>
      </c>
      <c r="AA487" t="inlineStr">
        <is>
          <t>Filled</t>
        </is>
      </c>
      <c r="AB487" t="inlineStr">
        <is>
          <t>on campus</t>
        </is>
      </c>
      <c r="AC487" t="inlineStr"/>
      <c r="AD487" t="n">
        <v>0</v>
      </c>
      <c r="AE487" t="inlineStr"/>
      <c r="AF487" t="inlineStr"/>
      <c r="AG487" t="inlineStr"/>
      <c r="AH487" t="inlineStr"/>
      <c r="AI487" t="inlineStr"/>
      <c r="AJ487" t="inlineStr"/>
      <c r="AK487" t="inlineStr"/>
      <c r="AL487" t="inlineStr"/>
      <c r="AM487" t="inlineStr"/>
    </row>
    <row r="488">
      <c r="A488" t="inlineStr">
        <is>
          <t>108472D</t>
        </is>
      </c>
      <c r="B488" t="inlineStr">
        <is>
          <t>Master of Engineering Science / Master of Commerce</t>
        </is>
      </c>
      <c r="C488" t="inlineStr">
        <is>
          <t>Masters Degree (Coursework)</t>
        </is>
      </c>
      <c r="D488" t="inlineStr">
        <is>
          <t>Postgraduate coursework</t>
        </is>
      </c>
      <c r="E488" t="inlineStr">
        <is>
          <t>Advertised: official page in place</t>
        </is>
      </c>
      <c r="F488" t="inlineStr">
        <is>
          <t>https://www.unsw.edu.au/study/postgraduate/master-of-engineering-science-commerce</t>
        </is>
      </c>
      <c r="G488" t="inlineStr">
        <is>
          <t>https://www.unsw.edu.au/study/postgraduate/master-of-engineering-science-commerce</t>
        </is>
      </c>
      <c r="H488" t="inlineStr">
        <is>
          <t>Read</t>
        </is>
      </c>
      <c r="I488" t="inlineStr">
        <is>
          <t>CRICOS code on page</t>
        </is>
      </c>
      <c r="J488" t="inlineStr"/>
      <c r="K488" t="inlineStr">
        <is>
          <t>Not sent to re-link</t>
        </is>
      </c>
      <c r="L488" t="inlineStr">
        <is>
          <t>Filled</t>
        </is>
      </c>
      <c r="M488" t="inlineStr">
        <is>
          <t>Filled</t>
        </is>
      </c>
      <c r="N488" t="inlineStr">
        <is>
          <t>61500.00 2026</t>
        </is>
      </c>
      <c r="O488" t="n">
        <v>0</v>
      </c>
      <c r="P488" t="inlineStr">
        <is>
          <t>University adapter</t>
        </is>
      </c>
      <c r="Q488" t="inlineStr">
        <is>
          <t>Filled</t>
        </is>
      </c>
      <c r="R488" t="n">
        <v>6</v>
      </c>
      <c r="S488" t="inlineStr">
        <is>
          <t>Central English policy</t>
        </is>
      </c>
      <c r="T488" t="inlineStr">
        <is>
          <t>Central rule applies (value agrees)</t>
        </is>
      </c>
      <c r="U488" t="inlineStr"/>
      <c r="V488" t="inlineStr">
        <is>
          <t>Filled</t>
        </is>
      </c>
      <c r="W488" t="inlineStr">
        <is>
          <t>February, May, September</t>
        </is>
      </c>
      <c r="X488" t="inlineStr">
        <is>
          <t>University adapter</t>
        </is>
      </c>
      <c r="Y488" t="n">
        <v>0</v>
      </c>
      <c r="Z488" t="inlineStr">
        <is>
          <t>No</t>
        </is>
      </c>
      <c r="AA488" t="inlineStr">
        <is>
          <t>Filled</t>
        </is>
      </c>
      <c r="AB488" t="inlineStr">
        <is>
          <t>on campus</t>
        </is>
      </c>
      <c r="AC488" t="inlineStr"/>
      <c r="AD488" t="n">
        <v>0</v>
      </c>
      <c r="AE488" t="inlineStr"/>
      <c r="AF488" t="inlineStr"/>
      <c r="AG488" t="inlineStr"/>
      <c r="AH488" t="inlineStr"/>
      <c r="AI488" t="inlineStr"/>
      <c r="AJ488" t="inlineStr"/>
      <c r="AK488" t="inlineStr"/>
      <c r="AL488" t="inlineStr"/>
      <c r="AM488" t="inlineStr"/>
    </row>
    <row r="489">
      <c r="A489" t="inlineStr">
        <is>
          <t>080063M</t>
        </is>
      </c>
      <c r="B489" t="inlineStr">
        <is>
          <t>Master of Environmental Management</t>
        </is>
      </c>
      <c r="C489" t="inlineStr">
        <is>
          <t>Masters Degree (Coursework)</t>
        </is>
      </c>
      <c r="D489" t="inlineStr">
        <is>
          <t>Postgraduate coursework</t>
        </is>
      </c>
      <c r="E489" t="inlineStr">
        <is>
          <t>Advertised: official page in place</t>
        </is>
      </c>
      <c r="F489" t="inlineStr">
        <is>
          <t>https://www.unsw.edu.au/study/postgraduate/master-of-environmental-management</t>
        </is>
      </c>
      <c r="G489" t="inlineStr">
        <is>
          <t>https://www.unsw.edu.au/study/postgraduate/master-of-environmental-management</t>
        </is>
      </c>
      <c r="H489" t="inlineStr">
        <is>
          <t>Read</t>
        </is>
      </c>
      <c r="I489" t="inlineStr">
        <is>
          <t>CRICOS code on page</t>
        </is>
      </c>
      <c r="J489" t="inlineStr"/>
      <c r="K489" t="inlineStr">
        <is>
          <t>Not sent to re-link</t>
        </is>
      </c>
      <c r="L489" t="inlineStr">
        <is>
          <t>Filled</t>
        </is>
      </c>
      <c r="M489" t="inlineStr">
        <is>
          <t>Filled</t>
        </is>
      </c>
      <c r="N489" t="inlineStr">
        <is>
          <t>51500.00 2026</t>
        </is>
      </c>
      <c r="O489" t="n">
        <v>0</v>
      </c>
      <c r="P489" t="inlineStr">
        <is>
          <t>University adapter</t>
        </is>
      </c>
      <c r="Q489" t="inlineStr">
        <is>
          <t>Filled</t>
        </is>
      </c>
      <c r="R489" t="n">
        <v>6</v>
      </c>
      <c r="S489" t="inlineStr">
        <is>
          <t>Central English policy</t>
        </is>
      </c>
      <c r="T489" t="inlineStr">
        <is>
          <t>Central rule applies (value agrees)</t>
        </is>
      </c>
      <c r="U489" t="inlineStr"/>
      <c r="V489" t="inlineStr">
        <is>
          <t>Filled</t>
        </is>
      </c>
      <c r="W489" t="inlineStr">
        <is>
          <t>February, May, September</t>
        </is>
      </c>
      <c r="X489" t="inlineStr">
        <is>
          <t>University adapter</t>
        </is>
      </c>
      <c r="Y489" t="n">
        <v>0</v>
      </c>
      <c r="Z489" t="inlineStr">
        <is>
          <t>No</t>
        </is>
      </c>
      <c r="AA489" t="inlineStr">
        <is>
          <t>Filled</t>
        </is>
      </c>
      <c r="AB489" t="inlineStr">
        <is>
          <t>on campus and online</t>
        </is>
      </c>
      <c r="AC489" t="inlineStr"/>
      <c r="AD489" t="n">
        <v>0</v>
      </c>
      <c r="AE489" t="inlineStr"/>
      <c r="AF489" t="inlineStr"/>
      <c r="AG489" t="inlineStr"/>
      <c r="AH489" t="inlineStr"/>
      <c r="AI489" t="inlineStr"/>
      <c r="AJ489" t="inlineStr"/>
      <c r="AK489" t="inlineStr"/>
      <c r="AL489" t="inlineStr"/>
      <c r="AM489" t="inlineStr"/>
    </row>
    <row r="490">
      <c r="A490" t="inlineStr">
        <is>
          <t>038393J</t>
        </is>
      </c>
      <c r="B490" t="inlineStr">
        <is>
          <t>Master of Finance</t>
        </is>
      </c>
      <c r="C490" t="inlineStr">
        <is>
          <t>Masters Degree (Coursework)</t>
        </is>
      </c>
      <c r="D490" t="inlineStr">
        <is>
          <t>Postgraduate coursework</t>
        </is>
      </c>
      <c r="E490" t="inlineStr">
        <is>
          <t>Advertised: official page in place</t>
        </is>
      </c>
      <c r="F490" t="inlineStr">
        <is>
          <t>https://www.unsw.edu.au/study/postgraduate/master-of-finance</t>
        </is>
      </c>
      <c r="G490" t="inlineStr">
        <is>
          <t>https://www.unsw.edu.au/study/postgraduate/master-of-finance</t>
        </is>
      </c>
      <c r="H490" t="inlineStr">
        <is>
          <t>Read</t>
        </is>
      </c>
      <c r="I490" t="inlineStr">
        <is>
          <t>Exact title match</t>
        </is>
      </c>
      <c r="J490" t="inlineStr"/>
      <c r="K490" t="inlineStr">
        <is>
          <t>Not sent to re-link</t>
        </is>
      </c>
      <c r="L490" t="inlineStr">
        <is>
          <t>Filled</t>
        </is>
      </c>
      <c r="M490" t="inlineStr">
        <is>
          <t>Filled</t>
        </is>
      </c>
      <c r="N490" t="inlineStr">
        <is>
          <t>62000.00 2026</t>
        </is>
      </c>
      <c r="O490" t="n">
        <v>0</v>
      </c>
      <c r="P490" t="inlineStr">
        <is>
          <t>University adapter</t>
        </is>
      </c>
      <c r="Q490" t="inlineStr">
        <is>
          <t>Filled</t>
        </is>
      </c>
      <c r="R490" t="n">
        <v>6</v>
      </c>
      <c r="S490" t="inlineStr">
        <is>
          <t>Central English policy</t>
        </is>
      </c>
      <c r="T490" t="inlineStr">
        <is>
          <t>Central rule applies (value agrees)</t>
        </is>
      </c>
      <c r="U490" t="inlineStr"/>
      <c r="V490" t="inlineStr">
        <is>
          <t>Filled</t>
        </is>
      </c>
      <c r="W490" t="inlineStr">
        <is>
          <t>February, May, September</t>
        </is>
      </c>
      <c r="X490" t="inlineStr">
        <is>
          <t>Other</t>
        </is>
      </c>
      <c r="Y490" t="n">
        <v>0</v>
      </c>
      <c r="Z490" t="inlineStr">
        <is>
          <t>No</t>
        </is>
      </c>
      <c r="AA490" t="inlineStr">
        <is>
          <t>Filled</t>
        </is>
      </c>
      <c r="AB490" t="inlineStr">
        <is>
          <t>on campus</t>
        </is>
      </c>
      <c r="AC490" t="inlineStr"/>
      <c r="AD490" t="n">
        <v>0</v>
      </c>
      <c r="AE490" t="inlineStr"/>
      <c r="AF490" t="inlineStr"/>
      <c r="AG490" t="inlineStr"/>
      <c r="AH490" t="inlineStr"/>
      <c r="AI490" t="inlineStr"/>
      <c r="AJ490" t="inlineStr"/>
      <c r="AK490" t="inlineStr"/>
      <c r="AL490" t="inlineStr"/>
      <c r="AM490" t="inlineStr"/>
    </row>
    <row r="491">
      <c r="A491" t="inlineStr">
        <is>
          <t>116979K</t>
        </is>
      </c>
      <c r="B491" t="inlineStr">
        <is>
          <t>Master of Finance</t>
        </is>
      </c>
      <c r="C491" t="inlineStr">
        <is>
          <t>Masters Degree (Coursework)</t>
        </is>
      </c>
      <c r="D491" t="inlineStr">
        <is>
          <t>Postgraduate coursework</t>
        </is>
      </c>
      <c r="E491" t="inlineStr">
        <is>
          <t>Advertised: official page in place</t>
        </is>
      </c>
      <c r="F491" t="inlineStr">
        <is>
          <t>https://www.unsw.edu.au/study/postgraduate/master-of-finance</t>
        </is>
      </c>
      <c r="G491" t="inlineStr">
        <is>
          <t>https://www.unsw.edu.au/study/postgraduate/master-of-finance</t>
        </is>
      </c>
      <c r="H491" t="inlineStr">
        <is>
          <t>Read</t>
        </is>
      </c>
      <c r="I491" t="inlineStr">
        <is>
          <t>CRICOS code on page</t>
        </is>
      </c>
      <c r="J491" t="inlineStr"/>
      <c r="K491" t="inlineStr">
        <is>
          <t>Not sent to re-link</t>
        </is>
      </c>
      <c r="L491" t="inlineStr">
        <is>
          <t>Filled</t>
        </is>
      </c>
      <c r="M491" t="inlineStr">
        <is>
          <t>Filled</t>
        </is>
      </c>
      <c r="N491" t="inlineStr">
        <is>
          <t>62000.00 2026</t>
        </is>
      </c>
      <c r="O491" t="n">
        <v>0</v>
      </c>
      <c r="P491" t="inlineStr">
        <is>
          <t>University adapter</t>
        </is>
      </c>
      <c r="Q491" t="inlineStr">
        <is>
          <t>Filled</t>
        </is>
      </c>
      <c r="R491" t="n">
        <v>6</v>
      </c>
      <c r="S491" t="inlineStr">
        <is>
          <t>Central English policy</t>
        </is>
      </c>
      <c r="T491" t="inlineStr">
        <is>
          <t>Central rule applies (value agrees)</t>
        </is>
      </c>
      <c r="U491" t="inlineStr"/>
      <c r="V491" t="inlineStr">
        <is>
          <t>Filled</t>
        </is>
      </c>
      <c r="W491" t="inlineStr">
        <is>
          <t>February, May, September</t>
        </is>
      </c>
      <c r="X491" t="inlineStr">
        <is>
          <t>University adapter</t>
        </is>
      </c>
      <c r="Y491" t="n">
        <v>0</v>
      </c>
      <c r="Z491" t="inlineStr">
        <is>
          <t>No</t>
        </is>
      </c>
      <c r="AA491" t="inlineStr">
        <is>
          <t>Filled</t>
        </is>
      </c>
      <c r="AB491" t="inlineStr">
        <is>
          <t>on campus</t>
        </is>
      </c>
      <c r="AC491" t="inlineStr"/>
      <c r="AD491" t="n">
        <v>0</v>
      </c>
      <c r="AE491" t="inlineStr"/>
      <c r="AF491" t="inlineStr"/>
      <c r="AG491" t="inlineStr"/>
      <c r="AH491" t="inlineStr"/>
      <c r="AI491" t="inlineStr"/>
      <c r="AJ491" t="inlineStr"/>
      <c r="AK491" t="inlineStr"/>
      <c r="AL491" t="inlineStr"/>
      <c r="AM491" t="inlineStr"/>
    </row>
    <row r="492">
      <c r="A492" t="inlineStr">
        <is>
          <t>058933J</t>
        </is>
      </c>
      <c r="B492" t="inlineStr">
        <is>
          <t>Master of Financial Analysis</t>
        </is>
      </c>
      <c r="C492" t="inlineStr">
        <is>
          <t>Masters Degree (Coursework)</t>
        </is>
      </c>
      <c r="D492" t="inlineStr">
        <is>
          <t>Postgraduate coursework</t>
        </is>
      </c>
      <c r="E492" t="inlineStr">
        <is>
          <t>Advertised: official page in place</t>
        </is>
      </c>
      <c r="F492" t="inlineStr">
        <is>
          <t>https://www.unsw.edu.au/study/postgraduate/master-of-financial-analysis</t>
        </is>
      </c>
      <c r="G492" t="inlineStr">
        <is>
          <t>https://www.unsw.edu.au/study/postgraduate/master-of-financial-analysis</t>
        </is>
      </c>
      <c r="H492" t="inlineStr">
        <is>
          <t>Read</t>
        </is>
      </c>
      <c r="I492" t="inlineStr">
        <is>
          <t>CRICOS code on page</t>
        </is>
      </c>
      <c r="J492" t="inlineStr"/>
      <c r="K492" t="inlineStr">
        <is>
          <t>Not sent to re-link</t>
        </is>
      </c>
      <c r="L492" t="inlineStr">
        <is>
          <t>Filled</t>
        </is>
      </c>
      <c r="M492" t="inlineStr">
        <is>
          <t>Filled</t>
        </is>
      </c>
      <c r="N492" t="inlineStr">
        <is>
          <t>62000.00 2026</t>
        </is>
      </c>
      <c r="O492" t="n">
        <v>0</v>
      </c>
      <c r="P492" t="inlineStr">
        <is>
          <t>University adapter</t>
        </is>
      </c>
      <c r="Q492" t="inlineStr">
        <is>
          <t>Filled</t>
        </is>
      </c>
      <c r="R492" t="n">
        <v>6</v>
      </c>
      <c r="S492" t="inlineStr">
        <is>
          <t>Central English policy</t>
        </is>
      </c>
      <c r="T492" t="inlineStr">
        <is>
          <t>Central rule applies (value agrees)</t>
        </is>
      </c>
      <c r="U492" t="inlineStr"/>
      <c r="V492" t="inlineStr">
        <is>
          <t>Filled</t>
        </is>
      </c>
      <c r="W492" t="inlineStr">
        <is>
          <t>February, May, September</t>
        </is>
      </c>
      <c r="X492" t="inlineStr">
        <is>
          <t>University adapter</t>
        </is>
      </c>
      <c r="Y492" t="n">
        <v>0</v>
      </c>
      <c r="Z492" t="inlineStr">
        <is>
          <t>No</t>
        </is>
      </c>
      <c r="AA492" t="inlineStr">
        <is>
          <t>Filled</t>
        </is>
      </c>
      <c r="AB492" t="inlineStr">
        <is>
          <t>on campus</t>
        </is>
      </c>
      <c r="AC492" t="inlineStr"/>
      <c r="AD492" t="n">
        <v>0</v>
      </c>
      <c r="AE492" t="inlineStr"/>
      <c r="AF492" t="inlineStr"/>
      <c r="AG492" t="inlineStr"/>
      <c r="AH492" t="inlineStr"/>
      <c r="AI492" t="inlineStr"/>
      <c r="AJ492" t="inlineStr"/>
      <c r="AK492" t="inlineStr"/>
      <c r="AL492" t="inlineStr"/>
      <c r="AM492" t="inlineStr"/>
    </row>
    <row r="493">
      <c r="A493" t="inlineStr">
        <is>
          <t>058739M</t>
        </is>
      </c>
      <c r="B493" t="inlineStr">
        <is>
          <t>Master of Financial Mathematics</t>
        </is>
      </c>
      <c r="C493" t="inlineStr">
        <is>
          <t>Masters Degree (Coursework)</t>
        </is>
      </c>
      <c r="D493" t="inlineStr">
        <is>
          <t>Postgraduate coursework</t>
        </is>
      </c>
      <c r="E493" t="inlineStr">
        <is>
          <t>Advertised: official page in place</t>
        </is>
      </c>
      <c r="F493" t="inlineStr">
        <is>
          <t>https://www.unsw.edu.au/study/postgraduate/master-of-financial-mathematics</t>
        </is>
      </c>
      <c r="G493" t="inlineStr">
        <is>
          <t>https://www.unsw.edu.au/study/postgraduate/master-of-financial-mathematics</t>
        </is>
      </c>
      <c r="H493" t="inlineStr">
        <is>
          <t>Read</t>
        </is>
      </c>
      <c r="I493" t="inlineStr">
        <is>
          <t>CRICOS code on page</t>
        </is>
      </c>
      <c r="J493" t="inlineStr"/>
      <c r="K493" t="inlineStr">
        <is>
          <t>Not sent to re-link</t>
        </is>
      </c>
      <c r="L493" t="inlineStr">
        <is>
          <t>Filled</t>
        </is>
      </c>
      <c r="M493" t="inlineStr">
        <is>
          <t>Filled</t>
        </is>
      </c>
      <c r="N493" t="inlineStr">
        <is>
          <t>60500.00 2026</t>
        </is>
      </c>
      <c r="O493" t="n">
        <v>0</v>
      </c>
      <c r="P493" t="inlineStr">
        <is>
          <t>University adapter</t>
        </is>
      </c>
      <c r="Q493" t="inlineStr">
        <is>
          <t>Filled</t>
        </is>
      </c>
      <c r="R493" t="n">
        <v>6</v>
      </c>
      <c r="S493" t="inlineStr">
        <is>
          <t>Central English policy</t>
        </is>
      </c>
      <c r="T493" t="inlineStr">
        <is>
          <t>Central rule applies (value agrees)</t>
        </is>
      </c>
      <c r="U493" t="inlineStr"/>
      <c r="V493" t="inlineStr">
        <is>
          <t>Filled</t>
        </is>
      </c>
      <c r="W493" t="inlineStr">
        <is>
          <t>February</t>
        </is>
      </c>
      <c r="X493" t="inlineStr">
        <is>
          <t>University adapter</t>
        </is>
      </c>
      <c r="Y493" t="n">
        <v>0</v>
      </c>
      <c r="Z493" t="inlineStr">
        <is>
          <t>No</t>
        </is>
      </c>
      <c r="AA493" t="inlineStr">
        <is>
          <t>Filled</t>
        </is>
      </c>
      <c r="AB493" t="inlineStr">
        <is>
          <t>on campus</t>
        </is>
      </c>
      <c r="AC493" t="inlineStr"/>
      <c r="AD493" t="n">
        <v>0</v>
      </c>
      <c r="AE493" t="inlineStr"/>
      <c r="AF493" t="inlineStr"/>
      <c r="AG493" t="inlineStr"/>
      <c r="AH493" t="inlineStr"/>
      <c r="AI493" t="inlineStr"/>
      <c r="AJ493" t="inlineStr"/>
      <c r="AK493" t="inlineStr"/>
      <c r="AL493" t="inlineStr"/>
      <c r="AM493" t="inlineStr"/>
    </row>
    <row r="494">
      <c r="A494" t="inlineStr">
        <is>
          <t>075258J</t>
        </is>
      </c>
      <c r="B494" t="inlineStr">
        <is>
          <t>Master of Financial Planning</t>
        </is>
      </c>
      <c r="C494" t="inlineStr">
        <is>
          <t>Masters Degree (Coursework)</t>
        </is>
      </c>
      <c r="D494" t="inlineStr">
        <is>
          <t>Postgraduate coursework</t>
        </is>
      </c>
      <c r="E494" t="inlineStr">
        <is>
          <t>Page address no longer works</t>
        </is>
      </c>
      <c r="F494" t="inlineStr"/>
      <c r="G494" t="inlineStr">
        <is>
          <t>https://www.handbook.unsw.edu.au/postgraduate/programs/2026/7273</t>
        </is>
      </c>
      <c r="H494" t="inlineStr">
        <is>
          <t>Address no longer works</t>
        </is>
      </c>
      <c r="I494" t="inlineStr"/>
      <c r="J494" t="inlineStr"/>
      <c r="K494" t="inlineStr">
        <is>
          <t>Not sent to re-link</t>
        </is>
      </c>
      <c r="L494" t="inlineStr">
        <is>
          <t>Page found, being read</t>
        </is>
      </c>
      <c r="M494" t="inlineStr">
        <is>
          <t>Page found, being read</t>
        </is>
      </c>
      <c r="N494" t="inlineStr"/>
      <c r="O494" t="n">
        <v>0</v>
      </c>
      <c r="P494" t="inlineStr"/>
      <c r="Q494" t="inlineStr">
        <is>
          <t>Filled</t>
        </is>
      </c>
      <c r="R494" t="n">
        <v>6</v>
      </c>
      <c r="S494" t="inlineStr">
        <is>
          <t>Central English policy</t>
        </is>
      </c>
      <c r="T494" t="inlineStr">
        <is>
          <t>Central rule applies (value agrees)</t>
        </is>
      </c>
      <c r="U494" t="inlineStr"/>
      <c r="V494" t="inlineStr">
        <is>
          <t>Page found, being read</t>
        </is>
      </c>
      <c r="W494" t="inlineStr"/>
      <c r="X494" t="inlineStr"/>
      <c r="Y494" t="n">
        <v>0</v>
      </c>
      <c r="Z494" t="inlineStr">
        <is>
          <t>No</t>
        </is>
      </c>
      <c r="AA494" t="inlineStr">
        <is>
          <t>Not stated on course page</t>
        </is>
      </c>
      <c r="AB494" t="inlineStr"/>
      <c r="AC494" t="inlineStr">
        <is>
          <t>Skipped: no allowed source had a value</t>
        </is>
      </c>
      <c r="AD494" t="n">
        <v>0</v>
      </c>
      <c r="AE494" t="inlineStr"/>
      <c r="AF494" t="inlineStr"/>
      <c r="AG494" t="inlineStr"/>
      <c r="AH494" t="inlineStr"/>
      <c r="AI494" t="inlineStr"/>
      <c r="AJ494" t="inlineStr"/>
      <c r="AK494" t="inlineStr"/>
      <c r="AL494" t="inlineStr"/>
      <c r="AM494" t="inlineStr"/>
    </row>
    <row r="495">
      <c r="A495" t="inlineStr">
        <is>
          <t>009493A</t>
        </is>
      </c>
      <c r="B495" t="inlineStr">
        <is>
          <t>Master of Fine Arts - By Research</t>
        </is>
      </c>
      <c r="C495" t="inlineStr">
        <is>
          <t>Masters Degree (Research)</t>
        </is>
      </c>
      <c r="D495" t="inlineStr">
        <is>
          <t>Research degree</t>
        </is>
      </c>
      <c r="E495" t="inlineStr">
        <is>
          <t>Advertised: official page in place</t>
        </is>
      </c>
      <c r="F495" t="inlineStr">
        <is>
          <t>https://www.handbook.unsw.edu.au/research/programs/2026/2245</t>
        </is>
      </c>
      <c r="G495" t="inlineStr">
        <is>
          <t>https://www.handbook.unsw.edu.au/research/programs/2026/2245</t>
        </is>
      </c>
      <c r="H495" t="inlineStr">
        <is>
          <t>Read</t>
        </is>
      </c>
      <c r="I495" t="inlineStr">
        <is>
          <t>CRICOS code on page</t>
        </is>
      </c>
      <c r="J495" t="inlineStr"/>
      <c r="K495" t="inlineStr">
        <is>
          <t>Not sent to re-link</t>
        </is>
      </c>
      <c r="L495" t="inlineStr">
        <is>
          <t>Filled</t>
        </is>
      </c>
      <c r="M495" t="inlineStr">
        <is>
          <t>Not stated on course page</t>
        </is>
      </c>
      <c r="N495" t="inlineStr"/>
      <c r="O495" t="n">
        <v>0</v>
      </c>
      <c r="P495" t="inlineStr"/>
      <c r="Q495" t="inlineStr">
        <is>
          <t>Not stated on course page</t>
        </is>
      </c>
      <c r="S495" t="inlineStr"/>
      <c r="T495" t="inlineStr">
        <is>
          <t>Held: research degree (the policy states no research requirement)</t>
        </is>
      </c>
      <c r="U495" t="inlineStr"/>
      <c r="V495" t="inlineStr">
        <is>
          <t>Filled</t>
        </is>
      </c>
      <c r="W495" t="inlineStr">
        <is>
          <t>January, February, May, September</t>
        </is>
      </c>
      <c r="X495" t="inlineStr">
        <is>
          <t>University adapter</t>
        </is>
      </c>
      <c r="Y495" t="n">
        <v>0</v>
      </c>
      <c r="Z495" t="inlineStr">
        <is>
          <t>No</t>
        </is>
      </c>
      <c r="AA495" t="inlineStr">
        <is>
          <t>Filled</t>
        </is>
      </c>
      <c r="AB495" t="inlineStr">
        <is>
          <t>on campus</t>
        </is>
      </c>
      <c r="AC495" t="inlineStr"/>
      <c r="AD495" t="n">
        <v>0</v>
      </c>
      <c r="AE495" t="inlineStr"/>
      <c r="AF495" t="inlineStr"/>
      <c r="AG495" t="inlineStr"/>
      <c r="AH495" t="inlineStr"/>
      <c r="AI495" t="inlineStr"/>
      <c r="AJ495" t="inlineStr">
        <is>
          <t>Yes</t>
        </is>
      </c>
      <c r="AK495" t="inlineStr"/>
      <c r="AL495" t="inlineStr"/>
      <c r="AM495" t="inlineStr"/>
    </row>
    <row r="496">
      <c r="A496" t="inlineStr">
        <is>
          <t>084283M</t>
        </is>
      </c>
      <c r="B496" t="inlineStr">
        <is>
          <t>Master of Food Science</t>
        </is>
      </c>
      <c r="C496" t="inlineStr">
        <is>
          <t>Masters Degree (Coursework)</t>
        </is>
      </c>
      <c r="D496" t="inlineStr">
        <is>
          <t>Postgraduate coursework</t>
        </is>
      </c>
      <c r="E496" t="inlineStr">
        <is>
          <t>Advertised: official page in place</t>
        </is>
      </c>
      <c r="F496" t="inlineStr">
        <is>
          <t>https://www.unsw.edu.au/study/postgraduate/master-of-food-science</t>
        </is>
      </c>
      <c r="G496" t="inlineStr">
        <is>
          <t>https://www.unsw.edu.au/study/postgraduate/master-of-food-science</t>
        </is>
      </c>
      <c r="H496" t="inlineStr">
        <is>
          <t>Read</t>
        </is>
      </c>
      <c r="I496" t="inlineStr">
        <is>
          <t>CRICOS code on page</t>
        </is>
      </c>
      <c r="J496" t="inlineStr"/>
      <c r="K496" t="inlineStr">
        <is>
          <t>Not sent to re-link</t>
        </is>
      </c>
      <c r="L496" t="inlineStr">
        <is>
          <t>Filled</t>
        </is>
      </c>
      <c r="M496" t="inlineStr">
        <is>
          <t>Filled</t>
        </is>
      </c>
      <c r="N496" t="inlineStr">
        <is>
          <t>61000.00 2026</t>
        </is>
      </c>
      <c r="O496" t="n">
        <v>0</v>
      </c>
      <c r="P496" t="inlineStr">
        <is>
          <t>University adapter</t>
        </is>
      </c>
      <c r="Q496" t="inlineStr">
        <is>
          <t>Filled</t>
        </is>
      </c>
      <c r="R496" t="n">
        <v>6</v>
      </c>
      <c r="S496" t="inlineStr">
        <is>
          <t>Central English policy</t>
        </is>
      </c>
      <c r="T496" t="inlineStr">
        <is>
          <t>Central rule applies (value agrees)</t>
        </is>
      </c>
      <c r="U496" t="inlineStr"/>
      <c r="V496" t="inlineStr">
        <is>
          <t>Filled</t>
        </is>
      </c>
      <c r="W496" t="inlineStr">
        <is>
          <t>February, May, September</t>
        </is>
      </c>
      <c r="X496" t="inlineStr">
        <is>
          <t>University adapter</t>
        </is>
      </c>
      <c r="Y496" t="n">
        <v>0</v>
      </c>
      <c r="Z496" t="inlineStr">
        <is>
          <t>No</t>
        </is>
      </c>
      <c r="AA496" t="inlineStr">
        <is>
          <t>Filled</t>
        </is>
      </c>
      <c r="AB496" t="inlineStr">
        <is>
          <t>on campus</t>
        </is>
      </c>
      <c r="AC496" t="inlineStr"/>
      <c r="AD496" t="n">
        <v>0</v>
      </c>
      <c r="AE496" t="inlineStr"/>
      <c r="AF496" t="inlineStr"/>
      <c r="AG496" t="inlineStr"/>
      <c r="AH496" t="inlineStr"/>
      <c r="AI496" t="inlineStr"/>
      <c r="AJ496" t="inlineStr"/>
      <c r="AK496" t="inlineStr"/>
      <c r="AL496" t="inlineStr"/>
      <c r="AM496" t="inlineStr"/>
    </row>
    <row r="497">
      <c r="A497" t="inlineStr">
        <is>
          <t>068957G</t>
        </is>
      </c>
      <c r="B497" t="inlineStr">
        <is>
          <t>Master of Global Health</t>
        </is>
      </c>
      <c r="C497" t="inlineStr">
        <is>
          <t>Masters Degree (Coursework)</t>
        </is>
      </c>
      <c r="D497" t="inlineStr">
        <is>
          <t>Postgraduate coursework</t>
        </is>
      </c>
      <c r="E497" t="inlineStr">
        <is>
          <t>Advertised: official page in place</t>
        </is>
      </c>
      <c r="F497" t="inlineStr">
        <is>
          <t>https://www.unsw.edu.au/study/postgraduate/master-of-global-health</t>
        </is>
      </c>
      <c r="G497" t="inlineStr">
        <is>
          <t>https://www.unsw.edu.au/study/postgraduate/master-of-global-health</t>
        </is>
      </c>
      <c r="H497" t="inlineStr">
        <is>
          <t>Read</t>
        </is>
      </c>
      <c r="I497" t="inlineStr">
        <is>
          <t>CRICOS code on page</t>
        </is>
      </c>
      <c r="J497" t="inlineStr"/>
      <c r="K497" t="inlineStr">
        <is>
          <t>Not sent to re-link</t>
        </is>
      </c>
      <c r="L497" t="inlineStr">
        <is>
          <t>Filled</t>
        </is>
      </c>
      <c r="M497" t="inlineStr">
        <is>
          <t>Filled</t>
        </is>
      </c>
      <c r="N497" t="inlineStr">
        <is>
          <t>60500.00 2026</t>
        </is>
      </c>
      <c r="O497" t="n">
        <v>0</v>
      </c>
      <c r="P497" t="inlineStr">
        <is>
          <t>University adapter</t>
        </is>
      </c>
      <c r="Q497" t="inlineStr">
        <is>
          <t>Filled</t>
        </is>
      </c>
      <c r="R497" t="n">
        <v>6</v>
      </c>
      <c r="S497" t="inlineStr">
        <is>
          <t>Central English policy</t>
        </is>
      </c>
      <c r="T497" t="inlineStr">
        <is>
          <t>Central rule applies (value agrees)</t>
        </is>
      </c>
      <c r="U497" t="inlineStr"/>
      <c r="V497" t="inlineStr">
        <is>
          <t>Filled</t>
        </is>
      </c>
      <c r="W497" t="inlineStr">
        <is>
          <t>February, May, September</t>
        </is>
      </c>
      <c r="X497" t="inlineStr">
        <is>
          <t>University adapter</t>
        </is>
      </c>
      <c r="Y497" t="n">
        <v>0</v>
      </c>
      <c r="Z497" t="inlineStr">
        <is>
          <t>No</t>
        </is>
      </c>
      <c r="AA497" t="inlineStr">
        <is>
          <t>Filled</t>
        </is>
      </c>
      <c r="AB497" t="inlineStr">
        <is>
          <t>on campus and online</t>
        </is>
      </c>
      <c r="AC497" t="inlineStr"/>
      <c r="AD497" t="n">
        <v>0</v>
      </c>
      <c r="AE497" t="inlineStr"/>
      <c r="AF497" t="inlineStr"/>
      <c r="AG497" t="inlineStr"/>
      <c r="AH497" t="inlineStr"/>
      <c r="AI497" t="inlineStr"/>
      <c r="AJ497" t="inlineStr"/>
      <c r="AK497" t="inlineStr"/>
      <c r="AL497" t="inlineStr"/>
      <c r="AM497" t="inlineStr"/>
    </row>
    <row r="498">
      <c r="A498" t="inlineStr">
        <is>
          <t>089221G</t>
        </is>
      </c>
      <c r="B498" t="inlineStr">
        <is>
          <t>Master of Global Health (Extension)</t>
        </is>
      </c>
      <c r="C498" t="inlineStr">
        <is>
          <t>Masters Degree (Coursework)</t>
        </is>
      </c>
      <c r="D498" t="inlineStr">
        <is>
          <t>Postgraduate coursework</t>
        </is>
      </c>
      <c r="E498" t="inlineStr">
        <is>
          <t>Advertised: official page in place</t>
        </is>
      </c>
      <c r="F498" t="inlineStr">
        <is>
          <t>https://www.unsw.edu.au/study/postgraduate/master-of-global-health-extension</t>
        </is>
      </c>
      <c r="G498" t="inlineStr">
        <is>
          <t>https://www.unsw.edu.au/study/postgraduate/master-of-global-health-extension</t>
        </is>
      </c>
      <c r="H498" t="inlineStr">
        <is>
          <t>Read</t>
        </is>
      </c>
      <c r="I498" t="inlineStr">
        <is>
          <t>CRICOS code on page</t>
        </is>
      </c>
      <c r="J498" t="inlineStr"/>
      <c r="K498" t="inlineStr">
        <is>
          <t>Not sent to re-link</t>
        </is>
      </c>
      <c r="L498" t="inlineStr">
        <is>
          <t>Filled</t>
        </is>
      </c>
      <c r="M498" t="inlineStr">
        <is>
          <t>Filled</t>
        </is>
      </c>
      <c r="N498" t="inlineStr">
        <is>
          <t>60500.00 2026</t>
        </is>
      </c>
      <c r="O498" t="n">
        <v>0</v>
      </c>
      <c r="P498" t="inlineStr">
        <is>
          <t>University adapter</t>
        </is>
      </c>
      <c r="Q498" t="inlineStr">
        <is>
          <t>Filled</t>
        </is>
      </c>
      <c r="R498" t="n">
        <v>6</v>
      </c>
      <c r="S498" t="inlineStr">
        <is>
          <t>Central English policy</t>
        </is>
      </c>
      <c r="T498" t="inlineStr">
        <is>
          <t>Central rule applies (value agrees)</t>
        </is>
      </c>
      <c r="U498" t="inlineStr"/>
      <c r="V498" t="inlineStr">
        <is>
          <t>Filled</t>
        </is>
      </c>
      <c r="W498" t="inlineStr">
        <is>
          <t>February, May, September</t>
        </is>
      </c>
      <c r="X498" t="inlineStr">
        <is>
          <t>University adapter</t>
        </is>
      </c>
      <c r="Y498" t="n">
        <v>0</v>
      </c>
      <c r="Z498" t="inlineStr">
        <is>
          <t>No</t>
        </is>
      </c>
      <c r="AA498" t="inlineStr">
        <is>
          <t>Filled</t>
        </is>
      </c>
      <c r="AB498" t="inlineStr">
        <is>
          <t>on campus and online</t>
        </is>
      </c>
      <c r="AC498" t="inlineStr"/>
      <c r="AD498" t="n">
        <v>0</v>
      </c>
      <c r="AE498" t="inlineStr"/>
      <c r="AF498" t="inlineStr"/>
      <c r="AG498" t="inlineStr"/>
      <c r="AH498" t="inlineStr"/>
      <c r="AI498" t="inlineStr"/>
      <c r="AJ498" t="inlineStr"/>
      <c r="AK498" t="inlineStr"/>
      <c r="AL498" t="inlineStr"/>
      <c r="AM498" t="inlineStr"/>
    </row>
    <row r="499">
      <c r="A499" t="inlineStr">
        <is>
          <t>089846G</t>
        </is>
      </c>
      <c r="B499" t="inlineStr">
        <is>
          <t>Master of Global Health (Extension) /Master of Public Health</t>
        </is>
      </c>
      <c r="C499" t="inlineStr">
        <is>
          <t>Masters Degree (Coursework)</t>
        </is>
      </c>
      <c r="D499" t="inlineStr">
        <is>
          <t>Postgraduate coursework</t>
        </is>
      </c>
      <c r="E499" t="inlineStr">
        <is>
          <t>Advertised: official page in place</t>
        </is>
      </c>
      <c r="F499" t="inlineStr">
        <is>
          <t>https://www.unsw.edu.au/study/postgraduate/master-of-public-health-global-health-extension</t>
        </is>
      </c>
      <c r="G499" t="inlineStr">
        <is>
          <t>https://www.unsw.edu.au/study/postgraduate/master-of-public-health-global-health-extension</t>
        </is>
      </c>
      <c r="H499" t="inlineStr">
        <is>
          <t>Read</t>
        </is>
      </c>
      <c r="I499" t="inlineStr">
        <is>
          <t>CRICOS code on page</t>
        </is>
      </c>
      <c r="J499" t="inlineStr"/>
      <c r="K499" t="inlineStr">
        <is>
          <t>Not sent to re-link</t>
        </is>
      </c>
      <c r="L499" t="inlineStr">
        <is>
          <t>Filled</t>
        </is>
      </c>
      <c r="M499" t="inlineStr">
        <is>
          <t>Filled</t>
        </is>
      </c>
      <c r="N499" t="inlineStr">
        <is>
          <t>60500.00 2026</t>
        </is>
      </c>
      <c r="O499" t="n">
        <v>0</v>
      </c>
      <c r="P499" t="inlineStr">
        <is>
          <t>University adapter</t>
        </is>
      </c>
      <c r="Q499" t="inlineStr">
        <is>
          <t>Filled</t>
        </is>
      </c>
      <c r="R499" t="n">
        <v>6</v>
      </c>
      <c r="S499" t="inlineStr">
        <is>
          <t>Central English policy</t>
        </is>
      </c>
      <c r="T499" t="inlineStr">
        <is>
          <t>Central rule applies (value agrees)</t>
        </is>
      </c>
      <c r="U499" t="inlineStr"/>
      <c r="V499" t="inlineStr">
        <is>
          <t>Filled</t>
        </is>
      </c>
      <c r="W499" t="inlineStr">
        <is>
          <t>February, May, September</t>
        </is>
      </c>
      <c r="X499" t="inlineStr">
        <is>
          <t>University adapter</t>
        </is>
      </c>
      <c r="Y499" t="n">
        <v>0</v>
      </c>
      <c r="Z499" t="inlineStr">
        <is>
          <t>No</t>
        </is>
      </c>
      <c r="AA499" t="inlineStr">
        <is>
          <t>Filled</t>
        </is>
      </c>
      <c r="AB499" t="inlineStr">
        <is>
          <t>on campus and online</t>
        </is>
      </c>
      <c r="AC499" t="inlineStr"/>
      <c r="AD499" t="n">
        <v>0</v>
      </c>
      <c r="AE499" t="inlineStr"/>
      <c r="AF499" t="inlineStr"/>
      <c r="AG499" t="inlineStr"/>
      <c r="AH499" t="inlineStr"/>
      <c r="AI499" t="inlineStr"/>
      <c r="AJ499" t="inlineStr"/>
      <c r="AK499" t="inlineStr"/>
      <c r="AL499" t="inlineStr"/>
      <c r="AM499" t="inlineStr"/>
    </row>
    <row r="500">
      <c r="A500" t="inlineStr">
        <is>
          <t>089837G</t>
        </is>
      </c>
      <c r="B500" t="inlineStr">
        <is>
          <t>Master of Global Health (Extension)/Master of Health Leadership and Management</t>
        </is>
      </c>
      <c r="C500" t="inlineStr">
        <is>
          <t>Masters Degree (Coursework)</t>
        </is>
      </c>
      <c r="D500" t="inlineStr">
        <is>
          <t>Postgraduate coursework</t>
        </is>
      </c>
      <c r="E500" t="inlineStr">
        <is>
          <t>Advertised: official page in place</t>
        </is>
      </c>
      <c r="F500" t="inlineStr">
        <is>
          <t>https://www.unsw.edu.au/study/postgraduate/master-of-health-leadership-and-management-global-health-extension</t>
        </is>
      </c>
      <c r="G500" t="inlineStr">
        <is>
          <t>https://www.unsw.edu.au/study/postgraduate/master-of-health-leadership-and-management-global-health-extension</t>
        </is>
      </c>
      <c r="H500" t="inlineStr">
        <is>
          <t>Read</t>
        </is>
      </c>
      <c r="I500" t="inlineStr">
        <is>
          <t>CRICOS code on page</t>
        </is>
      </c>
      <c r="J500" t="inlineStr"/>
      <c r="K500" t="inlineStr">
        <is>
          <t>Not sent to re-link</t>
        </is>
      </c>
      <c r="L500" t="inlineStr">
        <is>
          <t>Filled</t>
        </is>
      </c>
      <c r="M500" t="inlineStr">
        <is>
          <t>Filled</t>
        </is>
      </c>
      <c r="N500" t="inlineStr">
        <is>
          <t>60500.00 2026</t>
        </is>
      </c>
      <c r="O500" t="n">
        <v>0</v>
      </c>
      <c r="P500" t="inlineStr">
        <is>
          <t>University adapter</t>
        </is>
      </c>
      <c r="Q500" t="inlineStr">
        <is>
          <t>Filled</t>
        </is>
      </c>
      <c r="R500" t="n">
        <v>6</v>
      </c>
      <c r="S500" t="inlineStr">
        <is>
          <t>Central English policy</t>
        </is>
      </c>
      <c r="T500" t="inlineStr">
        <is>
          <t>Central rule applies (value agrees)</t>
        </is>
      </c>
      <c r="U500" t="inlineStr"/>
      <c r="V500" t="inlineStr">
        <is>
          <t>Filled</t>
        </is>
      </c>
      <c r="W500" t="inlineStr">
        <is>
          <t>February, May, September</t>
        </is>
      </c>
      <c r="X500" t="inlineStr">
        <is>
          <t>University adapter</t>
        </is>
      </c>
      <c r="Y500" t="n">
        <v>0</v>
      </c>
      <c r="Z500" t="inlineStr">
        <is>
          <t>No</t>
        </is>
      </c>
      <c r="AA500" t="inlineStr">
        <is>
          <t>Filled</t>
        </is>
      </c>
      <c r="AB500" t="inlineStr">
        <is>
          <t>on campus and online</t>
        </is>
      </c>
      <c r="AC500" t="inlineStr"/>
      <c r="AD500" t="n">
        <v>0</v>
      </c>
      <c r="AE500" t="inlineStr"/>
      <c r="AF500" t="inlineStr"/>
      <c r="AG500" t="inlineStr"/>
      <c r="AH500" t="inlineStr"/>
      <c r="AI500" t="inlineStr"/>
      <c r="AJ500" t="inlineStr"/>
      <c r="AK500" t="inlineStr"/>
      <c r="AL500" t="inlineStr"/>
      <c r="AM500" t="inlineStr"/>
    </row>
    <row r="501">
      <c r="A501" t="inlineStr">
        <is>
          <t>0100682</t>
        </is>
      </c>
      <c r="B501" t="inlineStr">
        <is>
          <t>Master of Global Health (Extension)/Master of Infectious Disease Intelligence</t>
        </is>
      </c>
      <c r="C501" t="inlineStr">
        <is>
          <t>Masters Degree (Coursework)</t>
        </is>
      </c>
      <c r="D501" t="inlineStr">
        <is>
          <t>Postgraduate coursework</t>
        </is>
      </c>
      <c r="E501" t="inlineStr">
        <is>
          <t>Advertised: official page in place</t>
        </is>
      </c>
      <c r="F501" t="inlineStr">
        <is>
          <t>https://www.unsw.edu.au/study/postgraduate/master-of-global-health-extension-infectious-diseases-intelligence</t>
        </is>
      </c>
      <c r="G501" t="inlineStr">
        <is>
          <t>https://www.unsw.edu.au/study/postgraduate/master-of-global-health-extension-infectious-diseases-intelligence</t>
        </is>
      </c>
      <c r="H501" t="inlineStr">
        <is>
          <t>Read</t>
        </is>
      </c>
      <c r="I501" t="inlineStr">
        <is>
          <t>CRICOS code on page</t>
        </is>
      </c>
      <c r="J501" t="inlineStr"/>
      <c r="K501" t="inlineStr">
        <is>
          <t>Not sent to re-link</t>
        </is>
      </c>
      <c r="L501" t="inlineStr">
        <is>
          <t>Filled</t>
        </is>
      </c>
      <c r="M501" t="inlineStr">
        <is>
          <t>Filled</t>
        </is>
      </c>
      <c r="N501" t="inlineStr">
        <is>
          <t>60500.00 2026</t>
        </is>
      </c>
      <c r="O501" t="n">
        <v>0</v>
      </c>
      <c r="P501" t="inlineStr">
        <is>
          <t>University adapter</t>
        </is>
      </c>
      <c r="Q501" t="inlineStr">
        <is>
          <t>Filled</t>
        </is>
      </c>
      <c r="R501" t="n">
        <v>6</v>
      </c>
      <c r="S501" t="inlineStr">
        <is>
          <t>Central English policy</t>
        </is>
      </c>
      <c r="T501" t="inlineStr">
        <is>
          <t>Central rule applies (value agrees)</t>
        </is>
      </c>
      <c r="U501" t="inlineStr"/>
      <c r="V501" t="inlineStr">
        <is>
          <t>Filled</t>
        </is>
      </c>
      <c r="W501" t="inlineStr">
        <is>
          <t>February, May, September</t>
        </is>
      </c>
      <c r="X501" t="inlineStr">
        <is>
          <t>University adapter</t>
        </is>
      </c>
      <c r="Y501" t="n">
        <v>0</v>
      </c>
      <c r="Z501" t="inlineStr">
        <is>
          <t>No</t>
        </is>
      </c>
      <c r="AA501" t="inlineStr">
        <is>
          <t>Filled</t>
        </is>
      </c>
      <c r="AB501" t="inlineStr">
        <is>
          <t>on campus and online</t>
        </is>
      </c>
      <c r="AC501" t="inlineStr"/>
      <c r="AD501" t="n">
        <v>0</v>
      </c>
      <c r="AE501" t="inlineStr"/>
      <c r="AF501" t="inlineStr"/>
      <c r="AG501" t="inlineStr"/>
      <c r="AH501" t="inlineStr"/>
      <c r="AI501" t="inlineStr"/>
      <c r="AJ501" t="inlineStr"/>
      <c r="AK501" t="inlineStr"/>
      <c r="AL501" t="inlineStr"/>
      <c r="AM501" t="inlineStr"/>
    </row>
    <row r="502">
      <c r="A502" t="inlineStr">
        <is>
          <t>089845G</t>
        </is>
      </c>
      <c r="B502" t="inlineStr">
        <is>
          <t>Master of Global Health/Master of Health Leadership and Management (Extension)</t>
        </is>
      </c>
      <c r="C502" t="inlineStr">
        <is>
          <t>Masters Degree (Coursework)</t>
        </is>
      </c>
      <c r="D502" t="inlineStr">
        <is>
          <t>Postgraduate coursework</t>
        </is>
      </c>
      <c r="E502" t="inlineStr">
        <is>
          <t>Advertised: official page in place</t>
        </is>
      </c>
      <c r="F502" t="inlineStr">
        <is>
          <t>https://www.handbook.unsw.edu.au/postgraduate/programs/2026/9058</t>
        </is>
      </c>
      <c r="G502" t="inlineStr">
        <is>
          <t>https://www.handbook.unsw.edu.au/postgraduate/programs/2026/9058</t>
        </is>
      </c>
      <c r="H502" t="inlineStr">
        <is>
          <t>Read</t>
        </is>
      </c>
      <c r="I502" t="inlineStr">
        <is>
          <t>CRICOS code on page</t>
        </is>
      </c>
      <c r="J502" t="inlineStr"/>
      <c r="K502" t="inlineStr">
        <is>
          <t>Not sent to re-link</t>
        </is>
      </c>
      <c r="L502" t="inlineStr">
        <is>
          <t>Filled</t>
        </is>
      </c>
      <c r="M502" t="inlineStr">
        <is>
          <t>Not stated on course page</t>
        </is>
      </c>
      <c r="N502" t="inlineStr"/>
      <c r="O502" t="n">
        <v>0</v>
      </c>
      <c r="P502" t="inlineStr"/>
      <c r="Q502" t="inlineStr">
        <is>
          <t>Filled</t>
        </is>
      </c>
      <c r="R502" t="n">
        <v>6</v>
      </c>
      <c r="S502" t="inlineStr">
        <is>
          <t>Central English policy</t>
        </is>
      </c>
      <c r="T502" t="inlineStr">
        <is>
          <t>Central rule applies (value agrees)</t>
        </is>
      </c>
      <c r="U502" t="inlineStr"/>
      <c r="V502" t="inlineStr">
        <is>
          <t>Filled</t>
        </is>
      </c>
      <c r="W502" t="inlineStr">
        <is>
          <t>February, May, September</t>
        </is>
      </c>
      <c r="X502" t="inlineStr">
        <is>
          <t>University adapter</t>
        </is>
      </c>
      <c r="Y502" t="n">
        <v>0</v>
      </c>
      <c r="Z502" t="inlineStr">
        <is>
          <t>No</t>
        </is>
      </c>
      <c r="AA502" t="inlineStr">
        <is>
          <t>Filled</t>
        </is>
      </c>
      <c r="AB502" t="inlineStr">
        <is>
          <t>on campus</t>
        </is>
      </c>
      <c r="AC502" t="inlineStr"/>
      <c r="AD502" t="n">
        <v>0</v>
      </c>
      <c r="AE502" t="inlineStr"/>
      <c r="AF502" t="inlineStr"/>
      <c r="AG502" t="inlineStr"/>
      <c r="AH502" t="inlineStr"/>
      <c r="AI502" t="inlineStr"/>
      <c r="AJ502" t="inlineStr"/>
      <c r="AK502" t="inlineStr"/>
      <c r="AL502" t="inlineStr"/>
      <c r="AM502" t="inlineStr"/>
    </row>
    <row r="503">
      <c r="A503" t="inlineStr">
        <is>
          <t>0100678</t>
        </is>
      </c>
      <c r="B503" t="inlineStr">
        <is>
          <t>Master of Global Health/Master of Infectious Disease Intelligence (Extension)</t>
        </is>
      </c>
      <c r="C503" t="inlineStr">
        <is>
          <t>Masters Degree (Coursework)</t>
        </is>
      </c>
      <c r="D503" t="inlineStr">
        <is>
          <t>Postgraduate coursework</t>
        </is>
      </c>
      <c r="E503" t="inlineStr">
        <is>
          <t>Advertised: official page in place</t>
        </is>
      </c>
      <c r="F503" t="inlineStr">
        <is>
          <t>https://www.handbook.unsw.edu.au/postgraduate/programs/2026/9364</t>
        </is>
      </c>
      <c r="G503" t="inlineStr">
        <is>
          <t>https://www.handbook.unsw.edu.au/postgraduate/programs/2026/9364</t>
        </is>
      </c>
      <c r="H503" t="inlineStr">
        <is>
          <t>Read</t>
        </is>
      </c>
      <c r="I503" t="inlineStr">
        <is>
          <t>CRICOS code on page</t>
        </is>
      </c>
      <c r="J503" t="inlineStr"/>
      <c r="K503" t="inlineStr">
        <is>
          <t>Not sent to re-link</t>
        </is>
      </c>
      <c r="L503" t="inlineStr">
        <is>
          <t>Filled</t>
        </is>
      </c>
      <c r="M503" t="inlineStr">
        <is>
          <t>Not stated on course page</t>
        </is>
      </c>
      <c r="N503" t="inlineStr"/>
      <c r="O503" t="n">
        <v>0</v>
      </c>
      <c r="P503" t="inlineStr"/>
      <c r="Q503" t="inlineStr">
        <is>
          <t>Filled</t>
        </is>
      </c>
      <c r="R503" t="n">
        <v>6</v>
      </c>
      <c r="S503" t="inlineStr">
        <is>
          <t>Central English policy</t>
        </is>
      </c>
      <c r="T503" t="inlineStr">
        <is>
          <t>Central rule applies (value agrees)</t>
        </is>
      </c>
      <c r="U503" t="inlineStr"/>
      <c r="V503" t="inlineStr">
        <is>
          <t>Filled</t>
        </is>
      </c>
      <c r="W503" t="inlineStr">
        <is>
          <t>February, May, September</t>
        </is>
      </c>
      <c r="X503" t="inlineStr">
        <is>
          <t>University adapter</t>
        </is>
      </c>
      <c r="Y503" t="n">
        <v>0</v>
      </c>
      <c r="Z503" t="inlineStr">
        <is>
          <t>No</t>
        </is>
      </c>
      <c r="AA503" t="inlineStr">
        <is>
          <t>Filled</t>
        </is>
      </c>
      <c r="AB503" t="inlineStr">
        <is>
          <t>on campus</t>
        </is>
      </c>
      <c r="AC503" t="inlineStr"/>
      <c r="AD503" t="n">
        <v>0</v>
      </c>
      <c r="AE503" t="inlineStr"/>
      <c r="AF503" t="inlineStr"/>
      <c r="AG503" t="inlineStr"/>
      <c r="AH503" t="inlineStr"/>
      <c r="AI503" t="inlineStr"/>
      <c r="AJ503" t="inlineStr"/>
      <c r="AK503" t="inlineStr"/>
      <c r="AL503" t="inlineStr"/>
      <c r="AM503" t="inlineStr"/>
    </row>
    <row r="504">
      <c r="A504" t="inlineStr">
        <is>
          <t>068960A</t>
        </is>
      </c>
      <c r="B504" t="inlineStr">
        <is>
          <t>Master of Global Health/Master of Public Health</t>
        </is>
      </c>
      <c r="C504" t="inlineStr">
        <is>
          <t>Masters Degree (Coursework)</t>
        </is>
      </c>
      <c r="D504" t="inlineStr">
        <is>
          <t>Postgraduate coursework</t>
        </is>
      </c>
      <c r="E504" t="inlineStr">
        <is>
          <t>Advertised: official page in place</t>
        </is>
      </c>
      <c r="F504" t="inlineStr">
        <is>
          <t>https://www.unsw.edu.au/study/postgraduate/master-of-global-health-public-health</t>
        </is>
      </c>
      <c r="G504" t="inlineStr">
        <is>
          <t>https://www.unsw.edu.au/study/postgraduate/master-of-global-health-public-health</t>
        </is>
      </c>
      <c r="H504" t="inlineStr">
        <is>
          <t>Read</t>
        </is>
      </c>
      <c r="I504" t="inlineStr">
        <is>
          <t>CRICOS code on page</t>
        </is>
      </c>
      <c r="J504" t="inlineStr"/>
      <c r="K504" t="inlineStr">
        <is>
          <t>Not sent to re-link</t>
        </is>
      </c>
      <c r="L504" t="inlineStr">
        <is>
          <t>Filled</t>
        </is>
      </c>
      <c r="M504" t="inlineStr">
        <is>
          <t>Filled</t>
        </is>
      </c>
      <c r="N504" t="inlineStr">
        <is>
          <t>60500.00 2026</t>
        </is>
      </c>
      <c r="O504" t="n">
        <v>0</v>
      </c>
      <c r="P504" t="inlineStr">
        <is>
          <t>University adapter</t>
        </is>
      </c>
      <c r="Q504" t="inlineStr">
        <is>
          <t>Filled</t>
        </is>
      </c>
      <c r="R504" t="n">
        <v>6</v>
      </c>
      <c r="S504" t="inlineStr">
        <is>
          <t>Central English policy</t>
        </is>
      </c>
      <c r="T504" t="inlineStr">
        <is>
          <t>Central rule applies (value agrees)</t>
        </is>
      </c>
      <c r="U504" t="inlineStr"/>
      <c r="V504" t="inlineStr">
        <is>
          <t>Filled</t>
        </is>
      </c>
      <c r="W504" t="inlineStr">
        <is>
          <t>February, May, September</t>
        </is>
      </c>
      <c r="X504" t="inlineStr">
        <is>
          <t>University adapter</t>
        </is>
      </c>
      <c r="Y504" t="n">
        <v>0</v>
      </c>
      <c r="Z504" t="inlineStr">
        <is>
          <t>No</t>
        </is>
      </c>
      <c r="AA504" t="inlineStr">
        <is>
          <t>Filled</t>
        </is>
      </c>
      <c r="AB504" t="inlineStr">
        <is>
          <t>on campus and online</t>
        </is>
      </c>
      <c r="AC504" t="inlineStr"/>
      <c r="AD504" t="n">
        <v>0</v>
      </c>
      <c r="AE504" t="inlineStr"/>
      <c r="AF504" t="inlineStr"/>
      <c r="AG504" t="inlineStr"/>
      <c r="AH504" t="inlineStr"/>
      <c r="AI504" t="inlineStr"/>
      <c r="AJ504" t="inlineStr"/>
      <c r="AK504" t="inlineStr"/>
      <c r="AL504" t="inlineStr"/>
      <c r="AM504" t="inlineStr"/>
    </row>
    <row r="505">
      <c r="A505" t="inlineStr">
        <is>
          <t>089838G</t>
        </is>
      </c>
      <c r="B505" t="inlineStr">
        <is>
          <t>Master of Global Health/Master of Public Health (Extension)</t>
        </is>
      </c>
      <c r="C505" t="inlineStr">
        <is>
          <t>Masters Degree (Coursework)</t>
        </is>
      </c>
      <c r="D505" t="inlineStr">
        <is>
          <t>Postgraduate coursework</t>
        </is>
      </c>
      <c r="E505" t="inlineStr">
        <is>
          <t>Advertised: official page in place</t>
        </is>
      </c>
      <c r="F505" t="inlineStr">
        <is>
          <t>https://www.unsw.edu.au/study/postgraduate/master-of-global-health-public-health-extension</t>
        </is>
      </c>
      <c r="G505" t="inlineStr">
        <is>
          <t>https://www.unsw.edu.au/study/postgraduate/master-of-global-health-public-health-extension</t>
        </is>
      </c>
      <c r="H505" t="inlineStr">
        <is>
          <t>Read</t>
        </is>
      </c>
      <c r="I505" t="inlineStr">
        <is>
          <t>CRICOS code on page</t>
        </is>
      </c>
      <c r="J505" t="inlineStr"/>
      <c r="K505" t="inlineStr">
        <is>
          <t>Not sent to re-link</t>
        </is>
      </c>
      <c r="L505" t="inlineStr">
        <is>
          <t>Filled</t>
        </is>
      </c>
      <c r="M505" t="inlineStr">
        <is>
          <t>Filled</t>
        </is>
      </c>
      <c r="N505" t="inlineStr">
        <is>
          <t>60500.00 2026</t>
        </is>
      </c>
      <c r="O505" t="n">
        <v>0</v>
      </c>
      <c r="P505" t="inlineStr">
        <is>
          <t>University adapter</t>
        </is>
      </c>
      <c r="Q505" t="inlineStr">
        <is>
          <t>Filled</t>
        </is>
      </c>
      <c r="R505" t="n">
        <v>6</v>
      </c>
      <c r="S505" t="inlineStr">
        <is>
          <t>Central English policy</t>
        </is>
      </c>
      <c r="T505" t="inlineStr">
        <is>
          <t>Central rule applies (value agrees)</t>
        </is>
      </c>
      <c r="U505" t="inlineStr"/>
      <c r="V505" t="inlineStr">
        <is>
          <t>Filled</t>
        </is>
      </c>
      <c r="W505" t="inlineStr">
        <is>
          <t>February, May, September</t>
        </is>
      </c>
      <c r="X505" t="inlineStr">
        <is>
          <t>University adapter</t>
        </is>
      </c>
      <c r="Y505" t="n">
        <v>0</v>
      </c>
      <c r="Z505" t="inlineStr">
        <is>
          <t>No</t>
        </is>
      </c>
      <c r="AA505" t="inlineStr">
        <is>
          <t>Filled</t>
        </is>
      </c>
      <c r="AB505" t="inlineStr">
        <is>
          <t>on campus and online</t>
        </is>
      </c>
      <c r="AC505" t="inlineStr"/>
      <c r="AD505" t="n">
        <v>0</v>
      </c>
      <c r="AE505" t="inlineStr"/>
      <c r="AF505" t="inlineStr"/>
      <c r="AG505" t="inlineStr"/>
      <c r="AH505" t="inlineStr"/>
      <c r="AI505" t="inlineStr"/>
      <c r="AJ505" t="inlineStr"/>
      <c r="AK505" t="inlineStr"/>
      <c r="AL505" t="inlineStr"/>
      <c r="AM505" t="inlineStr"/>
    </row>
    <row r="506">
      <c r="A506" t="inlineStr">
        <is>
          <t>000731J</t>
        </is>
      </c>
      <c r="B506" t="inlineStr">
        <is>
          <t>Master of Health Administration (Research)</t>
        </is>
      </c>
      <c r="C506" t="inlineStr">
        <is>
          <t>Masters Degree (Research)</t>
        </is>
      </c>
      <c r="D506" t="inlineStr">
        <is>
          <t>Research degree</t>
        </is>
      </c>
      <c r="E506" t="inlineStr">
        <is>
          <t>Page address no longer works</t>
        </is>
      </c>
      <c r="F506" t="inlineStr"/>
      <c r="G506" t="inlineStr">
        <is>
          <t>https://www.handbook.unsw.edu.au/research/programs/2026/2960</t>
        </is>
      </c>
      <c r="H506" t="inlineStr">
        <is>
          <t>Address no longer works</t>
        </is>
      </c>
      <c r="I506" t="inlineStr"/>
      <c r="J506" t="inlineStr"/>
      <c r="K506" t="inlineStr">
        <is>
          <t>Not sent to re-link</t>
        </is>
      </c>
      <c r="L506" t="inlineStr">
        <is>
          <t>Page found, being read</t>
        </is>
      </c>
      <c r="M506" t="inlineStr">
        <is>
          <t>Page found, being read</t>
        </is>
      </c>
      <c r="N506" t="inlineStr"/>
      <c r="O506" t="n">
        <v>0</v>
      </c>
      <c r="P506" t="inlineStr"/>
      <c r="Q506" t="inlineStr">
        <is>
          <t>Page found, being read</t>
        </is>
      </c>
      <c r="S506" t="inlineStr"/>
      <c r="T506" t="inlineStr">
        <is>
          <t>Held: research degree (the policy states no research requirement)</t>
        </is>
      </c>
      <c r="U506" t="inlineStr"/>
      <c r="V506" t="inlineStr">
        <is>
          <t>Page found, being read</t>
        </is>
      </c>
      <c r="W506" t="inlineStr"/>
      <c r="X506" t="inlineStr"/>
      <c r="Y506" t="n">
        <v>0</v>
      </c>
      <c r="Z506" t="inlineStr">
        <is>
          <t>No</t>
        </is>
      </c>
      <c r="AA506" t="inlineStr">
        <is>
          <t>Not stated on course page</t>
        </is>
      </c>
      <c r="AB506" t="inlineStr"/>
      <c r="AC506" t="inlineStr">
        <is>
          <t>Skipped: no allowed source had a value</t>
        </is>
      </c>
      <c r="AD506" t="n">
        <v>0</v>
      </c>
      <c r="AE506" t="inlineStr"/>
      <c r="AF506" t="inlineStr"/>
      <c r="AG506" t="inlineStr"/>
      <c r="AH506" t="inlineStr"/>
      <c r="AI506" t="inlineStr"/>
      <c r="AJ506" t="inlineStr">
        <is>
          <t>Yes</t>
        </is>
      </c>
      <c r="AK506" t="inlineStr"/>
      <c r="AL506" t="inlineStr"/>
      <c r="AM506" t="inlineStr"/>
    </row>
    <row r="507">
      <c r="A507" t="inlineStr">
        <is>
          <t>059316D</t>
        </is>
      </c>
      <c r="B507" t="inlineStr">
        <is>
          <t>Master of Health Leadership &amp; Management (Extension)</t>
        </is>
      </c>
      <c r="C507" t="inlineStr">
        <is>
          <t>Masters Degree (Coursework)</t>
        </is>
      </c>
      <c r="D507" t="inlineStr">
        <is>
          <t>Postgraduate coursework</t>
        </is>
      </c>
      <c r="E507" t="inlineStr">
        <is>
          <t>Advertised: official page in place</t>
        </is>
      </c>
      <c r="F507" t="inlineStr">
        <is>
          <t>https://www.unsw.edu.au/study/postgraduate/master-of-health-leadership-and-management-extension</t>
        </is>
      </c>
      <c r="G507" t="inlineStr">
        <is>
          <t>https://www.unsw.edu.au/study/postgraduate/master-of-health-leadership-and-management-extension</t>
        </is>
      </c>
      <c r="H507" t="inlineStr">
        <is>
          <t>Read</t>
        </is>
      </c>
      <c r="I507" t="inlineStr">
        <is>
          <t>CRICOS code on page</t>
        </is>
      </c>
      <c r="J507" t="inlineStr"/>
      <c r="K507" t="inlineStr">
        <is>
          <t>Not sent to re-link</t>
        </is>
      </c>
      <c r="L507" t="inlineStr">
        <is>
          <t>Filled</t>
        </is>
      </c>
      <c r="M507" t="inlineStr">
        <is>
          <t>Filled</t>
        </is>
      </c>
      <c r="N507" t="inlineStr">
        <is>
          <t>60500.00 2026</t>
        </is>
      </c>
      <c r="O507" t="n">
        <v>0</v>
      </c>
      <c r="P507" t="inlineStr">
        <is>
          <t>University adapter</t>
        </is>
      </c>
      <c r="Q507" t="inlineStr">
        <is>
          <t>Filled</t>
        </is>
      </c>
      <c r="R507" t="n">
        <v>6</v>
      </c>
      <c r="S507" t="inlineStr">
        <is>
          <t>Central English policy</t>
        </is>
      </c>
      <c r="T507" t="inlineStr">
        <is>
          <t>Central rule applies (value agrees)</t>
        </is>
      </c>
      <c r="U507" t="inlineStr"/>
      <c r="V507" t="inlineStr">
        <is>
          <t>Filled</t>
        </is>
      </c>
      <c r="W507" t="inlineStr">
        <is>
          <t>February, May, September</t>
        </is>
      </c>
      <c r="X507" t="inlineStr">
        <is>
          <t>University adapter</t>
        </is>
      </c>
      <c r="Y507" t="n">
        <v>0</v>
      </c>
      <c r="Z507" t="inlineStr">
        <is>
          <t>No</t>
        </is>
      </c>
      <c r="AA507" t="inlineStr">
        <is>
          <t>Filled</t>
        </is>
      </c>
      <c r="AB507" t="inlineStr">
        <is>
          <t>on campus and online</t>
        </is>
      </c>
      <c r="AC507" t="inlineStr"/>
      <c r="AD507" t="n">
        <v>0</v>
      </c>
      <c r="AE507" t="inlineStr"/>
      <c r="AF507" t="inlineStr"/>
      <c r="AG507" t="inlineStr"/>
      <c r="AH507" t="inlineStr"/>
      <c r="AI507" t="inlineStr"/>
      <c r="AJ507" t="inlineStr"/>
      <c r="AK507" t="inlineStr"/>
      <c r="AL507" t="inlineStr"/>
      <c r="AM507" t="inlineStr"/>
    </row>
    <row r="508">
      <c r="A508" t="inlineStr">
        <is>
          <t>059315E</t>
        </is>
      </c>
      <c r="B508" t="inlineStr">
        <is>
          <t>Master of Health Leadership and Management</t>
        </is>
      </c>
      <c r="C508" t="inlineStr">
        <is>
          <t>Masters Degree (Coursework)</t>
        </is>
      </c>
      <c r="D508" t="inlineStr">
        <is>
          <t>Postgraduate coursework</t>
        </is>
      </c>
      <c r="E508" t="inlineStr">
        <is>
          <t>Advertised: official page in place</t>
        </is>
      </c>
      <c r="F508" t="inlineStr">
        <is>
          <t>https://www.unsw.edu.au/study/postgraduate/master-of-health-leadership-and-management</t>
        </is>
      </c>
      <c r="G508" t="inlineStr">
        <is>
          <t>https://www.unsw.edu.au/study/postgraduate/master-of-health-leadership-and-management</t>
        </is>
      </c>
      <c r="H508" t="inlineStr">
        <is>
          <t>Read</t>
        </is>
      </c>
      <c r="I508" t="inlineStr">
        <is>
          <t>CRICOS code on page</t>
        </is>
      </c>
      <c r="J508" t="inlineStr"/>
      <c r="K508" t="inlineStr">
        <is>
          <t>Not sent to re-link</t>
        </is>
      </c>
      <c r="L508" t="inlineStr">
        <is>
          <t>Filled</t>
        </is>
      </c>
      <c r="M508" t="inlineStr">
        <is>
          <t>Filled</t>
        </is>
      </c>
      <c r="N508" t="inlineStr">
        <is>
          <t>60500.00 2026</t>
        </is>
      </c>
      <c r="O508" t="n">
        <v>0</v>
      </c>
      <c r="P508" t="inlineStr">
        <is>
          <t>University adapter</t>
        </is>
      </c>
      <c r="Q508" t="inlineStr">
        <is>
          <t>Filled</t>
        </is>
      </c>
      <c r="R508" t="n">
        <v>6</v>
      </c>
      <c r="S508" t="inlineStr">
        <is>
          <t>Central English policy</t>
        </is>
      </c>
      <c r="T508" t="inlineStr">
        <is>
          <t>Central rule applies (value agrees)</t>
        </is>
      </c>
      <c r="U508" t="inlineStr"/>
      <c r="V508" t="inlineStr">
        <is>
          <t>Filled</t>
        </is>
      </c>
      <c r="W508" t="inlineStr">
        <is>
          <t>February, May, September</t>
        </is>
      </c>
      <c r="X508" t="inlineStr">
        <is>
          <t>University adapter</t>
        </is>
      </c>
      <c r="Y508" t="n">
        <v>0</v>
      </c>
      <c r="Z508" t="inlineStr">
        <is>
          <t>No</t>
        </is>
      </c>
      <c r="AA508" t="inlineStr">
        <is>
          <t>Filled</t>
        </is>
      </c>
      <c r="AB508" t="inlineStr">
        <is>
          <t>on campus and online</t>
        </is>
      </c>
      <c r="AC508" t="inlineStr"/>
      <c r="AD508" t="n">
        <v>0</v>
      </c>
      <c r="AE508" t="inlineStr"/>
      <c r="AF508" t="inlineStr"/>
      <c r="AG508" t="inlineStr"/>
      <c r="AH508" t="inlineStr"/>
      <c r="AI508" t="inlineStr"/>
      <c r="AJ508" t="inlineStr"/>
      <c r="AK508" t="inlineStr"/>
      <c r="AL508" t="inlineStr"/>
      <c r="AM508" t="inlineStr"/>
    </row>
    <row r="509">
      <c r="A509" t="inlineStr">
        <is>
          <t>0100680</t>
        </is>
      </c>
      <c r="B509" t="inlineStr">
        <is>
          <t>Master of Health Leadership and Management/Master of Infectious Disease Intelligence (Extension)</t>
        </is>
      </c>
      <c r="C509" t="inlineStr">
        <is>
          <t>Masters Degree (Coursework)</t>
        </is>
      </c>
      <c r="D509" t="inlineStr">
        <is>
          <t>Postgraduate coursework</t>
        </is>
      </c>
      <c r="E509" t="inlineStr">
        <is>
          <t>Advertised: official page in place</t>
        </is>
      </c>
      <c r="F509" t="inlineStr">
        <is>
          <t>https://www.unsw.edu.au/study/postgraduate/master-of-health-leadership-and-management-infectious-diseases-intelligence-extension</t>
        </is>
      </c>
      <c r="G509" t="inlineStr">
        <is>
          <t>https://www.unsw.edu.au/study/postgraduate/master-of-health-leadership-and-management-infectious-diseases-intelligence-extension</t>
        </is>
      </c>
      <c r="H509" t="inlineStr">
        <is>
          <t>Read</t>
        </is>
      </c>
      <c r="I509" t="inlineStr">
        <is>
          <t>CRICOS code on page</t>
        </is>
      </c>
      <c r="J509" t="inlineStr"/>
      <c r="K509" t="inlineStr">
        <is>
          <t>Not sent to re-link</t>
        </is>
      </c>
      <c r="L509" t="inlineStr">
        <is>
          <t>Filled</t>
        </is>
      </c>
      <c r="M509" t="inlineStr">
        <is>
          <t>Filled</t>
        </is>
      </c>
      <c r="N509" t="inlineStr">
        <is>
          <t>60500.00 2026</t>
        </is>
      </c>
      <c r="O509" t="n">
        <v>0</v>
      </c>
      <c r="P509" t="inlineStr">
        <is>
          <t>University adapter</t>
        </is>
      </c>
      <c r="Q509" t="inlineStr">
        <is>
          <t>Filled</t>
        </is>
      </c>
      <c r="R509" t="n">
        <v>6</v>
      </c>
      <c r="S509" t="inlineStr">
        <is>
          <t>Central English policy</t>
        </is>
      </c>
      <c r="T509" t="inlineStr">
        <is>
          <t>Central rule applies (value agrees)</t>
        </is>
      </c>
      <c r="U509" t="inlineStr"/>
      <c r="V509" t="inlineStr">
        <is>
          <t>Filled</t>
        </is>
      </c>
      <c r="W509" t="inlineStr">
        <is>
          <t>February, May, September</t>
        </is>
      </c>
      <c r="X509" t="inlineStr">
        <is>
          <t>University adapter</t>
        </is>
      </c>
      <c r="Y509" t="n">
        <v>0</v>
      </c>
      <c r="Z509" t="inlineStr">
        <is>
          <t>No</t>
        </is>
      </c>
      <c r="AA509" t="inlineStr">
        <is>
          <t>Filled</t>
        </is>
      </c>
      <c r="AB509" t="inlineStr">
        <is>
          <t>on campus and online</t>
        </is>
      </c>
      <c r="AC509" t="inlineStr"/>
      <c r="AD509" t="n">
        <v>0</v>
      </c>
      <c r="AE509" t="inlineStr"/>
      <c r="AF509" t="inlineStr"/>
      <c r="AG509" t="inlineStr"/>
      <c r="AH509" t="inlineStr"/>
      <c r="AI509" t="inlineStr"/>
      <c r="AJ509" t="inlineStr"/>
      <c r="AK509" t="inlineStr"/>
      <c r="AL509" t="inlineStr"/>
      <c r="AM509" t="inlineStr"/>
    </row>
    <row r="510">
      <c r="A510" t="inlineStr">
        <is>
          <t>0100683</t>
        </is>
      </c>
      <c r="B510" t="inlineStr">
        <is>
          <t>Master of Health Leadership Management (Extension)/Master of Infectious Disease Intelligence</t>
        </is>
      </c>
      <c r="C510" t="inlineStr">
        <is>
          <t>Masters Degree (Coursework)</t>
        </is>
      </c>
      <c r="D510" t="inlineStr">
        <is>
          <t>Postgraduate coursework</t>
        </is>
      </c>
      <c r="E510" t="inlineStr">
        <is>
          <t>Advertised: official page in place</t>
        </is>
      </c>
      <c r="F510" t="inlineStr">
        <is>
          <t>https://www.handbook.unsw.edu.au/postgraduate/programs/2026/9368</t>
        </is>
      </c>
      <c r="G510" t="inlineStr">
        <is>
          <t>https://www.handbook.unsw.edu.au/postgraduate/programs/2026/9368</t>
        </is>
      </c>
      <c r="H510" t="inlineStr">
        <is>
          <t>Read</t>
        </is>
      </c>
      <c r="I510" t="inlineStr">
        <is>
          <t>CRICOS code on page</t>
        </is>
      </c>
      <c r="J510" t="inlineStr"/>
      <c r="K510" t="inlineStr">
        <is>
          <t>Not sent to re-link</t>
        </is>
      </c>
      <c r="L510" t="inlineStr">
        <is>
          <t>Filled</t>
        </is>
      </c>
      <c r="M510" t="inlineStr">
        <is>
          <t>Not stated on course page</t>
        </is>
      </c>
      <c r="N510" t="inlineStr"/>
      <c r="O510" t="n">
        <v>0</v>
      </c>
      <c r="P510" t="inlineStr"/>
      <c r="Q510" t="inlineStr">
        <is>
          <t>Filled</t>
        </is>
      </c>
      <c r="R510" t="n">
        <v>6</v>
      </c>
      <c r="S510" t="inlineStr">
        <is>
          <t>Central English policy</t>
        </is>
      </c>
      <c r="T510" t="inlineStr">
        <is>
          <t>Central rule applies (value agrees)</t>
        </is>
      </c>
      <c r="U510" t="inlineStr"/>
      <c r="V510" t="inlineStr">
        <is>
          <t>Filled</t>
        </is>
      </c>
      <c r="W510" t="inlineStr">
        <is>
          <t>February, May, September</t>
        </is>
      </c>
      <c r="X510" t="inlineStr">
        <is>
          <t>University adapter</t>
        </is>
      </c>
      <c r="Y510" t="n">
        <v>0</v>
      </c>
      <c r="Z510" t="inlineStr">
        <is>
          <t>No</t>
        </is>
      </c>
      <c r="AA510" t="inlineStr">
        <is>
          <t>Filled</t>
        </is>
      </c>
      <c r="AB510" t="inlineStr">
        <is>
          <t>on campus</t>
        </is>
      </c>
      <c r="AC510" t="inlineStr"/>
      <c r="AD510" t="n">
        <v>0</v>
      </c>
      <c r="AE510" t="inlineStr"/>
      <c r="AF510" t="inlineStr"/>
      <c r="AG510" t="inlineStr"/>
      <c r="AH510" t="inlineStr"/>
      <c r="AI510" t="inlineStr"/>
      <c r="AJ510" t="inlineStr"/>
      <c r="AK510" t="inlineStr"/>
      <c r="AL510" t="inlineStr"/>
      <c r="AM510" t="inlineStr"/>
    </row>
    <row r="511">
      <c r="A511" t="inlineStr">
        <is>
          <t>096230C</t>
        </is>
      </c>
      <c r="B511" t="inlineStr">
        <is>
          <t>Master of Health Leadership Management/Master of Infectious Disease Intelligence</t>
        </is>
      </c>
      <c r="C511" t="inlineStr">
        <is>
          <t>Masters Degree (Coursework)</t>
        </is>
      </c>
      <c r="D511" t="inlineStr">
        <is>
          <t>Postgraduate coursework</t>
        </is>
      </c>
      <c r="E511" t="inlineStr">
        <is>
          <t>Advertised: official page in place</t>
        </is>
      </c>
      <c r="F511" t="inlineStr">
        <is>
          <t>https://www.unsw.edu.au/study/postgraduate/master-of-health-leadership-and-management-infectious-diseases-intelligence</t>
        </is>
      </c>
      <c r="G511" t="inlineStr">
        <is>
          <t>https://www.unsw.edu.au/study/postgraduate/master-of-health-leadership-and-management-infectious-diseases-intelligence</t>
        </is>
      </c>
      <c r="H511" t="inlineStr">
        <is>
          <t>Read</t>
        </is>
      </c>
      <c r="I511" t="inlineStr">
        <is>
          <t>CRICOS code on page</t>
        </is>
      </c>
      <c r="J511" t="inlineStr"/>
      <c r="K511" t="inlineStr">
        <is>
          <t>Not sent to re-link</t>
        </is>
      </c>
      <c r="L511" t="inlineStr">
        <is>
          <t>Filled</t>
        </is>
      </c>
      <c r="M511" t="inlineStr">
        <is>
          <t>Filled</t>
        </is>
      </c>
      <c r="N511" t="inlineStr">
        <is>
          <t>60500.00 2026</t>
        </is>
      </c>
      <c r="O511" t="n">
        <v>0</v>
      </c>
      <c r="P511" t="inlineStr">
        <is>
          <t>University adapter</t>
        </is>
      </c>
      <c r="Q511" t="inlineStr">
        <is>
          <t>Filled</t>
        </is>
      </c>
      <c r="R511" t="n">
        <v>6</v>
      </c>
      <c r="S511" t="inlineStr">
        <is>
          <t>Central English policy</t>
        </is>
      </c>
      <c r="T511" t="inlineStr">
        <is>
          <t>Central rule applies (value agrees)</t>
        </is>
      </c>
      <c r="U511" t="inlineStr"/>
      <c r="V511" t="inlineStr">
        <is>
          <t>Filled</t>
        </is>
      </c>
      <c r="W511" t="inlineStr">
        <is>
          <t>February, May, September</t>
        </is>
      </c>
      <c r="X511" t="inlineStr">
        <is>
          <t>University adapter</t>
        </is>
      </c>
      <c r="Y511" t="n">
        <v>0</v>
      </c>
      <c r="Z511" t="inlineStr">
        <is>
          <t>No</t>
        </is>
      </c>
      <c r="AA511" t="inlineStr">
        <is>
          <t>Filled</t>
        </is>
      </c>
      <c r="AB511" t="inlineStr">
        <is>
          <t>on campus and online</t>
        </is>
      </c>
      <c r="AC511" t="inlineStr"/>
      <c r="AD511" t="n">
        <v>0</v>
      </c>
      <c r="AE511" t="inlineStr"/>
      <c r="AF511" t="inlineStr"/>
      <c r="AG511" t="inlineStr"/>
      <c r="AH511" t="inlineStr"/>
      <c r="AI511" t="inlineStr"/>
      <c r="AJ511" t="inlineStr"/>
      <c r="AK511" t="inlineStr"/>
      <c r="AL511" t="inlineStr"/>
      <c r="AM511" t="inlineStr"/>
    </row>
    <row r="512">
      <c r="A512" t="inlineStr">
        <is>
          <t>000964C</t>
        </is>
      </c>
      <c r="B512" t="inlineStr">
        <is>
          <t>Master of Health Professions Education (Research)</t>
        </is>
      </c>
      <c r="C512" t="inlineStr">
        <is>
          <t>Masters Degree (Research)</t>
        </is>
      </c>
      <c r="D512" t="inlineStr">
        <is>
          <t>Research degree</t>
        </is>
      </c>
      <c r="E512" t="inlineStr">
        <is>
          <t>Advertised: official page in place</t>
        </is>
      </c>
      <c r="F512" t="inlineStr">
        <is>
          <t>https://www.handbook.unsw.edu.au/research/programs/2026/2885</t>
        </is>
      </c>
      <c r="G512" t="inlineStr">
        <is>
          <t>https://www.handbook.unsw.edu.au/research/programs/2026/2885</t>
        </is>
      </c>
      <c r="H512" t="inlineStr">
        <is>
          <t>Read</t>
        </is>
      </c>
      <c r="I512" t="inlineStr">
        <is>
          <t>CRICOS code on page</t>
        </is>
      </c>
      <c r="J512" t="inlineStr"/>
      <c r="K512" t="inlineStr">
        <is>
          <t>Not sent to re-link</t>
        </is>
      </c>
      <c r="L512" t="inlineStr">
        <is>
          <t>Filled</t>
        </is>
      </c>
      <c r="M512" t="inlineStr">
        <is>
          <t>Not stated on course page</t>
        </is>
      </c>
      <c r="N512" t="inlineStr"/>
      <c r="O512" t="n">
        <v>0</v>
      </c>
      <c r="P512" t="inlineStr"/>
      <c r="Q512" t="inlineStr">
        <is>
          <t>Not stated on course page</t>
        </is>
      </c>
      <c r="S512" t="inlineStr"/>
      <c r="T512" t="inlineStr">
        <is>
          <t>Held: research degree (the policy states no research requirement)</t>
        </is>
      </c>
      <c r="U512" t="inlineStr"/>
      <c r="V512" t="inlineStr">
        <is>
          <t>Filled</t>
        </is>
      </c>
      <c r="W512" t="inlineStr">
        <is>
          <t>January, February, May, September</t>
        </is>
      </c>
      <c r="X512" t="inlineStr">
        <is>
          <t>University adapter</t>
        </is>
      </c>
      <c r="Y512" t="n">
        <v>0</v>
      </c>
      <c r="Z512" t="inlineStr">
        <is>
          <t>No</t>
        </is>
      </c>
      <c r="AA512" t="inlineStr">
        <is>
          <t>Filled</t>
        </is>
      </c>
      <c r="AB512" t="inlineStr">
        <is>
          <t>on campus</t>
        </is>
      </c>
      <c r="AC512" t="inlineStr"/>
      <c r="AD512" t="n">
        <v>0</v>
      </c>
      <c r="AE512" t="inlineStr"/>
      <c r="AF512" t="inlineStr"/>
      <c r="AG512" t="inlineStr"/>
      <c r="AH512" t="inlineStr"/>
      <c r="AI512" t="inlineStr"/>
      <c r="AJ512" t="inlineStr">
        <is>
          <t>Yes</t>
        </is>
      </c>
      <c r="AK512" t="inlineStr"/>
      <c r="AL512" t="inlineStr"/>
      <c r="AM512" t="inlineStr"/>
    </row>
    <row r="513">
      <c r="A513" t="inlineStr">
        <is>
          <t>111880F</t>
        </is>
      </c>
      <c r="B513" t="inlineStr">
        <is>
          <t>Master of Health Sciences (Research)</t>
        </is>
      </c>
      <c r="C513" t="inlineStr">
        <is>
          <t>Masters Degree (Research)</t>
        </is>
      </c>
      <c r="D513" t="inlineStr">
        <is>
          <t>Research degree</t>
        </is>
      </c>
      <c r="E513" t="inlineStr">
        <is>
          <t>Advertised: official page in place</t>
        </is>
      </c>
      <c r="F513" t="inlineStr">
        <is>
          <t>https://www.handbook.unsw.edu.au/research/programs/2026/2802</t>
        </is>
      </c>
      <c r="G513" t="inlineStr">
        <is>
          <t>https://www.handbook.unsw.edu.au/research/programs/2026/2802</t>
        </is>
      </c>
      <c r="H513" t="inlineStr">
        <is>
          <t>Read</t>
        </is>
      </c>
      <c r="I513" t="inlineStr">
        <is>
          <t>CRICOS code on page</t>
        </is>
      </c>
      <c r="J513" t="inlineStr"/>
      <c r="K513" t="inlineStr">
        <is>
          <t>Not sent to re-link</t>
        </is>
      </c>
      <c r="L513" t="inlineStr">
        <is>
          <t>Filled</t>
        </is>
      </c>
      <c r="M513" t="inlineStr">
        <is>
          <t>Not stated on course page</t>
        </is>
      </c>
      <c r="N513" t="inlineStr"/>
      <c r="O513" t="n">
        <v>0</v>
      </c>
      <c r="P513" t="inlineStr"/>
      <c r="Q513" t="inlineStr">
        <is>
          <t>Not stated on course page</t>
        </is>
      </c>
      <c r="S513" t="inlineStr"/>
      <c r="T513" t="inlineStr">
        <is>
          <t>Held: research degree (the policy states no research requirement)</t>
        </is>
      </c>
      <c r="U513" t="inlineStr"/>
      <c r="V513" t="inlineStr">
        <is>
          <t>Filled</t>
        </is>
      </c>
      <c r="W513" t="inlineStr">
        <is>
          <t>January, February, May, September</t>
        </is>
      </c>
      <c r="X513" t="inlineStr">
        <is>
          <t>Other</t>
        </is>
      </c>
      <c r="Y513" t="n">
        <v>0</v>
      </c>
      <c r="Z513" t="inlineStr">
        <is>
          <t>No</t>
        </is>
      </c>
      <c r="AA513" t="inlineStr">
        <is>
          <t>Filled</t>
        </is>
      </c>
      <c r="AB513" t="inlineStr">
        <is>
          <t>on campus</t>
        </is>
      </c>
      <c r="AC513" t="inlineStr"/>
      <c r="AD513" t="n">
        <v>0</v>
      </c>
      <c r="AE513" t="inlineStr"/>
      <c r="AF513" t="inlineStr"/>
      <c r="AG513" t="inlineStr"/>
      <c r="AH513" t="inlineStr"/>
      <c r="AI513" t="inlineStr"/>
      <c r="AJ513" t="inlineStr">
        <is>
          <t>Yes</t>
        </is>
      </c>
      <c r="AK513" t="inlineStr"/>
      <c r="AL513" t="inlineStr"/>
      <c r="AM513" t="inlineStr"/>
    </row>
    <row r="514">
      <c r="A514" t="inlineStr">
        <is>
          <t>111889H</t>
        </is>
      </c>
      <c r="B514" t="inlineStr">
        <is>
          <t>Master of Health Sciences (Research)</t>
        </is>
      </c>
      <c r="C514" t="inlineStr">
        <is>
          <t>Masters Degree (Research)</t>
        </is>
      </c>
      <c r="D514" t="inlineStr">
        <is>
          <t>Research degree</t>
        </is>
      </c>
      <c r="E514" t="inlineStr">
        <is>
          <t>Held: page found is for another course</t>
        </is>
      </c>
      <c r="F514" t="inlineStr"/>
      <c r="G514" t="inlineStr">
        <is>
          <t>https://www.handbook.unsw.edu.au/research/programs/2026/2802</t>
        </is>
      </c>
      <c r="H514" t="inlineStr">
        <is>
          <t>Page is for another course</t>
        </is>
      </c>
      <c r="I514" t="inlineStr"/>
      <c r="J514" t="inlineStr"/>
      <c r="K514" t="inlineStr">
        <is>
          <t>Finished, no page: no address from the university's address forms or stored lis</t>
        </is>
      </c>
      <c r="L514" t="inlineStr">
        <is>
          <t>Searching for course page</t>
        </is>
      </c>
      <c r="M514" t="inlineStr">
        <is>
          <t>Searching for course page</t>
        </is>
      </c>
      <c r="N514" t="inlineStr"/>
      <c r="O514" t="n">
        <v>0</v>
      </c>
      <c r="P514" t="inlineStr"/>
      <c r="Q514" t="inlineStr">
        <is>
          <t>Searching for course page</t>
        </is>
      </c>
      <c r="S514" t="inlineStr"/>
      <c r="T514" t="inlineStr">
        <is>
          <t>Held: research degree (the policy states no research requirement)</t>
        </is>
      </c>
      <c r="U514" t="inlineStr"/>
      <c r="V514" t="inlineStr">
        <is>
          <t>Searching for course page</t>
        </is>
      </c>
      <c r="W514" t="inlineStr"/>
      <c r="X514" t="inlineStr"/>
      <c r="Y514" t="n">
        <v>0</v>
      </c>
      <c r="Z514" t="inlineStr">
        <is>
          <t>No</t>
        </is>
      </c>
      <c r="AA514" t="inlineStr">
        <is>
          <t>Not stated on course page</t>
        </is>
      </c>
      <c r="AB514" t="inlineStr"/>
      <c r="AC514" t="inlineStr">
        <is>
          <t>Skipped: no correct course page: the page found is for another course</t>
        </is>
      </c>
      <c r="AD514" t="n">
        <v>0</v>
      </c>
      <c r="AE514" t="inlineStr"/>
      <c r="AF514" t="inlineStr"/>
      <c r="AG514" t="inlineStr"/>
      <c r="AH514" t="inlineStr"/>
      <c r="AI514" t="inlineStr"/>
      <c r="AJ514" t="inlineStr">
        <is>
          <t>Yes</t>
        </is>
      </c>
      <c r="AK514" t="inlineStr"/>
      <c r="AL514" t="inlineStr"/>
      <c r="AM514" t="inlineStr"/>
    </row>
    <row r="515">
      <c r="A515" t="inlineStr">
        <is>
          <t>107253A</t>
        </is>
      </c>
      <c r="B515" t="inlineStr">
        <is>
          <t>Master of Industrial Research</t>
        </is>
      </c>
      <c r="C515" t="inlineStr">
        <is>
          <t>Masters Degree (Research)</t>
        </is>
      </c>
      <c r="D515" t="inlineStr">
        <is>
          <t>Research degree</t>
        </is>
      </c>
      <c r="E515" t="inlineStr">
        <is>
          <t>Advertised: official page in place</t>
        </is>
      </c>
      <c r="F515" t="inlineStr">
        <is>
          <t>https://www.handbook.unsw.edu.au/research/programs/2026/2912</t>
        </is>
      </c>
      <c r="G515" t="inlineStr">
        <is>
          <t>https://www.handbook.unsw.edu.au/research/programs/2026/2912</t>
        </is>
      </c>
      <c r="H515" t="inlineStr">
        <is>
          <t>Read</t>
        </is>
      </c>
      <c r="I515" t="inlineStr">
        <is>
          <t>CRICOS code on page</t>
        </is>
      </c>
      <c r="J515" t="inlineStr"/>
      <c r="K515" t="inlineStr">
        <is>
          <t>Not sent to re-link</t>
        </is>
      </c>
      <c r="L515" t="inlineStr">
        <is>
          <t>Filled</t>
        </is>
      </c>
      <c r="M515" t="inlineStr">
        <is>
          <t>Not stated on course page</t>
        </is>
      </c>
      <c r="N515" t="inlineStr"/>
      <c r="O515" t="n">
        <v>0</v>
      </c>
      <c r="P515" t="inlineStr"/>
      <c r="Q515" t="inlineStr">
        <is>
          <t>Not stated on course page</t>
        </is>
      </c>
      <c r="S515" t="inlineStr"/>
      <c r="T515" t="inlineStr">
        <is>
          <t>Held: research degree (the policy states no research requirement)</t>
        </is>
      </c>
      <c r="U515" t="inlineStr"/>
      <c r="V515" t="inlineStr">
        <is>
          <t>Filled</t>
        </is>
      </c>
      <c r="W515" t="inlineStr">
        <is>
          <t>January, February, May, September</t>
        </is>
      </c>
      <c r="X515" t="inlineStr">
        <is>
          <t>University adapter</t>
        </is>
      </c>
      <c r="Y515" t="n">
        <v>0</v>
      </c>
      <c r="Z515" t="inlineStr">
        <is>
          <t>No</t>
        </is>
      </c>
      <c r="AA515" t="inlineStr">
        <is>
          <t>Filled</t>
        </is>
      </c>
      <c r="AB515" t="inlineStr">
        <is>
          <t>on campus</t>
        </is>
      </c>
      <c r="AC515" t="inlineStr"/>
      <c r="AD515" t="n">
        <v>0</v>
      </c>
      <c r="AE515" t="inlineStr"/>
      <c r="AF515" t="inlineStr"/>
      <c r="AG515" t="inlineStr"/>
      <c r="AH515" t="inlineStr"/>
      <c r="AI515" t="inlineStr"/>
      <c r="AJ515" t="inlineStr">
        <is>
          <t>Yes</t>
        </is>
      </c>
      <c r="AK515" t="inlineStr"/>
      <c r="AL515" t="inlineStr"/>
      <c r="AM515" t="inlineStr"/>
    </row>
    <row r="516">
      <c r="A516" t="inlineStr">
        <is>
          <t>108474B</t>
        </is>
      </c>
      <c r="B516" t="inlineStr">
        <is>
          <t>Master of Industrial Research</t>
        </is>
      </c>
      <c r="C516" t="inlineStr">
        <is>
          <t>Masters Degree (Research)</t>
        </is>
      </c>
      <c r="D516" t="inlineStr">
        <is>
          <t>Research degree</t>
        </is>
      </c>
      <c r="E516" t="inlineStr">
        <is>
          <t>Advertised: official page in place</t>
        </is>
      </c>
      <c r="F516" t="inlineStr">
        <is>
          <t>https://www.unsw.edu.au/science/study-with-us/postgraduate-research/master-of-industrial-research</t>
        </is>
      </c>
      <c r="G516" t="inlineStr">
        <is>
          <t>https://www.unsw.edu.au/science/study-with-us/postgraduate-research/master-of-industrial-research</t>
        </is>
      </c>
      <c r="H516" t="inlineStr">
        <is>
          <t>Read</t>
        </is>
      </c>
      <c r="I516" t="inlineStr">
        <is>
          <t>Exact title match</t>
        </is>
      </c>
      <c r="J516" t="inlineStr"/>
      <c r="K516" t="inlineStr">
        <is>
          <t>Not sent to re-link</t>
        </is>
      </c>
      <c r="L516" t="inlineStr">
        <is>
          <t>Filled</t>
        </is>
      </c>
      <c r="M516" t="inlineStr">
        <is>
          <t>Not stated on course page</t>
        </is>
      </c>
      <c r="N516" t="inlineStr"/>
      <c r="O516" t="n">
        <v>0</v>
      </c>
      <c r="P516" t="inlineStr"/>
      <c r="Q516" t="inlineStr">
        <is>
          <t>Not stated on course page</t>
        </is>
      </c>
      <c r="S516" t="inlineStr"/>
      <c r="T516" t="inlineStr">
        <is>
          <t>Held: research degree (the policy states no research requirement)</t>
        </is>
      </c>
      <c r="U516" t="inlineStr"/>
      <c r="V516" t="inlineStr">
        <is>
          <t>Filled</t>
        </is>
      </c>
      <c r="W516" t="inlineStr">
        <is>
          <t>February, May</t>
        </is>
      </c>
      <c r="X516" t="inlineStr">
        <is>
          <t>Page reader</t>
        </is>
      </c>
      <c r="Y516" t="n">
        <v>0</v>
      </c>
      <c r="Z516" t="inlineStr">
        <is>
          <t>No</t>
        </is>
      </c>
      <c r="AA516" t="inlineStr">
        <is>
          <t>Filled</t>
        </is>
      </c>
      <c r="AB516" t="inlineStr">
        <is>
          <t>on campus</t>
        </is>
      </c>
      <c r="AC516" t="inlineStr">
        <is>
          <t>Filled</t>
        </is>
      </c>
      <c r="AD516" t="n">
        <v>0</v>
      </c>
      <c r="AE516" t="inlineStr"/>
      <c r="AF516" t="inlineStr"/>
      <c r="AG516" t="inlineStr"/>
      <c r="AH516" t="inlineStr"/>
      <c r="AI516" t="inlineStr"/>
      <c r="AJ516" t="inlineStr">
        <is>
          <t>Yes</t>
        </is>
      </c>
      <c r="AK516" t="inlineStr"/>
      <c r="AL516" t="inlineStr"/>
      <c r="AM516" t="inlineStr"/>
    </row>
    <row r="517">
      <c r="A517" t="inlineStr">
        <is>
          <t>089223E</t>
        </is>
      </c>
      <c r="B517" t="inlineStr">
        <is>
          <t>Master of Infectious Diseases Intelligence</t>
        </is>
      </c>
      <c r="C517" t="inlineStr">
        <is>
          <t>Masters Degree (Coursework)</t>
        </is>
      </c>
      <c r="D517" t="inlineStr">
        <is>
          <t>Postgraduate coursework</t>
        </is>
      </c>
      <c r="E517" t="inlineStr">
        <is>
          <t>Advertised: official page in place</t>
        </is>
      </c>
      <c r="F517" t="inlineStr">
        <is>
          <t>https://www.unsw.edu.au/study/postgraduate/master-of-infectious-diseases-intelligence</t>
        </is>
      </c>
      <c r="G517" t="inlineStr">
        <is>
          <t>https://www.unsw.edu.au/study/postgraduate/master-of-infectious-diseases-intelligence</t>
        </is>
      </c>
      <c r="H517" t="inlineStr">
        <is>
          <t>Read</t>
        </is>
      </c>
      <c r="I517" t="inlineStr">
        <is>
          <t>CRICOS code on page</t>
        </is>
      </c>
      <c r="J517" t="inlineStr"/>
      <c r="K517" t="inlineStr">
        <is>
          <t>Not sent to re-link</t>
        </is>
      </c>
      <c r="L517" t="inlineStr">
        <is>
          <t>Filled</t>
        </is>
      </c>
      <c r="M517" t="inlineStr">
        <is>
          <t>Filled</t>
        </is>
      </c>
      <c r="N517" t="inlineStr">
        <is>
          <t>60500.00 2026</t>
        </is>
      </c>
      <c r="O517" t="n">
        <v>0</v>
      </c>
      <c r="P517" t="inlineStr">
        <is>
          <t>University adapter</t>
        </is>
      </c>
      <c r="Q517" t="inlineStr">
        <is>
          <t>Filled</t>
        </is>
      </c>
      <c r="R517" t="n">
        <v>6</v>
      </c>
      <c r="S517" t="inlineStr">
        <is>
          <t>Central English policy</t>
        </is>
      </c>
      <c r="T517" t="inlineStr">
        <is>
          <t>Central rule applies (value agrees)</t>
        </is>
      </c>
      <c r="U517" t="inlineStr"/>
      <c r="V517" t="inlineStr">
        <is>
          <t>Filled</t>
        </is>
      </c>
      <c r="W517" t="inlineStr">
        <is>
          <t>February, May, September</t>
        </is>
      </c>
      <c r="X517" t="inlineStr">
        <is>
          <t>University adapter</t>
        </is>
      </c>
      <c r="Y517" t="n">
        <v>0</v>
      </c>
      <c r="Z517" t="inlineStr">
        <is>
          <t>No</t>
        </is>
      </c>
      <c r="AA517" t="inlineStr">
        <is>
          <t>Filled</t>
        </is>
      </c>
      <c r="AB517" t="inlineStr">
        <is>
          <t>on campus and online</t>
        </is>
      </c>
      <c r="AC517" t="inlineStr"/>
      <c r="AD517" t="n">
        <v>0</v>
      </c>
      <c r="AE517" t="inlineStr"/>
      <c r="AF517" t="inlineStr"/>
      <c r="AG517" t="inlineStr"/>
      <c r="AH517" t="inlineStr"/>
      <c r="AI517" t="inlineStr"/>
      <c r="AJ517" t="inlineStr"/>
      <c r="AK517" t="inlineStr"/>
      <c r="AL517" t="inlineStr"/>
      <c r="AM517" t="inlineStr"/>
    </row>
    <row r="518">
      <c r="A518" t="inlineStr">
        <is>
          <t>0100677</t>
        </is>
      </c>
      <c r="B518" t="inlineStr">
        <is>
          <t>Master of Infectious Diseases Intelligence (Extension)</t>
        </is>
      </c>
      <c r="C518" t="inlineStr">
        <is>
          <t>Masters Degree (Coursework)</t>
        </is>
      </c>
      <c r="D518" t="inlineStr">
        <is>
          <t>Postgraduate coursework</t>
        </is>
      </c>
      <c r="E518" t="inlineStr">
        <is>
          <t>Advertised: official page in place</t>
        </is>
      </c>
      <c r="F518" t="inlineStr">
        <is>
          <t>https://www.unsw.edu.au/study/postgraduate/master-of-infectious-diseases-intelligence-extension</t>
        </is>
      </c>
      <c r="G518" t="inlineStr">
        <is>
          <t>https://www.unsw.edu.au/study/postgraduate/master-of-infectious-diseases-intelligence-extension</t>
        </is>
      </c>
      <c r="H518" t="inlineStr">
        <is>
          <t>Read</t>
        </is>
      </c>
      <c r="I518" t="inlineStr">
        <is>
          <t>CRICOS code on page</t>
        </is>
      </c>
      <c r="J518" t="inlineStr"/>
      <c r="K518" t="inlineStr">
        <is>
          <t>Not sent to re-link</t>
        </is>
      </c>
      <c r="L518" t="inlineStr">
        <is>
          <t>Filled</t>
        </is>
      </c>
      <c r="M518" t="inlineStr">
        <is>
          <t>Filled</t>
        </is>
      </c>
      <c r="N518" t="inlineStr">
        <is>
          <t>60500.00 2026</t>
        </is>
      </c>
      <c r="O518" t="n">
        <v>0</v>
      </c>
      <c r="P518" t="inlineStr">
        <is>
          <t>University adapter</t>
        </is>
      </c>
      <c r="Q518" t="inlineStr">
        <is>
          <t>Filled</t>
        </is>
      </c>
      <c r="R518" t="n">
        <v>6</v>
      </c>
      <c r="S518" t="inlineStr">
        <is>
          <t>Central English policy</t>
        </is>
      </c>
      <c r="T518" t="inlineStr">
        <is>
          <t>Central rule applies (value agrees)</t>
        </is>
      </c>
      <c r="U518" t="inlineStr"/>
      <c r="V518" t="inlineStr">
        <is>
          <t>Filled</t>
        </is>
      </c>
      <c r="W518" t="inlineStr">
        <is>
          <t>February, May, September</t>
        </is>
      </c>
      <c r="X518" t="inlineStr">
        <is>
          <t>University adapter</t>
        </is>
      </c>
      <c r="Y518" t="n">
        <v>0</v>
      </c>
      <c r="Z518" t="inlineStr">
        <is>
          <t>No</t>
        </is>
      </c>
      <c r="AA518" t="inlineStr">
        <is>
          <t>Filled</t>
        </is>
      </c>
      <c r="AB518" t="inlineStr">
        <is>
          <t>on campus and online</t>
        </is>
      </c>
      <c r="AC518" t="inlineStr"/>
      <c r="AD518" t="n">
        <v>0</v>
      </c>
      <c r="AE518" t="inlineStr"/>
      <c r="AF518" t="inlineStr"/>
      <c r="AG518" t="inlineStr"/>
      <c r="AH518" t="inlineStr"/>
      <c r="AI518" t="inlineStr"/>
      <c r="AJ518" t="inlineStr"/>
      <c r="AK518" t="inlineStr"/>
      <c r="AL518" t="inlineStr"/>
      <c r="AM518" t="inlineStr"/>
    </row>
    <row r="519">
      <c r="A519" t="inlineStr">
        <is>
          <t>077873C</t>
        </is>
      </c>
      <c r="B519" t="inlineStr">
        <is>
          <t>Master of Information Systems Management</t>
        </is>
      </c>
      <c r="C519" t="inlineStr">
        <is>
          <t>Masters Degree (Coursework)</t>
        </is>
      </c>
      <c r="D519" t="inlineStr">
        <is>
          <t>Postgraduate coursework</t>
        </is>
      </c>
      <c r="E519" t="inlineStr">
        <is>
          <t>Page address no longer works</t>
        </is>
      </c>
      <c r="F519" t="inlineStr"/>
      <c r="G519" t="inlineStr">
        <is>
          <t>https://www.handbook.unsw.edu.au/postgraduate/programs/2026/8446</t>
        </is>
      </c>
      <c r="H519" t="inlineStr">
        <is>
          <t>Address no longer works</t>
        </is>
      </c>
      <c r="I519" t="inlineStr"/>
      <c r="J519" t="inlineStr"/>
      <c r="K519" t="inlineStr">
        <is>
          <t>Finished, no page: no address from the university's address forms or stored lis</t>
        </is>
      </c>
      <c r="L519" t="inlineStr">
        <is>
          <t>Page found, being read</t>
        </is>
      </c>
      <c r="M519" t="inlineStr">
        <is>
          <t>Page found, being read</t>
        </is>
      </c>
      <c r="N519" t="inlineStr"/>
      <c r="O519" t="n">
        <v>0</v>
      </c>
      <c r="P519" t="inlineStr"/>
      <c r="Q519" t="inlineStr">
        <is>
          <t>Filled</t>
        </is>
      </c>
      <c r="R519" t="n">
        <v>6</v>
      </c>
      <c r="S519" t="inlineStr">
        <is>
          <t>Central English policy</t>
        </is>
      </c>
      <c r="T519" t="inlineStr">
        <is>
          <t>Central rule applies (value agrees)</t>
        </is>
      </c>
      <c r="U519" t="inlineStr"/>
      <c r="V519" t="inlineStr">
        <is>
          <t>Page found, being read</t>
        </is>
      </c>
      <c r="W519" t="inlineStr"/>
      <c r="X519" t="inlineStr"/>
      <c r="Y519" t="n">
        <v>0</v>
      </c>
      <c r="Z519" t="inlineStr">
        <is>
          <t>No</t>
        </is>
      </c>
      <c r="AA519" t="inlineStr">
        <is>
          <t>Not stated on course page</t>
        </is>
      </c>
      <c r="AB519" t="inlineStr"/>
      <c r="AC519" t="inlineStr">
        <is>
          <t>Skipped: the page does not state it</t>
        </is>
      </c>
      <c r="AD519" t="n">
        <v>0</v>
      </c>
      <c r="AE519" t="inlineStr"/>
      <c r="AF519" t="inlineStr"/>
      <c r="AG519" t="inlineStr"/>
      <c r="AH519" t="inlineStr"/>
      <c r="AI519" t="inlineStr"/>
      <c r="AJ519" t="inlineStr"/>
      <c r="AK519" t="inlineStr"/>
      <c r="AL519" t="inlineStr"/>
      <c r="AM519" t="inlineStr"/>
    </row>
    <row r="520">
      <c r="A520" t="inlineStr">
        <is>
          <t>0100365</t>
        </is>
      </c>
      <c r="B520" t="inlineStr">
        <is>
          <t>Master of Information Systems Management (Extension)</t>
        </is>
      </c>
      <c r="C520" t="inlineStr">
        <is>
          <t>Masters Degree (Extended)</t>
        </is>
      </c>
      <c r="D520" t="inlineStr">
        <is>
          <t>Postgraduate coursework</t>
        </is>
      </c>
      <c r="E520" t="inlineStr">
        <is>
          <t>Page address no longer works</t>
        </is>
      </c>
      <c r="F520" t="inlineStr"/>
      <c r="G520" t="inlineStr">
        <is>
          <t>https://www.handbook.unsw.edu.au/postgraduate/programs/2026/8446</t>
        </is>
      </c>
      <c r="H520" t="inlineStr">
        <is>
          <t>Address no longer works</t>
        </is>
      </c>
      <c r="I520" t="inlineStr"/>
      <c r="J520" t="inlineStr"/>
      <c r="K520" t="inlineStr">
        <is>
          <t>Not sent to re-link</t>
        </is>
      </c>
      <c r="L520" t="inlineStr">
        <is>
          <t>Page found, being read</t>
        </is>
      </c>
      <c r="M520" t="inlineStr">
        <is>
          <t>Page found, being read</t>
        </is>
      </c>
      <c r="N520" t="inlineStr"/>
      <c r="O520" t="n">
        <v>0</v>
      </c>
      <c r="P520" t="inlineStr"/>
      <c r="Q520" t="inlineStr">
        <is>
          <t>Filled</t>
        </is>
      </c>
      <c r="R520" t="n">
        <v>6</v>
      </c>
      <c r="S520" t="inlineStr">
        <is>
          <t>Central English policy</t>
        </is>
      </c>
      <c r="T520" t="inlineStr">
        <is>
          <t>Central rule applies (value agrees)</t>
        </is>
      </c>
      <c r="U520" t="inlineStr"/>
      <c r="V520" t="inlineStr">
        <is>
          <t>Page found, being read</t>
        </is>
      </c>
      <c r="W520" t="inlineStr"/>
      <c r="X520" t="inlineStr"/>
      <c r="Y520" t="n">
        <v>0</v>
      </c>
      <c r="Z520" t="inlineStr">
        <is>
          <t>No</t>
        </is>
      </c>
      <c r="AA520" t="inlineStr">
        <is>
          <t>Not stated on course page</t>
        </is>
      </c>
      <c r="AB520" t="inlineStr"/>
      <c r="AC520" t="inlineStr">
        <is>
          <t>Skipped: no allowed source had a value</t>
        </is>
      </c>
      <c r="AD520" t="n">
        <v>0</v>
      </c>
      <c r="AE520" t="inlineStr"/>
      <c r="AF520" t="inlineStr"/>
      <c r="AG520" t="inlineStr"/>
      <c r="AH520" t="inlineStr"/>
      <c r="AI520" t="inlineStr"/>
      <c r="AJ520" t="inlineStr"/>
      <c r="AK520" t="inlineStr"/>
      <c r="AL520" t="inlineStr"/>
      <c r="AM520" t="inlineStr"/>
    </row>
    <row r="521">
      <c r="A521" t="inlineStr">
        <is>
          <t>061294J</t>
        </is>
      </c>
      <c r="B521" t="inlineStr">
        <is>
          <t>Master of Information Technology</t>
        </is>
      </c>
      <c r="C521" t="inlineStr">
        <is>
          <t>Masters Degree (Coursework)</t>
        </is>
      </c>
      <c r="D521" t="inlineStr">
        <is>
          <t>Postgraduate coursework</t>
        </is>
      </c>
      <c r="E521" t="inlineStr">
        <is>
          <t>Advertised: official page in place</t>
        </is>
      </c>
      <c r="F521" t="inlineStr">
        <is>
          <t>https://www.unsw.edu.au/study/postgraduate/master-of-information-technology</t>
        </is>
      </c>
      <c r="G521" t="inlineStr">
        <is>
          <t>https://www.unsw.edu.au/study/postgraduate/master-of-information-technology</t>
        </is>
      </c>
      <c r="H521" t="inlineStr">
        <is>
          <t>Read</t>
        </is>
      </c>
      <c r="I521" t="inlineStr">
        <is>
          <t>CRICOS code on page</t>
        </is>
      </c>
      <c r="J521" t="inlineStr"/>
      <c r="K521" t="inlineStr">
        <is>
          <t>Not sent to re-link</t>
        </is>
      </c>
      <c r="L521" t="inlineStr">
        <is>
          <t>Filled</t>
        </is>
      </c>
      <c r="M521" t="inlineStr">
        <is>
          <t>Filled</t>
        </is>
      </c>
      <c r="N521" t="inlineStr">
        <is>
          <t>63000.00 2026</t>
        </is>
      </c>
      <c r="O521" t="n">
        <v>0</v>
      </c>
      <c r="P521" t="inlineStr">
        <is>
          <t>University adapter</t>
        </is>
      </c>
      <c r="Q521" t="inlineStr">
        <is>
          <t>Filled</t>
        </is>
      </c>
      <c r="R521" t="n">
        <v>6</v>
      </c>
      <c r="S521" t="inlineStr">
        <is>
          <t>Central English policy</t>
        </is>
      </c>
      <c r="T521" t="inlineStr">
        <is>
          <t>Central rule applies (value agrees)</t>
        </is>
      </c>
      <c r="U521" t="inlineStr"/>
      <c r="V521" t="inlineStr">
        <is>
          <t>Filled</t>
        </is>
      </c>
      <c r="W521" t="inlineStr">
        <is>
          <t>February, May, September</t>
        </is>
      </c>
      <c r="X521" t="inlineStr">
        <is>
          <t>University adapter</t>
        </is>
      </c>
      <c r="Y521" t="n">
        <v>0</v>
      </c>
      <c r="Z521" t="inlineStr">
        <is>
          <t>No</t>
        </is>
      </c>
      <c r="AA521" t="inlineStr">
        <is>
          <t>Filled</t>
        </is>
      </c>
      <c r="AB521" t="inlineStr">
        <is>
          <t>on campus</t>
        </is>
      </c>
      <c r="AC521" t="inlineStr"/>
      <c r="AD521" t="n">
        <v>0</v>
      </c>
      <c r="AE521" t="inlineStr"/>
      <c r="AF521" t="inlineStr"/>
      <c r="AG521" t="inlineStr"/>
      <c r="AH521" t="inlineStr"/>
      <c r="AI521" t="inlineStr"/>
      <c r="AJ521" t="inlineStr"/>
      <c r="AK521" t="inlineStr"/>
      <c r="AL521" t="inlineStr"/>
      <c r="AM521" t="inlineStr"/>
    </row>
    <row r="522">
      <c r="A522" t="inlineStr">
        <is>
          <t>108473C</t>
        </is>
      </c>
      <c r="B522" t="inlineStr">
        <is>
          <t>Master of Information Technology / Master of Commerce</t>
        </is>
      </c>
      <c r="C522" t="inlineStr">
        <is>
          <t>Masters Degree (Coursework)</t>
        </is>
      </c>
      <c r="D522" t="inlineStr">
        <is>
          <t>Postgraduate coursework</t>
        </is>
      </c>
      <c r="E522" t="inlineStr">
        <is>
          <t>Advertised: official page in place</t>
        </is>
      </c>
      <c r="F522" t="inlineStr">
        <is>
          <t>https://www.unsw.edu.au/study/postgraduate/master-of-information-technology-commerce</t>
        </is>
      </c>
      <c r="G522" t="inlineStr">
        <is>
          <t>https://www.unsw.edu.au/study/postgraduate/master-of-information-technology-commerce</t>
        </is>
      </c>
      <c r="H522" t="inlineStr">
        <is>
          <t>Read</t>
        </is>
      </c>
      <c r="I522" t="inlineStr">
        <is>
          <t>CRICOS code on page</t>
        </is>
      </c>
      <c r="J522" t="inlineStr"/>
      <c r="K522" t="inlineStr">
        <is>
          <t>Not sent to re-link</t>
        </is>
      </c>
      <c r="L522" t="inlineStr">
        <is>
          <t>Filled</t>
        </is>
      </c>
      <c r="M522" t="inlineStr">
        <is>
          <t>Filled</t>
        </is>
      </c>
      <c r="N522" t="inlineStr">
        <is>
          <t>62500.00 2026</t>
        </is>
      </c>
      <c r="O522" t="n">
        <v>0</v>
      </c>
      <c r="P522" t="inlineStr">
        <is>
          <t>University adapter</t>
        </is>
      </c>
      <c r="Q522" t="inlineStr">
        <is>
          <t>Filled</t>
        </is>
      </c>
      <c r="R522" t="n">
        <v>6</v>
      </c>
      <c r="S522" t="inlineStr">
        <is>
          <t>Central English policy</t>
        </is>
      </c>
      <c r="T522" t="inlineStr">
        <is>
          <t>Central rule applies (value agrees)</t>
        </is>
      </c>
      <c r="U522" t="inlineStr"/>
      <c r="V522" t="inlineStr">
        <is>
          <t>Filled</t>
        </is>
      </c>
      <c r="W522" t="inlineStr">
        <is>
          <t>February, May, September</t>
        </is>
      </c>
      <c r="X522" t="inlineStr">
        <is>
          <t>University adapter</t>
        </is>
      </c>
      <c r="Y522" t="n">
        <v>0</v>
      </c>
      <c r="Z522" t="inlineStr">
        <is>
          <t>No</t>
        </is>
      </c>
      <c r="AA522" t="inlineStr">
        <is>
          <t>Filled</t>
        </is>
      </c>
      <c r="AB522" t="inlineStr">
        <is>
          <t>on campus</t>
        </is>
      </c>
      <c r="AC522" t="inlineStr"/>
      <c r="AD522" t="n">
        <v>0</v>
      </c>
      <c r="AE522" t="inlineStr"/>
      <c r="AF522" t="inlineStr"/>
      <c r="AG522" t="inlineStr"/>
      <c r="AH522" t="inlineStr"/>
      <c r="AI522" t="inlineStr"/>
      <c r="AJ522" t="inlineStr"/>
      <c r="AK522" t="inlineStr"/>
      <c r="AL522" t="inlineStr"/>
      <c r="AM522" t="inlineStr"/>
    </row>
    <row r="523">
      <c r="A523" t="inlineStr">
        <is>
          <t>078546K</t>
        </is>
      </c>
      <c r="B523" t="inlineStr">
        <is>
          <t>Master of International Business</t>
        </is>
      </c>
      <c r="C523" t="inlineStr">
        <is>
          <t>Masters Degree (Coursework)</t>
        </is>
      </c>
      <c r="D523" t="inlineStr">
        <is>
          <t>Postgraduate coursework</t>
        </is>
      </c>
      <c r="E523" t="inlineStr">
        <is>
          <t>Advertised: official page in place</t>
        </is>
      </c>
      <c r="F523" t="inlineStr">
        <is>
          <t>https://www.unsw.edu.au/study/postgraduate/master-of-international-business</t>
        </is>
      </c>
      <c r="G523" t="inlineStr">
        <is>
          <t>https://www.unsw.edu.au/study/postgraduate/master-of-international-business</t>
        </is>
      </c>
      <c r="H523" t="inlineStr">
        <is>
          <t>Read</t>
        </is>
      </c>
      <c r="I523" t="inlineStr">
        <is>
          <t>CRICOS code on page</t>
        </is>
      </c>
      <c r="J523" t="inlineStr"/>
      <c r="K523" t="inlineStr">
        <is>
          <t>Not sent to re-link</t>
        </is>
      </c>
      <c r="L523" t="inlineStr">
        <is>
          <t>Filled</t>
        </is>
      </c>
      <c r="M523" t="inlineStr">
        <is>
          <t>Filled</t>
        </is>
      </c>
      <c r="N523" t="inlineStr">
        <is>
          <t>62000.00 2026</t>
        </is>
      </c>
      <c r="O523" t="n">
        <v>0</v>
      </c>
      <c r="P523" t="inlineStr">
        <is>
          <t>University adapter</t>
        </is>
      </c>
      <c r="Q523" t="inlineStr">
        <is>
          <t>Filled</t>
        </is>
      </c>
      <c r="R523" t="n">
        <v>6</v>
      </c>
      <c r="S523" t="inlineStr">
        <is>
          <t>Central English policy</t>
        </is>
      </c>
      <c r="T523" t="inlineStr">
        <is>
          <t>Central rule applies (value agrees)</t>
        </is>
      </c>
      <c r="U523" t="inlineStr"/>
      <c r="V523" t="inlineStr">
        <is>
          <t>Filled</t>
        </is>
      </c>
      <c r="W523" t="inlineStr">
        <is>
          <t>February, May, September</t>
        </is>
      </c>
      <c r="X523" t="inlineStr">
        <is>
          <t>University adapter</t>
        </is>
      </c>
      <c r="Y523" t="n">
        <v>0</v>
      </c>
      <c r="Z523" t="inlineStr">
        <is>
          <t>No</t>
        </is>
      </c>
      <c r="AA523" t="inlineStr">
        <is>
          <t>Filled</t>
        </is>
      </c>
      <c r="AB523" t="inlineStr">
        <is>
          <t>on campus</t>
        </is>
      </c>
      <c r="AC523" t="inlineStr"/>
      <c r="AD523" t="n">
        <v>0</v>
      </c>
      <c r="AE523" t="inlineStr"/>
      <c r="AF523" t="inlineStr"/>
      <c r="AG523" t="inlineStr"/>
      <c r="AH523" t="inlineStr"/>
      <c r="AI523" t="inlineStr"/>
      <c r="AJ523" t="inlineStr"/>
      <c r="AK523" t="inlineStr"/>
      <c r="AL523" t="inlineStr"/>
      <c r="AM523" t="inlineStr"/>
    </row>
    <row r="524">
      <c r="A524" t="inlineStr">
        <is>
          <t>083232G</t>
        </is>
      </c>
      <c r="B524" t="inlineStr">
        <is>
          <t>Master of International Relations</t>
        </is>
      </c>
      <c r="C524" t="inlineStr">
        <is>
          <t>Masters Degree (Coursework)</t>
        </is>
      </c>
      <c r="D524" t="inlineStr">
        <is>
          <t>Postgraduate coursework</t>
        </is>
      </c>
      <c r="E524" t="inlineStr">
        <is>
          <t>Advertised: official page in place</t>
        </is>
      </c>
      <c r="F524" t="inlineStr">
        <is>
          <t>https://www.unsw.edu.au/study/postgraduate/master-of-international-relations</t>
        </is>
      </c>
      <c r="G524" t="inlineStr">
        <is>
          <t>https://www.unsw.edu.au/study/postgraduate/master-of-international-relations</t>
        </is>
      </c>
      <c r="H524" t="inlineStr">
        <is>
          <t>Read</t>
        </is>
      </c>
      <c r="I524" t="inlineStr">
        <is>
          <t>CRICOS code on page</t>
        </is>
      </c>
      <c r="J524" t="inlineStr"/>
      <c r="K524" t="inlineStr">
        <is>
          <t>Not sent to re-link</t>
        </is>
      </c>
      <c r="L524" t="inlineStr">
        <is>
          <t>Filled</t>
        </is>
      </c>
      <c r="M524" t="inlineStr">
        <is>
          <t>Filled</t>
        </is>
      </c>
      <c r="N524" t="inlineStr">
        <is>
          <t>47000.00 2026</t>
        </is>
      </c>
      <c r="O524" t="n">
        <v>0</v>
      </c>
      <c r="P524" t="inlineStr">
        <is>
          <t>University adapter</t>
        </is>
      </c>
      <c r="Q524" t="inlineStr">
        <is>
          <t>Filled</t>
        </is>
      </c>
      <c r="R524" t="n">
        <v>6</v>
      </c>
      <c r="S524" t="inlineStr">
        <is>
          <t>Central English policy</t>
        </is>
      </c>
      <c r="T524" t="inlineStr">
        <is>
          <t>Central rule applies (value agrees)</t>
        </is>
      </c>
      <c r="U524" t="inlineStr"/>
      <c r="V524" t="inlineStr">
        <is>
          <t>Filled</t>
        </is>
      </c>
      <c r="W524" t="inlineStr">
        <is>
          <t>February, September</t>
        </is>
      </c>
      <c r="X524" t="inlineStr">
        <is>
          <t>University adapter</t>
        </is>
      </c>
      <c r="Y524" t="n">
        <v>0</v>
      </c>
      <c r="Z524" t="inlineStr">
        <is>
          <t>No</t>
        </is>
      </c>
      <c r="AA524" t="inlineStr">
        <is>
          <t>Filled</t>
        </is>
      </c>
      <c r="AB524" t="inlineStr">
        <is>
          <t>on campus</t>
        </is>
      </c>
      <c r="AC524" t="inlineStr"/>
      <c r="AD524" t="n">
        <v>0</v>
      </c>
      <c r="AE524" t="inlineStr"/>
      <c r="AF524" t="inlineStr"/>
      <c r="AG524" t="inlineStr"/>
      <c r="AH524" t="inlineStr"/>
      <c r="AI524" t="inlineStr"/>
      <c r="AJ524" t="inlineStr"/>
      <c r="AK524" t="inlineStr"/>
      <c r="AL524" t="inlineStr"/>
      <c r="AM524" t="inlineStr"/>
    </row>
    <row r="525">
      <c r="A525" t="inlineStr">
        <is>
          <t>083233G</t>
        </is>
      </c>
      <c r="B525" t="inlineStr">
        <is>
          <t>Master of Interpreting</t>
        </is>
      </c>
      <c r="C525" t="inlineStr">
        <is>
          <t>Masters Degree (Coursework)</t>
        </is>
      </c>
      <c r="D525" t="inlineStr">
        <is>
          <t>Postgraduate coursework</t>
        </is>
      </c>
      <c r="E525" t="inlineStr">
        <is>
          <t>Advertised: official page in place</t>
        </is>
      </c>
      <c r="F525" t="inlineStr">
        <is>
          <t>https://www.unsw.edu.au/study/postgraduate/master-of-interpreting</t>
        </is>
      </c>
      <c r="G525" t="inlineStr">
        <is>
          <t>https://www.unsw.edu.au/study/postgraduate/master-of-interpreting</t>
        </is>
      </c>
      <c r="H525" t="inlineStr">
        <is>
          <t>Read</t>
        </is>
      </c>
      <c r="I525" t="inlineStr">
        <is>
          <t>CRICOS code on page</t>
        </is>
      </c>
      <c r="J525" t="inlineStr"/>
      <c r="K525" t="inlineStr">
        <is>
          <t>Not sent to re-link</t>
        </is>
      </c>
      <c r="L525" t="inlineStr">
        <is>
          <t>Filled</t>
        </is>
      </c>
      <c r="M525" t="inlineStr">
        <is>
          <t>Filled</t>
        </is>
      </c>
      <c r="N525" t="inlineStr">
        <is>
          <t>49500.00 2026</t>
        </is>
      </c>
      <c r="O525" t="n">
        <v>0</v>
      </c>
      <c r="P525" t="inlineStr">
        <is>
          <t>University adapter</t>
        </is>
      </c>
      <c r="Q525" t="inlineStr">
        <is>
          <t>Filled</t>
        </is>
      </c>
      <c r="R525" t="n">
        <v>6</v>
      </c>
      <c r="S525" t="inlineStr">
        <is>
          <t>Central English policy</t>
        </is>
      </c>
      <c r="T525" t="inlineStr">
        <is>
          <t>Central rule applies (value agrees)</t>
        </is>
      </c>
      <c r="U525" t="inlineStr"/>
      <c r="V525" t="inlineStr">
        <is>
          <t>Filled</t>
        </is>
      </c>
      <c r="W525" t="inlineStr">
        <is>
          <t>February, May, September</t>
        </is>
      </c>
      <c r="X525" t="inlineStr">
        <is>
          <t>University adapter</t>
        </is>
      </c>
      <c r="Y525" t="n">
        <v>0</v>
      </c>
      <c r="Z525" t="inlineStr">
        <is>
          <t>No</t>
        </is>
      </c>
      <c r="AA525" t="inlineStr">
        <is>
          <t>Filled</t>
        </is>
      </c>
      <c r="AB525" t="inlineStr">
        <is>
          <t>on campus and online</t>
        </is>
      </c>
      <c r="AC525" t="inlineStr"/>
      <c r="AD525" t="n">
        <v>0</v>
      </c>
      <c r="AE525" t="inlineStr"/>
      <c r="AF525" t="inlineStr"/>
      <c r="AG525" t="inlineStr"/>
      <c r="AH525" t="inlineStr"/>
      <c r="AI525" t="inlineStr"/>
      <c r="AJ525" t="inlineStr"/>
      <c r="AK525" t="inlineStr"/>
      <c r="AL525" t="inlineStr"/>
      <c r="AM525" t="inlineStr"/>
    </row>
    <row r="526">
      <c r="A526" t="inlineStr">
        <is>
          <t>083249K</t>
        </is>
      </c>
      <c r="B526" t="inlineStr">
        <is>
          <t>Master of Journalism and Communication</t>
        </is>
      </c>
      <c r="C526" t="inlineStr">
        <is>
          <t>Masters Degree (Coursework)</t>
        </is>
      </c>
      <c r="D526" t="inlineStr">
        <is>
          <t>Postgraduate coursework</t>
        </is>
      </c>
      <c r="E526" t="inlineStr">
        <is>
          <t>Advertised: official page in place</t>
        </is>
      </c>
      <c r="F526" t="inlineStr">
        <is>
          <t>https://www.unsw.edu.au/study/postgraduate/master-of-journalism-and-communication</t>
        </is>
      </c>
      <c r="G526" t="inlineStr">
        <is>
          <t>https://www.unsw.edu.au/study/postgraduate/master-of-journalism-and-communication</t>
        </is>
      </c>
      <c r="H526" t="inlineStr">
        <is>
          <t>Read</t>
        </is>
      </c>
      <c r="I526" t="inlineStr">
        <is>
          <t>CRICOS code on page</t>
        </is>
      </c>
      <c r="J526" t="inlineStr"/>
      <c r="K526" t="inlineStr">
        <is>
          <t>Not sent to re-link</t>
        </is>
      </c>
      <c r="L526" t="inlineStr">
        <is>
          <t>Filled</t>
        </is>
      </c>
      <c r="M526" t="inlineStr">
        <is>
          <t>Filled</t>
        </is>
      </c>
      <c r="N526" t="inlineStr">
        <is>
          <t>50000.00 2026</t>
        </is>
      </c>
      <c r="O526" t="n">
        <v>0</v>
      </c>
      <c r="P526" t="inlineStr">
        <is>
          <t>University adapter</t>
        </is>
      </c>
      <c r="Q526" t="inlineStr">
        <is>
          <t>Filled</t>
        </is>
      </c>
      <c r="R526" t="n">
        <v>6</v>
      </c>
      <c r="S526" t="inlineStr">
        <is>
          <t>Central English policy</t>
        </is>
      </c>
      <c r="T526" t="inlineStr">
        <is>
          <t>Central rule applies (value agrees)</t>
        </is>
      </c>
      <c r="U526" t="inlineStr"/>
      <c r="V526" t="inlineStr">
        <is>
          <t>Filled</t>
        </is>
      </c>
      <c r="W526" t="inlineStr">
        <is>
          <t>February, May, September</t>
        </is>
      </c>
      <c r="X526" t="inlineStr">
        <is>
          <t>University adapter</t>
        </is>
      </c>
      <c r="Y526" t="n">
        <v>0</v>
      </c>
      <c r="Z526" t="inlineStr">
        <is>
          <t>No</t>
        </is>
      </c>
      <c r="AA526" t="inlineStr">
        <is>
          <t>Filled</t>
        </is>
      </c>
      <c r="AB526" t="inlineStr">
        <is>
          <t>on campus</t>
        </is>
      </c>
      <c r="AC526" t="inlineStr"/>
      <c r="AD526" t="n">
        <v>0</v>
      </c>
      <c r="AE526" t="inlineStr"/>
      <c r="AF526" t="inlineStr"/>
      <c r="AG526" t="inlineStr"/>
      <c r="AH526" t="inlineStr"/>
      <c r="AI526" t="inlineStr"/>
      <c r="AJ526" t="inlineStr"/>
      <c r="AK526" t="inlineStr"/>
      <c r="AL526" t="inlineStr"/>
      <c r="AM526" t="inlineStr"/>
    </row>
    <row r="527">
      <c r="A527" t="inlineStr">
        <is>
          <t>095804M</t>
        </is>
      </c>
      <c r="B527" t="inlineStr">
        <is>
          <t>Master of Journalism and Communication</t>
        </is>
      </c>
      <c r="C527" t="inlineStr">
        <is>
          <t>Masters Degree (Coursework)</t>
        </is>
      </c>
      <c r="D527" t="inlineStr">
        <is>
          <t>Postgraduate coursework</t>
        </is>
      </c>
      <c r="E527" t="inlineStr">
        <is>
          <t>Advertised: official page in place</t>
        </is>
      </c>
      <c r="F527" t="inlineStr">
        <is>
          <t>https://www.unsw.edu.au/study/postgraduate/master-of-journalism-and-communication</t>
        </is>
      </c>
      <c r="G527" t="inlineStr">
        <is>
          <t>https://www.unsw.edu.au/study/postgraduate/master-of-journalism-and-communication</t>
        </is>
      </c>
      <c r="H527" t="inlineStr">
        <is>
          <t>Read</t>
        </is>
      </c>
      <c r="I527" t="inlineStr">
        <is>
          <t>Exact title match</t>
        </is>
      </c>
      <c r="J527" t="inlineStr"/>
      <c r="K527" t="inlineStr">
        <is>
          <t>Not sent to re-link</t>
        </is>
      </c>
      <c r="L527" t="inlineStr">
        <is>
          <t>Filled</t>
        </is>
      </c>
      <c r="M527" t="inlineStr">
        <is>
          <t>Filled</t>
        </is>
      </c>
      <c r="N527" t="inlineStr">
        <is>
          <t>50000.00 2026</t>
        </is>
      </c>
      <c r="O527" t="n">
        <v>0</v>
      </c>
      <c r="P527" t="inlineStr">
        <is>
          <t>University adapter</t>
        </is>
      </c>
      <c r="Q527" t="inlineStr">
        <is>
          <t>Filled</t>
        </is>
      </c>
      <c r="R527" t="n">
        <v>6</v>
      </c>
      <c r="S527" t="inlineStr">
        <is>
          <t>Central English policy</t>
        </is>
      </c>
      <c r="T527" t="inlineStr">
        <is>
          <t>Central rule applies (value agrees)</t>
        </is>
      </c>
      <c r="U527" t="inlineStr"/>
      <c r="V527" t="inlineStr">
        <is>
          <t>Filled</t>
        </is>
      </c>
      <c r="W527" t="inlineStr">
        <is>
          <t>February, May, September</t>
        </is>
      </c>
      <c r="X527" t="inlineStr">
        <is>
          <t>University adapter</t>
        </is>
      </c>
      <c r="Y527" t="n">
        <v>0</v>
      </c>
      <c r="Z527" t="inlineStr">
        <is>
          <t>No</t>
        </is>
      </c>
      <c r="AA527" t="inlineStr">
        <is>
          <t>Filled</t>
        </is>
      </c>
      <c r="AB527" t="inlineStr">
        <is>
          <t>on campus</t>
        </is>
      </c>
      <c r="AC527" t="inlineStr"/>
      <c r="AD527" t="n">
        <v>0</v>
      </c>
      <c r="AE527" t="inlineStr"/>
      <c r="AF527" t="inlineStr"/>
      <c r="AG527" t="inlineStr"/>
      <c r="AH527" t="inlineStr"/>
      <c r="AI527" t="inlineStr"/>
      <c r="AJ527" t="inlineStr"/>
      <c r="AK527" t="inlineStr"/>
      <c r="AL527" t="inlineStr"/>
      <c r="AM527" t="inlineStr"/>
    </row>
    <row r="528">
      <c r="A528" t="inlineStr">
        <is>
          <t>094952G</t>
        </is>
      </c>
      <c r="B528" t="inlineStr">
        <is>
          <t>Master of Landscape Architecture</t>
        </is>
      </c>
      <c r="C528" t="inlineStr">
        <is>
          <t>Masters Degree (Coursework)</t>
        </is>
      </c>
      <c r="D528" t="inlineStr">
        <is>
          <t>Postgraduate coursework</t>
        </is>
      </c>
      <c r="E528" t="inlineStr">
        <is>
          <t>Advertised: official page in place</t>
        </is>
      </c>
      <c r="F528" t="inlineStr">
        <is>
          <t>https://www.unsw.edu.au/study/postgraduate/master-of-landscape-architecture</t>
        </is>
      </c>
      <c r="G528" t="inlineStr">
        <is>
          <t>https://www.unsw.edu.au/study/postgraduate/master-of-landscape-architecture</t>
        </is>
      </c>
      <c r="H528" t="inlineStr">
        <is>
          <t>Read</t>
        </is>
      </c>
      <c r="I528" t="inlineStr">
        <is>
          <t>CRICOS code on page</t>
        </is>
      </c>
      <c r="J528" t="inlineStr"/>
      <c r="K528" t="inlineStr">
        <is>
          <t>Not sent to re-link</t>
        </is>
      </c>
      <c r="L528" t="inlineStr">
        <is>
          <t>Filled</t>
        </is>
      </c>
      <c r="M528" t="inlineStr">
        <is>
          <t>Filled</t>
        </is>
      </c>
      <c r="N528" t="inlineStr">
        <is>
          <t>49000.00 2026</t>
        </is>
      </c>
      <c r="O528" t="n">
        <v>0</v>
      </c>
      <c r="P528" t="inlineStr">
        <is>
          <t>University adapter</t>
        </is>
      </c>
      <c r="Q528" t="inlineStr">
        <is>
          <t>Filled</t>
        </is>
      </c>
      <c r="R528" t="n">
        <v>6</v>
      </c>
      <c r="S528" t="inlineStr">
        <is>
          <t>Central English policy</t>
        </is>
      </c>
      <c r="T528" t="inlineStr">
        <is>
          <t>Central rule applies (value agrees)</t>
        </is>
      </c>
      <c r="U528" t="inlineStr"/>
      <c r="V528" t="inlineStr">
        <is>
          <t>Filled</t>
        </is>
      </c>
      <c r="W528" t="inlineStr">
        <is>
          <t>February, September</t>
        </is>
      </c>
      <c r="X528" t="inlineStr">
        <is>
          <t>University adapter</t>
        </is>
      </c>
      <c r="Y528" t="n">
        <v>0</v>
      </c>
      <c r="Z528" t="inlineStr">
        <is>
          <t>No</t>
        </is>
      </c>
      <c r="AA528" t="inlineStr">
        <is>
          <t>Filled</t>
        </is>
      </c>
      <c r="AB528" t="inlineStr">
        <is>
          <t>on campus</t>
        </is>
      </c>
      <c r="AC528" t="inlineStr"/>
      <c r="AD528" t="n">
        <v>0</v>
      </c>
      <c r="AE528" t="inlineStr"/>
      <c r="AF528" t="inlineStr"/>
      <c r="AG528" t="inlineStr"/>
      <c r="AH528" t="inlineStr"/>
      <c r="AI528" t="inlineStr"/>
      <c r="AJ528" t="inlineStr"/>
      <c r="AK528" t="inlineStr"/>
      <c r="AL528" t="inlineStr"/>
      <c r="AM528" t="inlineStr"/>
    </row>
    <row r="529">
      <c r="A529" t="inlineStr">
        <is>
          <t>000733G</t>
        </is>
      </c>
      <c r="B529" t="inlineStr">
        <is>
          <t>Master of Laws</t>
        </is>
      </c>
      <c r="C529" t="inlineStr">
        <is>
          <t>Masters Degree (Coursework)</t>
        </is>
      </c>
      <c r="D529" t="inlineStr">
        <is>
          <t>Postgraduate coursework</t>
        </is>
      </c>
      <c r="E529" t="inlineStr">
        <is>
          <t>Advertised: official page in place</t>
        </is>
      </c>
      <c r="F529" t="inlineStr">
        <is>
          <t>https://www.unsw.edu.au/study/postgraduate/master-of-laws</t>
        </is>
      </c>
      <c r="G529" t="inlineStr">
        <is>
          <t>https://www.unsw.edu.au/study/postgraduate/master-of-laws</t>
        </is>
      </c>
      <c r="H529" t="inlineStr">
        <is>
          <t>Read</t>
        </is>
      </c>
      <c r="I529" t="inlineStr">
        <is>
          <t>CRICOS code on page</t>
        </is>
      </c>
      <c r="J529" t="inlineStr"/>
      <c r="K529" t="inlineStr">
        <is>
          <t>Not sent to re-link</t>
        </is>
      </c>
      <c r="L529" t="inlineStr">
        <is>
          <t>Filled</t>
        </is>
      </c>
      <c r="M529" t="inlineStr">
        <is>
          <t>Filled</t>
        </is>
      </c>
      <c r="N529" t="inlineStr">
        <is>
          <t>59000.00 2026</t>
        </is>
      </c>
      <c r="O529" t="n">
        <v>0</v>
      </c>
      <c r="P529" t="inlineStr">
        <is>
          <t>University adapter</t>
        </is>
      </c>
      <c r="Q529" t="inlineStr">
        <is>
          <t>Filled</t>
        </is>
      </c>
      <c r="R529" t="n">
        <v>6</v>
      </c>
      <c r="S529" t="inlineStr">
        <is>
          <t>Central English policy</t>
        </is>
      </c>
      <c r="T529" t="inlineStr">
        <is>
          <t>Central rule applies (value agrees)</t>
        </is>
      </c>
      <c r="U529" t="inlineStr"/>
      <c r="V529" t="inlineStr">
        <is>
          <t>Filled</t>
        </is>
      </c>
      <c r="W529" t="inlineStr">
        <is>
          <t>February, May, September</t>
        </is>
      </c>
      <c r="X529" t="inlineStr">
        <is>
          <t>University adapter</t>
        </is>
      </c>
      <c r="Y529" t="n">
        <v>0</v>
      </c>
      <c r="Z529" t="inlineStr">
        <is>
          <t>No</t>
        </is>
      </c>
      <c r="AA529" t="inlineStr">
        <is>
          <t>Filled</t>
        </is>
      </c>
      <c r="AB529" t="inlineStr">
        <is>
          <t>on campus</t>
        </is>
      </c>
      <c r="AC529" t="inlineStr"/>
      <c r="AD529" t="n">
        <v>0</v>
      </c>
      <c r="AE529" t="inlineStr"/>
      <c r="AF529" t="inlineStr"/>
      <c r="AG529" t="inlineStr"/>
      <c r="AH529" t="inlineStr"/>
      <c r="AI529" t="inlineStr"/>
      <c r="AJ529" t="inlineStr"/>
      <c r="AK529" t="inlineStr"/>
      <c r="AL529" t="inlineStr"/>
      <c r="AM529" t="inlineStr"/>
    </row>
    <row r="530">
      <c r="A530" t="inlineStr">
        <is>
          <t>006395E</t>
        </is>
      </c>
      <c r="B530" t="inlineStr">
        <is>
          <t>Master of Laws - by research</t>
        </is>
      </c>
      <c r="C530" t="inlineStr">
        <is>
          <t>Masters Degree (Research)</t>
        </is>
      </c>
      <c r="D530" t="inlineStr">
        <is>
          <t>Research degree</t>
        </is>
      </c>
      <c r="E530" t="inlineStr">
        <is>
          <t>Advertised: official page in place</t>
        </is>
      </c>
      <c r="F530" t="inlineStr">
        <is>
          <t>https://www.handbook.unsw.edu.au/research/programs/2026/2440</t>
        </is>
      </c>
      <c r="G530" t="inlineStr">
        <is>
          <t>https://www.handbook.unsw.edu.au/research/programs/2026/2440</t>
        </is>
      </c>
      <c r="H530" t="inlineStr">
        <is>
          <t>Read</t>
        </is>
      </c>
      <c r="I530" t="inlineStr">
        <is>
          <t>CRICOS code on page</t>
        </is>
      </c>
      <c r="J530" t="inlineStr"/>
      <c r="K530" t="inlineStr">
        <is>
          <t>Not sent to re-link</t>
        </is>
      </c>
      <c r="L530" t="inlineStr">
        <is>
          <t>Filled</t>
        </is>
      </c>
      <c r="M530" t="inlineStr">
        <is>
          <t>Not stated on course page</t>
        </is>
      </c>
      <c r="N530" t="inlineStr"/>
      <c r="O530" t="n">
        <v>0</v>
      </c>
      <c r="P530" t="inlineStr"/>
      <c r="Q530" t="inlineStr">
        <is>
          <t>Not stated on course page</t>
        </is>
      </c>
      <c r="S530" t="inlineStr"/>
      <c r="T530" t="inlineStr">
        <is>
          <t>Held: research degree (the policy states no research requirement)</t>
        </is>
      </c>
      <c r="U530" t="inlineStr"/>
      <c r="V530" t="inlineStr">
        <is>
          <t>Filled</t>
        </is>
      </c>
      <c r="W530" t="inlineStr">
        <is>
          <t>February, May, September</t>
        </is>
      </c>
      <c r="X530" t="inlineStr">
        <is>
          <t>University adapter</t>
        </is>
      </c>
      <c r="Y530" t="n">
        <v>0</v>
      </c>
      <c r="Z530" t="inlineStr">
        <is>
          <t>No</t>
        </is>
      </c>
      <c r="AA530" t="inlineStr">
        <is>
          <t>Filled</t>
        </is>
      </c>
      <c r="AB530" t="inlineStr">
        <is>
          <t>on campus</t>
        </is>
      </c>
      <c r="AC530" t="inlineStr"/>
      <c r="AD530" t="n">
        <v>0</v>
      </c>
      <c r="AE530" t="inlineStr"/>
      <c r="AF530" t="inlineStr"/>
      <c r="AG530" t="inlineStr"/>
      <c r="AH530" t="inlineStr"/>
      <c r="AI530" t="inlineStr"/>
      <c r="AJ530" t="inlineStr">
        <is>
          <t>Yes</t>
        </is>
      </c>
      <c r="AK530" t="inlineStr"/>
      <c r="AL530" t="inlineStr"/>
      <c r="AM530" t="inlineStr"/>
    </row>
    <row r="531">
      <c r="A531" t="inlineStr">
        <is>
          <t>085467F</t>
        </is>
      </c>
      <c r="B531" t="inlineStr">
        <is>
          <t>Master of Marine Science and Management</t>
        </is>
      </c>
      <c r="C531" t="inlineStr">
        <is>
          <t>Masters Degree (Coursework)</t>
        </is>
      </c>
      <c r="D531" t="inlineStr">
        <is>
          <t>Postgraduate coursework</t>
        </is>
      </c>
      <c r="E531" t="inlineStr">
        <is>
          <t>Advertised: official page in place</t>
        </is>
      </c>
      <c r="F531" t="inlineStr">
        <is>
          <t>https://www.unsw.edu.au/study/postgraduate/master-of-marine-science-and-management</t>
        </is>
      </c>
      <c r="G531" t="inlineStr">
        <is>
          <t>https://www.unsw.edu.au/study/postgraduate/master-of-marine-science-and-management</t>
        </is>
      </c>
      <c r="H531" t="inlineStr">
        <is>
          <t>Read</t>
        </is>
      </c>
      <c r="I531" t="inlineStr">
        <is>
          <t>CRICOS code on page</t>
        </is>
      </c>
      <c r="J531" t="inlineStr"/>
      <c r="K531" t="inlineStr">
        <is>
          <t>Not sent to re-link</t>
        </is>
      </c>
      <c r="L531" t="inlineStr">
        <is>
          <t>Filled</t>
        </is>
      </c>
      <c r="M531" t="inlineStr">
        <is>
          <t>Filled</t>
        </is>
      </c>
      <c r="N531" t="inlineStr">
        <is>
          <t>59000.00 2026</t>
        </is>
      </c>
      <c r="O531" t="n">
        <v>0</v>
      </c>
      <c r="P531" t="inlineStr">
        <is>
          <t>University adapter</t>
        </is>
      </c>
      <c r="Q531" t="inlineStr">
        <is>
          <t>Filled</t>
        </is>
      </c>
      <c r="R531" t="n">
        <v>6</v>
      </c>
      <c r="S531" t="inlineStr">
        <is>
          <t>Central English policy</t>
        </is>
      </c>
      <c r="T531" t="inlineStr">
        <is>
          <t>Central rule applies (value agrees)</t>
        </is>
      </c>
      <c r="U531" t="inlineStr"/>
      <c r="V531" t="inlineStr">
        <is>
          <t>Filled</t>
        </is>
      </c>
      <c r="W531" t="inlineStr">
        <is>
          <t>February, September</t>
        </is>
      </c>
      <c r="X531" t="inlineStr">
        <is>
          <t>University adapter</t>
        </is>
      </c>
      <c r="Y531" t="n">
        <v>0</v>
      </c>
      <c r="Z531" t="inlineStr">
        <is>
          <t>No</t>
        </is>
      </c>
      <c r="AA531" t="inlineStr">
        <is>
          <t>Filled</t>
        </is>
      </c>
      <c r="AB531" t="inlineStr">
        <is>
          <t>on campus</t>
        </is>
      </c>
      <c r="AC531" t="inlineStr"/>
      <c r="AD531" t="n">
        <v>0</v>
      </c>
      <c r="AE531" t="inlineStr"/>
      <c r="AF531" t="inlineStr"/>
      <c r="AG531" t="inlineStr"/>
      <c r="AH531" t="inlineStr"/>
      <c r="AI531" t="inlineStr"/>
      <c r="AJ531" t="inlineStr"/>
      <c r="AK531" t="inlineStr"/>
      <c r="AL531" t="inlineStr"/>
      <c r="AM531" t="inlineStr"/>
    </row>
    <row r="532">
      <c r="A532" t="inlineStr">
        <is>
          <t>085912A</t>
        </is>
      </c>
      <c r="B532" t="inlineStr">
        <is>
          <t>Master of Materials Technology</t>
        </is>
      </c>
      <c r="C532" t="inlineStr">
        <is>
          <t>Masters Degree (Coursework)</t>
        </is>
      </c>
      <c r="D532" t="inlineStr">
        <is>
          <t>Postgraduate coursework</t>
        </is>
      </c>
      <c r="E532" t="inlineStr">
        <is>
          <t>Advertised: official page in place</t>
        </is>
      </c>
      <c r="F532" t="inlineStr">
        <is>
          <t>https://www.unsw.edu.au/study/postgraduate/master-of-materials-technology</t>
        </is>
      </c>
      <c r="G532" t="inlineStr">
        <is>
          <t>https://www.unsw.edu.au/study/postgraduate/master-of-materials-technology</t>
        </is>
      </c>
      <c r="H532" t="inlineStr">
        <is>
          <t>Read</t>
        </is>
      </c>
      <c r="I532" t="inlineStr">
        <is>
          <t>CRICOS code on page</t>
        </is>
      </c>
      <c r="J532" t="inlineStr"/>
      <c r="K532" t="inlineStr">
        <is>
          <t>Not sent to re-link</t>
        </is>
      </c>
      <c r="L532" t="inlineStr">
        <is>
          <t>Filled</t>
        </is>
      </c>
      <c r="M532" t="inlineStr">
        <is>
          <t>Filled</t>
        </is>
      </c>
      <c r="N532" t="inlineStr">
        <is>
          <t>60000.00 2026</t>
        </is>
      </c>
      <c r="O532" t="n">
        <v>0</v>
      </c>
      <c r="P532" t="inlineStr">
        <is>
          <t>University adapter</t>
        </is>
      </c>
      <c r="Q532" t="inlineStr">
        <is>
          <t>Filled</t>
        </is>
      </c>
      <c r="R532" t="n">
        <v>6</v>
      </c>
      <c r="S532" t="inlineStr">
        <is>
          <t>Central English policy</t>
        </is>
      </c>
      <c r="T532" t="inlineStr">
        <is>
          <t>Central rule applies (value agrees)</t>
        </is>
      </c>
      <c r="U532" t="inlineStr"/>
      <c r="V532" t="inlineStr">
        <is>
          <t>Filled</t>
        </is>
      </c>
      <c r="W532" t="inlineStr">
        <is>
          <t>February, May, September</t>
        </is>
      </c>
      <c r="X532" t="inlineStr">
        <is>
          <t>University adapter</t>
        </is>
      </c>
      <c r="Y532" t="n">
        <v>0</v>
      </c>
      <c r="Z532" t="inlineStr">
        <is>
          <t>No</t>
        </is>
      </c>
      <c r="AA532" t="inlineStr">
        <is>
          <t>Filled</t>
        </is>
      </c>
      <c r="AB532" t="inlineStr">
        <is>
          <t>on campus</t>
        </is>
      </c>
      <c r="AC532" t="inlineStr"/>
      <c r="AD532" t="n">
        <v>0</v>
      </c>
      <c r="AE532" t="inlineStr"/>
      <c r="AF532" t="inlineStr"/>
      <c r="AG532" t="inlineStr"/>
      <c r="AH532" t="inlineStr"/>
      <c r="AI532" t="inlineStr"/>
      <c r="AJ532" t="inlineStr"/>
      <c r="AK532" t="inlineStr"/>
      <c r="AL532" t="inlineStr"/>
      <c r="AM532" t="inlineStr"/>
    </row>
    <row r="533">
      <c r="A533" t="inlineStr">
        <is>
          <t>080059G</t>
        </is>
      </c>
      <c r="B533" t="inlineStr">
        <is>
          <t>Master of Mathematics</t>
        </is>
      </c>
      <c r="C533" t="inlineStr">
        <is>
          <t>Masters Degree (Coursework)</t>
        </is>
      </c>
      <c r="D533" t="inlineStr">
        <is>
          <t>Postgraduate coursework</t>
        </is>
      </c>
      <c r="E533" t="inlineStr">
        <is>
          <t>Advertised: official page in place</t>
        </is>
      </c>
      <c r="F533" t="inlineStr">
        <is>
          <t>https://www.unsw.edu.au/study/postgraduate/master-of-mathematics</t>
        </is>
      </c>
      <c r="G533" t="inlineStr">
        <is>
          <t>https://www.unsw.edu.au/study/postgraduate/master-of-mathematics</t>
        </is>
      </c>
      <c r="H533" t="inlineStr">
        <is>
          <t>Read</t>
        </is>
      </c>
      <c r="I533" t="inlineStr">
        <is>
          <t>CRICOS code on page</t>
        </is>
      </c>
      <c r="J533" t="inlineStr"/>
      <c r="K533" t="inlineStr">
        <is>
          <t>Not sent to re-link</t>
        </is>
      </c>
      <c r="L533" t="inlineStr">
        <is>
          <t>Filled</t>
        </is>
      </c>
      <c r="M533" t="inlineStr">
        <is>
          <t>Filled</t>
        </is>
      </c>
      <c r="N533" t="inlineStr">
        <is>
          <t>60500.00 2026</t>
        </is>
      </c>
      <c r="O533" t="n">
        <v>0</v>
      </c>
      <c r="P533" t="inlineStr">
        <is>
          <t>University adapter</t>
        </is>
      </c>
      <c r="Q533" t="inlineStr">
        <is>
          <t>Filled</t>
        </is>
      </c>
      <c r="R533" t="n">
        <v>6</v>
      </c>
      <c r="S533" t="inlineStr">
        <is>
          <t>Central English policy</t>
        </is>
      </c>
      <c r="T533" t="inlineStr">
        <is>
          <t>Central rule applies (value agrees)</t>
        </is>
      </c>
      <c r="U533" t="inlineStr"/>
      <c r="V533" t="inlineStr">
        <is>
          <t>Filled</t>
        </is>
      </c>
      <c r="W533" t="inlineStr">
        <is>
          <t>February, May, September</t>
        </is>
      </c>
      <c r="X533" t="inlineStr">
        <is>
          <t>University adapter</t>
        </is>
      </c>
      <c r="Y533" t="n">
        <v>0</v>
      </c>
      <c r="Z533" t="inlineStr">
        <is>
          <t>No</t>
        </is>
      </c>
      <c r="AA533" t="inlineStr">
        <is>
          <t>Filled</t>
        </is>
      </c>
      <c r="AB533" t="inlineStr">
        <is>
          <t>on campus</t>
        </is>
      </c>
      <c r="AC533" t="inlineStr"/>
      <c r="AD533" t="n">
        <v>0</v>
      </c>
      <c r="AE533" t="inlineStr"/>
      <c r="AF533" t="inlineStr"/>
      <c r="AG533" t="inlineStr"/>
      <c r="AH533" t="inlineStr"/>
      <c r="AI533" t="inlineStr"/>
      <c r="AJ533" t="inlineStr"/>
      <c r="AK533" t="inlineStr"/>
      <c r="AL533" t="inlineStr"/>
      <c r="AM533" t="inlineStr"/>
    </row>
    <row r="534">
      <c r="A534" t="inlineStr">
        <is>
          <t>059839K</t>
        </is>
      </c>
      <c r="B534" t="inlineStr">
        <is>
          <t>Master of Medicine - research</t>
        </is>
      </c>
      <c r="C534" t="inlineStr">
        <is>
          <t>Masters Degree (Research)</t>
        </is>
      </c>
      <c r="D534" t="inlineStr">
        <is>
          <t>Research degree</t>
        </is>
      </c>
      <c r="E534" t="inlineStr">
        <is>
          <t>Page address no longer works</t>
        </is>
      </c>
      <c r="F534" t="inlineStr"/>
      <c r="G534" t="inlineStr">
        <is>
          <t>https://www.handbook.unsw.edu.au/research/programs/2026/2515</t>
        </is>
      </c>
      <c r="H534" t="inlineStr">
        <is>
          <t>Address no longer works</t>
        </is>
      </c>
      <c r="I534" t="inlineStr"/>
      <c r="J534" t="inlineStr"/>
      <c r="K534" t="inlineStr">
        <is>
          <t>Not sent to re-link</t>
        </is>
      </c>
      <c r="L534" t="inlineStr">
        <is>
          <t>Page found, being read</t>
        </is>
      </c>
      <c r="M534" t="inlineStr">
        <is>
          <t>Page found, being read</t>
        </is>
      </c>
      <c r="N534" t="inlineStr"/>
      <c r="O534" t="n">
        <v>0</v>
      </c>
      <c r="P534" t="inlineStr"/>
      <c r="Q534" t="inlineStr">
        <is>
          <t>Page found, being read</t>
        </is>
      </c>
      <c r="S534" t="inlineStr"/>
      <c r="T534" t="inlineStr">
        <is>
          <t>Held: research degree (the policy states no research requirement)</t>
        </is>
      </c>
      <c r="U534" t="inlineStr"/>
      <c r="V534" t="inlineStr">
        <is>
          <t>Page found, being read</t>
        </is>
      </c>
      <c r="W534" t="inlineStr"/>
      <c r="X534" t="inlineStr"/>
      <c r="Y534" t="n">
        <v>0</v>
      </c>
      <c r="Z534" t="inlineStr">
        <is>
          <t>No</t>
        </is>
      </c>
      <c r="AA534" t="inlineStr">
        <is>
          <t>Not stated on course page</t>
        </is>
      </c>
      <c r="AB534" t="inlineStr"/>
      <c r="AC534" t="inlineStr">
        <is>
          <t>Skipped: no allowed source had a value</t>
        </is>
      </c>
      <c r="AD534" t="n">
        <v>0</v>
      </c>
      <c r="AE534" t="inlineStr"/>
      <c r="AF534" t="inlineStr"/>
      <c r="AG534" t="inlineStr"/>
      <c r="AH534" t="inlineStr"/>
      <c r="AI534" t="inlineStr"/>
      <c r="AJ534" t="inlineStr">
        <is>
          <t>Yes</t>
        </is>
      </c>
      <c r="AK534" t="inlineStr"/>
      <c r="AL534" t="inlineStr"/>
      <c r="AM534" t="inlineStr"/>
    </row>
    <row r="535">
      <c r="A535" t="inlineStr">
        <is>
          <t>084284K</t>
        </is>
      </c>
      <c r="B535" t="inlineStr">
        <is>
          <t>Master of Mining Engineering</t>
        </is>
      </c>
      <c r="C535" t="inlineStr">
        <is>
          <t>Masters Degree (Coursework)</t>
        </is>
      </c>
      <c r="D535" t="inlineStr">
        <is>
          <t>Postgraduate coursework</t>
        </is>
      </c>
      <c r="E535" t="inlineStr">
        <is>
          <t>Advertised: official page in place</t>
        </is>
      </c>
      <c r="F535" t="inlineStr">
        <is>
          <t>https://www.unsw.edu.au/study/postgraduate/master-of-mining-engineering</t>
        </is>
      </c>
      <c r="G535" t="inlineStr">
        <is>
          <t>https://www.unsw.edu.au/study/postgraduate/master-of-mining-engineering</t>
        </is>
      </c>
      <c r="H535" t="inlineStr">
        <is>
          <t>Read</t>
        </is>
      </c>
      <c r="I535" t="inlineStr">
        <is>
          <t>CRICOS code on page</t>
        </is>
      </c>
      <c r="J535" t="inlineStr"/>
      <c r="K535" t="inlineStr">
        <is>
          <t>Not sent to re-link</t>
        </is>
      </c>
      <c r="L535" t="inlineStr">
        <is>
          <t>Filled</t>
        </is>
      </c>
      <c r="M535" t="inlineStr">
        <is>
          <t>Filled</t>
        </is>
      </c>
      <c r="N535" t="inlineStr">
        <is>
          <t>61000.00 2026</t>
        </is>
      </c>
      <c r="O535" t="n">
        <v>0</v>
      </c>
      <c r="P535" t="inlineStr">
        <is>
          <t>University adapter</t>
        </is>
      </c>
      <c r="Q535" t="inlineStr">
        <is>
          <t>Filled</t>
        </is>
      </c>
      <c r="R535" t="n">
        <v>6</v>
      </c>
      <c r="S535" t="inlineStr">
        <is>
          <t>Central English policy</t>
        </is>
      </c>
      <c r="T535" t="inlineStr">
        <is>
          <t>Central rule applies (value agrees)</t>
        </is>
      </c>
      <c r="U535" t="inlineStr"/>
      <c r="V535" t="inlineStr">
        <is>
          <t>Filled</t>
        </is>
      </c>
      <c r="W535" t="inlineStr">
        <is>
          <t>February, September</t>
        </is>
      </c>
      <c r="X535" t="inlineStr">
        <is>
          <t>University adapter</t>
        </is>
      </c>
      <c r="Y535" t="n">
        <v>0</v>
      </c>
      <c r="Z535" t="inlineStr">
        <is>
          <t>No</t>
        </is>
      </c>
      <c r="AA535" t="inlineStr">
        <is>
          <t>Filled</t>
        </is>
      </c>
      <c r="AB535" t="inlineStr">
        <is>
          <t>on campus</t>
        </is>
      </c>
      <c r="AC535" t="inlineStr"/>
      <c r="AD535" t="n">
        <v>0</v>
      </c>
      <c r="AE535" t="inlineStr"/>
      <c r="AF535" t="inlineStr"/>
      <c r="AG535" t="inlineStr"/>
      <c r="AH535" t="inlineStr"/>
      <c r="AI535" t="inlineStr"/>
      <c r="AJ535" t="inlineStr"/>
      <c r="AK535" t="inlineStr"/>
      <c r="AL535" t="inlineStr"/>
      <c r="AM535" t="inlineStr"/>
    </row>
    <row r="536">
      <c r="A536" t="inlineStr">
        <is>
          <t>081122G</t>
        </is>
      </c>
      <c r="B536" t="inlineStr">
        <is>
          <t>Master of Optometry</t>
        </is>
      </c>
      <c r="C536" t="inlineStr">
        <is>
          <t>Masters Degree (Coursework)</t>
        </is>
      </c>
      <c r="D536" t="inlineStr">
        <is>
          <t>Postgraduate coursework</t>
        </is>
      </c>
      <c r="E536" t="inlineStr">
        <is>
          <t>No-page record (no page), awaiting review</t>
        </is>
      </c>
      <c r="F536" t="inlineStr"/>
      <c r="G536" t="inlineStr">
        <is>
          <t>https://www.handbook.unsw.edu.au/research/programs/2026/1747</t>
        </is>
      </c>
      <c r="H536" t="inlineStr">
        <is>
          <t>Page is for another course</t>
        </is>
      </c>
      <c r="I536" t="inlineStr"/>
      <c r="J536" t="inlineStr">
        <is>
          <t>No page (proposed)</t>
        </is>
      </c>
      <c r="K536" t="inlineStr">
        <is>
          <t>Finished, no page: no address from the university's address forms or stored lis</t>
        </is>
      </c>
      <c r="L536" t="inlineStr">
        <is>
          <t>Searching for course page</t>
        </is>
      </c>
      <c r="M536" t="inlineStr">
        <is>
          <t>Searching for course page</t>
        </is>
      </c>
      <c r="N536" t="inlineStr"/>
      <c r="O536" t="n">
        <v>0</v>
      </c>
      <c r="P536" t="inlineStr"/>
      <c r="Q536" t="inlineStr">
        <is>
          <t>Filled</t>
        </is>
      </c>
      <c r="R536" t="n">
        <v>6</v>
      </c>
      <c r="S536" t="inlineStr">
        <is>
          <t>Central English policy</t>
        </is>
      </c>
      <c r="T536" t="inlineStr">
        <is>
          <t>Central rule applies (value agrees)</t>
        </is>
      </c>
      <c r="U536" t="inlineStr"/>
      <c r="V536" t="inlineStr">
        <is>
          <t>Searching for course page</t>
        </is>
      </c>
      <c r="W536" t="inlineStr"/>
      <c r="X536" t="inlineStr"/>
      <c r="Y536" t="n">
        <v>0</v>
      </c>
      <c r="Z536" t="inlineStr">
        <is>
          <t>No</t>
        </is>
      </c>
      <c r="AA536" t="inlineStr">
        <is>
          <t>Not stated on course page</t>
        </is>
      </c>
      <c r="AB536" t="inlineStr"/>
      <c r="AC536" t="inlineStr">
        <is>
          <t>Skipped: no correct course page: the page found is for another course</t>
        </is>
      </c>
      <c r="AD536" t="n">
        <v>0</v>
      </c>
      <c r="AE536" t="inlineStr"/>
      <c r="AF536" t="inlineStr"/>
      <c r="AG536" t="inlineStr"/>
      <c r="AH536" t="inlineStr"/>
      <c r="AI536" t="inlineStr"/>
      <c r="AJ536" t="inlineStr"/>
      <c r="AK536" t="inlineStr"/>
      <c r="AL536" t="inlineStr"/>
      <c r="AM536" t="inlineStr">
        <is>
          <t>Yes</t>
        </is>
      </c>
    </row>
    <row r="537">
      <c r="A537" t="inlineStr">
        <is>
          <t>060621G</t>
        </is>
      </c>
      <c r="B537" t="inlineStr">
        <is>
          <t>Master of Philisophy - Built Environment</t>
        </is>
      </c>
      <c r="C537" t="inlineStr">
        <is>
          <t>Masters Degree (Research)</t>
        </is>
      </c>
      <c r="D537" t="inlineStr">
        <is>
          <t>Research degree</t>
        </is>
      </c>
      <c r="E537" t="inlineStr">
        <is>
          <t>Advertised: official page in place</t>
        </is>
      </c>
      <c r="F537" t="inlineStr">
        <is>
          <t>https://www.handbook.unsw.edu.au/research/programs/2026/2222</t>
        </is>
      </c>
      <c r="G537" t="inlineStr">
        <is>
          <t>https://www.handbook.unsw.edu.au/research/programs/2026/2222</t>
        </is>
      </c>
      <c r="H537" t="inlineStr">
        <is>
          <t>Read</t>
        </is>
      </c>
      <c r="I537" t="inlineStr">
        <is>
          <t>CRICOS code on page</t>
        </is>
      </c>
      <c r="J537" t="inlineStr"/>
      <c r="K537" t="inlineStr">
        <is>
          <t>Not sent to re-link</t>
        </is>
      </c>
      <c r="L537" t="inlineStr">
        <is>
          <t>Filled</t>
        </is>
      </c>
      <c r="M537" t="inlineStr">
        <is>
          <t>Not stated on course page</t>
        </is>
      </c>
      <c r="N537" t="inlineStr"/>
      <c r="O537" t="n">
        <v>0</v>
      </c>
      <c r="P537" t="inlineStr"/>
      <c r="Q537" t="inlineStr">
        <is>
          <t>Not stated on course page</t>
        </is>
      </c>
      <c r="S537" t="inlineStr"/>
      <c r="T537" t="inlineStr">
        <is>
          <t>Held: research degree (the policy states no research requirement)</t>
        </is>
      </c>
      <c r="U537" t="inlineStr"/>
      <c r="V537" t="inlineStr">
        <is>
          <t>Filled</t>
        </is>
      </c>
      <c r="W537" t="inlineStr">
        <is>
          <t>January, February, May, September</t>
        </is>
      </c>
      <c r="X537" t="inlineStr">
        <is>
          <t>University adapter</t>
        </is>
      </c>
      <c r="Y537" t="n">
        <v>0</v>
      </c>
      <c r="Z537" t="inlineStr">
        <is>
          <t>No</t>
        </is>
      </c>
      <c r="AA537" t="inlineStr">
        <is>
          <t>Filled</t>
        </is>
      </c>
      <c r="AB537" t="inlineStr">
        <is>
          <t>on campus</t>
        </is>
      </c>
      <c r="AC537" t="inlineStr"/>
      <c r="AD537" t="n">
        <v>0</v>
      </c>
      <c r="AE537" t="inlineStr"/>
      <c r="AF537" t="inlineStr"/>
      <c r="AG537" t="inlineStr"/>
      <c r="AH537" t="inlineStr"/>
      <c r="AI537" t="inlineStr"/>
      <c r="AJ537" t="inlineStr">
        <is>
          <t>Yes</t>
        </is>
      </c>
      <c r="AK537" t="inlineStr"/>
      <c r="AL537" t="inlineStr"/>
      <c r="AM537" t="inlineStr"/>
    </row>
    <row r="538">
      <c r="A538" t="inlineStr">
        <is>
          <t>092961M</t>
        </is>
      </c>
      <c r="B538" t="inlineStr">
        <is>
          <t>Master of Philosophy - Engineering</t>
        </is>
      </c>
      <c r="C538" t="inlineStr">
        <is>
          <t>Masters Degree (Research)</t>
        </is>
      </c>
      <c r="D538" t="inlineStr">
        <is>
          <t>Research degree</t>
        </is>
      </c>
      <c r="E538" t="inlineStr">
        <is>
          <t>Advertised: official page in place</t>
        </is>
      </c>
      <c r="F538" t="inlineStr">
        <is>
          <t>https://www.handbook.unsw.edu.au/research/programs/2026/2645</t>
        </is>
      </c>
      <c r="G538" t="inlineStr">
        <is>
          <t>https://www.handbook.unsw.edu.au/research/programs/2026/2645</t>
        </is>
      </c>
      <c r="H538" t="inlineStr">
        <is>
          <t>Read</t>
        </is>
      </c>
      <c r="I538" t="inlineStr">
        <is>
          <t>CRICOS code on page</t>
        </is>
      </c>
      <c r="J538" t="inlineStr"/>
      <c r="K538" t="inlineStr">
        <is>
          <t>Not sent to re-link</t>
        </is>
      </c>
      <c r="L538" t="inlineStr">
        <is>
          <t>Filled</t>
        </is>
      </c>
      <c r="M538" t="inlineStr">
        <is>
          <t>Not stated on course page</t>
        </is>
      </c>
      <c r="N538" t="inlineStr"/>
      <c r="O538" t="n">
        <v>0</v>
      </c>
      <c r="P538" t="inlineStr"/>
      <c r="Q538" t="inlineStr">
        <is>
          <t>Not stated on course page</t>
        </is>
      </c>
      <c r="S538" t="inlineStr"/>
      <c r="T538" t="inlineStr">
        <is>
          <t>Held: research degree (the policy states no research requirement)</t>
        </is>
      </c>
      <c r="U538" t="inlineStr"/>
      <c r="V538" t="inlineStr">
        <is>
          <t>Filled</t>
        </is>
      </c>
      <c r="W538" t="inlineStr">
        <is>
          <t>January, February, May, September</t>
        </is>
      </c>
      <c r="X538" t="inlineStr">
        <is>
          <t>University adapter</t>
        </is>
      </c>
      <c r="Y538" t="n">
        <v>0</v>
      </c>
      <c r="Z538" t="inlineStr">
        <is>
          <t>No</t>
        </is>
      </c>
      <c r="AA538" t="inlineStr">
        <is>
          <t>Filled</t>
        </is>
      </c>
      <c r="AB538" t="inlineStr">
        <is>
          <t>on campus</t>
        </is>
      </c>
      <c r="AC538" t="inlineStr"/>
      <c r="AD538" t="n">
        <v>0</v>
      </c>
      <c r="AE538" t="inlineStr"/>
      <c r="AF538" t="inlineStr"/>
      <c r="AG538" t="inlineStr"/>
      <c r="AH538" t="inlineStr"/>
      <c r="AI538" t="inlineStr"/>
      <c r="AJ538" t="inlineStr">
        <is>
          <t>Yes</t>
        </is>
      </c>
      <c r="AK538" t="inlineStr"/>
      <c r="AL538" t="inlineStr"/>
      <c r="AM538" t="inlineStr"/>
    </row>
    <row r="539">
      <c r="A539" t="inlineStr">
        <is>
          <t>059027B</t>
        </is>
      </c>
      <c r="B539" t="inlineStr">
        <is>
          <t>Master of Philosophy - Science</t>
        </is>
      </c>
      <c r="C539" t="inlineStr">
        <is>
          <t>Masters Degree (Research)</t>
        </is>
      </c>
      <c r="D539" t="inlineStr">
        <is>
          <t>Research degree</t>
        </is>
      </c>
      <c r="E539" t="inlineStr">
        <is>
          <t>Advertised: official page in place</t>
        </is>
      </c>
      <c r="F539" t="inlineStr">
        <is>
          <t>https://www.handbook.unsw.edu.au/research/programs/2026/2475</t>
        </is>
      </c>
      <c r="G539" t="inlineStr">
        <is>
          <t>https://www.handbook.unsw.edu.au/research/programs/2026/2475</t>
        </is>
      </c>
      <c r="H539" t="inlineStr">
        <is>
          <t>Read</t>
        </is>
      </c>
      <c r="I539" t="inlineStr">
        <is>
          <t>CRICOS code on page</t>
        </is>
      </c>
      <c r="J539" t="inlineStr"/>
      <c r="K539" t="inlineStr">
        <is>
          <t>Not sent to re-link</t>
        </is>
      </c>
      <c r="L539" t="inlineStr">
        <is>
          <t>Filled</t>
        </is>
      </c>
      <c r="M539" t="inlineStr">
        <is>
          <t>Not stated on course page</t>
        </is>
      </c>
      <c r="N539" t="inlineStr"/>
      <c r="O539" t="n">
        <v>0</v>
      </c>
      <c r="P539" t="inlineStr"/>
      <c r="Q539" t="inlineStr">
        <is>
          <t>Not stated on course page</t>
        </is>
      </c>
      <c r="S539" t="inlineStr"/>
      <c r="T539" t="inlineStr">
        <is>
          <t>Held: research degree (the policy states no research requirement)</t>
        </is>
      </c>
      <c r="U539" t="inlineStr"/>
      <c r="V539" t="inlineStr">
        <is>
          <t>Filled</t>
        </is>
      </c>
      <c r="W539" t="inlineStr">
        <is>
          <t>January, February, May, September</t>
        </is>
      </c>
      <c r="X539" t="inlineStr">
        <is>
          <t>University adapter</t>
        </is>
      </c>
      <c r="Y539" t="n">
        <v>0</v>
      </c>
      <c r="Z539" t="inlineStr">
        <is>
          <t>No</t>
        </is>
      </c>
      <c r="AA539" t="inlineStr">
        <is>
          <t>Filled</t>
        </is>
      </c>
      <c r="AB539" t="inlineStr">
        <is>
          <t>on campus</t>
        </is>
      </c>
      <c r="AC539" t="inlineStr"/>
      <c r="AD539" t="n">
        <v>0</v>
      </c>
      <c r="AE539" t="inlineStr"/>
      <c r="AF539" t="inlineStr"/>
      <c r="AG539" t="inlineStr"/>
      <c r="AH539" t="inlineStr"/>
      <c r="AI539" t="inlineStr"/>
      <c r="AJ539" t="inlineStr">
        <is>
          <t>Yes</t>
        </is>
      </c>
      <c r="AK539" t="inlineStr"/>
      <c r="AL539" t="inlineStr"/>
      <c r="AM539" t="inlineStr"/>
    </row>
    <row r="540">
      <c r="A540" t="inlineStr">
        <is>
          <t>085763J</t>
        </is>
      </c>
      <c r="B540" t="inlineStr">
        <is>
          <t>Master of Philosophy (Aerospace, Civil and Mechanical Engineering - multiple specialisations)</t>
        </is>
      </c>
      <c r="C540" t="inlineStr">
        <is>
          <t>Masters Degree (Research)</t>
        </is>
      </c>
      <c r="D540" t="inlineStr">
        <is>
          <t>Research degree</t>
        </is>
      </c>
      <c r="E540" t="inlineStr">
        <is>
          <t>Advertised: official page in place</t>
        </is>
      </c>
      <c r="F540" t="inlineStr">
        <is>
          <t>https://www.handbook.unsw.edu.au/research/programs/2026/2227</t>
        </is>
      </c>
      <c r="G540" t="inlineStr">
        <is>
          <t>https://www.handbook.unsw.edu.au/research/programs/2026/2227</t>
        </is>
      </c>
      <c r="H540" t="inlineStr">
        <is>
          <t>Read</t>
        </is>
      </c>
      <c r="I540" t="inlineStr">
        <is>
          <t>CRICOS code on page</t>
        </is>
      </c>
      <c r="J540" t="inlineStr"/>
      <c r="K540" t="inlineStr">
        <is>
          <t>Not sent to re-link</t>
        </is>
      </c>
      <c r="L540" t="inlineStr">
        <is>
          <t>Filled</t>
        </is>
      </c>
      <c r="M540" t="inlineStr">
        <is>
          <t>Not stated on course page</t>
        </is>
      </c>
      <c r="N540" t="inlineStr"/>
      <c r="O540" t="n">
        <v>0</v>
      </c>
      <c r="P540" t="inlineStr"/>
      <c r="Q540" t="inlineStr">
        <is>
          <t>Not stated on course page</t>
        </is>
      </c>
      <c r="S540" t="inlineStr"/>
      <c r="T540" t="inlineStr">
        <is>
          <t>Held: research degree (the policy states no research requirement)</t>
        </is>
      </c>
      <c r="U540" t="inlineStr"/>
      <c r="V540" t="inlineStr">
        <is>
          <t>Filled</t>
        </is>
      </c>
      <c r="W540" t="inlineStr">
        <is>
          <t>January, February, May, September</t>
        </is>
      </c>
      <c r="X540" t="inlineStr">
        <is>
          <t>University adapter</t>
        </is>
      </c>
      <c r="Y540" t="n">
        <v>0</v>
      </c>
      <c r="Z540" t="inlineStr">
        <is>
          <t>No</t>
        </is>
      </c>
      <c r="AA540" t="inlineStr">
        <is>
          <t>Filled</t>
        </is>
      </c>
      <c r="AB540" t="inlineStr">
        <is>
          <t>on campus</t>
        </is>
      </c>
      <c r="AC540" t="inlineStr"/>
      <c r="AD540" t="n">
        <v>0</v>
      </c>
      <c r="AE540" t="inlineStr"/>
      <c r="AF540" t="inlineStr"/>
      <c r="AG540" t="inlineStr"/>
      <c r="AH540" t="inlineStr"/>
      <c r="AI540" t="inlineStr"/>
      <c r="AJ540" t="inlineStr">
        <is>
          <t>Yes</t>
        </is>
      </c>
      <c r="AK540" t="inlineStr"/>
      <c r="AL540" t="inlineStr"/>
      <c r="AM540" t="inlineStr"/>
    </row>
    <row r="541">
      <c r="A541" t="inlineStr">
        <is>
          <t>056686B</t>
        </is>
      </c>
      <c r="B541" t="inlineStr">
        <is>
          <t>Master of Philosophy (Arts, Design &amp; Media - multiple specialisations)</t>
        </is>
      </c>
      <c r="C541" t="inlineStr">
        <is>
          <t>Masters Degree (Research)</t>
        </is>
      </c>
      <c r="D541" t="inlineStr">
        <is>
          <t>Research degree</t>
        </is>
      </c>
      <c r="E541" t="inlineStr">
        <is>
          <t>Advertised: official page in place</t>
        </is>
      </c>
      <c r="F541" t="inlineStr">
        <is>
          <t>https://www.handbook.unsw.edu.au/research/programs/2026/2267</t>
        </is>
      </c>
      <c r="G541" t="inlineStr">
        <is>
          <t>https://www.handbook.unsw.edu.au/research/programs/2026/2267</t>
        </is>
      </c>
      <c r="H541" t="inlineStr">
        <is>
          <t>Read</t>
        </is>
      </c>
      <c r="I541" t="inlineStr">
        <is>
          <t>CRICOS code on page</t>
        </is>
      </c>
      <c r="J541" t="inlineStr"/>
      <c r="K541" t="inlineStr">
        <is>
          <t>Not sent to re-link</t>
        </is>
      </c>
      <c r="L541" t="inlineStr">
        <is>
          <t>Filled</t>
        </is>
      </c>
      <c r="M541" t="inlineStr">
        <is>
          <t>Not stated on course page</t>
        </is>
      </c>
      <c r="N541" t="inlineStr"/>
      <c r="O541" t="n">
        <v>0</v>
      </c>
      <c r="P541" t="inlineStr"/>
      <c r="Q541" t="inlineStr">
        <is>
          <t>Not stated on course page</t>
        </is>
      </c>
      <c r="S541" t="inlineStr"/>
      <c r="T541" t="inlineStr">
        <is>
          <t>Held: research degree (the policy states no research requirement)</t>
        </is>
      </c>
      <c r="U541" t="inlineStr"/>
      <c r="V541" t="inlineStr">
        <is>
          <t>Filled</t>
        </is>
      </c>
      <c r="W541" t="inlineStr">
        <is>
          <t>January, February, May, September</t>
        </is>
      </c>
      <c r="X541" t="inlineStr">
        <is>
          <t>University adapter</t>
        </is>
      </c>
      <c r="Y541" t="n">
        <v>0</v>
      </c>
      <c r="Z541" t="inlineStr">
        <is>
          <t>No</t>
        </is>
      </c>
      <c r="AA541" t="inlineStr">
        <is>
          <t>Filled</t>
        </is>
      </c>
      <c r="AB541" t="inlineStr">
        <is>
          <t>on campus</t>
        </is>
      </c>
      <c r="AC541" t="inlineStr"/>
      <c r="AD541" t="n">
        <v>0</v>
      </c>
      <c r="AE541" t="inlineStr"/>
      <c r="AF541" t="inlineStr"/>
      <c r="AG541" t="inlineStr"/>
      <c r="AH541" t="inlineStr"/>
      <c r="AI541" t="inlineStr"/>
      <c r="AJ541" t="inlineStr">
        <is>
          <t>Yes</t>
        </is>
      </c>
      <c r="AK541" t="inlineStr"/>
      <c r="AL541" t="inlineStr"/>
      <c r="AM541" t="inlineStr"/>
    </row>
    <row r="542">
      <c r="A542" t="inlineStr">
        <is>
          <t>052630F</t>
        </is>
      </c>
      <c r="B542" t="inlineStr">
        <is>
          <t>Master of Philosophy (Commerce and Economics)</t>
        </is>
      </c>
      <c r="C542" t="inlineStr">
        <is>
          <t>Masters Degree (Research)</t>
        </is>
      </c>
      <c r="D542" t="inlineStr">
        <is>
          <t>Research degree</t>
        </is>
      </c>
      <c r="E542" t="inlineStr">
        <is>
          <t>Advertised: official page in place</t>
        </is>
      </c>
      <c r="F542" t="inlineStr">
        <is>
          <t>https://www.handbook.unsw.edu.au/research/programs/2026/2585</t>
        </is>
      </c>
      <c r="G542" t="inlineStr">
        <is>
          <t>https://www.handbook.unsw.edu.au/research/programs/2026/2585</t>
        </is>
      </c>
      <c r="H542" t="inlineStr">
        <is>
          <t>Read</t>
        </is>
      </c>
      <c r="I542" t="inlineStr">
        <is>
          <t>CRICOS code on page</t>
        </is>
      </c>
      <c r="J542" t="inlineStr"/>
      <c r="K542" t="inlineStr">
        <is>
          <t>Not sent to re-link</t>
        </is>
      </c>
      <c r="L542" t="inlineStr">
        <is>
          <t>Filled</t>
        </is>
      </c>
      <c r="M542" t="inlineStr">
        <is>
          <t>Not stated on course page</t>
        </is>
      </c>
      <c r="N542" t="inlineStr"/>
      <c r="O542" t="n">
        <v>0</v>
      </c>
      <c r="P542" t="inlineStr"/>
      <c r="Q542" t="inlineStr">
        <is>
          <t>Not stated on course page</t>
        </is>
      </c>
      <c r="S542" t="inlineStr"/>
      <c r="T542" t="inlineStr">
        <is>
          <t>Held: research degree (the policy states no research requirement)</t>
        </is>
      </c>
      <c r="U542" t="inlineStr"/>
      <c r="V542" t="inlineStr">
        <is>
          <t>Filled</t>
        </is>
      </c>
      <c r="W542" t="inlineStr">
        <is>
          <t>January, February, May, September</t>
        </is>
      </c>
      <c r="X542" t="inlineStr">
        <is>
          <t>University adapter</t>
        </is>
      </c>
      <c r="Y542" t="n">
        <v>0</v>
      </c>
      <c r="Z542" t="inlineStr">
        <is>
          <t>No</t>
        </is>
      </c>
      <c r="AA542" t="inlineStr">
        <is>
          <t>Filled</t>
        </is>
      </c>
      <c r="AB542" t="inlineStr">
        <is>
          <t>on campus</t>
        </is>
      </c>
      <c r="AC542" t="inlineStr"/>
      <c r="AD542" t="n">
        <v>0</v>
      </c>
      <c r="AE542" t="inlineStr"/>
      <c r="AF542" t="inlineStr"/>
      <c r="AG542" t="inlineStr"/>
      <c r="AH542" t="inlineStr"/>
      <c r="AI542" t="inlineStr"/>
      <c r="AJ542" t="inlineStr">
        <is>
          <t>Yes</t>
        </is>
      </c>
      <c r="AK542" t="inlineStr"/>
      <c r="AL542" t="inlineStr"/>
      <c r="AM542" t="inlineStr"/>
    </row>
    <row r="543">
      <c r="A543" t="inlineStr">
        <is>
          <t>085761M</t>
        </is>
      </c>
      <c r="B543" t="inlineStr">
        <is>
          <t>Master of Philosophy (Humanities &amp; Social Sciences - multiple specialisations)</t>
        </is>
      </c>
      <c r="C543" t="inlineStr">
        <is>
          <t>Masters Degree (Research)</t>
        </is>
      </c>
      <c r="D543" t="inlineStr">
        <is>
          <t>Research degree</t>
        </is>
      </c>
      <c r="E543" t="inlineStr">
        <is>
          <t>Advertised: official page in place</t>
        </is>
      </c>
      <c r="F543" t="inlineStr">
        <is>
          <t>https://www.handbook.unsw.edu.au/research/programs/2026/2225</t>
        </is>
      </c>
      <c r="G543" t="inlineStr">
        <is>
          <t>https://www.handbook.unsw.edu.au/research/programs/2026/2225</t>
        </is>
      </c>
      <c r="H543" t="inlineStr">
        <is>
          <t>Read</t>
        </is>
      </c>
      <c r="I543" t="inlineStr">
        <is>
          <t>CRICOS code on page</t>
        </is>
      </c>
      <c r="J543" t="inlineStr"/>
      <c r="K543" t="inlineStr">
        <is>
          <t>Not sent to re-link</t>
        </is>
      </c>
      <c r="L543" t="inlineStr">
        <is>
          <t>Filled</t>
        </is>
      </c>
      <c r="M543" t="inlineStr">
        <is>
          <t>Not stated on course page</t>
        </is>
      </c>
      <c r="N543" t="inlineStr"/>
      <c r="O543" t="n">
        <v>0</v>
      </c>
      <c r="P543" t="inlineStr"/>
      <c r="Q543" t="inlineStr">
        <is>
          <t>Not stated on course page</t>
        </is>
      </c>
      <c r="S543" t="inlineStr"/>
      <c r="T543" t="inlineStr">
        <is>
          <t>Held: research degree (the policy states no research requirement)</t>
        </is>
      </c>
      <c r="U543" t="inlineStr"/>
      <c r="V543" t="inlineStr">
        <is>
          <t>Filled</t>
        </is>
      </c>
      <c r="W543" t="inlineStr">
        <is>
          <t>January, February, May, September</t>
        </is>
      </c>
      <c r="X543" t="inlineStr">
        <is>
          <t>University adapter</t>
        </is>
      </c>
      <c r="Y543" t="n">
        <v>0</v>
      </c>
      <c r="Z543" t="inlineStr">
        <is>
          <t>No</t>
        </is>
      </c>
      <c r="AA543" t="inlineStr">
        <is>
          <t>Filled</t>
        </is>
      </c>
      <c r="AB543" t="inlineStr">
        <is>
          <t>on campus</t>
        </is>
      </c>
      <c r="AC543" t="inlineStr"/>
      <c r="AD543" t="n">
        <v>0</v>
      </c>
      <c r="AE543" t="inlineStr"/>
      <c r="AF543" t="inlineStr"/>
      <c r="AG543" t="inlineStr"/>
      <c r="AH543" t="inlineStr"/>
      <c r="AI543" t="inlineStr"/>
      <c r="AJ543" t="inlineStr">
        <is>
          <t>Yes</t>
        </is>
      </c>
      <c r="AK543" t="inlineStr"/>
      <c r="AL543" t="inlineStr"/>
      <c r="AM543" t="inlineStr"/>
    </row>
    <row r="544">
      <c r="A544" t="inlineStr">
        <is>
          <t>085767E</t>
        </is>
      </c>
      <c r="B544" t="inlineStr">
        <is>
          <t>Master of Philosophy (Information Technology &amp; Electrical Engineering - multiple specialisations)</t>
        </is>
      </c>
      <c r="C544" t="inlineStr">
        <is>
          <t>Masters Degree (Research)</t>
        </is>
      </c>
      <c r="D544" t="inlineStr">
        <is>
          <t>Research degree</t>
        </is>
      </c>
      <c r="E544" t="inlineStr">
        <is>
          <t>Advertised: official page in place</t>
        </is>
      </c>
      <c r="F544" t="inlineStr">
        <is>
          <t>https://www.handbook.unsw.edu.au/research/programs/2026/2228</t>
        </is>
      </c>
      <c r="G544" t="inlineStr">
        <is>
          <t>https://www.handbook.unsw.edu.au/research/programs/2026/2228</t>
        </is>
      </c>
      <c r="H544" t="inlineStr">
        <is>
          <t>Read</t>
        </is>
      </c>
      <c r="I544" t="inlineStr">
        <is>
          <t>CRICOS code on page</t>
        </is>
      </c>
      <c r="J544" t="inlineStr"/>
      <c r="K544" t="inlineStr">
        <is>
          <t>Not sent to re-link</t>
        </is>
      </c>
      <c r="L544" t="inlineStr">
        <is>
          <t>Filled</t>
        </is>
      </c>
      <c r="M544" t="inlineStr">
        <is>
          <t>Not stated on course page</t>
        </is>
      </c>
      <c r="N544" t="inlineStr"/>
      <c r="O544" t="n">
        <v>0</v>
      </c>
      <c r="P544" t="inlineStr"/>
      <c r="Q544" t="inlineStr">
        <is>
          <t>Not stated on course page</t>
        </is>
      </c>
      <c r="S544" t="inlineStr"/>
      <c r="T544" t="inlineStr">
        <is>
          <t>Held: research degree (the policy states no research requirement)</t>
        </is>
      </c>
      <c r="U544" t="inlineStr"/>
      <c r="V544" t="inlineStr">
        <is>
          <t>Filled</t>
        </is>
      </c>
      <c r="W544" t="inlineStr">
        <is>
          <t>January, February, May, September</t>
        </is>
      </c>
      <c r="X544" t="inlineStr">
        <is>
          <t>University adapter</t>
        </is>
      </c>
      <c r="Y544" t="n">
        <v>0</v>
      </c>
      <c r="Z544" t="inlineStr">
        <is>
          <t>No</t>
        </is>
      </c>
      <c r="AA544" t="inlineStr">
        <is>
          <t>Filled</t>
        </is>
      </c>
      <c r="AB544" t="inlineStr">
        <is>
          <t>on campus</t>
        </is>
      </c>
      <c r="AC544" t="inlineStr"/>
      <c r="AD544" t="n">
        <v>0</v>
      </c>
      <c r="AE544" t="inlineStr"/>
      <c r="AF544" t="inlineStr"/>
      <c r="AG544" t="inlineStr"/>
      <c r="AH544" t="inlineStr"/>
      <c r="AI544" t="inlineStr"/>
      <c r="AJ544" t="inlineStr">
        <is>
          <t>Yes</t>
        </is>
      </c>
      <c r="AK544" t="inlineStr"/>
      <c r="AL544" t="inlineStr"/>
      <c r="AM544" t="inlineStr"/>
    </row>
    <row r="545">
      <c r="A545" t="inlineStr">
        <is>
          <t>085768D</t>
        </is>
      </c>
      <c r="B545" t="inlineStr">
        <is>
          <t>Master of Philosophy (Physical, Environmental and Mathematical Science - multiple specialisations)</t>
        </is>
      </c>
      <c r="C545" t="inlineStr">
        <is>
          <t>Masters Degree (Research)</t>
        </is>
      </c>
      <c r="D545" t="inlineStr">
        <is>
          <t>Research degree</t>
        </is>
      </c>
      <c r="E545" t="inlineStr">
        <is>
          <t>Held: page found is for another course</t>
        </is>
      </c>
      <c r="F545" t="inlineStr"/>
      <c r="G545" t="inlineStr">
        <is>
          <t>https://www.unsw.edu.au/study/postgraduate/master-of-teaching-secondary</t>
        </is>
      </c>
      <c r="H545" t="inlineStr">
        <is>
          <t>Page is for another course</t>
        </is>
      </c>
      <c r="I545" t="inlineStr"/>
      <c r="J545" t="inlineStr"/>
      <c r="K545" t="inlineStr">
        <is>
          <t>Finished, no page: no address from the university's address forms or stored lis</t>
        </is>
      </c>
      <c r="L545" t="inlineStr">
        <is>
          <t>Searching for course page</t>
        </is>
      </c>
      <c r="M545" t="inlineStr">
        <is>
          <t>Searching for course page</t>
        </is>
      </c>
      <c r="N545" t="inlineStr"/>
      <c r="O545" t="n">
        <v>0</v>
      </c>
      <c r="P545" t="inlineStr"/>
      <c r="Q545" t="inlineStr">
        <is>
          <t>Searching for course page</t>
        </is>
      </c>
      <c r="S545" t="inlineStr"/>
      <c r="T545" t="inlineStr">
        <is>
          <t>Held: research degree (the policy states no research requirement)</t>
        </is>
      </c>
      <c r="U545" t="inlineStr"/>
      <c r="V545" t="inlineStr">
        <is>
          <t>Searching for course page</t>
        </is>
      </c>
      <c r="W545" t="inlineStr"/>
      <c r="X545" t="inlineStr"/>
      <c r="Y545" t="n">
        <v>0</v>
      </c>
      <c r="Z545" t="inlineStr">
        <is>
          <t>No</t>
        </is>
      </c>
      <c r="AA545" t="inlineStr">
        <is>
          <t>Not stated on course page</t>
        </is>
      </c>
      <c r="AB545" t="inlineStr"/>
      <c r="AC545" t="inlineStr">
        <is>
          <t>Skipped: no correct course page: the page found is for another course</t>
        </is>
      </c>
      <c r="AD545" t="n">
        <v>1</v>
      </c>
      <c r="AE545" t="inlineStr"/>
      <c r="AF545" t="inlineStr"/>
      <c r="AG545" t="inlineStr"/>
      <c r="AH545" t="inlineStr"/>
      <c r="AI545" t="inlineStr"/>
      <c r="AJ545" t="inlineStr">
        <is>
          <t>Yes</t>
        </is>
      </c>
      <c r="AK545" t="inlineStr"/>
      <c r="AL545" t="inlineStr"/>
      <c r="AM545" t="inlineStr"/>
    </row>
    <row r="546">
      <c r="A546" t="inlineStr">
        <is>
          <t>118077K</t>
        </is>
      </c>
      <c r="B546" t="inlineStr">
        <is>
          <t>Master of Philosophy (Research) (Population Health)</t>
        </is>
      </c>
      <c r="C546" t="inlineStr">
        <is>
          <t>Masters Degree (Research)</t>
        </is>
      </c>
      <c r="D546" t="inlineStr">
        <is>
          <t>Research degree</t>
        </is>
      </c>
      <c r="E546" t="inlineStr">
        <is>
          <t>Advertised: official page in place</t>
        </is>
      </c>
      <c r="F546" t="inlineStr">
        <is>
          <t>https://www.handbook.unsw.edu.au/research/programs/2026/2715</t>
        </is>
      </c>
      <c r="G546" t="inlineStr">
        <is>
          <t>https://www.handbook.unsw.edu.au/research/programs/2026/2715</t>
        </is>
      </c>
      <c r="H546" t="inlineStr">
        <is>
          <t>Read</t>
        </is>
      </c>
      <c r="I546" t="inlineStr">
        <is>
          <t>CRICOS code on page</t>
        </is>
      </c>
      <c r="J546" t="inlineStr"/>
      <c r="K546" t="inlineStr">
        <is>
          <t>Not sent to re-link</t>
        </is>
      </c>
      <c r="L546" t="inlineStr">
        <is>
          <t>Filled</t>
        </is>
      </c>
      <c r="M546" t="inlineStr">
        <is>
          <t>Not stated on course page</t>
        </is>
      </c>
      <c r="N546" t="inlineStr"/>
      <c r="O546" t="n">
        <v>0</v>
      </c>
      <c r="P546" t="inlineStr"/>
      <c r="Q546" t="inlineStr">
        <is>
          <t>Not stated on course page</t>
        </is>
      </c>
      <c r="S546" t="inlineStr"/>
      <c r="T546" t="inlineStr">
        <is>
          <t>Held: research degree (the policy states no research requirement)</t>
        </is>
      </c>
      <c r="U546" t="inlineStr"/>
      <c r="V546" t="inlineStr">
        <is>
          <t>Filled</t>
        </is>
      </c>
      <c r="W546" t="inlineStr">
        <is>
          <t>January, February, May, September</t>
        </is>
      </c>
      <c r="X546" t="inlineStr">
        <is>
          <t>University adapter</t>
        </is>
      </c>
      <c r="Y546" t="n">
        <v>0</v>
      </c>
      <c r="Z546" t="inlineStr">
        <is>
          <t>No</t>
        </is>
      </c>
      <c r="AA546" t="inlineStr">
        <is>
          <t>Filled</t>
        </is>
      </c>
      <c r="AB546" t="inlineStr">
        <is>
          <t>on campus</t>
        </is>
      </c>
      <c r="AC546" t="inlineStr"/>
      <c r="AD546" t="n">
        <v>0</v>
      </c>
      <c r="AE546" t="inlineStr"/>
      <c r="AF546" t="inlineStr"/>
      <c r="AG546" t="inlineStr"/>
      <c r="AH546" t="inlineStr"/>
      <c r="AI546" t="inlineStr"/>
      <c r="AJ546" t="inlineStr">
        <is>
          <t>Yes</t>
        </is>
      </c>
      <c r="AK546" t="inlineStr"/>
      <c r="AL546" t="inlineStr"/>
      <c r="AM546" t="inlineStr"/>
    </row>
    <row r="547">
      <c r="A547" t="inlineStr">
        <is>
          <t>119835B</t>
        </is>
      </c>
      <c r="B547" t="inlineStr">
        <is>
          <t>Master of Philosophy (Science)</t>
        </is>
      </c>
      <c r="C547" t="inlineStr">
        <is>
          <t>Masters Degree (Research)</t>
        </is>
      </c>
      <c r="D547" t="inlineStr">
        <is>
          <t>Research degree</t>
        </is>
      </c>
      <c r="E547" t="inlineStr">
        <is>
          <t>Advertised: official page in place</t>
        </is>
      </c>
      <c r="F547" t="inlineStr">
        <is>
          <t>https://www.handbook.unsw.edu.au/research/programs/2026/2273</t>
        </is>
      </c>
      <c r="G547" t="inlineStr">
        <is>
          <t>https://www.handbook.unsw.edu.au/research/programs/2026/2273</t>
        </is>
      </c>
      <c r="H547" t="inlineStr">
        <is>
          <t>Read</t>
        </is>
      </c>
      <c r="I547" t="inlineStr">
        <is>
          <t>CRICOS code on page</t>
        </is>
      </c>
      <c r="J547" t="inlineStr"/>
      <c r="K547" t="inlineStr">
        <is>
          <t>Not sent to re-link</t>
        </is>
      </c>
      <c r="L547" t="inlineStr">
        <is>
          <t>Filled</t>
        </is>
      </c>
      <c r="M547" t="inlineStr">
        <is>
          <t>Not stated on course page</t>
        </is>
      </c>
      <c r="N547" t="inlineStr"/>
      <c r="O547" t="n">
        <v>0</v>
      </c>
      <c r="P547" t="inlineStr"/>
      <c r="Q547" t="inlineStr">
        <is>
          <t>Not stated on course page</t>
        </is>
      </c>
      <c r="S547" t="inlineStr"/>
      <c r="T547" t="inlineStr">
        <is>
          <t>Held: research degree (the policy states no research requirement)</t>
        </is>
      </c>
      <c r="U547" t="inlineStr"/>
      <c r="V547" t="inlineStr">
        <is>
          <t>Filled</t>
        </is>
      </c>
      <c r="W547" t="inlineStr">
        <is>
          <t>February, May, September</t>
        </is>
      </c>
      <c r="X547" t="inlineStr">
        <is>
          <t>University adapter</t>
        </is>
      </c>
      <c r="Y547" t="n">
        <v>0</v>
      </c>
      <c r="Z547" t="inlineStr">
        <is>
          <t>No</t>
        </is>
      </c>
      <c r="AA547" t="inlineStr">
        <is>
          <t>Filled</t>
        </is>
      </c>
      <c r="AB547" t="inlineStr">
        <is>
          <t>on campus</t>
        </is>
      </c>
      <c r="AC547" t="inlineStr"/>
      <c r="AD547" t="n">
        <v>0</v>
      </c>
      <c r="AE547" t="inlineStr"/>
      <c r="AF547" t="inlineStr"/>
      <c r="AG547" t="inlineStr"/>
      <c r="AH547" t="inlineStr"/>
      <c r="AI547" t="inlineStr"/>
      <c r="AJ547" t="inlineStr">
        <is>
          <t>Yes</t>
        </is>
      </c>
      <c r="AK547" t="inlineStr"/>
      <c r="AL547" t="inlineStr"/>
      <c r="AM547" t="inlineStr"/>
    </row>
    <row r="548">
      <c r="A548" t="inlineStr">
        <is>
          <t>0101259</t>
        </is>
      </c>
      <c r="B548" t="inlineStr">
        <is>
          <t>Master of Philosophy Arts and Social Sciences</t>
        </is>
      </c>
      <c r="C548" t="inlineStr">
        <is>
          <t>Masters Degree (Research)</t>
        </is>
      </c>
      <c r="D548" t="inlineStr">
        <is>
          <t>Research degree</t>
        </is>
      </c>
      <c r="E548" t="inlineStr">
        <is>
          <t>Advertised: official page in place</t>
        </is>
      </c>
      <c r="F548" t="inlineStr">
        <is>
          <t>https://www.handbook.unsw.edu.au/research/programs/2026/2364</t>
        </is>
      </c>
      <c r="G548" t="inlineStr">
        <is>
          <t>https://www.handbook.unsw.edu.au/research/programs/2026/2364</t>
        </is>
      </c>
      <c r="H548" t="inlineStr">
        <is>
          <t>Read</t>
        </is>
      </c>
      <c r="I548" t="inlineStr">
        <is>
          <t>CRICOS code on page</t>
        </is>
      </c>
      <c r="J548" t="inlineStr"/>
      <c r="K548" t="inlineStr">
        <is>
          <t>Not sent to re-link</t>
        </is>
      </c>
      <c r="L548" t="inlineStr">
        <is>
          <t>Filled</t>
        </is>
      </c>
      <c r="M548" t="inlineStr">
        <is>
          <t>Not stated on course page</t>
        </is>
      </c>
      <c r="N548" t="inlineStr"/>
      <c r="O548" t="n">
        <v>0</v>
      </c>
      <c r="P548" t="inlineStr"/>
      <c r="Q548" t="inlineStr">
        <is>
          <t>Not stated on course page</t>
        </is>
      </c>
      <c r="S548" t="inlineStr"/>
      <c r="T548" t="inlineStr">
        <is>
          <t>Held: research degree (the policy states no research requirement)</t>
        </is>
      </c>
      <c r="U548" t="inlineStr"/>
      <c r="V548" t="inlineStr">
        <is>
          <t>Filled</t>
        </is>
      </c>
      <c r="W548" t="inlineStr">
        <is>
          <t>February</t>
        </is>
      </c>
      <c r="X548" t="inlineStr">
        <is>
          <t>University adapter</t>
        </is>
      </c>
      <c r="Y548" t="n">
        <v>0</v>
      </c>
      <c r="Z548" t="inlineStr">
        <is>
          <t>No</t>
        </is>
      </c>
      <c r="AA548" t="inlineStr">
        <is>
          <t>Filled</t>
        </is>
      </c>
      <c r="AB548" t="inlineStr">
        <is>
          <t>on campus</t>
        </is>
      </c>
      <c r="AC548" t="inlineStr"/>
      <c r="AD548" t="n">
        <v>0</v>
      </c>
      <c r="AE548" t="inlineStr"/>
      <c r="AF548" t="inlineStr"/>
      <c r="AG548" t="inlineStr"/>
      <c r="AH548" t="inlineStr"/>
      <c r="AI548" t="inlineStr"/>
      <c r="AJ548" t="inlineStr">
        <is>
          <t>Yes</t>
        </is>
      </c>
      <c r="AK548" t="inlineStr"/>
      <c r="AL548" t="inlineStr"/>
      <c r="AM548" t="inlineStr"/>
    </row>
    <row r="549">
      <c r="A549" t="inlineStr">
        <is>
          <t>085762K</t>
        </is>
      </c>
      <c r="B549" t="inlineStr">
        <is>
          <t>Master of Philosophy in Business</t>
        </is>
      </c>
      <c r="C549" t="inlineStr">
        <is>
          <t>Masters Degree (Research)</t>
        </is>
      </c>
      <c r="D549" t="inlineStr">
        <is>
          <t>Research degree</t>
        </is>
      </c>
      <c r="E549" t="inlineStr">
        <is>
          <t>Held: page found is for another course</t>
        </is>
      </c>
      <c r="F549" t="inlineStr"/>
      <c r="G549" t="inlineStr">
        <is>
          <t>https://www.unsw.edu.au/law-justice/study/postgraduate-research/master-philosophy</t>
        </is>
      </c>
      <c r="H549" t="inlineStr">
        <is>
          <t>Page is for another course</t>
        </is>
      </c>
      <c r="I549" t="inlineStr"/>
      <c r="J549" t="inlineStr"/>
      <c r="K549" t="inlineStr">
        <is>
          <t>Finished, no page: no address from the university's address forms or stored lis</t>
        </is>
      </c>
      <c r="L549" t="inlineStr">
        <is>
          <t>Searching for course page</t>
        </is>
      </c>
      <c r="M549" t="inlineStr">
        <is>
          <t>Searching for course page</t>
        </is>
      </c>
      <c r="N549" t="inlineStr"/>
      <c r="O549" t="n">
        <v>0</v>
      </c>
      <c r="P549" t="inlineStr"/>
      <c r="Q549" t="inlineStr">
        <is>
          <t>Searching for course page</t>
        </is>
      </c>
      <c r="S549" t="inlineStr"/>
      <c r="T549" t="inlineStr">
        <is>
          <t>Held: research degree (the policy states no research requirement)</t>
        </is>
      </c>
      <c r="U549" t="inlineStr"/>
      <c r="V549" t="inlineStr">
        <is>
          <t>Searching for course page</t>
        </is>
      </c>
      <c r="W549" t="inlineStr"/>
      <c r="X549" t="inlineStr"/>
      <c r="Y549" t="n">
        <v>0</v>
      </c>
      <c r="Z549" t="inlineStr">
        <is>
          <t>No</t>
        </is>
      </c>
      <c r="AA549" t="inlineStr">
        <is>
          <t>Not stated on course page</t>
        </is>
      </c>
      <c r="AB549" t="inlineStr"/>
      <c r="AC549" t="inlineStr">
        <is>
          <t>Skipped: no correct course page: the page found is for another course</t>
        </is>
      </c>
      <c r="AD549" t="n">
        <v>1</v>
      </c>
      <c r="AE549" t="inlineStr"/>
      <c r="AF549" t="inlineStr"/>
      <c r="AG549" t="inlineStr"/>
      <c r="AH549" t="inlineStr"/>
      <c r="AI549" t="inlineStr"/>
      <c r="AJ549" t="inlineStr">
        <is>
          <t>Yes</t>
        </is>
      </c>
      <c r="AK549" t="inlineStr"/>
      <c r="AL549" t="inlineStr"/>
      <c r="AM549" t="inlineStr"/>
    </row>
    <row r="550">
      <c r="A550" t="inlineStr">
        <is>
          <t>065304B</t>
        </is>
      </c>
      <c r="B550" t="inlineStr">
        <is>
          <t>Master of Philosophy in Forensic Mental Health</t>
        </is>
      </c>
      <c r="C550" t="inlineStr">
        <is>
          <t>Masters Degree (Research)</t>
        </is>
      </c>
      <c r="D550" t="inlineStr">
        <is>
          <t>Research degree</t>
        </is>
      </c>
      <c r="E550" t="inlineStr">
        <is>
          <t>Page address no longer works</t>
        </is>
      </c>
      <c r="F550" t="inlineStr"/>
      <c r="G550" t="inlineStr">
        <is>
          <t>https://www.handbook.unsw.edu.au/research/programs/2026/2712</t>
        </is>
      </c>
      <c r="H550" t="inlineStr">
        <is>
          <t>Address no longer works</t>
        </is>
      </c>
      <c r="I550" t="inlineStr"/>
      <c r="J550" t="inlineStr"/>
      <c r="K550" t="inlineStr">
        <is>
          <t>Not sent to re-link</t>
        </is>
      </c>
      <c r="L550" t="inlineStr">
        <is>
          <t>Page found, being read</t>
        </is>
      </c>
      <c r="M550" t="inlineStr">
        <is>
          <t>Page found, being read</t>
        </is>
      </c>
      <c r="N550" t="inlineStr"/>
      <c r="O550" t="n">
        <v>0</v>
      </c>
      <c r="P550" t="inlineStr"/>
      <c r="Q550" t="inlineStr">
        <is>
          <t>Page found, being read</t>
        </is>
      </c>
      <c r="S550" t="inlineStr"/>
      <c r="T550" t="inlineStr">
        <is>
          <t>Held: research degree (the policy states no research requirement)</t>
        </is>
      </c>
      <c r="U550" t="inlineStr"/>
      <c r="V550" t="inlineStr">
        <is>
          <t>Page found, being read</t>
        </is>
      </c>
      <c r="W550" t="inlineStr"/>
      <c r="X550" t="inlineStr"/>
      <c r="Y550" t="n">
        <v>0</v>
      </c>
      <c r="Z550" t="inlineStr">
        <is>
          <t>No</t>
        </is>
      </c>
      <c r="AA550" t="inlineStr">
        <is>
          <t>Not stated on course page</t>
        </is>
      </c>
      <c r="AB550" t="inlineStr"/>
      <c r="AC550" t="inlineStr">
        <is>
          <t>Skipped: no allowed source had a value</t>
        </is>
      </c>
      <c r="AD550" t="n">
        <v>0</v>
      </c>
      <c r="AE550" t="inlineStr"/>
      <c r="AF550" t="inlineStr"/>
      <c r="AG550" t="inlineStr"/>
      <c r="AH550" t="inlineStr"/>
      <c r="AI550" t="inlineStr"/>
      <c r="AJ550" t="inlineStr">
        <is>
          <t>Yes</t>
        </is>
      </c>
      <c r="AK550" t="inlineStr"/>
      <c r="AL550" t="inlineStr"/>
      <c r="AM550" t="inlineStr"/>
    </row>
    <row r="551">
      <c r="A551" t="inlineStr">
        <is>
          <t>104939F</t>
        </is>
      </c>
      <c r="B551" t="inlineStr">
        <is>
          <t>Master of Philosophy in Law</t>
        </is>
      </c>
      <c r="C551" t="inlineStr">
        <is>
          <t>Masters Degree (Research)</t>
        </is>
      </c>
      <c r="D551" t="inlineStr">
        <is>
          <t>Research degree</t>
        </is>
      </c>
      <c r="E551" t="inlineStr">
        <is>
          <t>Advertised: official page in place</t>
        </is>
      </c>
      <c r="F551" t="inlineStr">
        <is>
          <t>https://www.handbook.unsw.edu.au/research/programs/2026/2441</t>
        </is>
      </c>
      <c r="G551" t="inlineStr">
        <is>
          <t>https://www.handbook.unsw.edu.au/research/programs/2026/2441</t>
        </is>
      </c>
      <c r="H551" t="inlineStr">
        <is>
          <t>Read</t>
        </is>
      </c>
      <c r="I551" t="inlineStr">
        <is>
          <t>CRICOS code on page</t>
        </is>
      </c>
      <c r="J551" t="inlineStr"/>
      <c r="K551" t="inlineStr">
        <is>
          <t>Not sent to re-link</t>
        </is>
      </c>
      <c r="L551" t="inlineStr">
        <is>
          <t>Filled</t>
        </is>
      </c>
      <c r="M551" t="inlineStr">
        <is>
          <t>Not stated on course page</t>
        </is>
      </c>
      <c r="N551" t="inlineStr"/>
      <c r="O551" t="n">
        <v>0</v>
      </c>
      <c r="P551" t="inlineStr"/>
      <c r="Q551" t="inlineStr">
        <is>
          <t>Not stated on course page</t>
        </is>
      </c>
      <c r="S551" t="inlineStr"/>
      <c r="T551" t="inlineStr">
        <is>
          <t>Held: research degree (the policy states no research requirement)</t>
        </is>
      </c>
      <c r="U551" t="inlineStr"/>
      <c r="V551" t="inlineStr">
        <is>
          <t>Filled</t>
        </is>
      </c>
      <c r="W551" t="inlineStr">
        <is>
          <t>February, May, September</t>
        </is>
      </c>
      <c r="X551" t="inlineStr">
        <is>
          <t>University adapter</t>
        </is>
      </c>
      <c r="Y551" t="n">
        <v>0</v>
      </c>
      <c r="Z551" t="inlineStr">
        <is>
          <t>No</t>
        </is>
      </c>
      <c r="AA551" t="inlineStr">
        <is>
          <t>Filled</t>
        </is>
      </c>
      <c r="AB551" t="inlineStr">
        <is>
          <t>on campus</t>
        </is>
      </c>
      <c r="AC551" t="inlineStr"/>
      <c r="AD551" t="n">
        <v>0</v>
      </c>
      <c r="AE551" t="inlineStr"/>
      <c r="AF551" t="inlineStr"/>
      <c r="AG551" t="inlineStr"/>
      <c r="AH551" t="inlineStr"/>
      <c r="AI551" t="inlineStr"/>
      <c r="AJ551" t="inlineStr">
        <is>
          <t>Yes</t>
        </is>
      </c>
      <c r="AK551" t="inlineStr"/>
      <c r="AL551" t="inlineStr"/>
      <c r="AM551" t="inlineStr"/>
    </row>
    <row r="552">
      <c r="A552" t="inlineStr">
        <is>
          <t>068776A</t>
        </is>
      </c>
      <c r="B552" t="inlineStr">
        <is>
          <t>Master of Philosophy in Public Health</t>
        </is>
      </c>
      <c r="C552" t="inlineStr">
        <is>
          <t>Masters Degree (Research)</t>
        </is>
      </c>
      <c r="D552" t="inlineStr">
        <is>
          <t>Research degree</t>
        </is>
      </c>
      <c r="E552" t="inlineStr">
        <is>
          <t>Advertised: official page in place</t>
        </is>
      </c>
      <c r="F552" t="inlineStr">
        <is>
          <t>https://www.handbook.unsw.edu.au/research/programs/2026/2713</t>
        </is>
      </c>
      <c r="G552" t="inlineStr">
        <is>
          <t>https://www.handbook.unsw.edu.au/research/programs/2026/2713</t>
        </is>
      </c>
      <c r="H552" t="inlineStr">
        <is>
          <t>Read</t>
        </is>
      </c>
      <c r="I552" t="inlineStr">
        <is>
          <t>CRICOS code on page</t>
        </is>
      </c>
      <c r="J552" t="inlineStr"/>
      <c r="K552" t="inlineStr">
        <is>
          <t>Not sent to re-link</t>
        </is>
      </c>
      <c r="L552" t="inlineStr">
        <is>
          <t>Filled</t>
        </is>
      </c>
      <c r="M552" t="inlineStr">
        <is>
          <t>Not stated on course page</t>
        </is>
      </c>
      <c r="N552" t="inlineStr"/>
      <c r="O552" t="n">
        <v>0</v>
      </c>
      <c r="P552" t="inlineStr"/>
      <c r="Q552" t="inlineStr">
        <is>
          <t>Not stated on course page</t>
        </is>
      </c>
      <c r="S552" t="inlineStr"/>
      <c r="T552" t="inlineStr">
        <is>
          <t>Held: research degree (the policy states no research requirement)</t>
        </is>
      </c>
      <c r="U552" t="inlineStr"/>
      <c r="V552" t="inlineStr">
        <is>
          <t>Filled</t>
        </is>
      </c>
      <c r="W552" t="inlineStr">
        <is>
          <t>January, February, May, September</t>
        </is>
      </c>
      <c r="X552" t="inlineStr">
        <is>
          <t>University adapter</t>
        </is>
      </c>
      <c r="Y552" t="n">
        <v>0</v>
      </c>
      <c r="Z552" t="inlineStr">
        <is>
          <t>No</t>
        </is>
      </c>
      <c r="AA552" t="inlineStr">
        <is>
          <t>Filled</t>
        </is>
      </c>
      <c r="AB552" t="inlineStr">
        <is>
          <t>on campus</t>
        </is>
      </c>
      <c r="AC552" t="inlineStr"/>
      <c r="AD552" t="n">
        <v>0</v>
      </c>
      <c r="AE552" t="inlineStr"/>
      <c r="AF552" t="inlineStr"/>
      <c r="AG552" t="inlineStr"/>
      <c r="AH552" t="inlineStr"/>
      <c r="AI552" t="inlineStr"/>
      <c r="AJ552" t="inlineStr">
        <is>
          <t>Yes</t>
        </is>
      </c>
      <c r="AK552" t="inlineStr"/>
      <c r="AL552" t="inlineStr"/>
      <c r="AM552" t="inlineStr"/>
    </row>
    <row r="553">
      <c r="A553" t="inlineStr">
        <is>
          <t>106823B</t>
        </is>
      </c>
      <c r="B553" t="inlineStr">
        <is>
          <t>Master of Physical Oceanography</t>
        </is>
      </c>
      <c r="C553" t="inlineStr">
        <is>
          <t>Masters Degree (Coursework)</t>
        </is>
      </c>
      <c r="D553" t="inlineStr">
        <is>
          <t>Postgraduate coursework</t>
        </is>
      </c>
      <c r="E553" t="inlineStr">
        <is>
          <t>Advertised: official page in place</t>
        </is>
      </c>
      <c r="F553" t="inlineStr">
        <is>
          <t>https://www.unsw.edu.au/study/postgraduate/master-of-physical-oceanography</t>
        </is>
      </c>
      <c r="G553" t="inlineStr">
        <is>
          <t>https://www.unsw.edu.au/study/postgraduate/master-of-physical-oceanography</t>
        </is>
      </c>
      <c r="H553" t="inlineStr">
        <is>
          <t>Read</t>
        </is>
      </c>
      <c r="I553" t="inlineStr">
        <is>
          <t>CRICOS code on page</t>
        </is>
      </c>
      <c r="J553" t="inlineStr"/>
      <c r="K553" t="inlineStr">
        <is>
          <t>Not sent to re-link</t>
        </is>
      </c>
      <c r="L553" t="inlineStr">
        <is>
          <t>Filled</t>
        </is>
      </c>
      <c r="M553" t="inlineStr">
        <is>
          <t>Filled</t>
        </is>
      </c>
      <c r="N553" t="inlineStr">
        <is>
          <t>60000.00 2026</t>
        </is>
      </c>
      <c r="O553" t="n">
        <v>0</v>
      </c>
      <c r="P553" t="inlineStr">
        <is>
          <t>University adapter</t>
        </is>
      </c>
      <c r="Q553" t="inlineStr">
        <is>
          <t>Filled</t>
        </is>
      </c>
      <c r="R553" t="n">
        <v>6</v>
      </c>
      <c r="S553" t="inlineStr">
        <is>
          <t>Central English policy</t>
        </is>
      </c>
      <c r="T553" t="inlineStr">
        <is>
          <t>Central rule applies (value agrees)</t>
        </is>
      </c>
      <c r="U553" t="inlineStr"/>
      <c r="V553" t="inlineStr">
        <is>
          <t>Filled</t>
        </is>
      </c>
      <c r="W553" t="inlineStr">
        <is>
          <t>February, May, September</t>
        </is>
      </c>
      <c r="X553" t="inlineStr">
        <is>
          <t>University adapter</t>
        </is>
      </c>
      <c r="Y553" t="n">
        <v>0</v>
      </c>
      <c r="Z553" t="inlineStr">
        <is>
          <t>No</t>
        </is>
      </c>
      <c r="AA553" t="inlineStr">
        <is>
          <t>Filled</t>
        </is>
      </c>
      <c r="AB553" t="inlineStr">
        <is>
          <t>blended</t>
        </is>
      </c>
      <c r="AC553" t="inlineStr"/>
      <c r="AD553" t="n">
        <v>0</v>
      </c>
      <c r="AE553" t="inlineStr"/>
      <c r="AF553" t="inlineStr"/>
      <c r="AG553" t="inlineStr"/>
      <c r="AH553" t="inlineStr"/>
      <c r="AI553" t="inlineStr"/>
      <c r="AJ553" t="inlineStr"/>
      <c r="AK553" t="inlineStr"/>
      <c r="AL553" t="inlineStr"/>
      <c r="AM553" t="inlineStr"/>
    </row>
    <row r="554">
      <c r="A554" t="inlineStr">
        <is>
          <t>118076M</t>
        </is>
      </c>
      <c r="B554" t="inlineStr">
        <is>
          <t>Master of Population Health (Research)</t>
        </is>
      </c>
      <c r="C554" t="inlineStr">
        <is>
          <t>Masters Degree (Research)</t>
        </is>
      </c>
      <c r="D554" t="inlineStr">
        <is>
          <t>Research degree</t>
        </is>
      </c>
      <c r="E554" t="inlineStr">
        <is>
          <t>Advertised: official page in place</t>
        </is>
      </c>
      <c r="F554" t="inlineStr">
        <is>
          <t>https://www.handbook.unsw.edu.au/research/programs/2026/2846</t>
        </is>
      </c>
      <c r="G554" t="inlineStr">
        <is>
          <t>https://www.handbook.unsw.edu.au/research/programs/2026/2846</t>
        </is>
      </c>
      <c r="H554" t="inlineStr">
        <is>
          <t>Read</t>
        </is>
      </c>
      <c r="I554" t="inlineStr">
        <is>
          <t>CRICOS code on page</t>
        </is>
      </c>
      <c r="J554" t="inlineStr"/>
      <c r="K554" t="inlineStr">
        <is>
          <t>Not sent to re-link</t>
        </is>
      </c>
      <c r="L554" t="inlineStr">
        <is>
          <t>Filled</t>
        </is>
      </c>
      <c r="M554" t="inlineStr">
        <is>
          <t>Not stated on course page</t>
        </is>
      </c>
      <c r="N554" t="inlineStr"/>
      <c r="O554" t="n">
        <v>0</v>
      </c>
      <c r="P554" t="inlineStr"/>
      <c r="Q554" t="inlineStr">
        <is>
          <t>Not stated on course page</t>
        </is>
      </c>
      <c r="S554" t="inlineStr"/>
      <c r="T554" t="inlineStr">
        <is>
          <t>Held: research degree (the policy states no research requirement)</t>
        </is>
      </c>
      <c r="U554" t="inlineStr"/>
      <c r="V554" t="inlineStr">
        <is>
          <t>Filled</t>
        </is>
      </c>
      <c r="W554" t="inlineStr">
        <is>
          <t>January, February, May, September</t>
        </is>
      </c>
      <c r="X554" t="inlineStr">
        <is>
          <t>University adapter</t>
        </is>
      </c>
      <c r="Y554" t="n">
        <v>0</v>
      </c>
      <c r="Z554" t="inlineStr">
        <is>
          <t>No</t>
        </is>
      </c>
      <c r="AA554" t="inlineStr">
        <is>
          <t>Filled</t>
        </is>
      </c>
      <c r="AB554" t="inlineStr">
        <is>
          <t>on campus</t>
        </is>
      </c>
      <c r="AC554" t="inlineStr"/>
      <c r="AD554" t="n">
        <v>0</v>
      </c>
      <c r="AE554" t="inlineStr"/>
      <c r="AF554" t="inlineStr"/>
      <c r="AG554" t="inlineStr"/>
      <c r="AH554" t="inlineStr"/>
      <c r="AI554" t="inlineStr"/>
      <c r="AJ554" t="inlineStr">
        <is>
          <t>Yes</t>
        </is>
      </c>
      <c r="AK554" t="inlineStr"/>
      <c r="AL554" t="inlineStr"/>
      <c r="AM554" t="inlineStr"/>
    </row>
    <row r="555">
      <c r="A555" t="inlineStr">
        <is>
          <t>096892J</t>
        </is>
      </c>
      <c r="B555" t="inlineStr">
        <is>
          <t>Master of Pre-Doctoral Business Studies</t>
        </is>
      </c>
      <c r="C555" t="inlineStr">
        <is>
          <t>Masters Degree (Coursework)</t>
        </is>
      </c>
      <c r="D555" t="inlineStr">
        <is>
          <t>Postgraduate coursework</t>
        </is>
      </c>
      <c r="E555" t="inlineStr">
        <is>
          <t>Advertised: official page in place</t>
        </is>
      </c>
      <c r="F555" t="inlineStr">
        <is>
          <t>https://www.handbook.unsw.edu.au/postgraduate/programs/2026/8635</t>
        </is>
      </c>
      <c r="G555" t="inlineStr">
        <is>
          <t>https://www.handbook.unsw.edu.au/postgraduate/programs/2026/8635</t>
        </is>
      </c>
      <c r="H555" t="inlineStr">
        <is>
          <t>Read</t>
        </is>
      </c>
      <c r="I555" t="inlineStr">
        <is>
          <t>Set by hand</t>
        </is>
      </c>
      <c r="J555" t="inlineStr"/>
      <c r="K555" t="inlineStr">
        <is>
          <t>Not sent to re-link</t>
        </is>
      </c>
      <c r="L555" t="inlineStr">
        <is>
          <t>Filled</t>
        </is>
      </c>
      <c r="M555" t="inlineStr">
        <is>
          <t>Not stated on course page</t>
        </is>
      </c>
      <c r="N555" t="inlineStr"/>
      <c r="O555" t="n">
        <v>0</v>
      </c>
      <c r="P555" t="inlineStr"/>
      <c r="Q555" t="inlineStr">
        <is>
          <t>Filled</t>
        </is>
      </c>
      <c r="R555" t="n">
        <v>7</v>
      </c>
      <c r="S555" t="inlineStr">
        <is>
          <t>Other</t>
        </is>
      </c>
      <c r="T555" t="inlineStr">
        <is>
          <t>Central rule applies (course value differs)</t>
        </is>
      </c>
      <c r="U555" t="inlineStr">
        <is>
          <t>Yes: course has IELTS 7.00, central rule says 6</t>
        </is>
      </c>
      <c r="V555" t="inlineStr">
        <is>
          <t>Filled</t>
        </is>
      </c>
      <c r="W555" t="inlineStr">
        <is>
          <t>February</t>
        </is>
      </c>
      <c r="X555" t="inlineStr">
        <is>
          <t>Other</t>
        </is>
      </c>
      <c r="Y555" t="n">
        <v>0</v>
      </c>
      <c r="Z555" t="inlineStr">
        <is>
          <t>No</t>
        </is>
      </c>
      <c r="AA555" t="inlineStr">
        <is>
          <t>Filled</t>
        </is>
      </c>
      <c r="AB555" t="inlineStr">
        <is>
          <t>blended</t>
        </is>
      </c>
      <c r="AC555" t="inlineStr">
        <is>
          <t>Filled</t>
        </is>
      </c>
      <c r="AD555" t="n">
        <v>0</v>
      </c>
      <c r="AE555" t="inlineStr"/>
      <c r="AF555" t="inlineStr"/>
      <c r="AG555" t="inlineStr"/>
      <c r="AH555" t="inlineStr"/>
      <c r="AI555" t="inlineStr"/>
      <c r="AJ555" t="inlineStr"/>
      <c r="AK555" t="inlineStr"/>
      <c r="AL555" t="inlineStr"/>
      <c r="AM555" t="inlineStr"/>
    </row>
    <row r="556">
      <c r="A556" t="inlineStr">
        <is>
          <t>051221J</t>
        </is>
      </c>
      <c r="B556" t="inlineStr">
        <is>
          <t>Master of Professional Accounting</t>
        </is>
      </c>
      <c r="C556" t="inlineStr">
        <is>
          <t>Masters Degree (Coursework)</t>
        </is>
      </c>
      <c r="D556" t="inlineStr">
        <is>
          <t>Postgraduate coursework</t>
        </is>
      </c>
      <c r="E556" t="inlineStr">
        <is>
          <t>Advertised: official page in place</t>
        </is>
      </c>
      <c r="F556" t="inlineStr">
        <is>
          <t>https://www.unsw.edu.au/study/postgraduate/master-of-professional-accounting</t>
        </is>
      </c>
      <c r="G556" t="inlineStr">
        <is>
          <t>https://www.unsw.edu.au/study/postgraduate/master-of-professional-accounting</t>
        </is>
      </c>
      <c r="H556" t="inlineStr">
        <is>
          <t>Read</t>
        </is>
      </c>
      <c r="I556" t="inlineStr">
        <is>
          <t>CRICOS code on page</t>
        </is>
      </c>
      <c r="J556" t="inlineStr"/>
      <c r="K556" t="inlineStr">
        <is>
          <t>Not sent to re-link</t>
        </is>
      </c>
      <c r="L556" t="inlineStr">
        <is>
          <t>Filled</t>
        </is>
      </c>
      <c r="M556" t="inlineStr">
        <is>
          <t>Filled</t>
        </is>
      </c>
      <c r="N556" t="inlineStr">
        <is>
          <t>62000.00 2026</t>
        </is>
      </c>
      <c r="O556" t="n">
        <v>0</v>
      </c>
      <c r="P556" t="inlineStr">
        <is>
          <t>University adapter</t>
        </is>
      </c>
      <c r="Q556" t="inlineStr">
        <is>
          <t>Filled</t>
        </is>
      </c>
      <c r="R556" t="n">
        <v>6</v>
      </c>
      <c r="S556" t="inlineStr">
        <is>
          <t>Central English policy</t>
        </is>
      </c>
      <c r="T556" t="inlineStr">
        <is>
          <t>Central rule applies (value agrees)</t>
        </is>
      </c>
      <c r="U556" t="inlineStr"/>
      <c r="V556" t="inlineStr">
        <is>
          <t>Filled</t>
        </is>
      </c>
      <c r="W556" t="inlineStr">
        <is>
          <t>February, May, September</t>
        </is>
      </c>
      <c r="X556" t="inlineStr">
        <is>
          <t>University adapter</t>
        </is>
      </c>
      <c r="Y556" t="n">
        <v>0</v>
      </c>
      <c r="Z556" t="inlineStr">
        <is>
          <t>No</t>
        </is>
      </c>
      <c r="AA556" t="inlineStr">
        <is>
          <t>Filled</t>
        </is>
      </c>
      <c r="AB556" t="inlineStr">
        <is>
          <t>on campus</t>
        </is>
      </c>
      <c r="AC556" t="inlineStr"/>
      <c r="AD556" t="n">
        <v>0</v>
      </c>
      <c r="AE556" t="inlineStr"/>
      <c r="AF556" t="inlineStr"/>
      <c r="AG556" t="inlineStr"/>
      <c r="AH556" t="inlineStr"/>
      <c r="AI556" t="inlineStr"/>
      <c r="AJ556" t="inlineStr"/>
      <c r="AK556" t="inlineStr"/>
      <c r="AL556" t="inlineStr"/>
      <c r="AM556" t="inlineStr"/>
    </row>
    <row r="557">
      <c r="A557" t="inlineStr">
        <is>
          <t>055635K</t>
        </is>
      </c>
      <c r="B557" t="inlineStr">
        <is>
          <t>Master of Professional Accounting (Extension)</t>
        </is>
      </c>
      <c r="C557" t="inlineStr">
        <is>
          <t>Masters Degree (Coursework)</t>
        </is>
      </c>
      <c r="D557" t="inlineStr">
        <is>
          <t>Postgraduate coursework</t>
        </is>
      </c>
      <c r="E557" t="inlineStr">
        <is>
          <t>Advertised: official page in place</t>
        </is>
      </c>
      <c r="F557" t="inlineStr">
        <is>
          <t>https://www.unsw.edu.au/study/postgraduate/master-of-professional-accounting-extension</t>
        </is>
      </c>
      <c r="G557" t="inlineStr">
        <is>
          <t>https://www.unsw.edu.au/study/postgraduate/master-of-professional-accounting-extension</t>
        </is>
      </c>
      <c r="H557" t="inlineStr">
        <is>
          <t>Read</t>
        </is>
      </c>
      <c r="I557" t="inlineStr">
        <is>
          <t>CRICOS code on page</t>
        </is>
      </c>
      <c r="J557" t="inlineStr"/>
      <c r="K557" t="inlineStr">
        <is>
          <t>Not sent to re-link</t>
        </is>
      </c>
      <c r="L557" t="inlineStr">
        <is>
          <t>Filled</t>
        </is>
      </c>
      <c r="M557" t="inlineStr">
        <is>
          <t>Filled</t>
        </is>
      </c>
      <c r="N557" t="inlineStr">
        <is>
          <t>62000.00 2026</t>
        </is>
      </c>
      <c r="O557" t="n">
        <v>0</v>
      </c>
      <c r="P557" t="inlineStr">
        <is>
          <t>University adapter</t>
        </is>
      </c>
      <c r="Q557" t="inlineStr">
        <is>
          <t>Filled</t>
        </is>
      </c>
      <c r="R557" t="n">
        <v>6</v>
      </c>
      <c r="S557" t="inlineStr">
        <is>
          <t>Central English policy</t>
        </is>
      </c>
      <c r="T557" t="inlineStr">
        <is>
          <t>Central rule applies (value agrees)</t>
        </is>
      </c>
      <c r="U557" t="inlineStr"/>
      <c r="V557" t="inlineStr">
        <is>
          <t>Filled</t>
        </is>
      </c>
      <c r="W557" t="inlineStr">
        <is>
          <t>February, May, September</t>
        </is>
      </c>
      <c r="X557" t="inlineStr">
        <is>
          <t>University adapter</t>
        </is>
      </c>
      <c r="Y557" t="n">
        <v>0</v>
      </c>
      <c r="Z557" t="inlineStr">
        <is>
          <t>No</t>
        </is>
      </c>
      <c r="AA557" t="inlineStr">
        <is>
          <t>Filled</t>
        </is>
      </c>
      <c r="AB557" t="inlineStr">
        <is>
          <t>on campus</t>
        </is>
      </c>
      <c r="AC557" t="inlineStr"/>
      <c r="AD557" t="n">
        <v>0</v>
      </c>
      <c r="AE557" t="inlineStr"/>
      <c r="AF557" t="inlineStr"/>
      <c r="AG557" t="inlineStr"/>
      <c r="AH557" t="inlineStr"/>
      <c r="AI557" t="inlineStr"/>
      <c r="AJ557" t="inlineStr"/>
      <c r="AK557" t="inlineStr"/>
      <c r="AL557" t="inlineStr"/>
      <c r="AM557" t="inlineStr"/>
    </row>
    <row r="558">
      <c r="A558" t="inlineStr">
        <is>
          <t>055094A</t>
        </is>
      </c>
      <c r="B558" t="inlineStr">
        <is>
          <t>Master of Property Development</t>
        </is>
      </c>
      <c r="C558" t="inlineStr">
        <is>
          <t>Masters Degree (Coursework)</t>
        </is>
      </c>
      <c r="D558" t="inlineStr">
        <is>
          <t>Postgraduate coursework</t>
        </is>
      </c>
      <c r="E558" t="inlineStr">
        <is>
          <t>Advertised: official page in place</t>
        </is>
      </c>
      <c r="F558" t="inlineStr">
        <is>
          <t>https://www.unsw.edu.au/study/postgraduate/master-of-property-and-development</t>
        </is>
      </c>
      <c r="G558" t="inlineStr">
        <is>
          <t>https://www.unsw.edu.au/study/postgraduate/master-of-property-and-development</t>
        </is>
      </c>
      <c r="H558" t="inlineStr">
        <is>
          <t>Read</t>
        </is>
      </c>
      <c r="I558" t="inlineStr">
        <is>
          <t>CRICOS code on page</t>
        </is>
      </c>
      <c r="J558" t="inlineStr"/>
      <c r="K558" t="inlineStr">
        <is>
          <t>Not sent to re-link</t>
        </is>
      </c>
      <c r="L558" t="inlineStr">
        <is>
          <t>Filled</t>
        </is>
      </c>
      <c r="M558" t="inlineStr">
        <is>
          <t>Filled</t>
        </is>
      </c>
      <c r="N558" t="inlineStr">
        <is>
          <t>49000.00 2026</t>
        </is>
      </c>
      <c r="O558" t="n">
        <v>0</v>
      </c>
      <c r="P558" t="inlineStr">
        <is>
          <t>University adapter</t>
        </is>
      </c>
      <c r="Q558" t="inlineStr">
        <is>
          <t>Filled</t>
        </is>
      </c>
      <c r="R558" t="n">
        <v>6</v>
      </c>
      <c r="S558" t="inlineStr">
        <is>
          <t>Central English policy</t>
        </is>
      </c>
      <c r="T558" t="inlineStr">
        <is>
          <t>Central rule applies (value agrees)</t>
        </is>
      </c>
      <c r="U558" t="inlineStr"/>
      <c r="V558" t="inlineStr">
        <is>
          <t>Filled</t>
        </is>
      </c>
      <c r="W558" t="inlineStr">
        <is>
          <t>February, September</t>
        </is>
      </c>
      <c r="X558" t="inlineStr">
        <is>
          <t>University adapter</t>
        </is>
      </c>
      <c r="Y558" t="n">
        <v>0</v>
      </c>
      <c r="Z558" t="inlineStr">
        <is>
          <t>No</t>
        </is>
      </c>
      <c r="AA558" t="inlineStr">
        <is>
          <t>Filled</t>
        </is>
      </c>
      <c r="AB558" t="inlineStr">
        <is>
          <t>on campus and online</t>
        </is>
      </c>
      <c r="AC558" t="inlineStr"/>
      <c r="AD558" t="n">
        <v>0</v>
      </c>
      <c r="AE558" t="inlineStr"/>
      <c r="AF558" t="inlineStr"/>
      <c r="AG558" t="inlineStr"/>
      <c r="AH558" t="inlineStr"/>
      <c r="AI558" t="inlineStr"/>
      <c r="AJ558" t="inlineStr"/>
      <c r="AK558" t="inlineStr"/>
      <c r="AL558" t="inlineStr"/>
      <c r="AM558" t="inlineStr"/>
    </row>
    <row r="559">
      <c r="A559" t="inlineStr">
        <is>
          <t>001934A</t>
        </is>
      </c>
      <c r="B559" t="inlineStr">
        <is>
          <t>Master of Psychology - Clinical</t>
        </is>
      </c>
      <c r="C559" t="inlineStr">
        <is>
          <t>Masters Degree (Coursework)</t>
        </is>
      </c>
      <c r="D559" t="inlineStr">
        <is>
          <t>Postgraduate coursework</t>
        </is>
      </c>
      <c r="E559" t="inlineStr">
        <is>
          <t>Advertised: official page in place</t>
        </is>
      </c>
      <c r="F559" t="inlineStr">
        <is>
          <t>https://www.unsw.edu.au/study/postgraduate/master-of-psychology-clinical</t>
        </is>
      </c>
      <c r="G559" t="inlineStr">
        <is>
          <t>https://www.unsw.edu.au/study/postgraduate/master-of-psychology-clinical</t>
        </is>
      </c>
      <c r="H559" t="inlineStr">
        <is>
          <t>Read</t>
        </is>
      </c>
      <c r="I559" t="inlineStr">
        <is>
          <t>CRICOS code on page</t>
        </is>
      </c>
      <c r="J559" t="inlineStr"/>
      <c r="K559" t="inlineStr">
        <is>
          <t>Not sent to re-link</t>
        </is>
      </c>
      <c r="L559" t="inlineStr">
        <is>
          <t>Filled</t>
        </is>
      </c>
      <c r="M559" t="inlineStr">
        <is>
          <t>Filled</t>
        </is>
      </c>
      <c r="N559" t="inlineStr">
        <is>
          <t>58500.00 2026</t>
        </is>
      </c>
      <c r="O559" t="n">
        <v>0</v>
      </c>
      <c r="P559" t="inlineStr">
        <is>
          <t>University adapter</t>
        </is>
      </c>
      <c r="Q559" t="inlineStr">
        <is>
          <t>Filled</t>
        </is>
      </c>
      <c r="R559" t="n">
        <v>6</v>
      </c>
      <c r="S559" t="inlineStr">
        <is>
          <t>Central English policy</t>
        </is>
      </c>
      <c r="T559" t="inlineStr">
        <is>
          <t>Central rule applies (value agrees)</t>
        </is>
      </c>
      <c r="U559" t="inlineStr"/>
      <c r="V559" t="inlineStr">
        <is>
          <t>Filled</t>
        </is>
      </c>
      <c r="W559" t="inlineStr">
        <is>
          <t>February</t>
        </is>
      </c>
      <c r="X559" t="inlineStr">
        <is>
          <t>University adapter</t>
        </is>
      </c>
      <c r="Y559" t="n">
        <v>0</v>
      </c>
      <c r="Z559" t="inlineStr">
        <is>
          <t>No</t>
        </is>
      </c>
      <c r="AA559" t="inlineStr">
        <is>
          <t>Filled</t>
        </is>
      </c>
      <c r="AB559" t="inlineStr">
        <is>
          <t>on campus</t>
        </is>
      </c>
      <c r="AC559" t="inlineStr"/>
      <c r="AD559" t="n">
        <v>0</v>
      </c>
      <c r="AE559" t="inlineStr"/>
      <c r="AF559" t="inlineStr"/>
      <c r="AG559" t="inlineStr"/>
      <c r="AH559" t="inlineStr"/>
      <c r="AI559" t="inlineStr"/>
      <c r="AJ559" t="inlineStr"/>
      <c r="AK559" t="inlineStr"/>
      <c r="AL559" t="inlineStr"/>
      <c r="AM559" t="inlineStr"/>
    </row>
    <row r="560">
      <c r="A560" t="inlineStr">
        <is>
          <t>028068E</t>
        </is>
      </c>
      <c r="B560" t="inlineStr">
        <is>
          <t>Master of Psychology - Forensic</t>
        </is>
      </c>
      <c r="C560" t="inlineStr">
        <is>
          <t>Masters Degree (Coursework)</t>
        </is>
      </c>
      <c r="D560" t="inlineStr">
        <is>
          <t>Postgraduate coursework</t>
        </is>
      </c>
      <c r="E560" t="inlineStr">
        <is>
          <t>Advertised: official page in place</t>
        </is>
      </c>
      <c r="F560" t="inlineStr">
        <is>
          <t>https://www.unsw.edu.au/study/postgraduate/master-of-psychology-forensic</t>
        </is>
      </c>
      <c r="G560" t="inlineStr">
        <is>
          <t>https://www.unsw.edu.au/study/postgraduate/master-of-psychology-forensic</t>
        </is>
      </c>
      <c r="H560" t="inlineStr">
        <is>
          <t>Read</t>
        </is>
      </c>
      <c r="I560" t="inlineStr">
        <is>
          <t>CRICOS code on page</t>
        </is>
      </c>
      <c r="J560" t="inlineStr"/>
      <c r="K560" t="inlineStr">
        <is>
          <t>Not sent to re-link</t>
        </is>
      </c>
      <c r="L560" t="inlineStr">
        <is>
          <t>Filled</t>
        </is>
      </c>
      <c r="M560" t="inlineStr">
        <is>
          <t>Filled</t>
        </is>
      </c>
      <c r="N560" t="inlineStr">
        <is>
          <t>58500.00 2026</t>
        </is>
      </c>
      <c r="O560" t="n">
        <v>0</v>
      </c>
      <c r="P560" t="inlineStr">
        <is>
          <t>University adapter</t>
        </is>
      </c>
      <c r="Q560" t="inlineStr">
        <is>
          <t>Filled</t>
        </is>
      </c>
      <c r="R560" t="n">
        <v>6</v>
      </c>
      <c r="S560" t="inlineStr">
        <is>
          <t>Central English policy</t>
        </is>
      </c>
      <c r="T560" t="inlineStr">
        <is>
          <t>Central rule applies (value agrees)</t>
        </is>
      </c>
      <c r="U560" t="inlineStr"/>
      <c r="V560" t="inlineStr">
        <is>
          <t>Filled</t>
        </is>
      </c>
      <c r="W560" t="inlineStr">
        <is>
          <t>February</t>
        </is>
      </c>
      <c r="X560" t="inlineStr">
        <is>
          <t>University adapter</t>
        </is>
      </c>
      <c r="Y560" t="n">
        <v>0</v>
      </c>
      <c r="Z560" t="inlineStr">
        <is>
          <t>No</t>
        </is>
      </c>
      <c r="AA560" t="inlineStr">
        <is>
          <t>Filled</t>
        </is>
      </c>
      <c r="AB560" t="inlineStr">
        <is>
          <t>on campus</t>
        </is>
      </c>
      <c r="AC560" t="inlineStr"/>
      <c r="AD560" t="n">
        <v>0</v>
      </c>
      <c r="AE560" t="inlineStr"/>
      <c r="AF560" t="inlineStr"/>
      <c r="AG560" t="inlineStr"/>
      <c r="AH560" t="inlineStr"/>
      <c r="AI560" t="inlineStr"/>
      <c r="AJ560" t="inlineStr"/>
      <c r="AK560" t="inlineStr"/>
      <c r="AL560" t="inlineStr"/>
      <c r="AM560" t="inlineStr"/>
    </row>
    <row r="561">
      <c r="A561" t="inlineStr">
        <is>
          <t>008969M</t>
        </is>
      </c>
      <c r="B561" t="inlineStr">
        <is>
          <t>Master of Public Health</t>
        </is>
      </c>
      <c r="C561" t="inlineStr">
        <is>
          <t>Masters Degree (Coursework)</t>
        </is>
      </c>
      <c r="D561" t="inlineStr">
        <is>
          <t>Postgraduate coursework</t>
        </is>
      </c>
      <c r="E561" t="inlineStr">
        <is>
          <t>Advertised: official page in place</t>
        </is>
      </c>
      <c r="F561" t="inlineStr">
        <is>
          <t>https://www.unsw.edu.au/study/postgraduate/master-of-public-health</t>
        </is>
      </c>
      <c r="G561" t="inlineStr">
        <is>
          <t>https://www.unsw.edu.au/study/postgraduate/master-of-public-health</t>
        </is>
      </c>
      <c r="H561" t="inlineStr">
        <is>
          <t>Read</t>
        </is>
      </c>
      <c r="I561" t="inlineStr">
        <is>
          <t>CRICOS code on page</t>
        </is>
      </c>
      <c r="J561" t="inlineStr"/>
      <c r="K561" t="inlineStr">
        <is>
          <t>Not sent to re-link</t>
        </is>
      </c>
      <c r="L561" t="inlineStr">
        <is>
          <t>Filled</t>
        </is>
      </c>
      <c r="M561" t="inlineStr">
        <is>
          <t>Filled</t>
        </is>
      </c>
      <c r="N561" t="inlineStr">
        <is>
          <t>60500.00 2026</t>
        </is>
      </c>
      <c r="O561" t="n">
        <v>0</v>
      </c>
      <c r="P561" t="inlineStr">
        <is>
          <t>University adapter</t>
        </is>
      </c>
      <c r="Q561" t="inlineStr">
        <is>
          <t>Filled</t>
        </is>
      </c>
      <c r="R561" t="n">
        <v>6</v>
      </c>
      <c r="S561" t="inlineStr">
        <is>
          <t>Central English policy</t>
        </is>
      </c>
      <c r="T561" t="inlineStr">
        <is>
          <t>Central rule applies (value agrees)</t>
        </is>
      </c>
      <c r="U561" t="inlineStr"/>
      <c r="V561" t="inlineStr">
        <is>
          <t>Filled</t>
        </is>
      </c>
      <c r="W561" t="inlineStr">
        <is>
          <t>February, May, September</t>
        </is>
      </c>
      <c r="X561" t="inlineStr">
        <is>
          <t>University adapter</t>
        </is>
      </c>
      <c r="Y561" t="n">
        <v>0</v>
      </c>
      <c r="Z561" t="inlineStr">
        <is>
          <t>No</t>
        </is>
      </c>
      <c r="AA561" t="inlineStr">
        <is>
          <t>Filled</t>
        </is>
      </c>
      <c r="AB561" t="inlineStr">
        <is>
          <t>on campus and online</t>
        </is>
      </c>
      <c r="AC561" t="inlineStr"/>
      <c r="AD561" t="n">
        <v>0</v>
      </c>
      <c r="AE561" t="inlineStr"/>
      <c r="AF561" t="inlineStr"/>
      <c r="AG561" t="inlineStr"/>
      <c r="AH561" t="inlineStr"/>
      <c r="AI561" t="inlineStr"/>
      <c r="AJ561" t="inlineStr"/>
      <c r="AK561" t="inlineStr"/>
      <c r="AL561" t="inlineStr"/>
      <c r="AM561" t="inlineStr"/>
    </row>
    <row r="562">
      <c r="A562" t="inlineStr">
        <is>
          <t>061597E</t>
        </is>
      </c>
      <c r="B562" t="inlineStr">
        <is>
          <t>Master of Public Health (Extension)</t>
        </is>
      </c>
      <c r="C562" t="inlineStr">
        <is>
          <t>Masters Degree (Coursework)</t>
        </is>
      </c>
      <c r="D562" t="inlineStr">
        <is>
          <t>Postgraduate coursework</t>
        </is>
      </c>
      <c r="E562" t="inlineStr">
        <is>
          <t>Advertised: official page in place</t>
        </is>
      </c>
      <c r="F562" t="inlineStr">
        <is>
          <t>https://www.unsw.edu.au/study/postgraduate/master-of-public-health-extension</t>
        </is>
      </c>
      <c r="G562" t="inlineStr">
        <is>
          <t>https://www.unsw.edu.au/study/postgraduate/master-of-public-health-extension</t>
        </is>
      </c>
      <c r="H562" t="inlineStr">
        <is>
          <t>Read</t>
        </is>
      </c>
      <c r="I562" t="inlineStr">
        <is>
          <t>CRICOS code on page</t>
        </is>
      </c>
      <c r="J562" t="inlineStr"/>
      <c r="K562" t="inlineStr">
        <is>
          <t>Not sent to re-link</t>
        </is>
      </c>
      <c r="L562" t="inlineStr">
        <is>
          <t>Filled</t>
        </is>
      </c>
      <c r="M562" t="inlineStr">
        <is>
          <t>Filled</t>
        </is>
      </c>
      <c r="N562" t="inlineStr">
        <is>
          <t>60500.00 2026</t>
        </is>
      </c>
      <c r="O562" t="n">
        <v>0</v>
      </c>
      <c r="P562" t="inlineStr">
        <is>
          <t>University adapter</t>
        </is>
      </c>
      <c r="Q562" t="inlineStr">
        <is>
          <t>Filled</t>
        </is>
      </c>
      <c r="R562" t="n">
        <v>6</v>
      </c>
      <c r="S562" t="inlineStr">
        <is>
          <t>Central English policy</t>
        </is>
      </c>
      <c r="T562" t="inlineStr">
        <is>
          <t>Central rule applies (value agrees)</t>
        </is>
      </c>
      <c r="U562" t="inlineStr"/>
      <c r="V562" t="inlineStr">
        <is>
          <t>Filled</t>
        </is>
      </c>
      <c r="W562" t="inlineStr">
        <is>
          <t>February, May, September</t>
        </is>
      </c>
      <c r="X562" t="inlineStr">
        <is>
          <t>University adapter</t>
        </is>
      </c>
      <c r="Y562" t="n">
        <v>0</v>
      </c>
      <c r="Z562" t="inlineStr">
        <is>
          <t>No</t>
        </is>
      </c>
      <c r="AA562" t="inlineStr">
        <is>
          <t>Filled</t>
        </is>
      </c>
      <c r="AB562" t="inlineStr">
        <is>
          <t>on campus and online</t>
        </is>
      </c>
      <c r="AC562" t="inlineStr"/>
      <c r="AD562" t="n">
        <v>0</v>
      </c>
      <c r="AE562" t="inlineStr"/>
      <c r="AF562" t="inlineStr"/>
      <c r="AG562" t="inlineStr"/>
      <c r="AH562" t="inlineStr"/>
      <c r="AI562" t="inlineStr"/>
      <c r="AJ562" t="inlineStr"/>
      <c r="AK562" t="inlineStr"/>
      <c r="AL562" t="inlineStr"/>
      <c r="AM562" t="inlineStr"/>
    </row>
    <row r="563">
      <c r="A563" t="inlineStr">
        <is>
          <t>0100681</t>
        </is>
      </c>
      <c r="B563" t="inlineStr">
        <is>
          <t>Master of Public Health (Extension)/Infectious Diseases Intelligence</t>
        </is>
      </c>
      <c r="C563" t="inlineStr">
        <is>
          <t>Masters Degree (Coursework)</t>
        </is>
      </c>
      <c r="D563" t="inlineStr">
        <is>
          <t>Postgraduate coursework</t>
        </is>
      </c>
      <c r="E563" t="inlineStr">
        <is>
          <t>Advertised: official page in place</t>
        </is>
      </c>
      <c r="F563" t="inlineStr">
        <is>
          <t>https://www.unsw.edu.au/study/postgraduate/master-of-public-health-extension-infectious-diseases-intelligence</t>
        </is>
      </c>
      <c r="G563" t="inlineStr">
        <is>
          <t>https://www.unsw.edu.au/study/postgraduate/master-of-public-health-extension-infectious-diseases-intelligence</t>
        </is>
      </c>
      <c r="H563" t="inlineStr">
        <is>
          <t>Read</t>
        </is>
      </c>
      <c r="I563" t="inlineStr">
        <is>
          <t>CRICOS code on page</t>
        </is>
      </c>
      <c r="J563" t="inlineStr"/>
      <c r="K563" t="inlineStr">
        <is>
          <t>Not sent to re-link</t>
        </is>
      </c>
      <c r="L563" t="inlineStr">
        <is>
          <t>Filled</t>
        </is>
      </c>
      <c r="M563" t="inlineStr">
        <is>
          <t>Filled</t>
        </is>
      </c>
      <c r="N563" t="inlineStr">
        <is>
          <t>60500.00 2026</t>
        </is>
      </c>
      <c r="O563" t="n">
        <v>0</v>
      </c>
      <c r="P563" t="inlineStr">
        <is>
          <t>University adapter</t>
        </is>
      </c>
      <c r="Q563" t="inlineStr">
        <is>
          <t>Not stated on course page</t>
        </is>
      </c>
      <c r="S563" t="inlineStr"/>
      <c r="T563" t="inlineStr">
        <is>
          <t>Held: double degree (its parts are at different levels)</t>
        </is>
      </c>
      <c r="U563" t="inlineStr"/>
      <c r="V563" t="inlineStr">
        <is>
          <t>Filled</t>
        </is>
      </c>
      <c r="W563" t="inlineStr">
        <is>
          <t>February, May, September</t>
        </is>
      </c>
      <c r="X563" t="inlineStr">
        <is>
          <t>University adapter</t>
        </is>
      </c>
      <c r="Y563" t="n">
        <v>0</v>
      </c>
      <c r="Z563" t="inlineStr">
        <is>
          <t>No</t>
        </is>
      </c>
      <c r="AA563" t="inlineStr">
        <is>
          <t>Filled</t>
        </is>
      </c>
      <c r="AB563" t="inlineStr">
        <is>
          <t>on campus and online</t>
        </is>
      </c>
      <c r="AC563" t="inlineStr"/>
      <c r="AD563" t="n">
        <v>0</v>
      </c>
      <c r="AE563" t="inlineStr"/>
      <c r="AF563" t="inlineStr"/>
      <c r="AG563" t="inlineStr"/>
      <c r="AH563" t="inlineStr"/>
      <c r="AI563" t="inlineStr"/>
      <c r="AJ563" t="inlineStr">
        <is>
          <t>Yes</t>
        </is>
      </c>
      <c r="AK563" t="inlineStr"/>
      <c r="AL563" t="inlineStr"/>
      <c r="AM563" t="inlineStr"/>
    </row>
    <row r="564">
      <c r="A564" t="inlineStr">
        <is>
          <t>089839F</t>
        </is>
      </c>
      <c r="B564" t="inlineStr">
        <is>
          <t>Master of Public Health (Extension)/Master of Health Leadership and Management</t>
        </is>
      </c>
      <c r="C564" t="inlineStr">
        <is>
          <t>Masters Degree (Coursework)</t>
        </is>
      </c>
      <c r="D564" t="inlineStr">
        <is>
          <t>Postgraduate coursework</t>
        </is>
      </c>
      <c r="E564" t="inlineStr">
        <is>
          <t>Advertised: official page in place</t>
        </is>
      </c>
      <c r="F564" t="inlineStr">
        <is>
          <t>https://www.unsw.edu.au/study/postgraduate/master-of-health-leadership-and-management-public-health-extension</t>
        </is>
      </c>
      <c r="G564" t="inlineStr">
        <is>
          <t>https://www.unsw.edu.au/study/postgraduate/master-of-health-leadership-and-management-public-health-extension</t>
        </is>
      </c>
      <c r="H564" t="inlineStr">
        <is>
          <t>Read</t>
        </is>
      </c>
      <c r="I564" t="inlineStr">
        <is>
          <t>CRICOS code on page</t>
        </is>
      </c>
      <c r="J564" t="inlineStr"/>
      <c r="K564" t="inlineStr">
        <is>
          <t>Not sent to re-link</t>
        </is>
      </c>
      <c r="L564" t="inlineStr">
        <is>
          <t>Filled</t>
        </is>
      </c>
      <c r="M564" t="inlineStr">
        <is>
          <t>Filled</t>
        </is>
      </c>
      <c r="N564" t="inlineStr">
        <is>
          <t>60500.00 2026</t>
        </is>
      </c>
      <c r="O564" t="n">
        <v>0</v>
      </c>
      <c r="P564" t="inlineStr">
        <is>
          <t>University adapter</t>
        </is>
      </c>
      <c r="Q564" t="inlineStr">
        <is>
          <t>Filled</t>
        </is>
      </c>
      <c r="R564" t="n">
        <v>6</v>
      </c>
      <c r="S564" t="inlineStr">
        <is>
          <t>Central English policy</t>
        </is>
      </c>
      <c r="T564" t="inlineStr">
        <is>
          <t>Central rule applies (value agrees)</t>
        </is>
      </c>
      <c r="U564" t="inlineStr"/>
      <c r="V564" t="inlineStr">
        <is>
          <t>Filled</t>
        </is>
      </c>
      <c r="W564" t="inlineStr">
        <is>
          <t>February, May, September</t>
        </is>
      </c>
      <c r="X564" t="inlineStr">
        <is>
          <t>University adapter</t>
        </is>
      </c>
      <c r="Y564" t="n">
        <v>0</v>
      </c>
      <c r="Z564" t="inlineStr">
        <is>
          <t>No</t>
        </is>
      </c>
      <c r="AA564" t="inlineStr">
        <is>
          <t>Filled</t>
        </is>
      </c>
      <c r="AB564" t="inlineStr">
        <is>
          <t>on campus and online</t>
        </is>
      </c>
      <c r="AC564" t="inlineStr"/>
      <c r="AD564" t="n">
        <v>0</v>
      </c>
      <c r="AE564" t="inlineStr"/>
      <c r="AF564" t="inlineStr"/>
      <c r="AG564" t="inlineStr"/>
      <c r="AH564" t="inlineStr"/>
      <c r="AI564" t="inlineStr"/>
      <c r="AJ564" t="inlineStr"/>
      <c r="AK564" t="inlineStr"/>
      <c r="AL564" t="inlineStr"/>
      <c r="AM564" t="inlineStr"/>
    </row>
    <row r="565">
      <c r="A565" t="inlineStr">
        <is>
          <t>000734F</t>
        </is>
      </c>
      <c r="B565" t="inlineStr">
        <is>
          <t>Master of Public Health (Research)</t>
        </is>
      </c>
      <c r="C565" t="inlineStr">
        <is>
          <t>Masters Degree (Research)</t>
        </is>
      </c>
      <c r="D565" t="inlineStr">
        <is>
          <t>Research degree</t>
        </is>
      </c>
      <c r="E565" t="inlineStr">
        <is>
          <t>Advertised: official page in place</t>
        </is>
      </c>
      <c r="F565" t="inlineStr">
        <is>
          <t>https://www.handbook.unsw.edu.au/research/programs/current/2845</t>
        </is>
      </c>
      <c r="G565" t="inlineStr">
        <is>
          <t>https://www.handbook.unsw.edu.au/research/programs/current/2845</t>
        </is>
      </c>
      <c r="H565" t="inlineStr">
        <is>
          <t>Read</t>
        </is>
      </c>
      <c r="I565" t="inlineStr">
        <is>
          <t>CRICOS code on page</t>
        </is>
      </c>
      <c r="J565" t="inlineStr"/>
      <c r="K565" t="inlineStr">
        <is>
          <t>Not sent to re-link</t>
        </is>
      </c>
      <c r="L565" t="inlineStr">
        <is>
          <t>Filled</t>
        </is>
      </c>
      <c r="M565" t="inlineStr">
        <is>
          <t>Not stated on course page</t>
        </is>
      </c>
      <c r="N565" t="inlineStr"/>
      <c r="O565" t="n">
        <v>0</v>
      </c>
      <c r="P565" t="inlineStr"/>
      <c r="Q565" t="inlineStr">
        <is>
          <t>Not stated on course page</t>
        </is>
      </c>
      <c r="S565" t="inlineStr"/>
      <c r="T565" t="inlineStr">
        <is>
          <t>Held: research degree (the policy states no research requirement)</t>
        </is>
      </c>
      <c r="U565" t="inlineStr"/>
      <c r="V565" t="inlineStr">
        <is>
          <t>Filled</t>
        </is>
      </c>
      <c r="W565" t="inlineStr">
        <is>
          <t>January, February, May, September</t>
        </is>
      </c>
      <c r="X565" t="inlineStr">
        <is>
          <t>University adapter</t>
        </is>
      </c>
      <c r="Y565" t="n">
        <v>0</v>
      </c>
      <c r="Z565" t="inlineStr">
        <is>
          <t>No</t>
        </is>
      </c>
      <c r="AA565" t="inlineStr">
        <is>
          <t>Filled</t>
        </is>
      </c>
      <c r="AB565" t="inlineStr">
        <is>
          <t>on campus</t>
        </is>
      </c>
      <c r="AC565" t="inlineStr"/>
      <c r="AD565" t="n">
        <v>0</v>
      </c>
      <c r="AE565" t="inlineStr"/>
      <c r="AF565" t="inlineStr"/>
      <c r="AG565" t="inlineStr"/>
      <c r="AH565" t="inlineStr"/>
      <c r="AI565" t="inlineStr"/>
      <c r="AJ565" t="inlineStr">
        <is>
          <t>Yes</t>
        </is>
      </c>
      <c r="AK565" t="inlineStr"/>
      <c r="AL565" t="inlineStr"/>
      <c r="AM565" t="inlineStr"/>
    </row>
    <row r="566">
      <c r="A566" t="inlineStr">
        <is>
          <t>0100684</t>
        </is>
      </c>
      <c r="B566" t="inlineStr">
        <is>
          <t>Master of Public Health/Infectious Diseases Intelligence (Extension)</t>
        </is>
      </c>
      <c r="C566" t="inlineStr">
        <is>
          <t>Masters Degree (Coursework)</t>
        </is>
      </c>
      <c r="D566" t="inlineStr">
        <is>
          <t>Postgraduate coursework</t>
        </is>
      </c>
      <c r="E566" t="inlineStr">
        <is>
          <t>Advertised: official page in place</t>
        </is>
      </c>
      <c r="F566" t="inlineStr">
        <is>
          <t>https://www.handbook.unsw.edu.au/postgraduate/programs/2026/9363</t>
        </is>
      </c>
      <c r="G566" t="inlineStr">
        <is>
          <t>https://www.handbook.unsw.edu.au/postgraduate/programs/2026/9363</t>
        </is>
      </c>
      <c r="H566" t="inlineStr">
        <is>
          <t>Read</t>
        </is>
      </c>
      <c r="I566" t="inlineStr">
        <is>
          <t>CRICOS code on page</t>
        </is>
      </c>
      <c r="J566" t="inlineStr"/>
      <c r="K566" t="inlineStr">
        <is>
          <t>Not sent to re-link</t>
        </is>
      </c>
      <c r="L566" t="inlineStr">
        <is>
          <t>Filled</t>
        </is>
      </c>
      <c r="M566" t="inlineStr">
        <is>
          <t>Not stated on course page</t>
        </is>
      </c>
      <c r="N566" t="inlineStr"/>
      <c r="O566" t="n">
        <v>0</v>
      </c>
      <c r="P566" t="inlineStr"/>
      <c r="Q566" t="inlineStr">
        <is>
          <t>Not stated on course page</t>
        </is>
      </c>
      <c r="S566" t="inlineStr"/>
      <c r="T566" t="inlineStr">
        <is>
          <t>Held: double degree (its parts are at different levels)</t>
        </is>
      </c>
      <c r="U566" t="inlineStr"/>
      <c r="V566" t="inlineStr">
        <is>
          <t>Filled</t>
        </is>
      </c>
      <c r="W566" t="inlineStr">
        <is>
          <t>February, May, September</t>
        </is>
      </c>
      <c r="X566" t="inlineStr">
        <is>
          <t>University adapter</t>
        </is>
      </c>
      <c r="Y566" t="n">
        <v>0</v>
      </c>
      <c r="Z566" t="inlineStr">
        <is>
          <t>No</t>
        </is>
      </c>
      <c r="AA566" t="inlineStr">
        <is>
          <t>Filled</t>
        </is>
      </c>
      <c r="AB566" t="inlineStr">
        <is>
          <t>on campus</t>
        </is>
      </c>
      <c r="AC566" t="inlineStr"/>
      <c r="AD566" t="n">
        <v>0</v>
      </c>
      <c r="AE566" t="inlineStr"/>
      <c r="AF566" t="inlineStr"/>
      <c r="AG566" t="inlineStr"/>
      <c r="AH566" t="inlineStr"/>
      <c r="AI566" t="inlineStr"/>
      <c r="AJ566" t="inlineStr">
        <is>
          <t>Yes</t>
        </is>
      </c>
      <c r="AK566" t="inlineStr"/>
      <c r="AL566" t="inlineStr"/>
      <c r="AM566" t="inlineStr"/>
    </row>
    <row r="567">
      <c r="A567" t="inlineStr">
        <is>
          <t>089844J</t>
        </is>
      </c>
      <c r="B567" t="inlineStr">
        <is>
          <t>Master of Public Health/Master of Health Leadership and Management (Extension)</t>
        </is>
      </c>
      <c r="C567" t="inlineStr">
        <is>
          <t>Masters Degree (Coursework)</t>
        </is>
      </c>
      <c r="D567" t="inlineStr">
        <is>
          <t>Postgraduate coursework</t>
        </is>
      </c>
      <c r="E567" t="inlineStr">
        <is>
          <t>Advertised: official page in place</t>
        </is>
      </c>
      <c r="F567" t="inlineStr">
        <is>
          <t>https://www.unsw.edu.au/study/postgraduate/master-of-health-leadership-and-management-extension-public-health</t>
        </is>
      </c>
      <c r="G567" t="inlineStr">
        <is>
          <t>https://www.unsw.edu.au/study/postgraduate/master-of-health-leadership-and-management-extension-public-health</t>
        </is>
      </c>
      <c r="H567" t="inlineStr">
        <is>
          <t>Read</t>
        </is>
      </c>
      <c r="I567" t="inlineStr">
        <is>
          <t>CRICOS code on page</t>
        </is>
      </c>
      <c r="J567" t="inlineStr"/>
      <c r="K567" t="inlineStr">
        <is>
          <t>Not sent to re-link</t>
        </is>
      </c>
      <c r="L567" t="inlineStr">
        <is>
          <t>Filled</t>
        </is>
      </c>
      <c r="M567" t="inlineStr">
        <is>
          <t>Filled</t>
        </is>
      </c>
      <c r="N567" t="inlineStr">
        <is>
          <t>60500.00 2026</t>
        </is>
      </c>
      <c r="O567" t="n">
        <v>0</v>
      </c>
      <c r="P567" t="inlineStr">
        <is>
          <t>University adapter</t>
        </is>
      </c>
      <c r="Q567" t="inlineStr">
        <is>
          <t>Filled</t>
        </is>
      </c>
      <c r="R567" t="n">
        <v>6</v>
      </c>
      <c r="S567" t="inlineStr">
        <is>
          <t>Central English policy</t>
        </is>
      </c>
      <c r="T567" t="inlineStr">
        <is>
          <t>Central rule applies (value agrees)</t>
        </is>
      </c>
      <c r="U567" t="inlineStr"/>
      <c r="V567" t="inlineStr">
        <is>
          <t>Filled</t>
        </is>
      </c>
      <c r="W567" t="inlineStr">
        <is>
          <t>February, May, September</t>
        </is>
      </c>
      <c r="X567" t="inlineStr">
        <is>
          <t>University adapter</t>
        </is>
      </c>
      <c r="Y567" t="n">
        <v>0</v>
      </c>
      <c r="Z567" t="inlineStr">
        <is>
          <t>No</t>
        </is>
      </c>
      <c r="AA567" t="inlineStr">
        <is>
          <t>Filled</t>
        </is>
      </c>
      <c r="AB567" t="inlineStr">
        <is>
          <t>on campus and online</t>
        </is>
      </c>
      <c r="AC567" t="inlineStr"/>
      <c r="AD567" t="n">
        <v>0</v>
      </c>
      <c r="AE567" t="inlineStr"/>
      <c r="AF567" t="inlineStr"/>
      <c r="AG567" t="inlineStr"/>
      <c r="AH567" t="inlineStr"/>
      <c r="AI567" t="inlineStr"/>
      <c r="AJ567" t="inlineStr"/>
      <c r="AK567" t="inlineStr"/>
      <c r="AL567" t="inlineStr"/>
      <c r="AM567" t="inlineStr"/>
    </row>
    <row r="568">
      <c r="A568" t="inlineStr">
        <is>
          <t>061598D</t>
        </is>
      </c>
      <c r="B568" t="inlineStr">
        <is>
          <t>Master of Public Health/Master of Health Leadership Management</t>
        </is>
      </c>
      <c r="C568" t="inlineStr">
        <is>
          <t>Masters Degree (Coursework)</t>
        </is>
      </c>
      <c r="D568" t="inlineStr">
        <is>
          <t>Postgraduate coursework</t>
        </is>
      </c>
      <c r="E568" t="inlineStr">
        <is>
          <t>Advertised: official page in place</t>
        </is>
      </c>
      <c r="F568" t="inlineStr">
        <is>
          <t>https://www.unsw.edu.au/study/postgraduate/master-of-public-health-health-leadership-and-management</t>
        </is>
      </c>
      <c r="G568" t="inlineStr">
        <is>
          <t>https://www.unsw.edu.au/study/postgraduate/master-of-public-health-health-leadership-and-management</t>
        </is>
      </c>
      <c r="H568" t="inlineStr">
        <is>
          <t>Read</t>
        </is>
      </c>
      <c r="I568" t="inlineStr">
        <is>
          <t>CRICOS code on page</t>
        </is>
      </c>
      <c r="J568" t="inlineStr"/>
      <c r="K568" t="inlineStr">
        <is>
          <t>Not sent to re-link</t>
        </is>
      </c>
      <c r="L568" t="inlineStr">
        <is>
          <t>Filled</t>
        </is>
      </c>
      <c r="M568" t="inlineStr">
        <is>
          <t>Filled</t>
        </is>
      </c>
      <c r="N568" t="inlineStr">
        <is>
          <t>60500.00 2026</t>
        </is>
      </c>
      <c r="O568" t="n">
        <v>0</v>
      </c>
      <c r="P568" t="inlineStr">
        <is>
          <t>University adapter</t>
        </is>
      </c>
      <c r="Q568" t="inlineStr">
        <is>
          <t>Filled</t>
        </is>
      </c>
      <c r="R568" t="n">
        <v>6</v>
      </c>
      <c r="S568" t="inlineStr">
        <is>
          <t>Central English policy</t>
        </is>
      </c>
      <c r="T568" t="inlineStr">
        <is>
          <t>Central rule applies (value agrees)</t>
        </is>
      </c>
      <c r="U568" t="inlineStr"/>
      <c r="V568" t="inlineStr">
        <is>
          <t>Filled</t>
        </is>
      </c>
      <c r="W568" t="inlineStr">
        <is>
          <t>February, May, September</t>
        </is>
      </c>
      <c r="X568" t="inlineStr">
        <is>
          <t>University adapter</t>
        </is>
      </c>
      <c r="Y568" t="n">
        <v>0</v>
      </c>
      <c r="Z568" t="inlineStr">
        <is>
          <t>No</t>
        </is>
      </c>
      <c r="AA568" t="inlineStr">
        <is>
          <t>Filled</t>
        </is>
      </c>
      <c r="AB568" t="inlineStr">
        <is>
          <t>on campus and online</t>
        </is>
      </c>
      <c r="AC568" t="inlineStr"/>
      <c r="AD568" t="n">
        <v>0</v>
      </c>
      <c r="AE568" t="inlineStr"/>
      <c r="AF568" t="inlineStr"/>
      <c r="AG568" t="inlineStr"/>
      <c r="AH568" t="inlineStr"/>
      <c r="AI568" t="inlineStr"/>
      <c r="AJ568" t="inlineStr"/>
      <c r="AK568" t="inlineStr"/>
      <c r="AL568" t="inlineStr"/>
      <c r="AM568" t="inlineStr"/>
    </row>
    <row r="569">
      <c r="A569" t="inlineStr">
        <is>
          <t>096231B</t>
        </is>
      </c>
      <c r="B569" t="inlineStr">
        <is>
          <t>Master of Public Health/Master of Infectious Diseases Intelligence</t>
        </is>
      </c>
      <c r="C569" t="inlineStr">
        <is>
          <t>Masters Degree (Coursework)</t>
        </is>
      </c>
      <c r="D569" t="inlineStr">
        <is>
          <t>Postgraduate coursework</t>
        </is>
      </c>
      <c r="E569" t="inlineStr">
        <is>
          <t>Advertised: official page in place</t>
        </is>
      </c>
      <c r="F569" t="inlineStr">
        <is>
          <t>https://www.unsw.edu.au/study/postgraduate/master-of-public-health-infectious-diseases-intelligence</t>
        </is>
      </c>
      <c r="G569" t="inlineStr">
        <is>
          <t>https://www.unsw.edu.au/study/postgraduate/master-of-public-health-infectious-diseases-intelligence</t>
        </is>
      </c>
      <c r="H569" t="inlineStr">
        <is>
          <t>Read</t>
        </is>
      </c>
      <c r="I569" t="inlineStr">
        <is>
          <t>CRICOS code on page</t>
        </is>
      </c>
      <c r="J569" t="inlineStr"/>
      <c r="K569" t="inlineStr">
        <is>
          <t>Not sent to re-link</t>
        </is>
      </c>
      <c r="L569" t="inlineStr">
        <is>
          <t>Filled</t>
        </is>
      </c>
      <c r="M569" t="inlineStr">
        <is>
          <t>Filled</t>
        </is>
      </c>
      <c r="N569" t="inlineStr">
        <is>
          <t>60500.00 2026</t>
        </is>
      </c>
      <c r="O569" t="n">
        <v>0</v>
      </c>
      <c r="P569" t="inlineStr">
        <is>
          <t>University adapter</t>
        </is>
      </c>
      <c r="Q569" t="inlineStr">
        <is>
          <t>Filled</t>
        </is>
      </c>
      <c r="R569" t="n">
        <v>6</v>
      </c>
      <c r="S569" t="inlineStr">
        <is>
          <t>Central English policy</t>
        </is>
      </c>
      <c r="T569" t="inlineStr">
        <is>
          <t>Central rule applies (value agrees)</t>
        </is>
      </c>
      <c r="U569" t="inlineStr"/>
      <c r="V569" t="inlineStr">
        <is>
          <t>Filled</t>
        </is>
      </c>
      <c r="W569" t="inlineStr">
        <is>
          <t>February, May, September</t>
        </is>
      </c>
      <c r="X569" t="inlineStr">
        <is>
          <t>University adapter</t>
        </is>
      </c>
      <c r="Y569" t="n">
        <v>0</v>
      </c>
      <c r="Z569" t="inlineStr">
        <is>
          <t>No</t>
        </is>
      </c>
      <c r="AA569" t="inlineStr">
        <is>
          <t>Filled</t>
        </is>
      </c>
      <c r="AB569" t="inlineStr">
        <is>
          <t>on campus and online</t>
        </is>
      </c>
      <c r="AC569" t="inlineStr"/>
      <c r="AD569" t="n">
        <v>0</v>
      </c>
      <c r="AE569" t="inlineStr"/>
      <c r="AF569" t="inlineStr"/>
      <c r="AG569" t="inlineStr"/>
      <c r="AH569" t="inlineStr"/>
      <c r="AI569" t="inlineStr"/>
      <c r="AJ569" t="inlineStr"/>
      <c r="AK569" t="inlineStr"/>
      <c r="AL569" t="inlineStr"/>
      <c r="AM569" t="inlineStr"/>
    </row>
    <row r="570">
      <c r="A570" t="inlineStr">
        <is>
          <t>083243E</t>
        </is>
      </c>
      <c r="B570" t="inlineStr">
        <is>
          <t>Master of Public Policy and Governance</t>
        </is>
      </c>
      <c r="C570" t="inlineStr">
        <is>
          <t>Masters Degree (Coursework)</t>
        </is>
      </c>
      <c r="D570" t="inlineStr">
        <is>
          <t>Postgraduate coursework</t>
        </is>
      </c>
      <c r="E570" t="inlineStr">
        <is>
          <t>Advertised: official page in place</t>
        </is>
      </c>
      <c r="F570" t="inlineStr">
        <is>
          <t>https://www.unsw.edu.au/study/postgraduate/master-of-public-policy-and-governance</t>
        </is>
      </c>
      <c r="G570" t="inlineStr">
        <is>
          <t>https://www.unsw.edu.au/study/postgraduate/master-of-public-policy-and-governance</t>
        </is>
      </c>
      <c r="H570" t="inlineStr">
        <is>
          <t>Read</t>
        </is>
      </c>
      <c r="I570" t="inlineStr">
        <is>
          <t>CRICOS code on page</t>
        </is>
      </c>
      <c r="J570" t="inlineStr"/>
      <c r="K570" t="inlineStr">
        <is>
          <t>Not sent to re-link</t>
        </is>
      </c>
      <c r="L570" t="inlineStr">
        <is>
          <t>Filled</t>
        </is>
      </c>
      <c r="M570" t="inlineStr">
        <is>
          <t>Filled</t>
        </is>
      </c>
      <c r="N570" t="inlineStr">
        <is>
          <t>47500.00 2026</t>
        </is>
      </c>
      <c r="O570" t="n">
        <v>0</v>
      </c>
      <c r="P570" t="inlineStr">
        <is>
          <t>University adapter</t>
        </is>
      </c>
      <c r="Q570" t="inlineStr">
        <is>
          <t>Filled</t>
        </is>
      </c>
      <c r="R570" t="n">
        <v>6</v>
      </c>
      <c r="S570" t="inlineStr">
        <is>
          <t>Central English policy</t>
        </is>
      </c>
      <c r="T570" t="inlineStr">
        <is>
          <t>Central rule applies (value agrees)</t>
        </is>
      </c>
      <c r="U570" t="inlineStr"/>
      <c r="V570" t="inlineStr">
        <is>
          <t>Filled</t>
        </is>
      </c>
      <c r="W570" t="inlineStr">
        <is>
          <t>February, September</t>
        </is>
      </c>
      <c r="X570" t="inlineStr">
        <is>
          <t>University adapter</t>
        </is>
      </c>
      <c r="Y570" t="n">
        <v>0</v>
      </c>
      <c r="Z570" t="inlineStr">
        <is>
          <t>No</t>
        </is>
      </c>
      <c r="AA570" t="inlineStr">
        <is>
          <t>Filled</t>
        </is>
      </c>
      <c r="AB570" t="inlineStr">
        <is>
          <t>on campus</t>
        </is>
      </c>
      <c r="AC570" t="inlineStr"/>
      <c r="AD570" t="n">
        <v>0</v>
      </c>
      <c r="AE570" t="inlineStr"/>
      <c r="AF570" t="inlineStr"/>
      <c r="AG570" t="inlineStr"/>
      <c r="AH570" t="inlineStr"/>
      <c r="AI570" t="inlineStr"/>
      <c r="AJ570" t="inlineStr"/>
      <c r="AK570" t="inlineStr"/>
      <c r="AL570" t="inlineStr"/>
      <c r="AM570" t="inlineStr"/>
    </row>
    <row r="571">
      <c r="A571" t="inlineStr">
        <is>
          <t>083245C</t>
        </is>
      </c>
      <c r="B571" t="inlineStr">
        <is>
          <t>Master of Public Relations and Advertising</t>
        </is>
      </c>
      <c r="C571" t="inlineStr">
        <is>
          <t>Masters Degree (Coursework)</t>
        </is>
      </c>
      <c r="D571" t="inlineStr">
        <is>
          <t>Postgraduate coursework</t>
        </is>
      </c>
      <c r="E571" t="inlineStr">
        <is>
          <t>Advertised: official page in place</t>
        </is>
      </c>
      <c r="F571" t="inlineStr">
        <is>
          <t>https://www.unsw.edu.au/study/postgraduate/master-of-public-relations-and-advertising</t>
        </is>
      </c>
      <c r="G571" t="inlineStr">
        <is>
          <t>https://www.unsw.edu.au/study/postgraduate/master-of-public-relations-and-advertising</t>
        </is>
      </c>
      <c r="H571" t="inlineStr">
        <is>
          <t>Read</t>
        </is>
      </c>
      <c r="I571" t="inlineStr">
        <is>
          <t>CRICOS code on page</t>
        </is>
      </c>
      <c r="J571" t="inlineStr"/>
      <c r="K571" t="inlineStr">
        <is>
          <t>Not sent to re-link</t>
        </is>
      </c>
      <c r="L571" t="inlineStr">
        <is>
          <t>Filled</t>
        </is>
      </c>
      <c r="M571" t="inlineStr">
        <is>
          <t>Filled</t>
        </is>
      </c>
      <c r="N571" t="inlineStr">
        <is>
          <t>51000.00 2026</t>
        </is>
      </c>
      <c r="O571" t="n">
        <v>0</v>
      </c>
      <c r="P571" t="inlineStr">
        <is>
          <t>University adapter</t>
        </is>
      </c>
      <c r="Q571" t="inlineStr">
        <is>
          <t>Filled</t>
        </is>
      </c>
      <c r="R571" t="n">
        <v>6</v>
      </c>
      <c r="S571" t="inlineStr">
        <is>
          <t>Central English policy</t>
        </is>
      </c>
      <c r="T571" t="inlineStr">
        <is>
          <t>Central rule applies (value agrees)</t>
        </is>
      </c>
      <c r="U571" t="inlineStr"/>
      <c r="V571" t="inlineStr">
        <is>
          <t>Filled</t>
        </is>
      </c>
      <c r="W571" t="inlineStr">
        <is>
          <t>February, May, September</t>
        </is>
      </c>
      <c r="X571" t="inlineStr">
        <is>
          <t>University adapter</t>
        </is>
      </c>
      <c r="Y571" t="n">
        <v>0</v>
      </c>
      <c r="Z571" t="inlineStr">
        <is>
          <t>No</t>
        </is>
      </c>
      <c r="AA571" t="inlineStr">
        <is>
          <t>Filled</t>
        </is>
      </c>
      <c r="AB571" t="inlineStr">
        <is>
          <t>on campus</t>
        </is>
      </c>
      <c r="AC571" t="inlineStr"/>
      <c r="AD571" t="n">
        <v>0</v>
      </c>
      <c r="AE571" t="inlineStr"/>
      <c r="AF571" t="inlineStr"/>
      <c r="AG571" t="inlineStr"/>
      <c r="AH571" t="inlineStr"/>
      <c r="AI571" t="inlineStr"/>
      <c r="AJ571" t="inlineStr"/>
      <c r="AK571" t="inlineStr"/>
      <c r="AL571" t="inlineStr"/>
      <c r="AM571" t="inlineStr"/>
    </row>
    <row r="572">
      <c r="A572" t="inlineStr">
        <is>
          <t>095811A</t>
        </is>
      </c>
      <c r="B572" t="inlineStr">
        <is>
          <t>Master of Public Relations and Advertising</t>
        </is>
      </c>
      <c r="C572" t="inlineStr">
        <is>
          <t>Masters Degree (Coursework)</t>
        </is>
      </c>
      <c r="D572" t="inlineStr">
        <is>
          <t>Postgraduate coursework</t>
        </is>
      </c>
      <c r="E572" t="inlineStr">
        <is>
          <t>Advertised: official page in place</t>
        </is>
      </c>
      <c r="F572" t="inlineStr">
        <is>
          <t>https://www.unsw.edu.au/study/postgraduate/master-of-public-relations-and-advertising</t>
        </is>
      </c>
      <c r="G572" t="inlineStr">
        <is>
          <t>https://www.unsw.edu.au/study/postgraduate/master-of-public-relations-and-advertising</t>
        </is>
      </c>
      <c r="H572" t="inlineStr">
        <is>
          <t>Read</t>
        </is>
      </c>
      <c r="I572" t="inlineStr">
        <is>
          <t>Exact title match</t>
        </is>
      </c>
      <c r="J572" t="inlineStr"/>
      <c r="K572" t="inlineStr">
        <is>
          <t>Not sent to re-link</t>
        </is>
      </c>
      <c r="L572" t="inlineStr">
        <is>
          <t>Filled</t>
        </is>
      </c>
      <c r="M572" t="inlineStr">
        <is>
          <t>Filled</t>
        </is>
      </c>
      <c r="N572" t="inlineStr">
        <is>
          <t>51000.00 2026</t>
        </is>
      </c>
      <c r="O572" t="n">
        <v>0</v>
      </c>
      <c r="P572" t="inlineStr">
        <is>
          <t>University adapter</t>
        </is>
      </c>
      <c r="Q572" t="inlineStr">
        <is>
          <t>Filled</t>
        </is>
      </c>
      <c r="R572" t="n">
        <v>6</v>
      </c>
      <c r="S572" t="inlineStr">
        <is>
          <t>Central English policy</t>
        </is>
      </c>
      <c r="T572" t="inlineStr">
        <is>
          <t>Central rule applies (value agrees)</t>
        </is>
      </c>
      <c r="U572" t="inlineStr"/>
      <c r="V572" t="inlineStr">
        <is>
          <t>Filled</t>
        </is>
      </c>
      <c r="W572" t="inlineStr">
        <is>
          <t>February, May, September</t>
        </is>
      </c>
      <c r="X572" t="inlineStr">
        <is>
          <t>University adapter</t>
        </is>
      </c>
      <c r="Y572" t="n">
        <v>0</v>
      </c>
      <c r="Z572" t="inlineStr">
        <is>
          <t>No</t>
        </is>
      </c>
      <c r="AA572" t="inlineStr">
        <is>
          <t>Filled</t>
        </is>
      </c>
      <c r="AB572" t="inlineStr">
        <is>
          <t>on campus</t>
        </is>
      </c>
      <c r="AC572" t="inlineStr"/>
      <c r="AD572" t="n">
        <v>0</v>
      </c>
      <c r="AE572" t="inlineStr"/>
      <c r="AF572" t="inlineStr"/>
      <c r="AG572" t="inlineStr"/>
      <c r="AH572" t="inlineStr"/>
      <c r="AI572" t="inlineStr"/>
      <c r="AJ572" t="inlineStr"/>
      <c r="AK572" t="inlineStr"/>
      <c r="AL572" t="inlineStr"/>
      <c r="AM572" t="inlineStr"/>
    </row>
    <row r="573">
      <c r="A573" t="inlineStr">
        <is>
          <t>094951G</t>
        </is>
      </c>
      <c r="B573" t="inlineStr">
        <is>
          <t>Master of Public Relations and Advertising/Master of Design</t>
        </is>
      </c>
      <c r="C573" t="inlineStr">
        <is>
          <t>Masters Degree (Coursework)</t>
        </is>
      </c>
      <c r="D573" t="inlineStr">
        <is>
          <t>Postgraduate coursework</t>
        </is>
      </c>
      <c r="E573" t="inlineStr">
        <is>
          <t>Advertised: official page in place</t>
        </is>
      </c>
      <c r="F573" t="inlineStr">
        <is>
          <t>https://www.unsw.edu.au/study/postgraduate/master-of-public-relations-and-advertising-design</t>
        </is>
      </c>
      <c r="G573" t="inlineStr">
        <is>
          <t>https://www.unsw.edu.au/study/postgraduate/master-of-public-relations-and-advertising-design</t>
        </is>
      </c>
      <c r="H573" t="inlineStr">
        <is>
          <t>Read</t>
        </is>
      </c>
      <c r="I573" t="inlineStr">
        <is>
          <t>CRICOS code on page</t>
        </is>
      </c>
      <c r="J573" t="inlineStr"/>
      <c r="K573" t="inlineStr">
        <is>
          <t>Not sent to re-link</t>
        </is>
      </c>
      <c r="L573" t="inlineStr">
        <is>
          <t>Filled</t>
        </is>
      </c>
      <c r="M573" t="inlineStr">
        <is>
          <t>Filled</t>
        </is>
      </c>
      <c r="N573" t="inlineStr">
        <is>
          <t>50000.00 2026</t>
        </is>
      </c>
      <c r="O573" t="n">
        <v>0</v>
      </c>
      <c r="P573" t="inlineStr">
        <is>
          <t>University adapter</t>
        </is>
      </c>
      <c r="Q573" t="inlineStr">
        <is>
          <t>Filled</t>
        </is>
      </c>
      <c r="R573" t="n">
        <v>6</v>
      </c>
      <c r="S573" t="inlineStr">
        <is>
          <t>Central English policy</t>
        </is>
      </c>
      <c r="T573" t="inlineStr">
        <is>
          <t>Central rule applies (value agrees)</t>
        </is>
      </c>
      <c r="U573" t="inlineStr"/>
      <c r="V573" t="inlineStr">
        <is>
          <t>Filled</t>
        </is>
      </c>
      <c r="W573" t="inlineStr">
        <is>
          <t>February, May, September</t>
        </is>
      </c>
      <c r="X573" t="inlineStr">
        <is>
          <t>University adapter</t>
        </is>
      </c>
      <c r="Y573" t="n">
        <v>0</v>
      </c>
      <c r="Z573" t="inlineStr">
        <is>
          <t>No</t>
        </is>
      </c>
      <c r="AA573" t="inlineStr">
        <is>
          <t>Filled</t>
        </is>
      </c>
      <c r="AB573" t="inlineStr">
        <is>
          <t>on campus</t>
        </is>
      </c>
      <c r="AC573" t="inlineStr"/>
      <c r="AD573" t="n">
        <v>0</v>
      </c>
      <c r="AE573" t="inlineStr"/>
      <c r="AF573" t="inlineStr"/>
      <c r="AG573" t="inlineStr"/>
      <c r="AH573" t="inlineStr"/>
      <c r="AI573" t="inlineStr"/>
      <c r="AJ573" t="inlineStr"/>
      <c r="AK573" t="inlineStr"/>
      <c r="AL573" t="inlineStr"/>
      <c r="AM573" t="inlineStr"/>
    </row>
    <row r="574">
      <c r="A574" t="inlineStr">
        <is>
          <t>114618G</t>
        </is>
      </c>
      <c r="B574" t="inlineStr">
        <is>
          <t>Master of Public Sector Leadership (Research)</t>
        </is>
      </c>
      <c r="C574" t="inlineStr">
        <is>
          <t>Masters Degree (Research)</t>
        </is>
      </c>
      <c r="D574" t="inlineStr">
        <is>
          <t>Research degree</t>
        </is>
      </c>
      <c r="E574" t="inlineStr">
        <is>
          <t>Advertised: official page in place</t>
        </is>
      </c>
      <c r="F574" t="inlineStr">
        <is>
          <t>https://www.handbook.unsw.edu.au/research/programs/2026/2407</t>
        </is>
      </c>
      <c r="G574" t="inlineStr">
        <is>
          <t>https://www.handbook.unsw.edu.au/research/programs/2026/2407</t>
        </is>
      </c>
      <c r="H574" t="inlineStr">
        <is>
          <t>Read</t>
        </is>
      </c>
      <c r="I574" t="inlineStr">
        <is>
          <t>CRICOS code on page</t>
        </is>
      </c>
      <c r="J574" t="inlineStr"/>
      <c r="K574" t="inlineStr">
        <is>
          <t>Not sent to re-link</t>
        </is>
      </c>
      <c r="L574" t="inlineStr">
        <is>
          <t>Filled</t>
        </is>
      </c>
      <c r="M574" t="inlineStr">
        <is>
          <t>Not stated on course page</t>
        </is>
      </c>
      <c r="N574" t="inlineStr"/>
      <c r="O574" t="n">
        <v>0</v>
      </c>
      <c r="P574" t="inlineStr"/>
      <c r="Q574" t="inlineStr">
        <is>
          <t>Not stated on course page</t>
        </is>
      </c>
      <c r="S574" t="inlineStr"/>
      <c r="T574" t="inlineStr">
        <is>
          <t>Held: research degree (the policy states no research requirement)</t>
        </is>
      </c>
      <c r="U574" t="inlineStr"/>
      <c r="V574" t="inlineStr">
        <is>
          <t>Filled</t>
        </is>
      </c>
      <c r="W574" t="inlineStr">
        <is>
          <t>January, February, May, September</t>
        </is>
      </c>
      <c r="X574" t="inlineStr">
        <is>
          <t>University adapter</t>
        </is>
      </c>
      <c r="Y574" t="n">
        <v>0</v>
      </c>
      <c r="Z574" t="inlineStr">
        <is>
          <t>No</t>
        </is>
      </c>
      <c r="AA574" t="inlineStr">
        <is>
          <t>Filled</t>
        </is>
      </c>
      <c r="AB574" t="inlineStr">
        <is>
          <t>on campus</t>
        </is>
      </c>
      <c r="AC574" t="inlineStr"/>
      <c r="AD574" t="n">
        <v>0</v>
      </c>
      <c r="AE574" t="inlineStr"/>
      <c r="AF574" t="inlineStr"/>
      <c r="AG574" t="inlineStr"/>
      <c r="AH574" t="inlineStr"/>
      <c r="AI574" t="inlineStr"/>
      <c r="AJ574" t="inlineStr">
        <is>
          <t>Yes</t>
        </is>
      </c>
      <c r="AK574" t="inlineStr"/>
      <c r="AL574" t="inlineStr"/>
      <c r="AM574" t="inlineStr"/>
    </row>
    <row r="575">
      <c r="A575" t="inlineStr">
        <is>
          <t>000997E</t>
        </is>
      </c>
      <c r="B575" t="inlineStr">
        <is>
          <t>Master of Science - Anatomy (Research)</t>
        </is>
      </c>
      <c r="C575" t="inlineStr">
        <is>
          <t>Masters Degree (Research)</t>
        </is>
      </c>
      <c r="D575" t="inlineStr">
        <is>
          <t>Research degree</t>
        </is>
      </c>
      <c r="E575" t="inlineStr">
        <is>
          <t>Held: page found is for another course</t>
        </is>
      </c>
      <c r="F575" t="inlineStr"/>
      <c r="G575" t="inlineStr">
        <is>
          <t>https://www.handbook.unsw.edu.au/research/programs/2026/2801</t>
        </is>
      </c>
      <c r="H575" t="inlineStr">
        <is>
          <t>Page is for another course</t>
        </is>
      </c>
      <c r="I575" t="inlineStr"/>
      <c r="J575" t="inlineStr"/>
      <c r="K575" t="inlineStr">
        <is>
          <t>Finished, no page: no address from the university's address forms or stored lis</t>
        </is>
      </c>
      <c r="L575" t="inlineStr">
        <is>
          <t>Searching for course page</t>
        </is>
      </c>
      <c r="M575" t="inlineStr">
        <is>
          <t>Searching for course page</t>
        </is>
      </c>
      <c r="N575" t="inlineStr"/>
      <c r="O575" t="n">
        <v>0</v>
      </c>
      <c r="P575" t="inlineStr"/>
      <c r="Q575" t="inlineStr">
        <is>
          <t>Searching for course page</t>
        </is>
      </c>
      <c r="S575" t="inlineStr"/>
      <c r="T575" t="inlineStr">
        <is>
          <t>Held: research degree (the policy states no research requirement)</t>
        </is>
      </c>
      <c r="U575" t="inlineStr"/>
      <c r="V575" t="inlineStr">
        <is>
          <t>Searching for course page</t>
        </is>
      </c>
      <c r="W575" t="inlineStr"/>
      <c r="X575" t="inlineStr"/>
      <c r="Y575" t="n">
        <v>0</v>
      </c>
      <c r="Z575" t="inlineStr">
        <is>
          <t>No</t>
        </is>
      </c>
      <c r="AA575" t="inlineStr">
        <is>
          <t>Not stated on course page</t>
        </is>
      </c>
      <c r="AB575" t="inlineStr"/>
      <c r="AC575" t="inlineStr">
        <is>
          <t>Skipped: no correct course page: the page found is for another course</t>
        </is>
      </c>
      <c r="AD575" t="n">
        <v>0</v>
      </c>
      <c r="AE575" t="inlineStr"/>
      <c r="AF575" t="inlineStr"/>
      <c r="AG575" t="inlineStr"/>
      <c r="AH575" t="inlineStr"/>
      <c r="AI575" t="inlineStr"/>
      <c r="AJ575" t="inlineStr">
        <is>
          <t>Yes</t>
        </is>
      </c>
      <c r="AK575" t="inlineStr"/>
      <c r="AL575" t="inlineStr"/>
      <c r="AM575" t="inlineStr"/>
    </row>
    <row r="576">
      <c r="A576" t="inlineStr">
        <is>
          <t>008940B</t>
        </is>
      </c>
      <c r="B576" t="inlineStr">
        <is>
          <t>Master of Science - Applied Geology (Research)</t>
        </is>
      </c>
      <c r="C576" t="inlineStr">
        <is>
          <t>Masters Degree (Research)</t>
        </is>
      </c>
      <c r="D576" t="inlineStr">
        <is>
          <t>Research degree</t>
        </is>
      </c>
      <c r="E576" t="inlineStr">
        <is>
          <t>Held: page found is for another course</t>
        </is>
      </c>
      <c r="F576" t="inlineStr"/>
      <c r="G576" t="inlineStr">
        <is>
          <t>https://www.unsw.edu.au/study/postgraduate/master-of-engineering-science-geotechnical-engineering-and-engineering-geology</t>
        </is>
      </c>
      <c r="H576" t="inlineStr">
        <is>
          <t>Page is for another course</t>
        </is>
      </c>
      <c r="I576" t="inlineStr"/>
      <c r="J576" t="inlineStr"/>
      <c r="K576" t="inlineStr">
        <is>
          <t>Finished, no page: no address from the university's address forms or stored lis</t>
        </is>
      </c>
      <c r="L576" t="inlineStr">
        <is>
          <t>Searching for course page</t>
        </is>
      </c>
      <c r="M576" t="inlineStr">
        <is>
          <t>Searching for course page</t>
        </is>
      </c>
      <c r="N576" t="inlineStr"/>
      <c r="O576" t="n">
        <v>0</v>
      </c>
      <c r="P576" t="inlineStr"/>
      <c r="Q576" t="inlineStr">
        <is>
          <t>Searching for course page</t>
        </is>
      </c>
      <c r="S576" t="inlineStr"/>
      <c r="T576" t="inlineStr">
        <is>
          <t>Held: research degree (the policy states no research requirement)</t>
        </is>
      </c>
      <c r="U576" t="inlineStr"/>
      <c r="V576" t="inlineStr">
        <is>
          <t>Searching for course page</t>
        </is>
      </c>
      <c r="W576" t="inlineStr"/>
      <c r="X576" t="inlineStr"/>
      <c r="Y576" t="n">
        <v>0</v>
      </c>
      <c r="Z576" t="inlineStr">
        <is>
          <t>No</t>
        </is>
      </c>
      <c r="AA576" t="inlineStr">
        <is>
          <t>Not stated on course page</t>
        </is>
      </c>
      <c r="AB576" t="inlineStr"/>
      <c r="AC576" t="inlineStr">
        <is>
          <t>Skipped: no correct course page: the page found is for another course</t>
        </is>
      </c>
      <c r="AD576" t="n">
        <v>1</v>
      </c>
      <c r="AE576" t="inlineStr"/>
      <c r="AF576" t="inlineStr"/>
      <c r="AG576" t="inlineStr"/>
      <c r="AH576" t="inlineStr"/>
      <c r="AI576" t="inlineStr"/>
      <c r="AJ576" t="inlineStr">
        <is>
          <t>Yes</t>
        </is>
      </c>
      <c r="AK576" t="inlineStr"/>
      <c r="AL576" t="inlineStr"/>
      <c r="AM576" t="inlineStr"/>
    </row>
    <row r="577">
      <c r="A577" t="inlineStr">
        <is>
          <t>042310E</t>
        </is>
      </c>
      <c r="B577" t="inlineStr">
        <is>
          <t>Master of Science - Aviation - by research</t>
        </is>
      </c>
      <c r="C577" t="inlineStr">
        <is>
          <t>Masters Degree (Research)</t>
        </is>
      </c>
      <c r="D577" t="inlineStr">
        <is>
          <t>Research degree</t>
        </is>
      </c>
      <c r="E577" t="inlineStr">
        <is>
          <t>Advertised: official page in place</t>
        </is>
      </c>
      <c r="F577" t="inlineStr">
        <is>
          <t>https://www.handbook.unsw.edu.au/research/programs/2026/2905</t>
        </is>
      </c>
      <c r="G577" t="inlineStr">
        <is>
          <t>https://www.handbook.unsw.edu.au/research/programs/2026/2905</t>
        </is>
      </c>
      <c r="H577" t="inlineStr">
        <is>
          <t>Read</t>
        </is>
      </c>
      <c r="I577" t="inlineStr">
        <is>
          <t>CRICOS code on page</t>
        </is>
      </c>
      <c r="J577" t="inlineStr"/>
      <c r="K577" t="inlineStr">
        <is>
          <t>Not sent to re-link</t>
        </is>
      </c>
      <c r="L577" t="inlineStr">
        <is>
          <t>Filled</t>
        </is>
      </c>
      <c r="M577" t="inlineStr">
        <is>
          <t>Not stated on course page</t>
        </is>
      </c>
      <c r="N577" t="inlineStr"/>
      <c r="O577" t="n">
        <v>0</v>
      </c>
      <c r="P577" t="inlineStr"/>
      <c r="Q577" t="inlineStr">
        <is>
          <t>Not stated on course page</t>
        </is>
      </c>
      <c r="S577" t="inlineStr"/>
      <c r="T577" t="inlineStr">
        <is>
          <t>Held: research degree (the policy states no research requirement)</t>
        </is>
      </c>
      <c r="U577" t="inlineStr"/>
      <c r="V577" t="inlineStr">
        <is>
          <t>Filled</t>
        </is>
      </c>
      <c r="W577" t="inlineStr">
        <is>
          <t>January, February, May, September</t>
        </is>
      </c>
      <c r="X577" t="inlineStr">
        <is>
          <t>University adapter</t>
        </is>
      </c>
      <c r="Y577" t="n">
        <v>0</v>
      </c>
      <c r="Z577" t="inlineStr">
        <is>
          <t>No</t>
        </is>
      </c>
      <c r="AA577" t="inlineStr">
        <is>
          <t>Filled</t>
        </is>
      </c>
      <c r="AB577" t="inlineStr">
        <is>
          <t>on campus</t>
        </is>
      </c>
      <c r="AC577" t="inlineStr"/>
      <c r="AD577" t="n">
        <v>0</v>
      </c>
      <c r="AE577" t="inlineStr"/>
      <c r="AF577" t="inlineStr"/>
      <c r="AG577" t="inlineStr"/>
      <c r="AH577" t="inlineStr"/>
      <c r="AI577" t="inlineStr"/>
      <c r="AJ577" t="inlineStr">
        <is>
          <t>Yes</t>
        </is>
      </c>
      <c r="AK577" t="inlineStr"/>
      <c r="AL577" t="inlineStr"/>
      <c r="AM577" t="inlineStr"/>
    </row>
    <row r="578">
      <c r="A578" t="inlineStr">
        <is>
          <t>000989E</t>
        </is>
      </c>
      <c r="B578" t="inlineStr">
        <is>
          <t>Master of Science - Biological Science - by research</t>
        </is>
      </c>
      <c r="C578" t="inlineStr">
        <is>
          <t>Masters Degree (Research)</t>
        </is>
      </c>
      <c r="D578" t="inlineStr">
        <is>
          <t>Research degree</t>
        </is>
      </c>
      <c r="E578" t="inlineStr">
        <is>
          <t>Advertised: official page in place</t>
        </is>
      </c>
      <c r="F578" t="inlineStr">
        <is>
          <t>https://www.handbook.unsw.edu.au/research/programs/2026/2485</t>
        </is>
      </c>
      <c r="G578" t="inlineStr">
        <is>
          <t>https://www.handbook.unsw.edu.au/research/programs/2026/2485</t>
        </is>
      </c>
      <c r="H578" t="inlineStr">
        <is>
          <t>Read</t>
        </is>
      </c>
      <c r="I578" t="inlineStr">
        <is>
          <t>CRICOS code on page</t>
        </is>
      </c>
      <c r="J578" t="inlineStr"/>
      <c r="K578" t="inlineStr">
        <is>
          <t>Not sent to re-link</t>
        </is>
      </c>
      <c r="L578" t="inlineStr">
        <is>
          <t>Filled</t>
        </is>
      </c>
      <c r="M578" t="inlineStr">
        <is>
          <t>Not stated on course page</t>
        </is>
      </c>
      <c r="N578" t="inlineStr"/>
      <c r="O578" t="n">
        <v>0</v>
      </c>
      <c r="P578" t="inlineStr"/>
      <c r="Q578" t="inlineStr">
        <is>
          <t>Not stated on course page</t>
        </is>
      </c>
      <c r="S578" t="inlineStr"/>
      <c r="T578" t="inlineStr">
        <is>
          <t>Held: research degree (the policy states no research requirement)</t>
        </is>
      </c>
      <c r="U578" t="inlineStr"/>
      <c r="V578" t="inlineStr">
        <is>
          <t>Filled</t>
        </is>
      </c>
      <c r="W578" t="inlineStr">
        <is>
          <t>January, February, May, September</t>
        </is>
      </c>
      <c r="X578" t="inlineStr">
        <is>
          <t>University adapter</t>
        </is>
      </c>
      <c r="Y578" t="n">
        <v>0</v>
      </c>
      <c r="Z578" t="inlineStr">
        <is>
          <t>No</t>
        </is>
      </c>
      <c r="AA578" t="inlineStr">
        <is>
          <t>Filled</t>
        </is>
      </c>
      <c r="AB578" t="inlineStr">
        <is>
          <t>on campus</t>
        </is>
      </c>
      <c r="AC578" t="inlineStr"/>
      <c r="AD578" t="n">
        <v>0</v>
      </c>
      <c r="AE578" t="inlineStr"/>
      <c r="AF578" t="inlineStr"/>
      <c r="AG578" t="inlineStr"/>
      <c r="AH578" t="inlineStr"/>
      <c r="AI578" t="inlineStr"/>
      <c r="AJ578" t="inlineStr">
        <is>
          <t>Yes</t>
        </is>
      </c>
      <c r="AK578" t="inlineStr"/>
      <c r="AL578" t="inlineStr"/>
      <c r="AM578" t="inlineStr"/>
    </row>
    <row r="579">
      <c r="A579" t="inlineStr">
        <is>
          <t>037084G</t>
        </is>
      </c>
      <c r="B579" t="inlineStr">
        <is>
          <t>Master of Science - Biotechnology - by research</t>
        </is>
      </c>
      <c r="C579" t="inlineStr">
        <is>
          <t>Masters Degree (Research)</t>
        </is>
      </c>
      <c r="D579" t="inlineStr">
        <is>
          <t>Research degree</t>
        </is>
      </c>
      <c r="E579" t="inlineStr">
        <is>
          <t>Advertised: official page in place</t>
        </is>
      </c>
      <c r="F579" t="inlineStr">
        <is>
          <t>https://www.handbook.unsw.edu.au/research/programs/2026/2036</t>
        </is>
      </c>
      <c r="G579" t="inlineStr">
        <is>
          <t>https://www.handbook.unsw.edu.au/research/programs/2026/2036</t>
        </is>
      </c>
      <c r="H579" t="inlineStr">
        <is>
          <t>Read</t>
        </is>
      </c>
      <c r="I579" t="inlineStr">
        <is>
          <t>CRICOS code on page</t>
        </is>
      </c>
      <c r="J579" t="inlineStr"/>
      <c r="K579" t="inlineStr">
        <is>
          <t>Not sent to re-link</t>
        </is>
      </c>
      <c r="L579" t="inlineStr">
        <is>
          <t>Filled</t>
        </is>
      </c>
      <c r="M579" t="inlineStr">
        <is>
          <t>Not stated on course page</t>
        </is>
      </c>
      <c r="N579" t="inlineStr"/>
      <c r="O579" t="n">
        <v>0</v>
      </c>
      <c r="P579" t="inlineStr"/>
      <c r="Q579" t="inlineStr">
        <is>
          <t>Not stated on course page</t>
        </is>
      </c>
      <c r="S579" t="inlineStr"/>
      <c r="T579" t="inlineStr">
        <is>
          <t>Held: research degree (the policy states no research requirement)</t>
        </is>
      </c>
      <c r="U579" t="inlineStr"/>
      <c r="V579" t="inlineStr">
        <is>
          <t>Filled</t>
        </is>
      </c>
      <c r="W579" t="inlineStr">
        <is>
          <t>January, February, May, September</t>
        </is>
      </c>
      <c r="X579" t="inlineStr">
        <is>
          <t>University adapter</t>
        </is>
      </c>
      <c r="Y579" t="n">
        <v>0</v>
      </c>
      <c r="Z579" t="inlineStr">
        <is>
          <t>No</t>
        </is>
      </c>
      <c r="AA579" t="inlineStr">
        <is>
          <t>Filled</t>
        </is>
      </c>
      <c r="AB579" t="inlineStr">
        <is>
          <t>on campus</t>
        </is>
      </c>
      <c r="AC579" t="inlineStr"/>
      <c r="AD579" t="n">
        <v>0</v>
      </c>
      <c r="AE579" t="inlineStr"/>
      <c r="AF579" t="inlineStr"/>
      <c r="AG579" t="inlineStr"/>
      <c r="AH579" t="inlineStr"/>
      <c r="AI579" t="inlineStr"/>
      <c r="AJ579" t="inlineStr">
        <is>
          <t>Yes</t>
        </is>
      </c>
      <c r="AK579" t="inlineStr"/>
      <c r="AL579" t="inlineStr"/>
      <c r="AM579" t="inlineStr"/>
    </row>
    <row r="580">
      <c r="A580" t="inlineStr">
        <is>
          <t>008972E</t>
        </is>
      </c>
      <c r="B580" t="inlineStr">
        <is>
          <t>Master of Science - Chemistry - by research</t>
        </is>
      </c>
      <c r="C580" t="inlineStr">
        <is>
          <t>Masters Degree (Research)</t>
        </is>
      </c>
      <c r="D580" t="inlineStr">
        <is>
          <t>Research degree</t>
        </is>
      </c>
      <c r="E580" t="inlineStr">
        <is>
          <t>Advertised: official page in place</t>
        </is>
      </c>
      <c r="F580" t="inlineStr">
        <is>
          <t>https://www.handbook.unsw.edu.au/research/programs/2026/2910</t>
        </is>
      </c>
      <c r="G580" t="inlineStr">
        <is>
          <t>https://www.handbook.unsw.edu.au/research/programs/2026/2910</t>
        </is>
      </c>
      <c r="H580" t="inlineStr">
        <is>
          <t>Read</t>
        </is>
      </c>
      <c r="I580" t="inlineStr">
        <is>
          <t>CRICOS code on page</t>
        </is>
      </c>
      <c r="J580" t="inlineStr"/>
      <c r="K580" t="inlineStr">
        <is>
          <t>Not sent to re-link</t>
        </is>
      </c>
      <c r="L580" t="inlineStr">
        <is>
          <t>Filled</t>
        </is>
      </c>
      <c r="M580" t="inlineStr">
        <is>
          <t>Not stated on course page</t>
        </is>
      </c>
      <c r="N580" t="inlineStr"/>
      <c r="O580" t="n">
        <v>0</v>
      </c>
      <c r="P580" t="inlineStr"/>
      <c r="Q580" t="inlineStr">
        <is>
          <t>Not stated on course page</t>
        </is>
      </c>
      <c r="S580" t="inlineStr"/>
      <c r="T580" t="inlineStr">
        <is>
          <t>Held: research degree (the policy states no research requirement)</t>
        </is>
      </c>
      <c r="U580" t="inlineStr"/>
      <c r="V580" t="inlineStr">
        <is>
          <t>Filled</t>
        </is>
      </c>
      <c r="W580" t="inlineStr">
        <is>
          <t>January, February, May, September</t>
        </is>
      </c>
      <c r="X580" t="inlineStr">
        <is>
          <t>University adapter</t>
        </is>
      </c>
      <c r="Y580" t="n">
        <v>0</v>
      </c>
      <c r="Z580" t="inlineStr">
        <is>
          <t>No</t>
        </is>
      </c>
      <c r="AA580" t="inlineStr">
        <is>
          <t>Filled</t>
        </is>
      </c>
      <c r="AB580" t="inlineStr">
        <is>
          <t>on campus</t>
        </is>
      </c>
      <c r="AC580" t="inlineStr"/>
      <c r="AD580" t="n">
        <v>0</v>
      </c>
      <c r="AE580" t="inlineStr"/>
      <c r="AF580" t="inlineStr"/>
      <c r="AG580" t="inlineStr"/>
      <c r="AH580" t="inlineStr"/>
      <c r="AI580" t="inlineStr"/>
      <c r="AJ580" t="inlineStr">
        <is>
          <t>Yes</t>
        </is>
      </c>
      <c r="AK580" t="inlineStr"/>
      <c r="AL580" t="inlineStr"/>
      <c r="AM580" t="inlineStr"/>
    </row>
    <row r="581">
      <c r="A581" t="inlineStr">
        <is>
          <t>000998D</t>
        </is>
      </c>
      <c r="B581" t="inlineStr">
        <is>
          <t>Master of Science - Community Medicine (Research)</t>
        </is>
      </c>
      <c r="C581" t="inlineStr">
        <is>
          <t>Masters Degree (Research)</t>
        </is>
      </c>
      <c r="D581" t="inlineStr">
        <is>
          <t>Research degree</t>
        </is>
      </c>
      <c r="E581" t="inlineStr">
        <is>
          <t>Page address no longer works</t>
        </is>
      </c>
      <c r="F581" t="inlineStr"/>
      <c r="G581" t="inlineStr">
        <is>
          <t>https://www.handbook.unsw.edu.au/research/programs/2026/2810</t>
        </is>
      </c>
      <c r="H581" t="inlineStr">
        <is>
          <t>Address no longer works</t>
        </is>
      </c>
      <c r="I581" t="inlineStr"/>
      <c r="J581" t="inlineStr"/>
      <c r="K581" t="inlineStr">
        <is>
          <t>Not sent to re-link</t>
        </is>
      </c>
      <c r="L581" t="inlineStr">
        <is>
          <t>Page found, being read</t>
        </is>
      </c>
      <c r="M581" t="inlineStr">
        <is>
          <t>Page found, being read</t>
        </is>
      </c>
      <c r="N581" t="inlineStr"/>
      <c r="O581" t="n">
        <v>0</v>
      </c>
      <c r="P581" t="inlineStr"/>
      <c r="Q581" t="inlineStr">
        <is>
          <t>Page found, being read</t>
        </is>
      </c>
      <c r="S581" t="inlineStr"/>
      <c r="T581" t="inlineStr">
        <is>
          <t>Held: research degree (the policy states no research requirement)</t>
        </is>
      </c>
      <c r="U581" t="inlineStr"/>
      <c r="V581" t="inlineStr">
        <is>
          <t>Page found, being read</t>
        </is>
      </c>
      <c r="W581" t="inlineStr"/>
      <c r="X581" t="inlineStr"/>
      <c r="Y581" t="n">
        <v>0</v>
      </c>
      <c r="Z581" t="inlineStr">
        <is>
          <t>No</t>
        </is>
      </c>
      <c r="AA581" t="inlineStr">
        <is>
          <t>Not stated on course page</t>
        </is>
      </c>
      <c r="AB581" t="inlineStr"/>
      <c r="AC581" t="inlineStr">
        <is>
          <t>Skipped: no allowed source had a value</t>
        </is>
      </c>
      <c r="AD581" t="n">
        <v>0</v>
      </c>
      <c r="AE581" t="inlineStr"/>
      <c r="AF581" t="inlineStr"/>
      <c r="AG581" t="inlineStr"/>
      <c r="AH581" t="inlineStr"/>
      <c r="AI581" t="inlineStr"/>
      <c r="AJ581" t="inlineStr">
        <is>
          <t>Yes</t>
        </is>
      </c>
      <c r="AK581" t="inlineStr"/>
      <c r="AL581" t="inlineStr"/>
      <c r="AM581" t="inlineStr"/>
    </row>
    <row r="582">
      <c r="A582" t="inlineStr">
        <is>
          <t>000982A</t>
        </is>
      </c>
      <c r="B582" t="inlineStr">
        <is>
          <t>Master of Science - Geography - by research</t>
        </is>
      </c>
      <c r="C582" t="inlineStr">
        <is>
          <t>Masters Degree (Research)</t>
        </is>
      </c>
      <c r="D582" t="inlineStr">
        <is>
          <t>Research degree</t>
        </is>
      </c>
      <c r="E582" t="inlineStr">
        <is>
          <t>Advertised: official page in place</t>
        </is>
      </c>
      <c r="F582" t="inlineStr">
        <is>
          <t>https://www.handbook.unsw.edu.au/research/programs/2026/2040</t>
        </is>
      </c>
      <c r="G582" t="inlineStr">
        <is>
          <t>https://www.handbook.unsw.edu.au/research/programs/2026/2040</t>
        </is>
      </c>
      <c r="H582" t="inlineStr">
        <is>
          <t>Read</t>
        </is>
      </c>
      <c r="I582" t="inlineStr">
        <is>
          <t>CRICOS code on page</t>
        </is>
      </c>
      <c r="J582" t="inlineStr"/>
      <c r="K582" t="inlineStr">
        <is>
          <t>Not sent to re-link</t>
        </is>
      </c>
      <c r="L582" t="inlineStr">
        <is>
          <t>Filled</t>
        </is>
      </c>
      <c r="M582" t="inlineStr">
        <is>
          <t>Not stated on course page</t>
        </is>
      </c>
      <c r="N582" t="inlineStr"/>
      <c r="O582" t="n">
        <v>0</v>
      </c>
      <c r="P582" t="inlineStr"/>
      <c r="Q582" t="inlineStr">
        <is>
          <t>Not stated on course page</t>
        </is>
      </c>
      <c r="S582" t="inlineStr"/>
      <c r="T582" t="inlineStr">
        <is>
          <t>Held: research degree (the policy states no research requirement)</t>
        </is>
      </c>
      <c r="U582" t="inlineStr"/>
      <c r="V582" t="inlineStr">
        <is>
          <t>Filled</t>
        </is>
      </c>
      <c r="W582" t="inlineStr">
        <is>
          <t>January, February, May, September</t>
        </is>
      </c>
      <c r="X582" t="inlineStr">
        <is>
          <t>University adapter</t>
        </is>
      </c>
      <c r="Y582" t="n">
        <v>0</v>
      </c>
      <c r="Z582" t="inlineStr">
        <is>
          <t>No</t>
        </is>
      </c>
      <c r="AA582" t="inlineStr">
        <is>
          <t>Filled</t>
        </is>
      </c>
      <c r="AB582" t="inlineStr">
        <is>
          <t>on campus</t>
        </is>
      </c>
      <c r="AC582" t="inlineStr"/>
      <c r="AD582" t="n">
        <v>0</v>
      </c>
      <c r="AE582" t="inlineStr"/>
      <c r="AF582" t="inlineStr"/>
      <c r="AG582" t="inlineStr"/>
      <c r="AH582" t="inlineStr"/>
      <c r="AI582" t="inlineStr"/>
      <c r="AJ582" t="inlineStr">
        <is>
          <t>Yes</t>
        </is>
      </c>
      <c r="AK582" t="inlineStr"/>
      <c r="AL582" t="inlineStr"/>
      <c r="AM582" t="inlineStr"/>
    </row>
    <row r="583">
      <c r="A583" t="inlineStr">
        <is>
          <t>096225M</t>
        </is>
      </c>
      <c r="B583" t="inlineStr">
        <is>
          <t>Master of Science - Health Data Science</t>
        </is>
      </c>
      <c r="C583" t="inlineStr">
        <is>
          <t>Masters Degree (Coursework)</t>
        </is>
      </c>
      <c r="D583" t="inlineStr">
        <is>
          <t>Postgraduate coursework</t>
        </is>
      </c>
      <c r="E583" t="inlineStr">
        <is>
          <t>Advertised: official page in place</t>
        </is>
      </c>
      <c r="F583" t="inlineStr">
        <is>
          <t>https://www.unsw.edu.au/study/postgraduate/master-of-science</t>
        </is>
      </c>
      <c r="G583" t="inlineStr">
        <is>
          <t>https://www.unsw.edu.au/study/postgraduate/master-of-science</t>
        </is>
      </c>
      <c r="H583" t="inlineStr">
        <is>
          <t>Read</t>
        </is>
      </c>
      <c r="I583" t="inlineStr">
        <is>
          <t>CRICOS code on page</t>
        </is>
      </c>
      <c r="J583" t="inlineStr"/>
      <c r="K583" t="inlineStr">
        <is>
          <t>Not sent to re-link</t>
        </is>
      </c>
      <c r="L583" t="inlineStr">
        <is>
          <t>Filled</t>
        </is>
      </c>
      <c r="M583" t="inlineStr">
        <is>
          <t>Filled</t>
        </is>
      </c>
      <c r="N583" t="inlineStr">
        <is>
          <t>52000.00 2026</t>
        </is>
      </c>
      <c r="O583" t="n">
        <v>0</v>
      </c>
      <c r="P583" t="inlineStr">
        <is>
          <t>University adapter</t>
        </is>
      </c>
      <c r="Q583" t="inlineStr">
        <is>
          <t>Filled</t>
        </is>
      </c>
      <c r="R583" t="n">
        <v>6</v>
      </c>
      <c r="S583" t="inlineStr">
        <is>
          <t>Central English policy</t>
        </is>
      </c>
      <c r="T583" t="inlineStr">
        <is>
          <t>Central rule applies (value agrees)</t>
        </is>
      </c>
      <c r="U583" t="inlineStr"/>
      <c r="V583" t="inlineStr">
        <is>
          <t>Filled</t>
        </is>
      </c>
      <c r="W583" t="inlineStr">
        <is>
          <t>February, September</t>
        </is>
      </c>
      <c r="X583" t="inlineStr">
        <is>
          <t>University adapter</t>
        </is>
      </c>
      <c r="Y583" t="n">
        <v>0</v>
      </c>
      <c r="Z583" t="inlineStr">
        <is>
          <t>No</t>
        </is>
      </c>
      <c r="AA583" t="inlineStr">
        <is>
          <t>Filled</t>
        </is>
      </c>
      <c r="AB583" t="inlineStr">
        <is>
          <t>on campus and online</t>
        </is>
      </c>
      <c r="AC583" t="inlineStr"/>
      <c r="AD583" t="n">
        <v>0</v>
      </c>
      <c r="AE583" t="inlineStr"/>
      <c r="AF583" t="inlineStr"/>
      <c r="AG583" t="inlineStr"/>
      <c r="AH583" t="inlineStr"/>
      <c r="AI583" t="inlineStr"/>
      <c r="AJ583" t="inlineStr"/>
      <c r="AK583" t="inlineStr"/>
      <c r="AL583" t="inlineStr"/>
      <c r="AM583" t="inlineStr"/>
    </row>
    <row r="584">
      <c r="A584" t="inlineStr">
        <is>
          <t>000985J</t>
        </is>
      </c>
      <c r="B584" t="inlineStr">
        <is>
          <t>Master of Science - Materials Science &amp; Engineering - by research</t>
        </is>
      </c>
      <c r="C584" t="inlineStr">
        <is>
          <t>Masters Degree (Research)</t>
        </is>
      </c>
      <c r="D584" t="inlineStr">
        <is>
          <t>Research degree</t>
        </is>
      </c>
      <c r="E584" t="inlineStr">
        <is>
          <t>Advertised: official page in place</t>
        </is>
      </c>
      <c r="F584" t="inlineStr">
        <is>
          <t>https://www.handbook.unsw.edu.au/research/programs/2026/2055</t>
        </is>
      </c>
      <c r="G584" t="inlineStr">
        <is>
          <t>https://www.handbook.unsw.edu.au/research/programs/2026/2055</t>
        </is>
      </c>
      <c r="H584" t="inlineStr">
        <is>
          <t>Read</t>
        </is>
      </c>
      <c r="I584" t="inlineStr">
        <is>
          <t>CRICOS code on page</t>
        </is>
      </c>
      <c r="J584" t="inlineStr"/>
      <c r="K584" t="inlineStr">
        <is>
          <t>Not sent to re-link</t>
        </is>
      </c>
      <c r="L584" t="inlineStr">
        <is>
          <t>Filled</t>
        </is>
      </c>
      <c r="M584" t="inlineStr">
        <is>
          <t>Not stated on course page</t>
        </is>
      </c>
      <c r="N584" t="inlineStr"/>
      <c r="O584" t="n">
        <v>0</v>
      </c>
      <c r="P584" t="inlineStr"/>
      <c r="Q584" t="inlineStr">
        <is>
          <t>Not stated on course page</t>
        </is>
      </c>
      <c r="S584" t="inlineStr"/>
      <c r="T584" t="inlineStr">
        <is>
          <t>Held: research degree (the policy states no research requirement)</t>
        </is>
      </c>
      <c r="U584" t="inlineStr"/>
      <c r="V584" t="inlineStr">
        <is>
          <t>Filled</t>
        </is>
      </c>
      <c r="W584" t="inlineStr">
        <is>
          <t>January, February, May, September</t>
        </is>
      </c>
      <c r="X584" t="inlineStr">
        <is>
          <t>University adapter</t>
        </is>
      </c>
      <c r="Y584" t="n">
        <v>0</v>
      </c>
      <c r="Z584" t="inlineStr">
        <is>
          <t>No</t>
        </is>
      </c>
      <c r="AA584" t="inlineStr">
        <is>
          <t>Filled</t>
        </is>
      </c>
      <c r="AB584" t="inlineStr">
        <is>
          <t>on campus</t>
        </is>
      </c>
      <c r="AC584" t="inlineStr"/>
      <c r="AD584" t="n">
        <v>0</v>
      </c>
      <c r="AE584" t="inlineStr"/>
      <c r="AF584" t="inlineStr"/>
      <c r="AG584" t="inlineStr"/>
      <c r="AH584" t="inlineStr"/>
      <c r="AI584" t="inlineStr"/>
      <c r="AJ584" t="inlineStr">
        <is>
          <t>Yes</t>
        </is>
      </c>
      <c r="AK584" t="inlineStr"/>
      <c r="AL584" t="inlineStr"/>
      <c r="AM584" t="inlineStr"/>
    </row>
    <row r="585">
      <c r="A585" t="inlineStr">
        <is>
          <t>000984K</t>
        </is>
      </c>
      <c r="B585" t="inlineStr">
        <is>
          <t>Master of Science - Mathematics  - by research</t>
        </is>
      </c>
      <c r="C585" t="inlineStr">
        <is>
          <t>Masters Degree (Research)</t>
        </is>
      </c>
      <c r="D585" t="inlineStr">
        <is>
          <t>Research degree</t>
        </is>
      </c>
      <c r="E585" t="inlineStr">
        <is>
          <t>Advertised: official page in place</t>
        </is>
      </c>
      <c r="F585" t="inlineStr">
        <is>
          <t>https://www.handbook.unsw.edu.au/research/programs/2026/2920</t>
        </is>
      </c>
      <c r="G585" t="inlineStr">
        <is>
          <t>https://www.handbook.unsw.edu.au/research/programs/2026/2920</t>
        </is>
      </c>
      <c r="H585" t="inlineStr">
        <is>
          <t>Read</t>
        </is>
      </c>
      <c r="I585" t="inlineStr">
        <is>
          <t>CRICOS code on page</t>
        </is>
      </c>
      <c r="J585" t="inlineStr"/>
      <c r="K585" t="inlineStr">
        <is>
          <t>Not sent to re-link</t>
        </is>
      </c>
      <c r="L585" t="inlineStr">
        <is>
          <t>Filled</t>
        </is>
      </c>
      <c r="M585" t="inlineStr">
        <is>
          <t>Not stated on course page</t>
        </is>
      </c>
      <c r="N585" t="inlineStr"/>
      <c r="O585" t="n">
        <v>0</v>
      </c>
      <c r="P585" t="inlineStr"/>
      <c r="Q585" t="inlineStr">
        <is>
          <t>Not stated on course page</t>
        </is>
      </c>
      <c r="S585" t="inlineStr"/>
      <c r="T585" t="inlineStr">
        <is>
          <t>Held: research degree (the policy states no research requirement)</t>
        </is>
      </c>
      <c r="U585" t="inlineStr"/>
      <c r="V585" t="inlineStr">
        <is>
          <t>Filled</t>
        </is>
      </c>
      <c r="W585" t="inlineStr">
        <is>
          <t>January, February, May, September</t>
        </is>
      </c>
      <c r="X585" t="inlineStr">
        <is>
          <t>University adapter</t>
        </is>
      </c>
      <c r="Y585" t="n">
        <v>0</v>
      </c>
      <c r="Z585" t="inlineStr">
        <is>
          <t>No</t>
        </is>
      </c>
      <c r="AA585" t="inlineStr">
        <is>
          <t>Filled</t>
        </is>
      </c>
      <c r="AB585" t="inlineStr">
        <is>
          <t>on campus</t>
        </is>
      </c>
      <c r="AC585" t="inlineStr"/>
      <c r="AD585" t="n">
        <v>0</v>
      </c>
      <c r="AE585" t="inlineStr"/>
      <c r="AF585" t="inlineStr"/>
      <c r="AG585" t="inlineStr"/>
      <c r="AH585" t="inlineStr"/>
      <c r="AI585" t="inlineStr"/>
      <c r="AJ585" t="inlineStr">
        <is>
          <t>Yes</t>
        </is>
      </c>
      <c r="AK585" t="inlineStr"/>
      <c r="AL585" t="inlineStr"/>
      <c r="AM585" t="inlineStr"/>
    </row>
    <row r="586">
      <c r="A586" t="inlineStr">
        <is>
          <t>000986G</t>
        </is>
      </c>
      <c r="B586" t="inlineStr">
        <is>
          <t>Master of Science - Medicine (Research)</t>
        </is>
      </c>
      <c r="C586" t="inlineStr">
        <is>
          <t>Masters Degree (Research)</t>
        </is>
      </c>
      <c r="D586" t="inlineStr">
        <is>
          <t>Research degree</t>
        </is>
      </c>
      <c r="E586" t="inlineStr">
        <is>
          <t>Advertised: official page in place</t>
        </is>
      </c>
      <c r="F586" t="inlineStr">
        <is>
          <t>https://www.handbook.unsw.edu.au/research/programs/2026/2801</t>
        </is>
      </c>
      <c r="G586" t="inlineStr">
        <is>
          <t>https://www.handbook.unsw.edu.au/research/programs/2026/2801</t>
        </is>
      </c>
      <c r="H586" t="inlineStr">
        <is>
          <t>Read</t>
        </is>
      </c>
      <c r="I586" t="inlineStr">
        <is>
          <t>CRICOS code on page</t>
        </is>
      </c>
      <c r="J586" t="inlineStr"/>
      <c r="K586" t="inlineStr">
        <is>
          <t>Not sent to re-link</t>
        </is>
      </c>
      <c r="L586" t="inlineStr">
        <is>
          <t>Filled</t>
        </is>
      </c>
      <c r="M586" t="inlineStr">
        <is>
          <t>Not stated on course page</t>
        </is>
      </c>
      <c r="N586" t="inlineStr"/>
      <c r="O586" t="n">
        <v>0</v>
      </c>
      <c r="P586" t="inlineStr"/>
      <c r="Q586" t="inlineStr">
        <is>
          <t>Not stated on course page</t>
        </is>
      </c>
      <c r="S586" t="inlineStr"/>
      <c r="T586" t="inlineStr">
        <is>
          <t>Held: research degree (the policy states no research requirement)</t>
        </is>
      </c>
      <c r="U586" t="inlineStr"/>
      <c r="V586" t="inlineStr">
        <is>
          <t>Filled</t>
        </is>
      </c>
      <c r="W586" t="inlineStr">
        <is>
          <t>January, February, May, September</t>
        </is>
      </c>
      <c r="X586" t="inlineStr">
        <is>
          <t>University adapter</t>
        </is>
      </c>
      <c r="Y586" t="n">
        <v>0</v>
      </c>
      <c r="Z586" t="inlineStr">
        <is>
          <t>No</t>
        </is>
      </c>
      <c r="AA586" t="inlineStr">
        <is>
          <t>Filled</t>
        </is>
      </c>
      <c r="AB586" t="inlineStr">
        <is>
          <t>on campus</t>
        </is>
      </c>
      <c r="AC586" t="inlineStr"/>
      <c r="AD586" t="n">
        <v>0</v>
      </c>
      <c r="AE586" t="inlineStr"/>
      <c r="AF586" t="inlineStr"/>
      <c r="AG586" t="inlineStr"/>
      <c r="AH586" t="inlineStr"/>
      <c r="AI586" t="inlineStr"/>
      <c r="AJ586" t="inlineStr">
        <is>
          <t>Yes</t>
        </is>
      </c>
      <c r="AK586" t="inlineStr"/>
      <c r="AL586" t="inlineStr"/>
      <c r="AM586" t="inlineStr"/>
    </row>
    <row r="587">
      <c r="A587" t="inlineStr">
        <is>
          <t>000999C</t>
        </is>
      </c>
      <c r="B587" t="inlineStr">
        <is>
          <t>Master of Science - Microbiology &amp; Immunology - by research</t>
        </is>
      </c>
      <c r="C587" t="inlineStr">
        <is>
          <t>Masters Degree (Research)</t>
        </is>
      </c>
      <c r="D587" t="inlineStr">
        <is>
          <t>Research degree</t>
        </is>
      </c>
      <c r="E587" t="inlineStr">
        <is>
          <t>Advertised: official page in place</t>
        </is>
      </c>
      <c r="F587" t="inlineStr">
        <is>
          <t>https://www.handbook.unsw.edu.au/research/programs/2026/2490</t>
        </is>
      </c>
      <c r="G587" t="inlineStr">
        <is>
          <t>https://www.handbook.unsw.edu.au/research/programs/2026/2490</t>
        </is>
      </c>
      <c r="H587" t="inlineStr">
        <is>
          <t>Read</t>
        </is>
      </c>
      <c r="I587" t="inlineStr">
        <is>
          <t>CRICOS code on page</t>
        </is>
      </c>
      <c r="J587" t="inlineStr"/>
      <c r="K587" t="inlineStr">
        <is>
          <t>Not sent to re-link</t>
        </is>
      </c>
      <c r="L587" t="inlineStr">
        <is>
          <t>Filled</t>
        </is>
      </c>
      <c r="M587" t="inlineStr">
        <is>
          <t>Not stated on course page</t>
        </is>
      </c>
      <c r="N587" t="inlineStr"/>
      <c r="O587" t="n">
        <v>0</v>
      </c>
      <c r="P587" t="inlineStr"/>
      <c r="Q587" t="inlineStr">
        <is>
          <t>Not stated on course page</t>
        </is>
      </c>
      <c r="S587" t="inlineStr"/>
      <c r="T587" t="inlineStr">
        <is>
          <t>Held: research degree (the policy states no research requirement)</t>
        </is>
      </c>
      <c r="U587" t="inlineStr"/>
      <c r="V587" t="inlineStr">
        <is>
          <t>Filled</t>
        </is>
      </c>
      <c r="W587" t="inlineStr">
        <is>
          <t>January, February, May, September</t>
        </is>
      </c>
      <c r="X587" t="inlineStr">
        <is>
          <t>University adapter</t>
        </is>
      </c>
      <c r="Y587" t="n">
        <v>0</v>
      </c>
      <c r="Z587" t="inlineStr">
        <is>
          <t>No</t>
        </is>
      </c>
      <c r="AA587" t="inlineStr">
        <is>
          <t>Filled</t>
        </is>
      </c>
      <c r="AB587" t="inlineStr">
        <is>
          <t>on campus</t>
        </is>
      </c>
      <c r="AC587" t="inlineStr"/>
      <c r="AD587" t="n">
        <v>0</v>
      </c>
      <c r="AE587" t="inlineStr"/>
      <c r="AF587" t="inlineStr"/>
      <c r="AG587" t="inlineStr"/>
      <c r="AH587" t="inlineStr"/>
      <c r="AI587" t="inlineStr"/>
      <c r="AJ587" t="inlineStr">
        <is>
          <t>Yes</t>
        </is>
      </c>
      <c r="AK587" t="inlineStr"/>
      <c r="AL587" t="inlineStr"/>
      <c r="AM587" t="inlineStr"/>
    </row>
    <row r="588">
      <c r="A588" t="inlineStr">
        <is>
          <t>000992K</t>
        </is>
      </c>
      <c r="B588" t="inlineStr">
        <is>
          <t>Master of Science - Obstetrics &amp; Gynaecology (Research)</t>
        </is>
      </c>
      <c r="C588" t="inlineStr">
        <is>
          <t>Masters Degree (Research)</t>
        </is>
      </c>
      <c r="D588" t="inlineStr">
        <is>
          <t>Research degree</t>
        </is>
      </c>
      <c r="E588" t="inlineStr">
        <is>
          <t>Advertised: official page in place</t>
        </is>
      </c>
      <c r="F588" t="inlineStr">
        <is>
          <t>https://www.handbook.unsw.edu.au/research/programs/2026/2830</t>
        </is>
      </c>
      <c r="G588" t="inlineStr">
        <is>
          <t>https://www.handbook.unsw.edu.au/research/programs/2026/2830</t>
        </is>
      </c>
      <c r="H588" t="inlineStr">
        <is>
          <t>Read</t>
        </is>
      </c>
      <c r="I588" t="inlineStr">
        <is>
          <t>CRICOS code on page</t>
        </is>
      </c>
      <c r="J588" t="inlineStr"/>
      <c r="K588" t="inlineStr">
        <is>
          <t>Not sent to re-link</t>
        </is>
      </c>
      <c r="L588" t="inlineStr">
        <is>
          <t>Filled</t>
        </is>
      </c>
      <c r="M588" t="inlineStr">
        <is>
          <t>Not stated on course page</t>
        </is>
      </c>
      <c r="N588" t="inlineStr"/>
      <c r="O588" t="n">
        <v>0</v>
      </c>
      <c r="P588" t="inlineStr"/>
      <c r="Q588" t="inlineStr">
        <is>
          <t>Not stated on course page</t>
        </is>
      </c>
      <c r="S588" t="inlineStr"/>
      <c r="T588" t="inlineStr">
        <is>
          <t>Held: research degree (the policy states no research requirement)</t>
        </is>
      </c>
      <c r="U588" t="inlineStr"/>
      <c r="V588" t="inlineStr">
        <is>
          <t>Filled</t>
        </is>
      </c>
      <c r="W588" t="inlineStr">
        <is>
          <t>January, February, May, September</t>
        </is>
      </c>
      <c r="X588" t="inlineStr">
        <is>
          <t>University adapter</t>
        </is>
      </c>
      <c r="Y588" t="n">
        <v>0</v>
      </c>
      <c r="Z588" t="inlineStr">
        <is>
          <t>No</t>
        </is>
      </c>
      <c r="AA588" t="inlineStr">
        <is>
          <t>Filled</t>
        </is>
      </c>
      <c r="AB588" t="inlineStr">
        <is>
          <t>on campus</t>
        </is>
      </c>
      <c r="AC588" t="inlineStr"/>
      <c r="AD588" t="n">
        <v>0</v>
      </c>
      <c r="AE588" t="inlineStr"/>
      <c r="AF588" t="inlineStr"/>
      <c r="AG588" t="inlineStr"/>
      <c r="AH588" t="inlineStr"/>
      <c r="AI588" t="inlineStr"/>
      <c r="AJ588" t="inlineStr">
        <is>
          <t>Yes</t>
        </is>
      </c>
      <c r="AK588" t="inlineStr"/>
      <c r="AL588" t="inlineStr"/>
      <c r="AM588" t="inlineStr"/>
    </row>
    <row r="589">
      <c r="A589" t="inlineStr">
        <is>
          <t>000994G</t>
        </is>
      </c>
      <c r="B589" t="inlineStr">
        <is>
          <t>Master of Science - Optometry - by research</t>
        </is>
      </c>
      <c r="C589" t="inlineStr">
        <is>
          <t>Masters Degree (Research)</t>
        </is>
      </c>
      <c r="D589" t="inlineStr">
        <is>
          <t>Research degree</t>
        </is>
      </c>
      <c r="E589" t="inlineStr">
        <is>
          <t>Advertised: official page in place</t>
        </is>
      </c>
      <c r="F589" t="inlineStr">
        <is>
          <t>https://www.handbook.unsw.edu.au/research/programs/2026/2900</t>
        </is>
      </c>
      <c r="G589" t="inlineStr">
        <is>
          <t>https://www.handbook.unsw.edu.au/research/programs/2026/2900</t>
        </is>
      </c>
      <c r="H589" t="inlineStr">
        <is>
          <t>Read</t>
        </is>
      </c>
      <c r="I589" t="inlineStr">
        <is>
          <t>CRICOS code on page</t>
        </is>
      </c>
      <c r="J589" t="inlineStr"/>
      <c r="K589" t="inlineStr">
        <is>
          <t>Not sent to re-link</t>
        </is>
      </c>
      <c r="L589" t="inlineStr">
        <is>
          <t>Filled</t>
        </is>
      </c>
      <c r="M589" t="inlineStr">
        <is>
          <t>Not stated on course page</t>
        </is>
      </c>
      <c r="N589" t="inlineStr"/>
      <c r="O589" t="n">
        <v>0</v>
      </c>
      <c r="P589" t="inlineStr"/>
      <c r="Q589" t="inlineStr">
        <is>
          <t>Not stated on course page</t>
        </is>
      </c>
      <c r="S589" t="inlineStr"/>
      <c r="T589" t="inlineStr">
        <is>
          <t>Held: research degree (the policy states no research requirement)</t>
        </is>
      </c>
      <c r="U589" t="inlineStr"/>
      <c r="V589" t="inlineStr">
        <is>
          <t>Filled</t>
        </is>
      </c>
      <c r="W589" t="inlineStr">
        <is>
          <t>January, February, May, September</t>
        </is>
      </c>
      <c r="X589" t="inlineStr">
        <is>
          <t>University adapter</t>
        </is>
      </c>
      <c r="Y589" t="n">
        <v>0</v>
      </c>
      <c r="Z589" t="inlineStr">
        <is>
          <t>No</t>
        </is>
      </c>
      <c r="AA589" t="inlineStr">
        <is>
          <t>Filled</t>
        </is>
      </c>
      <c r="AB589" t="inlineStr">
        <is>
          <t>on campus</t>
        </is>
      </c>
      <c r="AC589" t="inlineStr"/>
      <c r="AD589" t="n">
        <v>0</v>
      </c>
      <c r="AE589" t="inlineStr"/>
      <c r="AF589" t="inlineStr"/>
      <c r="AG589" t="inlineStr"/>
      <c r="AH589" t="inlineStr"/>
      <c r="AI589" t="inlineStr"/>
      <c r="AJ589" t="inlineStr">
        <is>
          <t>Yes</t>
        </is>
      </c>
      <c r="AK589" t="inlineStr"/>
      <c r="AL589" t="inlineStr"/>
      <c r="AM589" t="inlineStr"/>
    </row>
    <row r="590">
      <c r="A590" t="inlineStr">
        <is>
          <t>001000C</t>
        </is>
      </c>
      <c r="B590" t="inlineStr">
        <is>
          <t>Master of Science - Paediatrics (Research)</t>
        </is>
      </c>
      <c r="C590" t="inlineStr">
        <is>
          <t>Masters Degree (Research)</t>
        </is>
      </c>
      <c r="D590" t="inlineStr">
        <is>
          <t>Research degree</t>
        </is>
      </c>
      <c r="E590" t="inlineStr">
        <is>
          <t>Advertised: official page in place</t>
        </is>
      </c>
      <c r="F590" t="inlineStr">
        <is>
          <t>https://www.handbook.unsw.edu.au/research/programs/2026/2805</t>
        </is>
      </c>
      <c r="G590" t="inlineStr">
        <is>
          <t>https://www.handbook.unsw.edu.au/research/programs/2026/2805</t>
        </is>
      </c>
      <c r="H590" t="inlineStr">
        <is>
          <t>Read</t>
        </is>
      </c>
      <c r="I590" t="inlineStr">
        <is>
          <t>CRICOS code on page</t>
        </is>
      </c>
      <c r="J590" t="inlineStr"/>
      <c r="K590" t="inlineStr">
        <is>
          <t>Not sent to re-link</t>
        </is>
      </c>
      <c r="L590" t="inlineStr">
        <is>
          <t>Filled</t>
        </is>
      </c>
      <c r="M590" t="inlineStr">
        <is>
          <t>Not stated on course page</t>
        </is>
      </c>
      <c r="N590" t="inlineStr"/>
      <c r="O590" t="n">
        <v>0</v>
      </c>
      <c r="P590" t="inlineStr"/>
      <c r="Q590" t="inlineStr">
        <is>
          <t>Not stated on course page</t>
        </is>
      </c>
      <c r="S590" t="inlineStr"/>
      <c r="T590" t="inlineStr">
        <is>
          <t>Held: research degree (the policy states no research requirement)</t>
        </is>
      </c>
      <c r="U590" t="inlineStr"/>
      <c r="V590" t="inlineStr">
        <is>
          <t>Filled</t>
        </is>
      </c>
      <c r="W590" t="inlineStr">
        <is>
          <t>January, February, May, September</t>
        </is>
      </c>
      <c r="X590" t="inlineStr">
        <is>
          <t>University adapter</t>
        </is>
      </c>
      <c r="Y590" t="n">
        <v>0</v>
      </c>
      <c r="Z590" t="inlineStr">
        <is>
          <t>No</t>
        </is>
      </c>
      <c r="AA590" t="inlineStr">
        <is>
          <t>Filled</t>
        </is>
      </c>
      <c r="AB590" t="inlineStr">
        <is>
          <t>on campus</t>
        </is>
      </c>
      <c r="AC590" t="inlineStr"/>
      <c r="AD590" t="n">
        <v>0</v>
      </c>
      <c r="AE590" t="inlineStr"/>
      <c r="AF590" t="inlineStr"/>
      <c r="AG590" t="inlineStr"/>
      <c r="AH590" t="inlineStr"/>
      <c r="AI590" t="inlineStr"/>
      <c r="AJ590" t="inlineStr">
        <is>
          <t>Yes</t>
        </is>
      </c>
      <c r="AK590" t="inlineStr"/>
      <c r="AL590" t="inlineStr"/>
      <c r="AM590" t="inlineStr"/>
    </row>
    <row r="591">
      <c r="A591" t="inlineStr">
        <is>
          <t>001001B</t>
        </is>
      </c>
      <c r="B591" t="inlineStr">
        <is>
          <t>Master of Science - Pathology (Research)</t>
        </is>
      </c>
      <c r="C591" t="inlineStr">
        <is>
          <t>Masters Degree (Research)</t>
        </is>
      </c>
      <c r="D591" t="inlineStr">
        <is>
          <t>Research degree</t>
        </is>
      </c>
      <c r="E591" t="inlineStr">
        <is>
          <t>Held: page found is for another course</t>
        </is>
      </c>
      <c r="F591" t="inlineStr"/>
      <c r="G591" t="inlineStr">
        <is>
          <t>https://www.unsw.edu.au/study/postgraduate/master-of-engineering-biomedical</t>
        </is>
      </c>
      <c r="H591" t="inlineStr">
        <is>
          <t>Page is for another course</t>
        </is>
      </c>
      <c r="I591" t="inlineStr"/>
      <c r="J591" t="inlineStr"/>
      <c r="K591" t="inlineStr">
        <is>
          <t>Finished, no page: no address from the university's address forms or stored lis</t>
        </is>
      </c>
      <c r="L591" t="inlineStr">
        <is>
          <t>Searching for course page</t>
        </is>
      </c>
      <c r="M591" t="inlineStr">
        <is>
          <t>Searching for course page</t>
        </is>
      </c>
      <c r="N591" t="inlineStr"/>
      <c r="O591" t="n">
        <v>0</v>
      </c>
      <c r="P591" t="inlineStr"/>
      <c r="Q591" t="inlineStr">
        <is>
          <t>Searching for course page</t>
        </is>
      </c>
      <c r="S591" t="inlineStr"/>
      <c r="T591" t="inlineStr">
        <is>
          <t>Held: research degree (the policy states no research requirement)</t>
        </is>
      </c>
      <c r="U591" t="inlineStr"/>
      <c r="V591" t="inlineStr">
        <is>
          <t>Searching for course page</t>
        </is>
      </c>
      <c r="W591" t="inlineStr"/>
      <c r="X591" t="inlineStr"/>
      <c r="Y591" t="n">
        <v>0</v>
      </c>
      <c r="Z591" t="inlineStr">
        <is>
          <t>No</t>
        </is>
      </c>
      <c r="AA591" t="inlineStr">
        <is>
          <t>Not stated on course page</t>
        </is>
      </c>
      <c r="AB591" t="inlineStr"/>
      <c r="AC591" t="inlineStr">
        <is>
          <t>Skipped: no correct course page: the page found is for another course</t>
        </is>
      </c>
      <c r="AD591" t="n">
        <v>0</v>
      </c>
      <c r="AE591" t="inlineStr"/>
      <c r="AF591" t="inlineStr"/>
      <c r="AG591" t="inlineStr"/>
      <c r="AH591" t="inlineStr"/>
      <c r="AI591" t="inlineStr"/>
      <c r="AJ591" t="inlineStr">
        <is>
          <t>Yes</t>
        </is>
      </c>
      <c r="AK591" t="inlineStr"/>
      <c r="AL591" t="inlineStr"/>
      <c r="AM591" t="inlineStr"/>
    </row>
    <row r="592">
      <c r="A592" t="inlineStr">
        <is>
          <t>008973D</t>
        </is>
      </c>
      <c r="B592" t="inlineStr">
        <is>
          <t>Master of Science - Physics - by research</t>
        </is>
      </c>
      <c r="C592" t="inlineStr">
        <is>
          <t>Masters Degree (Research)</t>
        </is>
      </c>
      <c r="D592" t="inlineStr">
        <is>
          <t>Research degree</t>
        </is>
      </c>
      <c r="E592" t="inlineStr">
        <is>
          <t>Advertised: official page in place</t>
        </is>
      </c>
      <c r="F592" t="inlineStr">
        <is>
          <t>https://www.handbook.unsw.edu.au/research/programs/2026/2930</t>
        </is>
      </c>
      <c r="G592" t="inlineStr">
        <is>
          <t>https://www.handbook.unsw.edu.au/research/programs/2026/2930</t>
        </is>
      </c>
      <c r="H592" t="inlineStr">
        <is>
          <t>Read</t>
        </is>
      </c>
      <c r="I592" t="inlineStr">
        <is>
          <t>CRICOS code on page</t>
        </is>
      </c>
      <c r="J592" t="inlineStr"/>
      <c r="K592" t="inlineStr">
        <is>
          <t>Not sent to re-link</t>
        </is>
      </c>
      <c r="L592" t="inlineStr">
        <is>
          <t>Filled</t>
        </is>
      </c>
      <c r="M592" t="inlineStr">
        <is>
          <t>Not stated on course page</t>
        </is>
      </c>
      <c r="N592" t="inlineStr"/>
      <c r="O592" t="n">
        <v>0</v>
      </c>
      <c r="P592" t="inlineStr"/>
      <c r="Q592" t="inlineStr">
        <is>
          <t>Not stated on course page</t>
        </is>
      </c>
      <c r="S592" t="inlineStr"/>
      <c r="T592" t="inlineStr">
        <is>
          <t>Held: research degree (the policy states no research requirement)</t>
        </is>
      </c>
      <c r="U592" t="inlineStr"/>
      <c r="V592" t="inlineStr">
        <is>
          <t>Filled</t>
        </is>
      </c>
      <c r="W592" t="inlineStr">
        <is>
          <t>January, February, May, September</t>
        </is>
      </c>
      <c r="X592" t="inlineStr">
        <is>
          <t>University adapter</t>
        </is>
      </c>
      <c r="Y592" t="n">
        <v>0</v>
      </c>
      <c r="Z592" t="inlineStr">
        <is>
          <t>No</t>
        </is>
      </c>
      <c r="AA592" t="inlineStr">
        <is>
          <t>Filled</t>
        </is>
      </c>
      <c r="AB592" t="inlineStr">
        <is>
          <t>on campus</t>
        </is>
      </c>
      <c r="AC592" t="inlineStr"/>
      <c r="AD592" t="n">
        <v>0</v>
      </c>
      <c r="AE592" t="inlineStr"/>
      <c r="AF592" t="inlineStr"/>
      <c r="AG592" t="inlineStr"/>
      <c r="AH592" t="inlineStr"/>
      <c r="AI592" t="inlineStr"/>
      <c r="AJ592" t="inlineStr">
        <is>
          <t>Yes</t>
        </is>
      </c>
      <c r="AK592" t="inlineStr"/>
      <c r="AL592" t="inlineStr"/>
      <c r="AM592" t="inlineStr"/>
    </row>
    <row r="593">
      <c r="A593" t="inlineStr">
        <is>
          <t>001003M</t>
        </is>
      </c>
      <c r="B593" t="inlineStr">
        <is>
          <t>Master of Science - Physiology &amp; Pharmacology (Research)</t>
        </is>
      </c>
      <c r="C593" t="inlineStr">
        <is>
          <t>Masters Degree (Research)</t>
        </is>
      </c>
      <c r="D593" t="inlineStr">
        <is>
          <t>Research degree</t>
        </is>
      </c>
      <c r="E593" t="inlineStr">
        <is>
          <t>Page address no longer works</t>
        </is>
      </c>
      <c r="F593" t="inlineStr"/>
      <c r="G593" t="inlineStr">
        <is>
          <t>https://www.handbook.unsw.edu.au/research/programs/2026/2850</t>
        </is>
      </c>
      <c r="H593" t="inlineStr">
        <is>
          <t>Address no longer works</t>
        </is>
      </c>
      <c r="I593" t="inlineStr"/>
      <c r="J593" t="inlineStr"/>
      <c r="K593" t="inlineStr">
        <is>
          <t>Not sent to re-link</t>
        </is>
      </c>
      <c r="L593" t="inlineStr">
        <is>
          <t>Page found, being read</t>
        </is>
      </c>
      <c r="M593" t="inlineStr">
        <is>
          <t>Page found, being read</t>
        </is>
      </c>
      <c r="N593" t="inlineStr"/>
      <c r="O593" t="n">
        <v>0</v>
      </c>
      <c r="P593" t="inlineStr"/>
      <c r="Q593" t="inlineStr">
        <is>
          <t>Page found, being read</t>
        </is>
      </c>
      <c r="S593" t="inlineStr"/>
      <c r="T593" t="inlineStr">
        <is>
          <t>Held: research degree (the policy states no research requirement)</t>
        </is>
      </c>
      <c r="U593" t="inlineStr"/>
      <c r="V593" t="inlineStr">
        <is>
          <t>Page found, being read</t>
        </is>
      </c>
      <c r="W593" t="inlineStr"/>
      <c r="X593" t="inlineStr"/>
      <c r="Y593" t="n">
        <v>0</v>
      </c>
      <c r="Z593" t="inlineStr">
        <is>
          <t>No</t>
        </is>
      </c>
      <c r="AA593" t="inlineStr">
        <is>
          <t>Not stated on course page</t>
        </is>
      </c>
      <c r="AB593" t="inlineStr"/>
      <c r="AC593" t="inlineStr">
        <is>
          <t>Skipped: no allowed source had a value</t>
        </is>
      </c>
      <c r="AD593" t="n">
        <v>0</v>
      </c>
      <c r="AE593" t="inlineStr"/>
      <c r="AF593" t="inlineStr"/>
      <c r="AG593" t="inlineStr"/>
      <c r="AH593" t="inlineStr"/>
      <c r="AI593" t="inlineStr"/>
      <c r="AJ593" t="inlineStr">
        <is>
          <t>Yes</t>
        </is>
      </c>
      <c r="AK593" t="inlineStr"/>
      <c r="AL593" t="inlineStr"/>
      <c r="AM593" t="inlineStr"/>
    </row>
    <row r="594">
      <c r="A594" t="inlineStr">
        <is>
          <t>009483C</t>
        </is>
      </c>
      <c r="B594" t="inlineStr">
        <is>
          <t>Master of Science - Psychiatry (Research)</t>
        </is>
      </c>
      <c r="C594" t="inlineStr">
        <is>
          <t>Masters Degree (Research)</t>
        </is>
      </c>
      <c r="D594" t="inlineStr">
        <is>
          <t>Research degree</t>
        </is>
      </c>
      <c r="E594" t="inlineStr">
        <is>
          <t>Advertised: official page in place</t>
        </is>
      </c>
      <c r="F594" t="inlineStr">
        <is>
          <t>https://www.handbook.unsw.edu.au/research/programs/2026/2880</t>
        </is>
      </c>
      <c r="G594" t="inlineStr">
        <is>
          <t>https://www.handbook.unsw.edu.au/research/programs/2026/2880</t>
        </is>
      </c>
      <c r="H594" t="inlineStr">
        <is>
          <t>Read</t>
        </is>
      </c>
      <c r="I594" t="inlineStr">
        <is>
          <t>CRICOS code on page</t>
        </is>
      </c>
      <c r="J594" t="inlineStr"/>
      <c r="K594" t="inlineStr">
        <is>
          <t>Not sent to re-link</t>
        </is>
      </c>
      <c r="L594" t="inlineStr">
        <is>
          <t>Filled</t>
        </is>
      </c>
      <c r="M594" t="inlineStr">
        <is>
          <t>Not stated on course page</t>
        </is>
      </c>
      <c r="N594" t="inlineStr"/>
      <c r="O594" t="n">
        <v>0</v>
      </c>
      <c r="P594" t="inlineStr"/>
      <c r="Q594" t="inlineStr">
        <is>
          <t>Not stated on course page</t>
        </is>
      </c>
      <c r="S594" t="inlineStr"/>
      <c r="T594" t="inlineStr">
        <is>
          <t>Held: research degree (the policy states no research requirement)</t>
        </is>
      </c>
      <c r="U594" t="inlineStr"/>
      <c r="V594" t="inlineStr">
        <is>
          <t>Filled</t>
        </is>
      </c>
      <c r="W594" t="inlineStr">
        <is>
          <t>January, February, May, September</t>
        </is>
      </c>
      <c r="X594" t="inlineStr">
        <is>
          <t>University adapter</t>
        </is>
      </c>
      <c r="Y594" t="n">
        <v>0</v>
      </c>
      <c r="Z594" t="inlineStr">
        <is>
          <t>No</t>
        </is>
      </c>
      <c r="AA594" t="inlineStr">
        <is>
          <t>Filled</t>
        </is>
      </c>
      <c r="AB594" t="inlineStr">
        <is>
          <t>on campus</t>
        </is>
      </c>
      <c r="AC594" t="inlineStr"/>
      <c r="AD594" t="n">
        <v>0</v>
      </c>
      <c r="AE594" t="inlineStr"/>
      <c r="AF594" t="inlineStr"/>
      <c r="AG594" t="inlineStr"/>
      <c r="AH594" t="inlineStr"/>
      <c r="AI594" t="inlineStr"/>
      <c r="AJ594" t="inlineStr">
        <is>
          <t>Yes</t>
        </is>
      </c>
      <c r="AK594" t="inlineStr"/>
      <c r="AL594" t="inlineStr"/>
      <c r="AM594" t="inlineStr"/>
    </row>
    <row r="595">
      <c r="A595" t="inlineStr">
        <is>
          <t>000995G</t>
        </is>
      </c>
      <c r="B595" t="inlineStr">
        <is>
          <t>Master of Science - Psychology - by research</t>
        </is>
      </c>
      <c r="C595" t="inlineStr">
        <is>
          <t>Masters Degree (Research)</t>
        </is>
      </c>
      <c r="D595" t="inlineStr">
        <is>
          <t>Research degree</t>
        </is>
      </c>
      <c r="E595" t="inlineStr">
        <is>
          <t>Advertised: official page in place</t>
        </is>
      </c>
      <c r="F595" t="inlineStr">
        <is>
          <t>https://www.handbook.unsw.edu.au/research/programs/2026/2450</t>
        </is>
      </c>
      <c r="G595" t="inlineStr">
        <is>
          <t>https://www.handbook.unsw.edu.au/research/programs/2026/2450</t>
        </is>
      </c>
      <c r="H595" t="inlineStr">
        <is>
          <t>Read</t>
        </is>
      </c>
      <c r="I595" t="inlineStr">
        <is>
          <t>CRICOS code on page</t>
        </is>
      </c>
      <c r="J595" t="inlineStr"/>
      <c r="K595" t="inlineStr">
        <is>
          <t>Not sent to re-link</t>
        </is>
      </c>
      <c r="L595" t="inlineStr">
        <is>
          <t>Filled</t>
        </is>
      </c>
      <c r="M595" t="inlineStr">
        <is>
          <t>Not stated on course page</t>
        </is>
      </c>
      <c r="N595" t="inlineStr"/>
      <c r="O595" t="n">
        <v>0</v>
      </c>
      <c r="P595" t="inlineStr"/>
      <c r="Q595" t="inlineStr">
        <is>
          <t>Not stated on course page</t>
        </is>
      </c>
      <c r="S595" t="inlineStr"/>
      <c r="T595" t="inlineStr">
        <is>
          <t>Held: research degree (the policy states no research requirement)</t>
        </is>
      </c>
      <c r="U595" t="inlineStr"/>
      <c r="V595" t="inlineStr">
        <is>
          <t>Filled</t>
        </is>
      </c>
      <c r="W595" t="inlineStr">
        <is>
          <t>January, February, May, September</t>
        </is>
      </c>
      <c r="X595" t="inlineStr">
        <is>
          <t>University adapter</t>
        </is>
      </c>
      <c r="Y595" t="n">
        <v>0</v>
      </c>
      <c r="Z595" t="inlineStr">
        <is>
          <t>No</t>
        </is>
      </c>
      <c r="AA595" t="inlineStr">
        <is>
          <t>Filled</t>
        </is>
      </c>
      <c r="AB595" t="inlineStr">
        <is>
          <t>on campus</t>
        </is>
      </c>
      <c r="AC595" t="inlineStr"/>
      <c r="AD595" t="n">
        <v>0</v>
      </c>
      <c r="AE595" t="inlineStr"/>
      <c r="AF595" t="inlineStr"/>
      <c r="AG595" t="inlineStr"/>
      <c r="AH595" t="inlineStr"/>
      <c r="AI595" t="inlineStr"/>
      <c r="AJ595" t="inlineStr">
        <is>
          <t>Yes</t>
        </is>
      </c>
      <c r="AK595" t="inlineStr"/>
      <c r="AL595" t="inlineStr"/>
      <c r="AM595" t="inlineStr"/>
    </row>
    <row r="596">
      <c r="A596" t="inlineStr">
        <is>
          <t>041972G</t>
        </is>
      </c>
      <c r="B596" t="inlineStr">
        <is>
          <t>Master of Science - Rural Health - Research</t>
        </is>
      </c>
      <c r="C596" t="inlineStr">
        <is>
          <t>Masters Degree (Research)</t>
        </is>
      </c>
      <c r="D596" t="inlineStr">
        <is>
          <t>Research degree</t>
        </is>
      </c>
      <c r="E596" t="inlineStr">
        <is>
          <t>Advertised: official page in place</t>
        </is>
      </c>
      <c r="F596" t="inlineStr">
        <is>
          <t>https://www.handbook.unsw.edu.au/research/programs/2026/2835</t>
        </is>
      </c>
      <c r="G596" t="inlineStr">
        <is>
          <t>https://www.handbook.unsw.edu.au/research/programs/2026/2835</t>
        </is>
      </c>
      <c r="H596" t="inlineStr">
        <is>
          <t>Read</t>
        </is>
      </c>
      <c r="I596" t="inlineStr">
        <is>
          <t>CRICOS code on page</t>
        </is>
      </c>
      <c r="J596" t="inlineStr"/>
      <c r="K596" t="inlineStr">
        <is>
          <t>Not sent to re-link</t>
        </is>
      </c>
      <c r="L596" t="inlineStr">
        <is>
          <t>Filled</t>
        </is>
      </c>
      <c r="M596" t="inlineStr">
        <is>
          <t>Not stated on course page</t>
        </is>
      </c>
      <c r="N596" t="inlineStr"/>
      <c r="O596" t="n">
        <v>0</v>
      </c>
      <c r="P596" t="inlineStr"/>
      <c r="Q596" t="inlineStr">
        <is>
          <t>Not stated on course page</t>
        </is>
      </c>
      <c r="S596" t="inlineStr"/>
      <c r="T596" t="inlineStr">
        <is>
          <t>Held: research degree (the policy states no research requirement)</t>
        </is>
      </c>
      <c r="U596" t="inlineStr"/>
      <c r="V596" t="inlineStr">
        <is>
          <t>Filled</t>
        </is>
      </c>
      <c r="W596" t="inlineStr">
        <is>
          <t>January, February, May, September</t>
        </is>
      </c>
      <c r="X596" t="inlineStr">
        <is>
          <t>University adapter</t>
        </is>
      </c>
      <c r="Y596" t="n">
        <v>0</v>
      </c>
      <c r="Z596" t="inlineStr">
        <is>
          <t>No</t>
        </is>
      </c>
      <c r="AA596" t="inlineStr">
        <is>
          <t>Filled</t>
        </is>
      </c>
      <c r="AB596" t="inlineStr">
        <is>
          <t>on campus</t>
        </is>
      </c>
      <c r="AC596" t="inlineStr"/>
      <c r="AD596" t="n">
        <v>0</v>
      </c>
      <c r="AE596" t="inlineStr"/>
      <c r="AF596" t="inlineStr"/>
      <c r="AG596" t="inlineStr"/>
      <c r="AH596" t="inlineStr"/>
      <c r="AI596" t="inlineStr"/>
      <c r="AJ596" t="inlineStr">
        <is>
          <t>Yes</t>
        </is>
      </c>
      <c r="AK596" t="inlineStr"/>
      <c r="AL596" t="inlineStr"/>
      <c r="AM596" t="inlineStr"/>
    </row>
    <row r="597">
      <c r="A597" t="inlineStr">
        <is>
          <t>001004K</t>
        </is>
      </c>
      <c r="B597" t="inlineStr">
        <is>
          <t>Master of Science - Surgery (Research)</t>
        </is>
      </c>
      <c r="C597" t="inlineStr">
        <is>
          <t>Masters Degree (Research)</t>
        </is>
      </c>
      <c r="D597" t="inlineStr">
        <is>
          <t>Research degree</t>
        </is>
      </c>
      <c r="E597" t="inlineStr">
        <is>
          <t>Held: page found is for another course</t>
        </is>
      </c>
      <c r="F597" t="inlineStr"/>
      <c r="G597" t="inlineStr">
        <is>
          <t>https://www.handbook.unsw.edu.au/research/programs/2026/2861</t>
        </is>
      </c>
      <c r="H597" t="inlineStr">
        <is>
          <t>Page is for another course</t>
        </is>
      </c>
      <c r="I597" t="inlineStr"/>
      <c r="J597" t="inlineStr"/>
      <c r="K597" t="inlineStr">
        <is>
          <t>Finished, no page: no address from the university's address forms or stored lis</t>
        </is>
      </c>
      <c r="L597" t="inlineStr">
        <is>
          <t>Searching for course page</t>
        </is>
      </c>
      <c r="M597" t="inlineStr">
        <is>
          <t>Searching for course page</t>
        </is>
      </c>
      <c r="N597" t="inlineStr"/>
      <c r="O597" t="n">
        <v>0</v>
      </c>
      <c r="P597" t="inlineStr"/>
      <c r="Q597" t="inlineStr">
        <is>
          <t>Searching for course page</t>
        </is>
      </c>
      <c r="S597" t="inlineStr"/>
      <c r="T597" t="inlineStr">
        <is>
          <t>Held: research degree (the policy states no research requirement)</t>
        </is>
      </c>
      <c r="U597" t="inlineStr"/>
      <c r="V597" t="inlineStr">
        <is>
          <t>Searching for course page</t>
        </is>
      </c>
      <c r="W597" t="inlineStr"/>
      <c r="X597" t="inlineStr"/>
      <c r="Y597" t="n">
        <v>0</v>
      </c>
      <c r="Z597" t="inlineStr">
        <is>
          <t>No</t>
        </is>
      </c>
      <c r="AA597" t="inlineStr">
        <is>
          <t>Not stated on course page</t>
        </is>
      </c>
      <c r="AB597" t="inlineStr"/>
      <c r="AC597" t="inlineStr">
        <is>
          <t>Skipped: no correct course page: the page found is for another course</t>
        </is>
      </c>
      <c r="AD597" t="n">
        <v>0</v>
      </c>
      <c r="AE597" t="inlineStr"/>
      <c r="AF597" t="inlineStr"/>
      <c r="AG597" t="inlineStr"/>
      <c r="AH597" t="inlineStr"/>
      <c r="AI597" t="inlineStr"/>
      <c r="AJ597" t="inlineStr">
        <is>
          <t>Yes</t>
        </is>
      </c>
      <c r="AK597" t="inlineStr"/>
      <c r="AL597" t="inlineStr"/>
      <c r="AM597" t="inlineStr"/>
    </row>
    <row r="598">
      <c r="A598" t="inlineStr">
        <is>
          <t>000988F</t>
        </is>
      </c>
      <c r="B598" t="inlineStr">
        <is>
          <t>Master of Science (Biochemistry &amp; Molecular Genetics) by research</t>
        </is>
      </c>
      <c r="C598" t="inlineStr">
        <is>
          <t>Masters Degree (Research)</t>
        </is>
      </c>
      <c r="D598" t="inlineStr">
        <is>
          <t>Research degree</t>
        </is>
      </c>
      <c r="E598" t="inlineStr">
        <is>
          <t>Advertised: official page in place</t>
        </is>
      </c>
      <c r="F598" t="inlineStr">
        <is>
          <t>https://www.handbook.unsw.edu.au/research/programs/2026/2460</t>
        </is>
      </c>
      <c r="G598" t="inlineStr">
        <is>
          <t>https://www.handbook.unsw.edu.au/research/programs/2026/2460</t>
        </is>
      </c>
      <c r="H598" t="inlineStr">
        <is>
          <t>Read</t>
        </is>
      </c>
      <c r="I598" t="inlineStr">
        <is>
          <t>CRICOS code on page</t>
        </is>
      </c>
      <c r="J598" t="inlineStr"/>
      <c r="K598" t="inlineStr">
        <is>
          <t>Not sent to re-link</t>
        </is>
      </c>
      <c r="L598" t="inlineStr">
        <is>
          <t>Filled</t>
        </is>
      </c>
      <c r="M598" t="inlineStr">
        <is>
          <t>Not stated on course page</t>
        </is>
      </c>
      <c r="N598" t="inlineStr"/>
      <c r="O598" t="n">
        <v>0</v>
      </c>
      <c r="P598" t="inlineStr"/>
      <c r="Q598" t="inlineStr">
        <is>
          <t>Not stated on course page</t>
        </is>
      </c>
      <c r="S598" t="inlineStr"/>
      <c r="T598" t="inlineStr">
        <is>
          <t>Held: research degree (the policy states no research requirement)</t>
        </is>
      </c>
      <c r="U598" t="inlineStr"/>
      <c r="V598" t="inlineStr">
        <is>
          <t>Filled</t>
        </is>
      </c>
      <c r="W598" t="inlineStr">
        <is>
          <t>January, February, May, September</t>
        </is>
      </c>
      <c r="X598" t="inlineStr">
        <is>
          <t>University adapter</t>
        </is>
      </c>
      <c r="Y598" t="n">
        <v>0</v>
      </c>
      <c r="Z598" t="inlineStr">
        <is>
          <t>No</t>
        </is>
      </c>
      <c r="AA598" t="inlineStr">
        <is>
          <t>Filled</t>
        </is>
      </c>
      <c r="AB598" t="inlineStr">
        <is>
          <t>on campus</t>
        </is>
      </c>
      <c r="AC598" t="inlineStr"/>
      <c r="AD598" t="n">
        <v>0</v>
      </c>
      <c r="AE598" t="inlineStr"/>
      <c r="AF598" t="inlineStr"/>
      <c r="AG598" t="inlineStr"/>
      <c r="AH598" t="inlineStr"/>
      <c r="AI598" t="inlineStr"/>
      <c r="AJ598" t="inlineStr">
        <is>
          <t>Yes</t>
        </is>
      </c>
      <c r="AK598" t="inlineStr"/>
      <c r="AL598" t="inlineStr"/>
      <c r="AM598" t="inlineStr"/>
    </row>
    <row r="599">
      <c r="A599" t="inlineStr">
        <is>
          <t>085792D</t>
        </is>
      </c>
      <c r="B599" t="inlineStr">
        <is>
          <t>Master of Science (Chemistry)</t>
        </is>
      </c>
      <c r="C599" t="inlineStr">
        <is>
          <t>Masters Degree (Research)</t>
        </is>
      </c>
      <c r="D599" t="inlineStr">
        <is>
          <t>Research degree</t>
        </is>
      </c>
      <c r="E599" t="inlineStr">
        <is>
          <t>Advertised: official page in place</t>
        </is>
      </c>
      <c r="F599" t="inlineStr">
        <is>
          <t>https://www.handbook.unsw.edu.au/research/programs/2026/2911</t>
        </is>
      </c>
      <c r="G599" t="inlineStr">
        <is>
          <t>https://www.handbook.unsw.edu.au/research/programs/2026/2911</t>
        </is>
      </c>
      <c r="H599" t="inlineStr">
        <is>
          <t>Read</t>
        </is>
      </c>
      <c r="I599" t="inlineStr">
        <is>
          <t>CRICOS code on page</t>
        </is>
      </c>
      <c r="J599" t="inlineStr"/>
      <c r="K599" t="inlineStr">
        <is>
          <t>Not sent to re-link</t>
        </is>
      </c>
      <c r="L599" t="inlineStr">
        <is>
          <t>Filled</t>
        </is>
      </c>
      <c r="M599" t="inlineStr">
        <is>
          <t>Not stated on course page</t>
        </is>
      </c>
      <c r="N599" t="inlineStr"/>
      <c r="O599" t="n">
        <v>0</v>
      </c>
      <c r="P599" t="inlineStr"/>
      <c r="Q599" t="inlineStr">
        <is>
          <t>Not stated on course page</t>
        </is>
      </c>
      <c r="S599" t="inlineStr"/>
      <c r="T599" t="inlineStr">
        <is>
          <t>Held: research degree (the policy states no research requirement)</t>
        </is>
      </c>
      <c r="U599" t="inlineStr"/>
      <c r="V599" t="inlineStr">
        <is>
          <t>Filled</t>
        </is>
      </c>
      <c r="W599" t="inlineStr">
        <is>
          <t>January, February, May, September</t>
        </is>
      </c>
      <c r="X599" t="inlineStr">
        <is>
          <t>University adapter</t>
        </is>
      </c>
      <c r="Y599" t="n">
        <v>0</v>
      </c>
      <c r="Z599" t="inlineStr">
        <is>
          <t>No</t>
        </is>
      </c>
      <c r="AA599" t="inlineStr">
        <is>
          <t>Filled</t>
        </is>
      </c>
      <c r="AB599" t="inlineStr">
        <is>
          <t>on campus</t>
        </is>
      </c>
      <c r="AC599" t="inlineStr"/>
      <c r="AD599" t="n">
        <v>0</v>
      </c>
      <c r="AE599" t="inlineStr"/>
      <c r="AF599" t="inlineStr"/>
      <c r="AG599" t="inlineStr"/>
      <c r="AH599" t="inlineStr"/>
      <c r="AI599" t="inlineStr"/>
      <c r="AJ599" t="inlineStr">
        <is>
          <t>Yes</t>
        </is>
      </c>
      <c r="AK599" t="inlineStr"/>
      <c r="AL599" t="inlineStr"/>
      <c r="AM599" t="inlineStr"/>
    </row>
    <row r="600">
      <c r="A600" t="inlineStr">
        <is>
          <t>078548G</t>
        </is>
      </c>
      <c r="B600" t="inlineStr">
        <is>
          <t>Master of Science (Climate Sciences)</t>
        </is>
      </c>
      <c r="C600" t="inlineStr">
        <is>
          <t>Masters Degree (Research)</t>
        </is>
      </c>
      <c r="D600" t="inlineStr">
        <is>
          <t>Research degree</t>
        </is>
      </c>
      <c r="E600" t="inlineStr">
        <is>
          <t>Advertised: official page in place</t>
        </is>
      </c>
      <c r="F600" t="inlineStr">
        <is>
          <t>https://www.handbook.unsw.edu.au/research/programs/2026/2476</t>
        </is>
      </c>
      <c r="G600" t="inlineStr">
        <is>
          <t>https://www.handbook.unsw.edu.au/research/programs/2026/2476</t>
        </is>
      </c>
      <c r="H600" t="inlineStr">
        <is>
          <t>Read</t>
        </is>
      </c>
      <c r="I600" t="inlineStr">
        <is>
          <t>CRICOS code on page</t>
        </is>
      </c>
      <c r="J600" t="inlineStr"/>
      <c r="K600" t="inlineStr">
        <is>
          <t>Not sent to re-link</t>
        </is>
      </c>
      <c r="L600" t="inlineStr">
        <is>
          <t>Filled</t>
        </is>
      </c>
      <c r="M600" t="inlineStr">
        <is>
          <t>Not stated on course page</t>
        </is>
      </c>
      <c r="N600" t="inlineStr"/>
      <c r="O600" t="n">
        <v>0</v>
      </c>
      <c r="P600" t="inlineStr"/>
      <c r="Q600" t="inlineStr">
        <is>
          <t>Not stated on course page</t>
        </is>
      </c>
      <c r="S600" t="inlineStr"/>
      <c r="T600" t="inlineStr">
        <is>
          <t>Held: research degree (the policy states no research requirement)</t>
        </is>
      </c>
      <c r="U600" t="inlineStr"/>
      <c r="V600" t="inlineStr">
        <is>
          <t>Filled</t>
        </is>
      </c>
      <c r="W600" t="inlineStr">
        <is>
          <t>January, February, May, September</t>
        </is>
      </c>
      <c r="X600" t="inlineStr">
        <is>
          <t>University adapter</t>
        </is>
      </c>
      <c r="Y600" t="n">
        <v>0</v>
      </c>
      <c r="Z600" t="inlineStr">
        <is>
          <t>No</t>
        </is>
      </c>
      <c r="AA600" t="inlineStr">
        <is>
          <t>Filled</t>
        </is>
      </c>
      <c r="AB600" t="inlineStr">
        <is>
          <t>on campus</t>
        </is>
      </c>
      <c r="AC600" t="inlineStr"/>
      <c r="AD600" t="n">
        <v>0</v>
      </c>
      <c r="AE600" t="inlineStr"/>
      <c r="AF600" t="inlineStr"/>
      <c r="AG600" t="inlineStr"/>
      <c r="AH600" t="inlineStr"/>
      <c r="AI600" t="inlineStr"/>
      <c r="AJ600" t="inlineStr">
        <is>
          <t>Yes</t>
        </is>
      </c>
      <c r="AK600" t="inlineStr"/>
      <c r="AL600" t="inlineStr"/>
      <c r="AM600" t="inlineStr"/>
    </row>
    <row r="601">
      <c r="A601" t="inlineStr">
        <is>
          <t>085780G</t>
        </is>
      </c>
      <c r="B601" t="inlineStr">
        <is>
          <t>Master of Science (Computer Science)</t>
        </is>
      </c>
      <c r="C601" t="inlineStr">
        <is>
          <t>Masters Degree (Research)</t>
        </is>
      </c>
      <c r="D601" t="inlineStr">
        <is>
          <t>Research degree</t>
        </is>
      </c>
      <c r="E601" t="inlineStr">
        <is>
          <t>Held: page found is for another course</t>
        </is>
      </c>
      <c r="F601" t="inlineStr"/>
      <c r="G601" t="inlineStr">
        <is>
          <t>https://www.handbook.unsw.edu.au/research/programs/2026/2925</t>
        </is>
      </c>
      <c r="H601" t="inlineStr">
        <is>
          <t>Page is for another course</t>
        </is>
      </c>
      <c r="I601" t="inlineStr"/>
      <c r="J601" t="inlineStr"/>
      <c r="K601" t="inlineStr">
        <is>
          <t>Finished, no page: no address from the university's address forms or stored lis</t>
        </is>
      </c>
      <c r="L601" t="inlineStr">
        <is>
          <t>Searching for course page</t>
        </is>
      </c>
      <c r="M601" t="inlineStr">
        <is>
          <t>Searching for course page</t>
        </is>
      </c>
      <c r="N601" t="inlineStr"/>
      <c r="O601" t="n">
        <v>0</v>
      </c>
      <c r="P601" t="inlineStr"/>
      <c r="Q601" t="inlineStr">
        <is>
          <t>Searching for course page</t>
        </is>
      </c>
      <c r="S601" t="inlineStr"/>
      <c r="T601" t="inlineStr">
        <is>
          <t>Held: research degree (the policy states no research requirement)</t>
        </is>
      </c>
      <c r="U601" t="inlineStr"/>
      <c r="V601" t="inlineStr">
        <is>
          <t>Searching for course page</t>
        </is>
      </c>
      <c r="W601" t="inlineStr"/>
      <c r="X601" t="inlineStr"/>
      <c r="Y601" t="n">
        <v>0</v>
      </c>
      <c r="Z601" t="inlineStr">
        <is>
          <t>No</t>
        </is>
      </c>
      <c r="AA601" t="inlineStr">
        <is>
          <t>Not stated on course page</t>
        </is>
      </c>
      <c r="AB601" t="inlineStr"/>
      <c r="AC601" t="inlineStr">
        <is>
          <t>Skipped: no correct course page: the page found is for another course</t>
        </is>
      </c>
      <c r="AD601" t="n">
        <v>1</v>
      </c>
      <c r="AE601" t="inlineStr"/>
      <c r="AF601" t="inlineStr"/>
      <c r="AG601" t="inlineStr"/>
      <c r="AH601" t="inlineStr"/>
      <c r="AI601" t="inlineStr"/>
      <c r="AJ601" t="inlineStr">
        <is>
          <t>Yes</t>
        </is>
      </c>
      <c r="AK601" t="inlineStr"/>
      <c r="AL601" t="inlineStr"/>
      <c r="AM601" t="inlineStr"/>
    </row>
    <row r="602">
      <c r="A602" t="inlineStr">
        <is>
          <t>110655A</t>
        </is>
      </c>
      <c r="B602" t="inlineStr">
        <is>
          <t>Master of Science (Extension) - Health Data Science</t>
        </is>
      </c>
      <c r="C602" t="inlineStr">
        <is>
          <t>Masters Degree (Coursework)</t>
        </is>
      </c>
      <c r="D602" t="inlineStr">
        <is>
          <t>Postgraduate coursework</t>
        </is>
      </c>
      <c r="E602" t="inlineStr">
        <is>
          <t>Advertised: official page in place</t>
        </is>
      </c>
      <c r="F602" t="inlineStr">
        <is>
          <t>https://www.unsw.edu.au/study/postgraduate/master-of-science-extension</t>
        </is>
      </c>
      <c r="G602" t="inlineStr">
        <is>
          <t>https://www.unsw.edu.au/study/postgraduate/master-of-science-extension</t>
        </is>
      </c>
      <c r="H602" t="inlineStr">
        <is>
          <t>Read</t>
        </is>
      </c>
      <c r="I602" t="inlineStr">
        <is>
          <t>CRICOS code on page</t>
        </is>
      </c>
      <c r="J602" t="inlineStr"/>
      <c r="K602" t="inlineStr">
        <is>
          <t>Not sent to re-link</t>
        </is>
      </c>
      <c r="L602" t="inlineStr">
        <is>
          <t>Filled</t>
        </is>
      </c>
      <c r="M602" t="inlineStr">
        <is>
          <t>Filled</t>
        </is>
      </c>
      <c r="N602" t="inlineStr">
        <is>
          <t>52000.00 2026</t>
        </is>
      </c>
      <c r="O602" t="n">
        <v>0</v>
      </c>
      <c r="P602" t="inlineStr">
        <is>
          <t>University adapter</t>
        </is>
      </c>
      <c r="Q602" t="inlineStr">
        <is>
          <t>Filled</t>
        </is>
      </c>
      <c r="R602" t="n">
        <v>6</v>
      </c>
      <c r="S602" t="inlineStr">
        <is>
          <t>Central English policy</t>
        </is>
      </c>
      <c r="T602" t="inlineStr">
        <is>
          <t>Central rule applies (value agrees)</t>
        </is>
      </c>
      <c r="U602" t="inlineStr"/>
      <c r="V602" t="inlineStr">
        <is>
          <t>Filled</t>
        </is>
      </c>
      <c r="W602" t="inlineStr">
        <is>
          <t>February, September</t>
        </is>
      </c>
      <c r="X602" t="inlineStr">
        <is>
          <t>University adapter</t>
        </is>
      </c>
      <c r="Y602" t="n">
        <v>0</v>
      </c>
      <c r="Z602" t="inlineStr">
        <is>
          <t>No</t>
        </is>
      </c>
      <c r="AA602" t="inlineStr">
        <is>
          <t>Filled</t>
        </is>
      </c>
      <c r="AB602" t="inlineStr">
        <is>
          <t>on campus and online</t>
        </is>
      </c>
      <c r="AC602" t="inlineStr"/>
      <c r="AD602" t="n">
        <v>0</v>
      </c>
      <c r="AE602" t="inlineStr"/>
      <c r="AF602" t="inlineStr"/>
      <c r="AG602" t="inlineStr"/>
      <c r="AH602" t="inlineStr"/>
      <c r="AI602" t="inlineStr"/>
      <c r="AJ602" t="inlineStr"/>
      <c r="AK602" t="inlineStr"/>
      <c r="AL602" t="inlineStr"/>
      <c r="AM602" t="inlineStr"/>
    </row>
    <row r="603">
      <c r="A603" t="inlineStr">
        <is>
          <t>085797K</t>
        </is>
      </c>
      <c r="B603" t="inlineStr">
        <is>
          <t>Master of Science (Geography)</t>
        </is>
      </c>
      <c r="C603" t="inlineStr">
        <is>
          <t>Masters Degree (Research)</t>
        </is>
      </c>
      <c r="D603" t="inlineStr">
        <is>
          <t>Research degree</t>
        </is>
      </c>
      <c r="E603" t="inlineStr">
        <is>
          <t>Advertised: official page in place</t>
        </is>
      </c>
      <c r="F603" t="inlineStr">
        <is>
          <t>https://www.handbook.unsw.edu.au/research/programs/2026/2041</t>
        </is>
      </c>
      <c r="G603" t="inlineStr">
        <is>
          <t>https://www.handbook.unsw.edu.au/research/programs/2026/2041</t>
        </is>
      </c>
      <c r="H603" t="inlineStr">
        <is>
          <t>Read</t>
        </is>
      </c>
      <c r="I603" t="inlineStr">
        <is>
          <t>CRICOS code on page</t>
        </is>
      </c>
      <c r="J603" t="inlineStr"/>
      <c r="K603" t="inlineStr">
        <is>
          <t>Not sent to re-link</t>
        </is>
      </c>
      <c r="L603" t="inlineStr">
        <is>
          <t>Filled</t>
        </is>
      </c>
      <c r="M603" t="inlineStr">
        <is>
          <t>Not stated on course page</t>
        </is>
      </c>
      <c r="N603" t="inlineStr"/>
      <c r="O603" t="n">
        <v>0</v>
      </c>
      <c r="P603" t="inlineStr"/>
      <c r="Q603" t="inlineStr">
        <is>
          <t>Not stated on course page</t>
        </is>
      </c>
      <c r="S603" t="inlineStr"/>
      <c r="T603" t="inlineStr">
        <is>
          <t>Held: research degree (the policy states no research requirement)</t>
        </is>
      </c>
      <c r="U603" t="inlineStr"/>
      <c r="V603" t="inlineStr">
        <is>
          <t>Filled</t>
        </is>
      </c>
      <c r="W603" t="inlineStr">
        <is>
          <t>January, February, May, September</t>
        </is>
      </c>
      <c r="X603" t="inlineStr">
        <is>
          <t>University adapter</t>
        </is>
      </c>
      <c r="Y603" t="n">
        <v>0</v>
      </c>
      <c r="Z603" t="inlineStr">
        <is>
          <t>No</t>
        </is>
      </c>
      <c r="AA603" t="inlineStr">
        <is>
          <t>Filled</t>
        </is>
      </c>
      <c r="AB603" t="inlineStr">
        <is>
          <t>on campus</t>
        </is>
      </c>
      <c r="AC603" t="inlineStr"/>
      <c r="AD603" t="n">
        <v>0</v>
      </c>
      <c r="AE603" t="inlineStr"/>
      <c r="AF603" t="inlineStr"/>
      <c r="AG603" t="inlineStr"/>
      <c r="AH603" t="inlineStr"/>
      <c r="AI603" t="inlineStr"/>
      <c r="AJ603" t="inlineStr">
        <is>
          <t>Yes</t>
        </is>
      </c>
      <c r="AK603" t="inlineStr"/>
      <c r="AL603" t="inlineStr"/>
      <c r="AM603" t="inlineStr"/>
    </row>
    <row r="604">
      <c r="A604" t="inlineStr">
        <is>
          <t>085781G</t>
        </is>
      </c>
      <c r="B604" t="inlineStr">
        <is>
          <t>Master of Science (Mathematics)</t>
        </is>
      </c>
      <c r="C604" t="inlineStr">
        <is>
          <t>Masters Degree (Research)</t>
        </is>
      </c>
      <c r="D604" t="inlineStr">
        <is>
          <t>Research degree</t>
        </is>
      </c>
      <c r="E604" t="inlineStr">
        <is>
          <t>Advertised: official page in place</t>
        </is>
      </c>
      <c r="F604" t="inlineStr">
        <is>
          <t>https://www.handbook.unsw.edu.au/research/programs/2026/2921</t>
        </is>
      </c>
      <c r="G604" t="inlineStr">
        <is>
          <t>https://www.handbook.unsw.edu.au/research/programs/2026/2921</t>
        </is>
      </c>
      <c r="H604" t="inlineStr">
        <is>
          <t>Read</t>
        </is>
      </c>
      <c r="I604" t="inlineStr">
        <is>
          <t>CRICOS code on page</t>
        </is>
      </c>
      <c r="J604" t="inlineStr"/>
      <c r="K604" t="inlineStr">
        <is>
          <t>Not sent to re-link</t>
        </is>
      </c>
      <c r="L604" t="inlineStr">
        <is>
          <t>Filled</t>
        </is>
      </c>
      <c r="M604" t="inlineStr">
        <is>
          <t>Not stated on course page</t>
        </is>
      </c>
      <c r="N604" t="inlineStr"/>
      <c r="O604" t="n">
        <v>0</v>
      </c>
      <c r="P604" t="inlineStr"/>
      <c r="Q604" t="inlineStr">
        <is>
          <t>Not stated on course page</t>
        </is>
      </c>
      <c r="S604" t="inlineStr"/>
      <c r="T604" t="inlineStr">
        <is>
          <t>Held: research degree (the policy states no research requirement)</t>
        </is>
      </c>
      <c r="U604" t="inlineStr"/>
      <c r="V604" t="inlineStr">
        <is>
          <t>Filled</t>
        </is>
      </c>
      <c r="W604" t="inlineStr">
        <is>
          <t>January, February, May, September</t>
        </is>
      </c>
      <c r="X604" t="inlineStr">
        <is>
          <t>University adapter</t>
        </is>
      </c>
      <c r="Y604" t="n">
        <v>0</v>
      </c>
      <c r="Z604" t="inlineStr">
        <is>
          <t>No</t>
        </is>
      </c>
      <c r="AA604" t="inlineStr">
        <is>
          <t>Filled</t>
        </is>
      </c>
      <c r="AB604" t="inlineStr">
        <is>
          <t>on campus</t>
        </is>
      </c>
      <c r="AC604" t="inlineStr"/>
      <c r="AD604" t="n">
        <v>0</v>
      </c>
      <c r="AE604" t="inlineStr"/>
      <c r="AF604" t="inlineStr"/>
      <c r="AG604" t="inlineStr"/>
      <c r="AH604" t="inlineStr"/>
      <c r="AI604" t="inlineStr"/>
      <c r="AJ604" t="inlineStr">
        <is>
          <t>Yes</t>
        </is>
      </c>
      <c r="AK604" t="inlineStr"/>
      <c r="AL604" t="inlineStr"/>
      <c r="AM604" t="inlineStr"/>
    </row>
    <row r="605">
      <c r="A605" t="inlineStr">
        <is>
          <t>085798J</t>
        </is>
      </c>
      <c r="B605" t="inlineStr">
        <is>
          <t>Master of Science (Oceanography)</t>
        </is>
      </c>
      <c r="C605" t="inlineStr">
        <is>
          <t>Masters Degree (Research)</t>
        </is>
      </c>
      <c r="D605" t="inlineStr">
        <is>
          <t>Research degree</t>
        </is>
      </c>
      <c r="E605" t="inlineStr">
        <is>
          <t>Advertised: official page in place</t>
        </is>
      </c>
      <c r="F605" t="inlineStr">
        <is>
          <t>https://www.handbook.unsw.edu.au/research/programs/2026/2042</t>
        </is>
      </c>
      <c r="G605" t="inlineStr">
        <is>
          <t>https://www.handbook.unsw.edu.au/research/programs/2026/2042</t>
        </is>
      </c>
      <c r="H605" t="inlineStr">
        <is>
          <t>Read</t>
        </is>
      </c>
      <c r="I605" t="inlineStr">
        <is>
          <t>CRICOS code on page</t>
        </is>
      </c>
      <c r="J605" t="inlineStr"/>
      <c r="K605" t="inlineStr">
        <is>
          <t>Not sent to re-link</t>
        </is>
      </c>
      <c r="L605" t="inlineStr">
        <is>
          <t>Filled</t>
        </is>
      </c>
      <c r="M605" t="inlineStr">
        <is>
          <t>Not stated on course page</t>
        </is>
      </c>
      <c r="N605" t="inlineStr"/>
      <c r="O605" t="n">
        <v>0</v>
      </c>
      <c r="P605" t="inlineStr"/>
      <c r="Q605" t="inlineStr">
        <is>
          <t>Not stated on course page</t>
        </is>
      </c>
      <c r="S605" t="inlineStr"/>
      <c r="T605" t="inlineStr">
        <is>
          <t>Held: research degree (the policy states no research requirement)</t>
        </is>
      </c>
      <c r="U605" t="inlineStr"/>
      <c r="V605" t="inlineStr">
        <is>
          <t>Filled</t>
        </is>
      </c>
      <c r="W605" t="inlineStr">
        <is>
          <t>January, February, May, September</t>
        </is>
      </c>
      <c r="X605" t="inlineStr">
        <is>
          <t>University adapter</t>
        </is>
      </c>
      <c r="Y605" t="n">
        <v>0</v>
      </c>
      <c r="Z605" t="inlineStr">
        <is>
          <t>No</t>
        </is>
      </c>
      <c r="AA605" t="inlineStr">
        <is>
          <t>Filled</t>
        </is>
      </c>
      <c r="AB605" t="inlineStr">
        <is>
          <t>on campus</t>
        </is>
      </c>
      <c r="AC605" t="inlineStr"/>
      <c r="AD605" t="n">
        <v>0</v>
      </c>
      <c r="AE605" t="inlineStr"/>
      <c r="AF605" t="inlineStr"/>
      <c r="AG605" t="inlineStr"/>
      <c r="AH605" t="inlineStr"/>
      <c r="AI605" t="inlineStr"/>
      <c r="AJ605" t="inlineStr">
        <is>
          <t>Yes</t>
        </is>
      </c>
      <c r="AK605" t="inlineStr"/>
      <c r="AL605" t="inlineStr"/>
      <c r="AM605" t="inlineStr"/>
    </row>
    <row r="606">
      <c r="A606" t="inlineStr">
        <is>
          <t>085791E</t>
        </is>
      </c>
      <c r="B606" t="inlineStr">
        <is>
          <t>Master of Science (Physics)</t>
        </is>
      </c>
      <c r="C606" t="inlineStr">
        <is>
          <t>Masters Degree (Research)</t>
        </is>
      </c>
      <c r="D606" t="inlineStr">
        <is>
          <t>Research degree</t>
        </is>
      </c>
      <c r="E606" t="inlineStr">
        <is>
          <t>Advertised: official page in place</t>
        </is>
      </c>
      <c r="F606" t="inlineStr">
        <is>
          <t>https://www.handbook.unsw.edu.au/research/programs/2026/2931</t>
        </is>
      </c>
      <c r="G606" t="inlineStr">
        <is>
          <t>https://www.handbook.unsw.edu.au/research/programs/2026/2931</t>
        </is>
      </c>
      <c r="H606" t="inlineStr">
        <is>
          <t>Read</t>
        </is>
      </c>
      <c r="I606" t="inlineStr">
        <is>
          <t>CRICOS code on page</t>
        </is>
      </c>
      <c r="J606" t="inlineStr"/>
      <c r="K606" t="inlineStr">
        <is>
          <t>Not sent to re-link</t>
        </is>
      </c>
      <c r="L606" t="inlineStr">
        <is>
          <t>Filled</t>
        </is>
      </c>
      <c r="M606" t="inlineStr">
        <is>
          <t>Not stated on course page</t>
        </is>
      </c>
      <c r="N606" t="inlineStr"/>
      <c r="O606" t="n">
        <v>0</v>
      </c>
      <c r="P606" t="inlineStr"/>
      <c r="Q606" t="inlineStr">
        <is>
          <t>Not stated on course page</t>
        </is>
      </c>
      <c r="S606" t="inlineStr"/>
      <c r="T606" t="inlineStr">
        <is>
          <t>Held: research degree (the policy states no research requirement)</t>
        </is>
      </c>
      <c r="U606" t="inlineStr"/>
      <c r="V606" t="inlineStr">
        <is>
          <t>Filled</t>
        </is>
      </c>
      <c r="W606" t="inlineStr">
        <is>
          <t>January, February, May, September</t>
        </is>
      </c>
      <c r="X606" t="inlineStr">
        <is>
          <t>University adapter</t>
        </is>
      </c>
      <c r="Y606" t="n">
        <v>0</v>
      </c>
      <c r="Z606" t="inlineStr">
        <is>
          <t>No</t>
        </is>
      </c>
      <c r="AA606" t="inlineStr">
        <is>
          <t>Filled</t>
        </is>
      </c>
      <c r="AB606" t="inlineStr">
        <is>
          <t>on campus</t>
        </is>
      </c>
      <c r="AC606" t="inlineStr"/>
      <c r="AD606" t="n">
        <v>0</v>
      </c>
      <c r="AE606" t="inlineStr"/>
      <c r="AF606" t="inlineStr"/>
      <c r="AG606" t="inlineStr"/>
      <c r="AH606" t="inlineStr"/>
      <c r="AI606" t="inlineStr"/>
      <c r="AJ606" t="inlineStr">
        <is>
          <t>Yes</t>
        </is>
      </c>
      <c r="AK606" t="inlineStr"/>
      <c r="AL606" t="inlineStr"/>
      <c r="AM606" t="inlineStr"/>
    </row>
    <row r="607">
      <c r="A607" t="inlineStr">
        <is>
          <t>117401M</t>
        </is>
      </c>
      <c r="B607" t="inlineStr">
        <is>
          <t>Master of Science (Research) (Biomedical Sciences)</t>
        </is>
      </c>
      <c r="C607" t="inlineStr">
        <is>
          <t>Masters Degree (Research)</t>
        </is>
      </c>
      <c r="D607" t="inlineStr">
        <is>
          <t>Research degree</t>
        </is>
      </c>
      <c r="E607" t="inlineStr">
        <is>
          <t>Advertised: official page in place</t>
        </is>
      </c>
      <c r="F607" t="inlineStr">
        <is>
          <t>https://www.handbook.unsw.edu.au/research/programs/2026/2804</t>
        </is>
      </c>
      <c r="G607" t="inlineStr">
        <is>
          <t>https://www.handbook.unsw.edu.au/research/programs/2026/2804</t>
        </is>
      </c>
      <c r="H607" t="inlineStr">
        <is>
          <t>Read</t>
        </is>
      </c>
      <c r="I607" t="inlineStr">
        <is>
          <t>CRICOS code on page</t>
        </is>
      </c>
      <c r="J607" t="inlineStr"/>
      <c r="K607" t="inlineStr">
        <is>
          <t>Not sent to re-link</t>
        </is>
      </c>
      <c r="L607" t="inlineStr">
        <is>
          <t>Filled</t>
        </is>
      </c>
      <c r="M607" t="inlineStr">
        <is>
          <t>Not stated on course page</t>
        </is>
      </c>
      <c r="N607" t="inlineStr"/>
      <c r="O607" t="n">
        <v>0</v>
      </c>
      <c r="P607" t="inlineStr"/>
      <c r="Q607" t="inlineStr">
        <is>
          <t>Not stated on course page</t>
        </is>
      </c>
      <c r="S607" t="inlineStr"/>
      <c r="T607" t="inlineStr">
        <is>
          <t>Held: research degree (the policy states no research requirement)</t>
        </is>
      </c>
      <c r="U607" t="inlineStr"/>
      <c r="V607" t="inlineStr">
        <is>
          <t>Filled</t>
        </is>
      </c>
      <c r="W607" t="inlineStr">
        <is>
          <t>January, February, May, September</t>
        </is>
      </c>
      <c r="X607" t="inlineStr">
        <is>
          <t>University adapter</t>
        </is>
      </c>
      <c r="Y607" t="n">
        <v>0</v>
      </c>
      <c r="Z607" t="inlineStr">
        <is>
          <t>No</t>
        </is>
      </c>
      <c r="AA607" t="inlineStr">
        <is>
          <t>Filled</t>
        </is>
      </c>
      <c r="AB607" t="inlineStr">
        <is>
          <t>on campus</t>
        </is>
      </c>
      <c r="AC607" t="inlineStr"/>
      <c r="AD607" t="n">
        <v>0</v>
      </c>
      <c r="AE607" t="inlineStr"/>
      <c r="AF607" t="inlineStr"/>
      <c r="AG607" t="inlineStr"/>
      <c r="AH607" t="inlineStr"/>
      <c r="AI607" t="inlineStr"/>
      <c r="AJ607" t="inlineStr">
        <is>
          <t>Yes</t>
        </is>
      </c>
      <c r="AK607" t="inlineStr"/>
      <c r="AL607" t="inlineStr"/>
      <c r="AM607" t="inlineStr"/>
    </row>
    <row r="608">
      <c r="A608" t="inlineStr">
        <is>
          <t>071467K</t>
        </is>
      </c>
      <c r="B608" t="inlineStr">
        <is>
          <t>Master of Science in Vision Science (Research)</t>
        </is>
      </c>
      <c r="C608" t="inlineStr">
        <is>
          <t>Masters Degree (Research)</t>
        </is>
      </c>
      <c r="D608" t="inlineStr">
        <is>
          <t>Research degree</t>
        </is>
      </c>
      <c r="E608" t="inlineStr">
        <is>
          <t>Advertised: official page in place</t>
        </is>
      </c>
      <c r="F608" t="inlineStr">
        <is>
          <t>https://www.handbook.unsw.edu.au/research/programs/2026/2487</t>
        </is>
      </c>
      <c r="G608" t="inlineStr">
        <is>
          <t>https://www.handbook.unsw.edu.au/research/programs/2026/2487</t>
        </is>
      </c>
      <c r="H608" t="inlineStr">
        <is>
          <t>Read</t>
        </is>
      </c>
      <c r="I608" t="inlineStr">
        <is>
          <t>CRICOS code on page</t>
        </is>
      </c>
      <c r="J608" t="inlineStr"/>
      <c r="K608" t="inlineStr">
        <is>
          <t>Not sent to re-link</t>
        </is>
      </c>
      <c r="L608" t="inlineStr">
        <is>
          <t>Filled</t>
        </is>
      </c>
      <c r="M608" t="inlineStr">
        <is>
          <t>Not stated on course page</t>
        </is>
      </c>
      <c r="N608" t="inlineStr"/>
      <c r="O608" t="n">
        <v>0</v>
      </c>
      <c r="P608" t="inlineStr"/>
      <c r="Q608" t="inlineStr">
        <is>
          <t>Not stated on course page</t>
        </is>
      </c>
      <c r="S608" t="inlineStr"/>
      <c r="T608" t="inlineStr">
        <is>
          <t>Held: research degree (the policy states no research requirement)</t>
        </is>
      </c>
      <c r="U608" t="inlineStr"/>
      <c r="V608" t="inlineStr">
        <is>
          <t>Filled</t>
        </is>
      </c>
      <c r="W608" t="inlineStr">
        <is>
          <t>January, February, May, September</t>
        </is>
      </c>
      <c r="X608" t="inlineStr">
        <is>
          <t>University adapter</t>
        </is>
      </c>
      <c r="Y608" t="n">
        <v>0</v>
      </c>
      <c r="Z608" t="inlineStr">
        <is>
          <t>No</t>
        </is>
      </c>
      <c r="AA608" t="inlineStr">
        <is>
          <t>Filled</t>
        </is>
      </c>
      <c r="AB608" t="inlineStr">
        <is>
          <t>on campus</t>
        </is>
      </c>
      <c r="AC608" t="inlineStr"/>
      <c r="AD608" t="n">
        <v>0</v>
      </c>
      <c r="AE608" t="inlineStr"/>
      <c r="AF608" t="inlineStr"/>
      <c r="AG608" t="inlineStr"/>
      <c r="AH608" t="inlineStr"/>
      <c r="AI608" t="inlineStr"/>
      <c r="AJ608" t="inlineStr">
        <is>
          <t>Yes</t>
        </is>
      </c>
      <c r="AK608" t="inlineStr"/>
      <c r="AL608" t="inlineStr"/>
      <c r="AM608" t="inlineStr"/>
    </row>
    <row r="609">
      <c r="A609" t="inlineStr">
        <is>
          <t>099986A</t>
        </is>
      </c>
      <c r="B609" t="inlineStr">
        <is>
          <t>Master of Simulation and Immersive Technologies</t>
        </is>
      </c>
      <c r="C609" t="inlineStr">
        <is>
          <t>Masters Degree (Coursework)</t>
        </is>
      </c>
      <c r="D609" t="inlineStr">
        <is>
          <t>Postgraduate coursework</t>
        </is>
      </c>
      <c r="E609" t="inlineStr">
        <is>
          <t>Advertised: official page in place</t>
        </is>
      </c>
      <c r="F609" t="inlineStr">
        <is>
          <t>https://www.unsw.edu.au/study/postgraduate/master-of-simulation-and-immersive-technologies</t>
        </is>
      </c>
      <c r="G609" t="inlineStr">
        <is>
          <t>https://www.unsw.edu.au/study/postgraduate/master-of-simulation-and-immersive-technologies</t>
        </is>
      </c>
      <c r="H609" t="inlineStr">
        <is>
          <t>Read</t>
        </is>
      </c>
      <c r="I609" t="inlineStr">
        <is>
          <t>CRICOS code on page</t>
        </is>
      </c>
      <c r="J609" t="inlineStr"/>
      <c r="K609" t="inlineStr">
        <is>
          <t>Not sent to re-link</t>
        </is>
      </c>
      <c r="L609" t="inlineStr">
        <is>
          <t>Filled</t>
        </is>
      </c>
      <c r="M609" t="inlineStr">
        <is>
          <t>Filled</t>
        </is>
      </c>
      <c r="N609" t="inlineStr">
        <is>
          <t>49000.00 2026</t>
        </is>
      </c>
      <c r="O609" t="n">
        <v>0</v>
      </c>
      <c r="P609" t="inlineStr">
        <is>
          <t>University adapter</t>
        </is>
      </c>
      <c r="Q609" t="inlineStr">
        <is>
          <t>Filled</t>
        </is>
      </c>
      <c r="R609" t="n">
        <v>6</v>
      </c>
      <c r="S609" t="inlineStr">
        <is>
          <t>Central English policy</t>
        </is>
      </c>
      <c r="T609" t="inlineStr">
        <is>
          <t>Central rule applies (value agrees)</t>
        </is>
      </c>
      <c r="U609" t="inlineStr"/>
      <c r="V609" t="inlineStr">
        <is>
          <t>Filled</t>
        </is>
      </c>
      <c r="W609" t="inlineStr">
        <is>
          <t>February, September</t>
        </is>
      </c>
      <c r="X609" t="inlineStr">
        <is>
          <t>University adapter</t>
        </is>
      </c>
      <c r="Y609" t="n">
        <v>0</v>
      </c>
      <c r="Z609" t="inlineStr">
        <is>
          <t>No</t>
        </is>
      </c>
      <c r="AA609" t="inlineStr">
        <is>
          <t>Filled</t>
        </is>
      </c>
      <c r="AB609" t="inlineStr">
        <is>
          <t>on campus and online</t>
        </is>
      </c>
      <c r="AC609" t="inlineStr"/>
      <c r="AD609" t="n">
        <v>0</v>
      </c>
      <c r="AE609" t="inlineStr"/>
      <c r="AF609" t="inlineStr"/>
      <c r="AG609" t="inlineStr"/>
      <c r="AH609" t="inlineStr"/>
      <c r="AI609" t="inlineStr"/>
      <c r="AJ609" t="inlineStr"/>
      <c r="AK609" t="inlineStr"/>
      <c r="AL609" t="inlineStr"/>
      <c r="AM609" t="inlineStr"/>
    </row>
    <row r="610">
      <c r="A610" t="inlineStr">
        <is>
          <t>001008F</t>
        </is>
      </c>
      <c r="B610" t="inlineStr">
        <is>
          <t>Master of Statistics - by coursework</t>
        </is>
      </c>
      <c r="C610" t="inlineStr">
        <is>
          <t>Masters Degree (Coursework)</t>
        </is>
      </c>
      <c r="D610" t="inlineStr">
        <is>
          <t>Postgraduate coursework</t>
        </is>
      </c>
      <c r="E610" t="inlineStr">
        <is>
          <t>Advertised: official page in place</t>
        </is>
      </c>
      <c r="F610" t="inlineStr">
        <is>
          <t>https://www.unsw.edu.au/study/postgraduate/master-of-statistics</t>
        </is>
      </c>
      <c r="G610" t="inlineStr">
        <is>
          <t>https://www.unsw.edu.au/study/postgraduate/master-of-statistics</t>
        </is>
      </c>
      <c r="H610" t="inlineStr">
        <is>
          <t>Read</t>
        </is>
      </c>
      <c r="I610" t="inlineStr">
        <is>
          <t>CRICOS code on page</t>
        </is>
      </c>
      <c r="J610" t="inlineStr"/>
      <c r="K610" t="inlineStr">
        <is>
          <t>Not sent to re-link</t>
        </is>
      </c>
      <c r="L610" t="inlineStr">
        <is>
          <t>Filled</t>
        </is>
      </c>
      <c r="M610" t="inlineStr">
        <is>
          <t>Filled</t>
        </is>
      </c>
      <c r="N610" t="inlineStr">
        <is>
          <t>60500.00 2026</t>
        </is>
      </c>
      <c r="O610" t="n">
        <v>0</v>
      </c>
      <c r="P610" t="inlineStr">
        <is>
          <t>University adapter</t>
        </is>
      </c>
      <c r="Q610" t="inlineStr">
        <is>
          <t>Filled</t>
        </is>
      </c>
      <c r="R610" t="n">
        <v>6</v>
      </c>
      <c r="S610" t="inlineStr">
        <is>
          <t>Central English policy</t>
        </is>
      </c>
      <c r="T610" t="inlineStr">
        <is>
          <t>Central rule applies (value agrees)</t>
        </is>
      </c>
      <c r="U610" t="inlineStr"/>
      <c r="V610" t="inlineStr">
        <is>
          <t>Filled</t>
        </is>
      </c>
      <c r="W610" t="inlineStr">
        <is>
          <t>February, May, September</t>
        </is>
      </c>
      <c r="X610" t="inlineStr">
        <is>
          <t>University adapter</t>
        </is>
      </c>
      <c r="Y610" t="n">
        <v>0</v>
      </c>
      <c r="Z610" t="inlineStr">
        <is>
          <t>No</t>
        </is>
      </c>
      <c r="AA610" t="inlineStr">
        <is>
          <t>Filled</t>
        </is>
      </c>
      <c r="AB610" t="inlineStr">
        <is>
          <t>on campus</t>
        </is>
      </c>
      <c r="AC610" t="inlineStr"/>
      <c r="AD610" t="n">
        <v>0</v>
      </c>
      <c r="AE610" t="inlineStr"/>
      <c r="AF610" t="inlineStr"/>
      <c r="AG610" t="inlineStr"/>
      <c r="AH610" t="inlineStr"/>
      <c r="AI610" t="inlineStr"/>
      <c r="AJ610" t="inlineStr"/>
      <c r="AK610" t="inlineStr"/>
      <c r="AL610" t="inlineStr"/>
      <c r="AM610" t="inlineStr"/>
    </row>
    <row r="611">
      <c r="A611" t="inlineStr">
        <is>
          <t>001009E</t>
        </is>
      </c>
      <c r="B611" t="inlineStr">
        <is>
          <t>Master of Surgery</t>
        </is>
      </c>
      <c r="C611" t="inlineStr">
        <is>
          <t>Masters Degree (Research)</t>
        </is>
      </c>
      <c r="D611" t="inlineStr">
        <is>
          <t>Research degree</t>
        </is>
      </c>
      <c r="E611" t="inlineStr">
        <is>
          <t>Advertised: official page in place</t>
        </is>
      </c>
      <c r="F611" t="inlineStr">
        <is>
          <t>https://www.handbook.unsw.edu.au/research/programs/2026/2861</t>
        </is>
      </c>
      <c r="G611" t="inlineStr">
        <is>
          <t>https://www.handbook.unsw.edu.au/research/programs/2026/2861</t>
        </is>
      </c>
      <c r="H611" t="inlineStr">
        <is>
          <t>Page is for another course</t>
        </is>
      </c>
      <c r="I611" t="inlineStr"/>
      <c r="J611" t="inlineStr"/>
      <c r="K611" t="inlineStr">
        <is>
          <t>Finished, no page: no address from the university's address forms or stored lis</t>
        </is>
      </c>
      <c r="L611" t="inlineStr">
        <is>
          <t>Filled</t>
        </is>
      </c>
      <c r="M611" t="inlineStr">
        <is>
          <t>Not stated on course page</t>
        </is>
      </c>
      <c r="N611" t="inlineStr"/>
      <c r="O611" t="n">
        <v>0</v>
      </c>
      <c r="P611" t="inlineStr"/>
      <c r="Q611" t="inlineStr">
        <is>
          <t>Not stated on course page</t>
        </is>
      </c>
      <c r="S611" t="inlineStr"/>
      <c r="T611" t="inlineStr">
        <is>
          <t>Held: research degree (the policy states no research requirement)</t>
        </is>
      </c>
      <c r="U611" t="inlineStr"/>
      <c r="V611" t="inlineStr">
        <is>
          <t>Filled</t>
        </is>
      </c>
      <c r="W611" t="inlineStr">
        <is>
          <t>January, February, May, September</t>
        </is>
      </c>
      <c r="X611" t="inlineStr">
        <is>
          <t>Other</t>
        </is>
      </c>
      <c r="Y611" t="n">
        <v>0</v>
      </c>
      <c r="Z611" t="inlineStr">
        <is>
          <t>No</t>
        </is>
      </c>
      <c r="AA611" t="inlineStr">
        <is>
          <t>Not stated on course page</t>
        </is>
      </c>
      <c r="AB611" t="inlineStr"/>
      <c r="AC611" t="inlineStr">
        <is>
          <t>Skipped: no correct course page: the page found is for another course</t>
        </is>
      </c>
      <c r="AD611" t="n">
        <v>0</v>
      </c>
      <c r="AE611" t="inlineStr"/>
      <c r="AF611" t="inlineStr"/>
      <c r="AG611" t="inlineStr"/>
      <c r="AH611" t="inlineStr"/>
      <c r="AI611" t="inlineStr"/>
      <c r="AJ611" t="inlineStr">
        <is>
          <t>Yes</t>
        </is>
      </c>
      <c r="AK611" t="inlineStr"/>
      <c r="AL611" t="inlineStr"/>
      <c r="AM611" t="inlineStr"/>
    </row>
    <row r="612">
      <c r="A612" t="inlineStr">
        <is>
          <t>028054M</t>
        </is>
      </c>
      <c r="B612" t="inlineStr">
        <is>
          <t>Master of Sustainable Built Environment</t>
        </is>
      </c>
      <c r="C612" t="inlineStr">
        <is>
          <t>Masters Degree (Coursework)</t>
        </is>
      </c>
      <c r="D612" t="inlineStr">
        <is>
          <t>Postgraduate coursework</t>
        </is>
      </c>
      <c r="E612" t="inlineStr">
        <is>
          <t>Advertised: official page in place</t>
        </is>
      </c>
      <c r="F612" t="inlineStr">
        <is>
          <t>https://www.handbook.unsw.edu.au/postgraduate/programs/2020/8132</t>
        </is>
      </c>
      <c r="G612" t="inlineStr">
        <is>
          <t>https://www.handbook.unsw.edu.au/postgraduate/programs/2020/8132</t>
        </is>
      </c>
      <c r="H612" t="inlineStr">
        <is>
          <t>Read</t>
        </is>
      </c>
      <c r="I612" t="inlineStr">
        <is>
          <t>CRICOS code on page</t>
        </is>
      </c>
      <c r="J612" t="inlineStr"/>
      <c r="K612" t="inlineStr">
        <is>
          <t>Not sent to re-link</t>
        </is>
      </c>
      <c r="L612" t="inlineStr">
        <is>
          <t>Filled</t>
        </is>
      </c>
      <c r="M612" t="inlineStr">
        <is>
          <t>Not stated on course page</t>
        </is>
      </c>
      <c r="N612" t="inlineStr"/>
      <c r="O612" t="n">
        <v>0</v>
      </c>
      <c r="P612" t="inlineStr"/>
      <c r="Q612" t="inlineStr">
        <is>
          <t>Filled</t>
        </is>
      </c>
      <c r="R612" t="n">
        <v>6</v>
      </c>
      <c r="S612" t="inlineStr">
        <is>
          <t>Central English policy</t>
        </is>
      </c>
      <c r="T612" t="inlineStr">
        <is>
          <t>Central rule applies (value agrees)</t>
        </is>
      </c>
      <c r="U612" t="inlineStr"/>
      <c r="V612" t="inlineStr">
        <is>
          <t>Filled</t>
        </is>
      </c>
      <c r="W612" t="inlineStr">
        <is>
          <t>February, September</t>
        </is>
      </c>
      <c r="X612" t="inlineStr">
        <is>
          <t>University adapter</t>
        </is>
      </c>
      <c r="Y612" t="n">
        <v>0</v>
      </c>
      <c r="Z612" t="inlineStr">
        <is>
          <t>No</t>
        </is>
      </c>
      <c r="AA612" t="inlineStr">
        <is>
          <t>Filled</t>
        </is>
      </c>
      <c r="AB612" t="inlineStr">
        <is>
          <t>on campus</t>
        </is>
      </c>
      <c r="AC612" t="inlineStr"/>
      <c r="AD612" t="n">
        <v>0</v>
      </c>
      <c r="AE612" t="inlineStr"/>
      <c r="AF612" t="inlineStr"/>
      <c r="AG612" t="inlineStr"/>
      <c r="AH612" t="inlineStr"/>
      <c r="AI612" t="inlineStr"/>
      <c r="AJ612" t="inlineStr"/>
      <c r="AK612" t="inlineStr"/>
      <c r="AL612" t="inlineStr"/>
      <c r="AM612" t="inlineStr"/>
    </row>
    <row r="613">
      <c r="A613" t="inlineStr">
        <is>
          <t>015849E</t>
        </is>
      </c>
      <c r="B613" t="inlineStr">
        <is>
          <t>Master of Taxation</t>
        </is>
      </c>
      <c r="C613" t="inlineStr">
        <is>
          <t>Masters Degree (Coursework)</t>
        </is>
      </c>
      <c r="D613" t="inlineStr">
        <is>
          <t>Postgraduate coursework</t>
        </is>
      </c>
      <c r="E613" t="inlineStr">
        <is>
          <t>Advertised: official page in place</t>
        </is>
      </c>
      <c r="F613" t="inlineStr">
        <is>
          <t>https://www.unsw.edu.au/study/postgraduate/master-of-taxation</t>
        </is>
      </c>
      <c r="G613" t="inlineStr">
        <is>
          <t>https://www.unsw.edu.au/study/postgraduate/master-of-taxation</t>
        </is>
      </c>
      <c r="H613" t="inlineStr">
        <is>
          <t>Read</t>
        </is>
      </c>
      <c r="I613" t="inlineStr">
        <is>
          <t>CRICOS code on page</t>
        </is>
      </c>
      <c r="J613" t="inlineStr"/>
      <c r="K613" t="inlineStr">
        <is>
          <t>Not sent to re-link</t>
        </is>
      </c>
      <c r="L613" t="inlineStr">
        <is>
          <t>Filled</t>
        </is>
      </c>
      <c r="M613" t="inlineStr">
        <is>
          <t>Filled</t>
        </is>
      </c>
      <c r="N613" t="inlineStr">
        <is>
          <t>62000.00 2026</t>
        </is>
      </c>
      <c r="O613" t="n">
        <v>0</v>
      </c>
      <c r="P613" t="inlineStr">
        <is>
          <t>University adapter</t>
        </is>
      </c>
      <c r="Q613" t="inlineStr">
        <is>
          <t>Filled</t>
        </is>
      </c>
      <c r="R613" t="n">
        <v>6</v>
      </c>
      <c r="S613" t="inlineStr">
        <is>
          <t>Central English policy</t>
        </is>
      </c>
      <c r="T613" t="inlineStr">
        <is>
          <t>Central rule applies (value agrees)</t>
        </is>
      </c>
      <c r="U613" t="inlineStr"/>
      <c r="V613" t="inlineStr">
        <is>
          <t>Filled</t>
        </is>
      </c>
      <c r="W613" t="inlineStr">
        <is>
          <t>February, May, September</t>
        </is>
      </c>
      <c r="X613" t="inlineStr">
        <is>
          <t>University adapter</t>
        </is>
      </c>
      <c r="Y613" t="n">
        <v>0</v>
      </c>
      <c r="Z613" t="inlineStr">
        <is>
          <t>No</t>
        </is>
      </c>
      <c r="AA613" t="inlineStr">
        <is>
          <t>Filled</t>
        </is>
      </c>
      <c r="AB613" t="inlineStr">
        <is>
          <t>on campus</t>
        </is>
      </c>
      <c r="AC613" t="inlineStr"/>
      <c r="AD613" t="n">
        <v>0</v>
      </c>
      <c r="AE613" t="inlineStr"/>
      <c r="AF613" t="inlineStr"/>
      <c r="AG613" t="inlineStr"/>
      <c r="AH613" t="inlineStr"/>
      <c r="AI613" t="inlineStr"/>
      <c r="AJ613" t="inlineStr"/>
      <c r="AK613" t="inlineStr"/>
      <c r="AL613" t="inlineStr"/>
      <c r="AM613" t="inlineStr"/>
    </row>
    <row r="614">
      <c r="A614" t="inlineStr">
        <is>
          <t>099104G</t>
        </is>
      </c>
      <c r="B614" t="inlineStr">
        <is>
          <t>Master of Teaching (Primary)</t>
        </is>
      </c>
      <c r="C614" t="inlineStr">
        <is>
          <t>Masters Degree (Coursework)</t>
        </is>
      </c>
      <c r="D614" t="inlineStr">
        <is>
          <t>Postgraduate coursework</t>
        </is>
      </c>
      <c r="E614" t="inlineStr">
        <is>
          <t>Advertised: official page in place</t>
        </is>
      </c>
      <c r="F614" t="inlineStr">
        <is>
          <t>https://www.unsw.edu.au/study/postgraduate/master-of-teaching-primary</t>
        </is>
      </c>
      <c r="G614" t="inlineStr">
        <is>
          <t>https://www.unsw.edu.au/study/postgraduate/master-of-teaching-primary</t>
        </is>
      </c>
      <c r="H614" t="inlineStr">
        <is>
          <t>Read</t>
        </is>
      </c>
      <c r="I614" t="inlineStr">
        <is>
          <t>CRICOS code on page</t>
        </is>
      </c>
      <c r="J614" t="inlineStr"/>
      <c r="K614" t="inlineStr">
        <is>
          <t>Not sent to re-link</t>
        </is>
      </c>
      <c r="L614" t="inlineStr">
        <is>
          <t>Filled</t>
        </is>
      </c>
      <c r="M614" t="inlineStr">
        <is>
          <t>Filled</t>
        </is>
      </c>
      <c r="N614" t="inlineStr">
        <is>
          <t>47000.00 2026</t>
        </is>
      </c>
      <c r="O614" t="n">
        <v>0</v>
      </c>
      <c r="P614" t="inlineStr">
        <is>
          <t>University adapter</t>
        </is>
      </c>
      <c r="Q614" t="inlineStr">
        <is>
          <t>Filled</t>
        </is>
      </c>
      <c r="R614" t="n">
        <v>6</v>
      </c>
      <c r="S614" t="inlineStr">
        <is>
          <t>Central English policy</t>
        </is>
      </c>
      <c r="T614" t="inlineStr">
        <is>
          <t>Central rule applies (value agrees)</t>
        </is>
      </c>
      <c r="U614" t="inlineStr"/>
      <c r="V614" t="inlineStr">
        <is>
          <t>Filled</t>
        </is>
      </c>
      <c r="W614" t="inlineStr">
        <is>
          <t>February</t>
        </is>
      </c>
      <c r="X614" t="inlineStr">
        <is>
          <t>University adapter</t>
        </is>
      </c>
      <c r="Y614" t="n">
        <v>0</v>
      </c>
      <c r="Z614" t="inlineStr">
        <is>
          <t>No</t>
        </is>
      </c>
      <c r="AA614" t="inlineStr">
        <is>
          <t>Filled</t>
        </is>
      </c>
      <c r="AB614" t="inlineStr">
        <is>
          <t>on campus and online</t>
        </is>
      </c>
      <c r="AC614" t="inlineStr"/>
      <c r="AD614" t="n">
        <v>0</v>
      </c>
      <c r="AE614" t="inlineStr"/>
      <c r="AF614" t="inlineStr"/>
      <c r="AG614" t="inlineStr"/>
      <c r="AH614" t="inlineStr"/>
      <c r="AI614" t="inlineStr"/>
      <c r="AJ614" t="inlineStr"/>
      <c r="AK614" t="inlineStr"/>
      <c r="AL614" t="inlineStr"/>
      <c r="AM614" t="inlineStr"/>
    </row>
    <row r="615">
      <c r="A615" t="inlineStr">
        <is>
          <t>073442C</t>
        </is>
      </c>
      <c r="B615" t="inlineStr">
        <is>
          <t>Master of Teaching (Secondary)</t>
        </is>
      </c>
      <c r="C615" t="inlineStr">
        <is>
          <t>Masters Degree (Coursework)</t>
        </is>
      </c>
      <c r="D615" t="inlineStr">
        <is>
          <t>Postgraduate coursework</t>
        </is>
      </c>
      <c r="E615" t="inlineStr">
        <is>
          <t>Advertised: official page in place</t>
        </is>
      </c>
      <c r="F615" t="inlineStr">
        <is>
          <t>https://www.unsw.edu.au/study/postgraduate/master-of-teaching-secondary</t>
        </is>
      </c>
      <c r="G615" t="inlineStr">
        <is>
          <t>https://www.unsw.edu.au/study/postgraduate/master-of-teaching-secondary</t>
        </is>
      </c>
      <c r="H615" t="inlineStr">
        <is>
          <t>Read</t>
        </is>
      </c>
      <c r="I615" t="inlineStr">
        <is>
          <t>CRICOS code on page</t>
        </is>
      </c>
      <c r="J615" t="inlineStr"/>
      <c r="K615" t="inlineStr">
        <is>
          <t>Not sent to re-link</t>
        </is>
      </c>
      <c r="L615" t="inlineStr">
        <is>
          <t>Filled</t>
        </is>
      </c>
      <c r="M615" t="inlineStr">
        <is>
          <t>Filled</t>
        </is>
      </c>
      <c r="N615" t="inlineStr">
        <is>
          <t>47000.00 2026</t>
        </is>
      </c>
      <c r="O615" t="n">
        <v>0</v>
      </c>
      <c r="P615" t="inlineStr">
        <is>
          <t>University adapter</t>
        </is>
      </c>
      <c r="Q615" t="inlineStr">
        <is>
          <t>Filled</t>
        </is>
      </c>
      <c r="R615" t="n">
        <v>7.5</v>
      </c>
      <c r="S615" t="inlineStr">
        <is>
          <t>Page reader</t>
        </is>
      </c>
      <c r="T615" t="inlineStr">
        <is>
          <t>Central rule applies (course value differs)</t>
        </is>
      </c>
      <c r="U615" t="inlineStr">
        <is>
          <t>Yes: course has IELTS 7.50, central rule says 6</t>
        </is>
      </c>
      <c r="V615" t="inlineStr">
        <is>
          <t>Filled</t>
        </is>
      </c>
      <c r="W615" t="inlineStr">
        <is>
          <t>February</t>
        </is>
      </c>
      <c r="X615" t="inlineStr">
        <is>
          <t>University adapter</t>
        </is>
      </c>
      <c r="Y615" t="n">
        <v>0</v>
      </c>
      <c r="Z615" t="inlineStr">
        <is>
          <t>No</t>
        </is>
      </c>
      <c r="AA615" t="inlineStr">
        <is>
          <t>Filled</t>
        </is>
      </c>
      <c r="AB615" t="inlineStr">
        <is>
          <t>on campus and online</t>
        </is>
      </c>
      <c r="AC615" t="inlineStr"/>
      <c r="AD615" t="n">
        <v>0</v>
      </c>
      <c r="AE615" t="inlineStr"/>
      <c r="AF615" t="inlineStr"/>
      <c r="AG615" t="inlineStr"/>
      <c r="AH615" t="inlineStr"/>
      <c r="AI615" t="inlineStr"/>
      <c r="AJ615" t="inlineStr"/>
      <c r="AK615" t="inlineStr"/>
      <c r="AL615" t="inlineStr"/>
      <c r="AM615" t="inlineStr"/>
    </row>
    <row r="616">
      <c r="A616" t="inlineStr">
        <is>
          <t>083234F</t>
        </is>
      </c>
      <c r="B616" t="inlineStr">
        <is>
          <t>Master of Translation</t>
        </is>
      </c>
      <c r="C616" t="inlineStr">
        <is>
          <t>Masters Degree (Coursework)</t>
        </is>
      </c>
      <c r="D616" t="inlineStr">
        <is>
          <t>Postgraduate coursework</t>
        </is>
      </c>
      <c r="E616" t="inlineStr">
        <is>
          <t>Advertised: official page in place</t>
        </is>
      </c>
      <c r="F616" t="inlineStr">
        <is>
          <t>https://www.unsw.edu.au/study/postgraduate/master-of-translation</t>
        </is>
      </c>
      <c r="G616" t="inlineStr">
        <is>
          <t>https://www.unsw.edu.au/study/postgraduate/master-of-translation</t>
        </is>
      </c>
      <c r="H616" t="inlineStr">
        <is>
          <t>Read</t>
        </is>
      </c>
      <c r="I616" t="inlineStr">
        <is>
          <t>CRICOS code on page</t>
        </is>
      </c>
      <c r="J616" t="inlineStr"/>
      <c r="K616" t="inlineStr">
        <is>
          <t>Not sent to re-link</t>
        </is>
      </c>
      <c r="L616" t="inlineStr">
        <is>
          <t>Filled</t>
        </is>
      </c>
      <c r="M616" t="inlineStr">
        <is>
          <t>Filled</t>
        </is>
      </c>
      <c r="N616" t="inlineStr">
        <is>
          <t>49500.00 2026</t>
        </is>
      </c>
      <c r="O616" t="n">
        <v>0</v>
      </c>
      <c r="P616" t="inlineStr">
        <is>
          <t>University adapter</t>
        </is>
      </c>
      <c r="Q616" t="inlineStr">
        <is>
          <t>Filled</t>
        </is>
      </c>
      <c r="R616" t="n">
        <v>6</v>
      </c>
      <c r="S616" t="inlineStr">
        <is>
          <t>Central English policy</t>
        </is>
      </c>
      <c r="T616" t="inlineStr">
        <is>
          <t>Central rule applies (value agrees)</t>
        </is>
      </c>
      <c r="U616" t="inlineStr"/>
      <c r="V616" t="inlineStr">
        <is>
          <t>Filled</t>
        </is>
      </c>
      <c r="W616" t="inlineStr">
        <is>
          <t>February, May, September</t>
        </is>
      </c>
      <c r="X616" t="inlineStr">
        <is>
          <t>University adapter</t>
        </is>
      </c>
      <c r="Y616" t="n">
        <v>0</v>
      </c>
      <c r="Z616" t="inlineStr">
        <is>
          <t>No</t>
        </is>
      </c>
      <c r="AA616" t="inlineStr">
        <is>
          <t>Filled</t>
        </is>
      </c>
      <c r="AB616" t="inlineStr">
        <is>
          <t>on campus and online</t>
        </is>
      </c>
      <c r="AC616" t="inlineStr"/>
      <c r="AD616" t="n">
        <v>0</v>
      </c>
      <c r="AE616" t="inlineStr"/>
      <c r="AF616" t="inlineStr"/>
      <c r="AG616" t="inlineStr"/>
      <c r="AH616" t="inlineStr"/>
      <c r="AI616" t="inlineStr"/>
      <c r="AJ616" t="inlineStr"/>
      <c r="AK616" t="inlineStr"/>
      <c r="AL616" t="inlineStr"/>
      <c r="AM616" t="inlineStr"/>
    </row>
    <row r="617">
      <c r="A617" t="inlineStr">
        <is>
          <t>083246B</t>
        </is>
      </c>
      <c r="B617" t="inlineStr">
        <is>
          <t>Master of Translation and Interpreting</t>
        </is>
      </c>
      <c r="C617" t="inlineStr">
        <is>
          <t>Masters Degree (Coursework)</t>
        </is>
      </c>
      <c r="D617" t="inlineStr">
        <is>
          <t>Postgraduate coursework</t>
        </is>
      </c>
      <c r="E617" t="inlineStr">
        <is>
          <t>Advertised: official page in place</t>
        </is>
      </c>
      <c r="F617" t="inlineStr">
        <is>
          <t>https://www.unsw.edu.au/study/postgraduate/master-of-translation-and-interpreting</t>
        </is>
      </c>
      <c r="G617" t="inlineStr">
        <is>
          <t>https://www.unsw.edu.au/study/postgraduate/master-of-translation-and-interpreting</t>
        </is>
      </c>
      <c r="H617" t="inlineStr">
        <is>
          <t>Read</t>
        </is>
      </c>
      <c r="I617" t="inlineStr">
        <is>
          <t>CRICOS code on page</t>
        </is>
      </c>
      <c r="J617" t="inlineStr"/>
      <c r="K617" t="inlineStr">
        <is>
          <t>Not sent to re-link</t>
        </is>
      </c>
      <c r="L617" t="inlineStr">
        <is>
          <t>Filled</t>
        </is>
      </c>
      <c r="M617" t="inlineStr">
        <is>
          <t>Filled</t>
        </is>
      </c>
      <c r="N617" t="inlineStr">
        <is>
          <t>49500.00 2026</t>
        </is>
      </c>
      <c r="O617" t="n">
        <v>0</v>
      </c>
      <c r="P617" t="inlineStr">
        <is>
          <t>University adapter</t>
        </is>
      </c>
      <c r="Q617" t="inlineStr">
        <is>
          <t>Filled</t>
        </is>
      </c>
      <c r="R617" t="n">
        <v>6</v>
      </c>
      <c r="S617" t="inlineStr">
        <is>
          <t>Central English policy</t>
        </is>
      </c>
      <c r="T617" t="inlineStr">
        <is>
          <t>Central rule applies (value agrees)</t>
        </is>
      </c>
      <c r="U617" t="inlineStr"/>
      <c r="V617" t="inlineStr">
        <is>
          <t>Filled</t>
        </is>
      </c>
      <c r="W617" t="inlineStr">
        <is>
          <t>February, May, September</t>
        </is>
      </c>
      <c r="X617" t="inlineStr">
        <is>
          <t>University adapter</t>
        </is>
      </c>
      <c r="Y617" t="n">
        <v>0</v>
      </c>
      <c r="Z617" t="inlineStr">
        <is>
          <t>No</t>
        </is>
      </c>
      <c r="AA617" t="inlineStr">
        <is>
          <t>Filled</t>
        </is>
      </c>
      <c r="AB617" t="inlineStr">
        <is>
          <t>on campus and online</t>
        </is>
      </c>
      <c r="AC617" t="inlineStr"/>
      <c r="AD617" t="n">
        <v>0</v>
      </c>
      <c r="AE617" t="inlineStr"/>
      <c r="AF617" t="inlineStr"/>
      <c r="AG617" t="inlineStr"/>
      <c r="AH617" t="inlineStr"/>
      <c r="AI617" t="inlineStr"/>
      <c r="AJ617" t="inlineStr"/>
      <c r="AK617" t="inlineStr"/>
      <c r="AL617" t="inlineStr"/>
      <c r="AM617" t="inlineStr"/>
    </row>
    <row r="618">
      <c r="A618" t="inlineStr">
        <is>
          <t>017538D</t>
        </is>
      </c>
      <c r="B618" t="inlineStr">
        <is>
          <t>Master of Urban Development and Design</t>
        </is>
      </c>
      <c r="C618" t="inlineStr">
        <is>
          <t>Masters Degree (Coursework)</t>
        </is>
      </c>
      <c r="D618" t="inlineStr">
        <is>
          <t>Postgraduate coursework</t>
        </is>
      </c>
      <c r="E618" t="inlineStr">
        <is>
          <t>Page address no longer works</t>
        </is>
      </c>
      <c r="F618" t="inlineStr"/>
      <c r="G618" t="inlineStr">
        <is>
          <t>https://www.handbook.unsw.edu.au/postgraduate/programs/2026/8141</t>
        </is>
      </c>
      <c r="H618" t="inlineStr">
        <is>
          <t>Address no longer works</t>
        </is>
      </c>
      <c r="I618" t="inlineStr"/>
      <c r="J618" t="inlineStr"/>
      <c r="K618" t="inlineStr">
        <is>
          <t>Not sent to re-link</t>
        </is>
      </c>
      <c r="L618" t="inlineStr">
        <is>
          <t>Page found, being read</t>
        </is>
      </c>
      <c r="M618" t="inlineStr">
        <is>
          <t>Page found, being read</t>
        </is>
      </c>
      <c r="N618" t="inlineStr"/>
      <c r="O618" t="n">
        <v>0</v>
      </c>
      <c r="P618" t="inlineStr"/>
      <c r="Q618" t="inlineStr">
        <is>
          <t>Filled</t>
        </is>
      </c>
      <c r="R618" t="n">
        <v>6</v>
      </c>
      <c r="S618" t="inlineStr">
        <is>
          <t>Central English policy</t>
        </is>
      </c>
      <c r="T618" t="inlineStr">
        <is>
          <t>Central rule applies (value agrees)</t>
        </is>
      </c>
      <c r="U618" t="inlineStr"/>
      <c r="V618" t="inlineStr">
        <is>
          <t>Page found, being read</t>
        </is>
      </c>
      <c r="W618" t="inlineStr"/>
      <c r="X618" t="inlineStr"/>
      <c r="Y618" t="n">
        <v>0</v>
      </c>
      <c r="Z618" t="inlineStr">
        <is>
          <t>No</t>
        </is>
      </c>
      <c r="AA618" t="inlineStr">
        <is>
          <t>Not stated on course page</t>
        </is>
      </c>
      <c r="AB618" t="inlineStr"/>
      <c r="AC618" t="inlineStr">
        <is>
          <t>Skipped: no allowed source had a value</t>
        </is>
      </c>
      <c r="AD618" t="n">
        <v>0</v>
      </c>
      <c r="AE618" t="inlineStr"/>
      <c r="AF618" t="inlineStr"/>
      <c r="AG618" t="inlineStr"/>
      <c r="AH618" t="inlineStr"/>
      <c r="AI618" t="inlineStr"/>
      <c r="AJ618" t="inlineStr"/>
      <c r="AK618" t="inlineStr"/>
      <c r="AL618" t="inlineStr"/>
      <c r="AM618" t="inlineStr"/>
    </row>
    <row r="619">
      <c r="A619" t="inlineStr">
        <is>
          <t>082794D</t>
        </is>
      </c>
      <c r="B619" t="inlineStr">
        <is>
          <t>Master of Urban Development and Design (Extension)</t>
        </is>
      </c>
      <c r="C619" t="inlineStr">
        <is>
          <t>Masters Degree (Coursework)</t>
        </is>
      </c>
      <c r="D619" t="inlineStr">
        <is>
          <t>Postgraduate coursework</t>
        </is>
      </c>
      <c r="E619" t="inlineStr">
        <is>
          <t>Page address no longer works</t>
        </is>
      </c>
      <c r="F619" t="inlineStr"/>
      <c r="G619" t="inlineStr">
        <is>
          <t>https://www.handbook.unsw.edu.au/postgraduate/programs/2026/7131</t>
        </is>
      </c>
      <c r="H619" t="inlineStr">
        <is>
          <t>Address no longer works</t>
        </is>
      </c>
      <c r="I619" t="inlineStr"/>
      <c r="J619" t="inlineStr"/>
      <c r="K619" t="inlineStr">
        <is>
          <t>Not sent to re-link</t>
        </is>
      </c>
      <c r="L619" t="inlineStr">
        <is>
          <t>Page found, being read</t>
        </is>
      </c>
      <c r="M619" t="inlineStr">
        <is>
          <t>Page found, being read</t>
        </is>
      </c>
      <c r="N619" t="inlineStr"/>
      <c r="O619" t="n">
        <v>0</v>
      </c>
      <c r="P619" t="inlineStr"/>
      <c r="Q619" t="inlineStr">
        <is>
          <t>Filled</t>
        </is>
      </c>
      <c r="R619" t="n">
        <v>6</v>
      </c>
      <c r="S619" t="inlineStr">
        <is>
          <t>Central English policy</t>
        </is>
      </c>
      <c r="T619" t="inlineStr">
        <is>
          <t>Central rule applies (value agrees)</t>
        </is>
      </c>
      <c r="U619" t="inlineStr"/>
      <c r="V619" t="inlineStr">
        <is>
          <t>Page found, being read</t>
        </is>
      </c>
      <c r="W619" t="inlineStr"/>
      <c r="X619" t="inlineStr"/>
      <c r="Y619" t="n">
        <v>0</v>
      </c>
      <c r="Z619" t="inlineStr">
        <is>
          <t>No</t>
        </is>
      </c>
      <c r="AA619" t="inlineStr">
        <is>
          <t>Not stated on course page</t>
        </is>
      </c>
      <c r="AB619" t="inlineStr"/>
      <c r="AC619" t="inlineStr">
        <is>
          <t>Skipped: no allowed source had a value</t>
        </is>
      </c>
      <c r="AD619" t="n">
        <v>0</v>
      </c>
      <c r="AE619" t="inlineStr"/>
      <c r="AF619" t="inlineStr"/>
      <c r="AG619" t="inlineStr"/>
      <c r="AH619" t="inlineStr"/>
      <c r="AI619" t="inlineStr"/>
      <c r="AJ619" t="inlineStr"/>
      <c r="AK619" t="inlineStr"/>
      <c r="AL619" t="inlineStr"/>
      <c r="AM619" t="inlineStr"/>
    </row>
    <row r="620">
      <c r="A620" t="inlineStr">
        <is>
          <t>096229G</t>
        </is>
      </c>
      <c r="B620" t="inlineStr">
        <is>
          <t>Masters of Global Health/Master of Infectious Disease Intelligence</t>
        </is>
      </c>
      <c r="C620" t="inlineStr">
        <is>
          <t>Masters Degree (Coursework)</t>
        </is>
      </c>
      <c r="D620" t="inlineStr">
        <is>
          <t>Postgraduate coursework</t>
        </is>
      </c>
      <c r="E620" t="inlineStr">
        <is>
          <t>Advertised: official page in place</t>
        </is>
      </c>
      <c r="F620" t="inlineStr">
        <is>
          <t>https://www.unsw.edu.au/study/postgraduate/master-of-global-health-infectious-diseases-intelligence</t>
        </is>
      </c>
      <c r="G620" t="inlineStr">
        <is>
          <t>https://www.unsw.edu.au/study/postgraduate/master-of-global-health-infectious-diseases-intelligence</t>
        </is>
      </c>
      <c r="H620" t="inlineStr">
        <is>
          <t>Read</t>
        </is>
      </c>
      <c r="I620" t="inlineStr">
        <is>
          <t>CRICOS code on page</t>
        </is>
      </c>
      <c r="J620" t="inlineStr"/>
      <c r="K620" t="inlineStr">
        <is>
          <t>Not sent to re-link</t>
        </is>
      </c>
      <c r="L620" t="inlineStr">
        <is>
          <t>Filled</t>
        </is>
      </c>
      <c r="M620" t="inlineStr">
        <is>
          <t>Filled</t>
        </is>
      </c>
      <c r="N620" t="inlineStr">
        <is>
          <t>60500.00 2026</t>
        </is>
      </c>
      <c r="O620" t="n">
        <v>0</v>
      </c>
      <c r="P620" t="inlineStr">
        <is>
          <t>University adapter</t>
        </is>
      </c>
      <c r="Q620" t="inlineStr">
        <is>
          <t>Filled</t>
        </is>
      </c>
      <c r="R620" t="n">
        <v>6</v>
      </c>
      <c r="S620" t="inlineStr">
        <is>
          <t>Central English policy</t>
        </is>
      </c>
      <c r="T620" t="inlineStr">
        <is>
          <t>Central rule applies (value agrees)</t>
        </is>
      </c>
      <c r="U620" t="inlineStr"/>
      <c r="V620" t="inlineStr">
        <is>
          <t>Filled</t>
        </is>
      </c>
      <c r="W620" t="inlineStr">
        <is>
          <t>February, May, September</t>
        </is>
      </c>
      <c r="X620" t="inlineStr">
        <is>
          <t>University adapter</t>
        </is>
      </c>
      <c r="Y620" t="n">
        <v>0</v>
      </c>
      <c r="Z620" t="inlineStr">
        <is>
          <t>No</t>
        </is>
      </c>
      <c r="AA620" t="inlineStr">
        <is>
          <t>Filled</t>
        </is>
      </c>
      <c r="AB620" t="inlineStr">
        <is>
          <t>on campus and online</t>
        </is>
      </c>
      <c r="AC620" t="inlineStr"/>
      <c r="AD620" t="n">
        <v>0</v>
      </c>
      <c r="AE620" t="inlineStr"/>
      <c r="AF620" t="inlineStr"/>
      <c r="AG620" t="inlineStr"/>
      <c r="AH620" t="inlineStr"/>
      <c r="AI620" t="inlineStr"/>
      <c r="AJ620" t="inlineStr"/>
      <c r="AK620" t="inlineStr"/>
      <c r="AL620" t="inlineStr"/>
      <c r="AM620" t="inlineStr"/>
    </row>
    <row r="621">
      <c r="A621" t="inlineStr">
        <is>
          <t>038258E</t>
        </is>
      </c>
      <c r="B621" t="inlineStr">
        <is>
          <t>Medical Elective</t>
        </is>
      </c>
      <c r="C621" t="inlineStr">
        <is>
          <t>Non AQF Award</t>
        </is>
      </c>
      <c r="D621" t="inlineStr">
        <is>
          <t>Non-award</t>
        </is>
      </c>
      <c r="E621" t="inlineStr">
        <is>
          <t>Held: page found is for another course</t>
        </is>
      </c>
      <c r="F621" t="inlineStr"/>
      <c r="G621" t="inlineStr">
        <is>
          <t>https://www.unsw.edu.au/medicine-health/our-schools/clinical-medicine/student-life-resources/student-opportunities/rural-elective-placement-royal-flying-doctors-service</t>
        </is>
      </c>
      <c r="H621" t="inlineStr">
        <is>
          <t>Page is for another course</t>
        </is>
      </c>
      <c r="I621" t="inlineStr"/>
      <c r="J621" t="inlineStr"/>
      <c r="K621" t="inlineStr">
        <is>
          <t>Finished, no page: no address from the university's address forms or stored lis</t>
        </is>
      </c>
      <c r="L621" t="inlineStr">
        <is>
          <t>Searching for course page</t>
        </is>
      </c>
      <c r="M621" t="inlineStr">
        <is>
          <t>Searching for course page</t>
        </is>
      </c>
      <c r="N621" t="inlineStr"/>
      <c r="O621" t="n">
        <v>0</v>
      </c>
      <c r="P621" t="inlineStr"/>
      <c r="Q621" t="inlineStr">
        <is>
          <t>Searching for course page</t>
        </is>
      </c>
      <c r="S621" t="inlineStr"/>
      <c r="T621" t="inlineStr">
        <is>
          <t>Held: level not covered by the policy default</t>
        </is>
      </c>
      <c r="U621" t="inlineStr"/>
      <c r="V621" t="inlineStr">
        <is>
          <t>Searching for course page</t>
        </is>
      </c>
      <c r="W621" t="inlineStr"/>
      <c r="X621" t="inlineStr"/>
      <c r="Y621" t="n">
        <v>0</v>
      </c>
      <c r="Z621" t="inlineStr">
        <is>
          <t>No</t>
        </is>
      </c>
      <c r="AA621" t="inlineStr">
        <is>
          <t>Not stated on course page</t>
        </is>
      </c>
      <c r="AB621" t="inlineStr"/>
      <c r="AC621" t="inlineStr">
        <is>
          <t>Skipped: no correct course page: the page found is for another course</t>
        </is>
      </c>
      <c r="AD621" t="n">
        <v>1</v>
      </c>
      <c r="AE621" t="inlineStr"/>
      <c r="AF621" t="inlineStr"/>
      <c r="AG621" t="inlineStr"/>
      <c r="AH621" t="inlineStr"/>
      <c r="AI621" t="inlineStr"/>
      <c r="AJ621" t="inlineStr">
        <is>
          <t>Yes</t>
        </is>
      </c>
      <c r="AK621" t="inlineStr"/>
      <c r="AL621" t="inlineStr"/>
      <c r="AM621" t="inlineStr"/>
    </row>
    <row r="622">
      <c r="A622" t="inlineStr">
        <is>
          <t>030462K</t>
        </is>
      </c>
      <c r="B622" t="inlineStr">
        <is>
          <t>Non Award (One Semester)</t>
        </is>
      </c>
      <c r="C622" t="inlineStr">
        <is>
          <t>Non AQF Award</t>
        </is>
      </c>
      <c r="D622" t="inlineStr">
        <is>
          <t>Non-award</t>
        </is>
      </c>
      <c r="E622" t="inlineStr">
        <is>
          <t>Held: page found is for another course</t>
        </is>
      </c>
      <c r="F622" t="inlineStr"/>
      <c r="G622" t="inlineStr">
        <is>
          <t>https://www.handbook.unsw.edu.au/undergraduate/programs/2026/7016</t>
        </is>
      </c>
      <c r="H622" t="inlineStr">
        <is>
          <t>Page is for another course</t>
        </is>
      </c>
      <c r="I622" t="inlineStr"/>
      <c r="J622" t="inlineStr"/>
      <c r="K622" t="inlineStr">
        <is>
          <t>Finished, no page: no address from the university's address forms or stored lis</t>
        </is>
      </c>
      <c r="L622" t="inlineStr">
        <is>
          <t>Searching for course page</t>
        </is>
      </c>
      <c r="M622" t="inlineStr">
        <is>
          <t>Searching for course page</t>
        </is>
      </c>
      <c r="N622" t="inlineStr"/>
      <c r="O622" t="n">
        <v>0</v>
      </c>
      <c r="P622" t="inlineStr"/>
      <c r="Q622" t="inlineStr">
        <is>
          <t>Searching for course page</t>
        </is>
      </c>
      <c r="S622" t="inlineStr"/>
      <c r="T622" t="inlineStr">
        <is>
          <t>Held: level not covered by the policy default</t>
        </is>
      </c>
      <c r="U622" t="inlineStr"/>
      <c r="V622" t="inlineStr">
        <is>
          <t>Searching for course page</t>
        </is>
      </c>
      <c r="W622" t="inlineStr"/>
      <c r="X622" t="inlineStr"/>
      <c r="Y622" t="n">
        <v>0</v>
      </c>
      <c r="Z622" t="inlineStr">
        <is>
          <t>No</t>
        </is>
      </c>
      <c r="AA622" t="inlineStr">
        <is>
          <t>Not stated on course page</t>
        </is>
      </c>
      <c r="AB622" t="inlineStr"/>
      <c r="AC622" t="inlineStr">
        <is>
          <t>Skipped: no correct course page: the page found is for another course</t>
        </is>
      </c>
      <c r="AD622" t="n">
        <v>0</v>
      </c>
      <c r="AE622" t="inlineStr"/>
      <c r="AF622" t="inlineStr"/>
      <c r="AG622" t="inlineStr"/>
      <c r="AH622" t="inlineStr"/>
      <c r="AI622" t="inlineStr"/>
      <c r="AJ622" t="inlineStr">
        <is>
          <t>Yes</t>
        </is>
      </c>
      <c r="AK622" t="inlineStr"/>
      <c r="AL622" t="inlineStr"/>
      <c r="AM622" t="inlineStr"/>
    </row>
    <row r="623">
      <c r="A623" t="inlineStr">
        <is>
          <t>030461M</t>
        </is>
      </c>
      <c r="B623" t="inlineStr">
        <is>
          <t>Non Award (One Year)</t>
        </is>
      </c>
      <c r="C623" t="inlineStr">
        <is>
          <t>Non AQF Award</t>
        </is>
      </c>
      <c r="D623" t="inlineStr">
        <is>
          <t>Non-award</t>
        </is>
      </c>
      <c r="E623" t="inlineStr">
        <is>
          <t>Held: page found is for another course</t>
        </is>
      </c>
      <c r="F623" t="inlineStr"/>
      <c r="G623" t="inlineStr">
        <is>
          <t>https://portal.insight.unsw.edu.au/nawd-admn-na/</t>
        </is>
      </c>
      <c r="H623" t="inlineStr">
        <is>
          <t>Page is for another course</t>
        </is>
      </c>
      <c r="I623" t="inlineStr"/>
      <c r="J623" t="inlineStr"/>
      <c r="K623" t="inlineStr">
        <is>
          <t>Finished, no page: no address from the university's address forms or stored lis</t>
        </is>
      </c>
      <c r="L623" t="inlineStr">
        <is>
          <t>Searching for course page</t>
        </is>
      </c>
      <c r="M623" t="inlineStr">
        <is>
          <t>Searching for course page</t>
        </is>
      </c>
      <c r="N623" t="inlineStr"/>
      <c r="O623" t="n">
        <v>0</v>
      </c>
      <c r="P623" t="inlineStr"/>
      <c r="Q623" t="inlineStr">
        <is>
          <t>Searching for course page</t>
        </is>
      </c>
      <c r="S623" t="inlineStr"/>
      <c r="T623" t="inlineStr">
        <is>
          <t>Held: level not covered by the policy default</t>
        </is>
      </c>
      <c r="U623" t="inlineStr"/>
      <c r="V623" t="inlineStr">
        <is>
          <t>Searching for course page</t>
        </is>
      </c>
      <c r="W623" t="inlineStr"/>
      <c r="X623" t="inlineStr"/>
      <c r="Y623" t="n">
        <v>0</v>
      </c>
      <c r="Z623" t="inlineStr">
        <is>
          <t>No</t>
        </is>
      </c>
      <c r="AA623" t="inlineStr">
        <is>
          <t>Not stated on course page</t>
        </is>
      </c>
      <c r="AB623" t="inlineStr"/>
      <c r="AC623" t="inlineStr">
        <is>
          <t>Skipped: the page does not state it</t>
        </is>
      </c>
      <c r="AD623" t="n">
        <v>0</v>
      </c>
      <c r="AE623" t="inlineStr"/>
      <c r="AF623" t="inlineStr"/>
      <c r="AG623" t="inlineStr"/>
      <c r="AH623" t="inlineStr"/>
      <c r="AI623" t="inlineStr"/>
      <c r="AJ623" t="inlineStr">
        <is>
          <t>Yes</t>
        </is>
      </c>
      <c r="AK623" t="inlineStr"/>
      <c r="AL623" t="inlineStr"/>
      <c r="AM623" t="inlineStr"/>
    </row>
    <row r="624">
      <c r="A624" t="inlineStr">
        <is>
          <t>085755J</t>
        </is>
      </c>
      <c r="B624" t="inlineStr">
        <is>
          <t>Non-Award Undergraduate Exchange Program</t>
        </is>
      </c>
      <c r="C624" t="inlineStr">
        <is>
          <t>Non AQF Award</t>
        </is>
      </c>
      <c r="D624" t="inlineStr">
        <is>
          <t>Non-award</t>
        </is>
      </c>
      <c r="E624" t="inlineStr">
        <is>
          <t>Held: page found is for another course</t>
        </is>
      </c>
      <c r="F624" t="inlineStr"/>
      <c r="G624" t="inlineStr">
        <is>
          <t>https://www.unsw.edu.au/law-justice/study/short-courses/non-award-and-single-courses</t>
        </is>
      </c>
      <c r="H624" t="inlineStr">
        <is>
          <t>Page is for another course</t>
        </is>
      </c>
      <c r="I624" t="inlineStr"/>
      <c r="J624" t="inlineStr"/>
      <c r="K624" t="inlineStr">
        <is>
          <t>Finished, no page: no address from the university's address forms or stored lis</t>
        </is>
      </c>
      <c r="L624" t="inlineStr">
        <is>
          <t>Searching for course page</t>
        </is>
      </c>
      <c r="M624" t="inlineStr">
        <is>
          <t>Searching for course page</t>
        </is>
      </c>
      <c r="N624" t="inlineStr"/>
      <c r="O624" t="n">
        <v>0</v>
      </c>
      <c r="P624" t="inlineStr"/>
      <c r="Q624" t="inlineStr">
        <is>
          <t>Searching for course page</t>
        </is>
      </c>
      <c r="S624" t="inlineStr"/>
      <c r="T624" t="inlineStr">
        <is>
          <t>Held: level not covered by the policy default</t>
        </is>
      </c>
      <c r="U624" t="inlineStr"/>
      <c r="V624" t="inlineStr">
        <is>
          <t>Searching for course page</t>
        </is>
      </c>
      <c r="W624" t="inlineStr"/>
      <c r="X624" t="inlineStr"/>
      <c r="Y624" t="n">
        <v>0</v>
      </c>
      <c r="Z624" t="inlineStr">
        <is>
          <t>No</t>
        </is>
      </c>
      <c r="AA624" t="inlineStr">
        <is>
          <t>Not stated on course page</t>
        </is>
      </c>
      <c r="AB624" t="inlineStr"/>
      <c r="AC624" t="inlineStr">
        <is>
          <t>Skipped: the page does not state it</t>
        </is>
      </c>
      <c r="AD624" t="n">
        <v>0</v>
      </c>
      <c r="AE624" t="inlineStr"/>
      <c r="AF624" t="inlineStr"/>
      <c r="AG624" t="inlineStr"/>
      <c r="AH624" t="inlineStr"/>
      <c r="AI624" t="inlineStr"/>
      <c r="AJ624" t="inlineStr">
        <is>
          <t>Yes</t>
        </is>
      </c>
      <c r="AK624" t="inlineStr"/>
      <c r="AL624" t="inlineStr"/>
      <c r="AM624" t="inlineStr"/>
    </row>
    <row r="625">
      <c r="A625" t="inlineStr">
        <is>
          <t>051429D</t>
        </is>
      </c>
      <c r="B625" t="inlineStr">
        <is>
          <t>Postgraduate International Placement Program</t>
        </is>
      </c>
      <c r="C625" t="inlineStr">
        <is>
          <t>Masters Degree (Coursework)</t>
        </is>
      </c>
      <c r="D625" t="inlineStr">
        <is>
          <t>Postgraduate coursework</t>
        </is>
      </c>
      <c r="E625" t="inlineStr">
        <is>
          <t>Held: page found is for another course</t>
        </is>
      </c>
      <c r="F625" t="inlineStr"/>
      <c r="G625" t="inlineStr">
        <is>
          <t>https://www.unsw.edu.au/employability/courses/wil-placement</t>
        </is>
      </c>
      <c r="H625" t="inlineStr">
        <is>
          <t>Page is for another course</t>
        </is>
      </c>
      <c r="I625" t="inlineStr"/>
      <c r="J625" t="inlineStr"/>
      <c r="K625" t="inlineStr">
        <is>
          <t>Finished, no page: no address from the university's address forms or stored lis</t>
        </is>
      </c>
      <c r="L625" t="inlineStr">
        <is>
          <t>Searching for course page</t>
        </is>
      </c>
      <c r="M625" t="inlineStr">
        <is>
          <t>Searching for course page</t>
        </is>
      </c>
      <c r="N625" t="inlineStr"/>
      <c r="O625" t="n">
        <v>0</v>
      </c>
      <c r="P625" t="inlineStr"/>
      <c r="Q625" t="inlineStr">
        <is>
          <t>Filled</t>
        </is>
      </c>
      <c r="R625" t="n">
        <v>6</v>
      </c>
      <c r="S625" t="inlineStr">
        <is>
          <t>Central English policy</t>
        </is>
      </c>
      <c r="T625" t="inlineStr">
        <is>
          <t>Central rule applies (value agrees)</t>
        </is>
      </c>
      <c r="U625" t="inlineStr"/>
      <c r="V625" t="inlineStr">
        <is>
          <t>Searching for course page</t>
        </is>
      </c>
      <c r="W625" t="inlineStr"/>
      <c r="X625" t="inlineStr"/>
      <c r="Y625" t="n">
        <v>0</v>
      </c>
      <c r="Z625" t="inlineStr">
        <is>
          <t>No</t>
        </is>
      </c>
      <c r="AA625" t="inlineStr">
        <is>
          <t>Not stated on course page</t>
        </is>
      </c>
      <c r="AB625" t="inlineStr"/>
      <c r="AC625" t="inlineStr">
        <is>
          <t>Skipped: no correct course page: the page found is for another course</t>
        </is>
      </c>
      <c r="AD625" t="n">
        <v>1</v>
      </c>
      <c r="AE625" t="inlineStr"/>
      <c r="AF625" t="inlineStr"/>
      <c r="AG625" t="inlineStr"/>
      <c r="AH625" t="inlineStr"/>
      <c r="AI625" t="inlineStr"/>
      <c r="AJ625" t="inlineStr"/>
      <c r="AK625" t="inlineStr"/>
      <c r="AL625" t="inlineStr"/>
      <c r="AM625" t="inlineStr"/>
    </row>
    <row r="626">
      <c r="A626" t="inlineStr">
        <is>
          <t>051433G</t>
        </is>
      </c>
      <c r="B626" t="inlineStr">
        <is>
          <t>Postgraduate International Placement Program</t>
        </is>
      </c>
      <c r="C626" t="inlineStr">
        <is>
          <t>Masters Degree (Coursework)</t>
        </is>
      </c>
      <c r="D626" t="inlineStr">
        <is>
          <t>Postgraduate coursework</t>
        </is>
      </c>
      <c r="E626" t="inlineStr">
        <is>
          <t>Held: page found is for another course</t>
        </is>
      </c>
      <c r="F626" t="inlineStr"/>
      <c r="G626" t="inlineStr">
        <is>
          <t>https://www.unsw.edu.au/study/postgraduate</t>
        </is>
      </c>
      <c r="H626" t="inlineStr">
        <is>
          <t>Page is for another course</t>
        </is>
      </c>
      <c r="I626" t="inlineStr"/>
      <c r="J626" t="inlineStr"/>
      <c r="K626" t="inlineStr">
        <is>
          <t>Finished, no page: no address from the university's address forms or stored lis</t>
        </is>
      </c>
      <c r="L626" t="inlineStr">
        <is>
          <t>Searching for course page</t>
        </is>
      </c>
      <c r="M626" t="inlineStr">
        <is>
          <t>Searching for course page</t>
        </is>
      </c>
      <c r="N626" t="inlineStr"/>
      <c r="O626" t="n">
        <v>0</v>
      </c>
      <c r="P626" t="inlineStr"/>
      <c r="Q626" t="inlineStr">
        <is>
          <t>Filled</t>
        </is>
      </c>
      <c r="R626" t="n">
        <v>6</v>
      </c>
      <c r="S626" t="inlineStr">
        <is>
          <t>Central English policy</t>
        </is>
      </c>
      <c r="T626" t="inlineStr">
        <is>
          <t>Central rule applies (value agrees)</t>
        </is>
      </c>
      <c r="U626" t="inlineStr"/>
      <c r="V626" t="inlineStr">
        <is>
          <t>Searching for course page</t>
        </is>
      </c>
      <c r="W626" t="inlineStr"/>
      <c r="X626" t="inlineStr"/>
      <c r="Y626" t="n">
        <v>0</v>
      </c>
      <c r="Z626" t="inlineStr">
        <is>
          <t>No</t>
        </is>
      </c>
      <c r="AA626" t="inlineStr">
        <is>
          <t>Not stated on course page</t>
        </is>
      </c>
      <c r="AB626" t="inlineStr"/>
      <c r="AC626" t="inlineStr">
        <is>
          <t>Skipped: the page does not state it</t>
        </is>
      </c>
      <c r="AD626" t="n">
        <v>0</v>
      </c>
      <c r="AE626" t="inlineStr"/>
      <c r="AF626" t="inlineStr"/>
      <c r="AG626" t="inlineStr"/>
      <c r="AH626" t="inlineStr"/>
      <c r="AI626" t="inlineStr"/>
      <c r="AJ626" t="inlineStr"/>
      <c r="AK626" t="inlineStr"/>
      <c r="AL626" t="inlineStr"/>
      <c r="AM626" t="inlineStr"/>
    </row>
    <row r="627">
      <c r="A627" t="inlineStr">
        <is>
          <t>051438C</t>
        </is>
      </c>
      <c r="B627" t="inlineStr">
        <is>
          <t>Postgraduate International Placement Program</t>
        </is>
      </c>
      <c r="C627" t="inlineStr">
        <is>
          <t>Masters Degree (Coursework)</t>
        </is>
      </c>
      <c r="D627" t="inlineStr">
        <is>
          <t>Postgraduate coursework</t>
        </is>
      </c>
      <c r="E627" t="inlineStr">
        <is>
          <t>Held: page found is for another course</t>
        </is>
      </c>
      <c r="F627" t="inlineStr"/>
      <c r="G627" t="inlineStr">
        <is>
          <t>https://www.unsw.edu.au/employability/courses/wil-placement</t>
        </is>
      </c>
      <c r="H627" t="inlineStr">
        <is>
          <t>Page is for another course</t>
        </is>
      </c>
      <c r="I627" t="inlineStr"/>
      <c r="J627" t="inlineStr"/>
      <c r="K627" t="inlineStr">
        <is>
          <t>Finished, no page: no address from the university's address forms or stored lis</t>
        </is>
      </c>
      <c r="L627" t="inlineStr">
        <is>
          <t>Searching for course page</t>
        </is>
      </c>
      <c r="M627" t="inlineStr">
        <is>
          <t>Searching for course page</t>
        </is>
      </c>
      <c r="N627" t="inlineStr"/>
      <c r="O627" t="n">
        <v>0</v>
      </c>
      <c r="P627" t="inlineStr"/>
      <c r="Q627" t="inlineStr">
        <is>
          <t>Filled</t>
        </is>
      </c>
      <c r="R627" t="n">
        <v>6</v>
      </c>
      <c r="S627" t="inlineStr">
        <is>
          <t>Central English policy</t>
        </is>
      </c>
      <c r="T627" t="inlineStr">
        <is>
          <t>Central rule applies (value agrees)</t>
        </is>
      </c>
      <c r="U627" t="inlineStr"/>
      <c r="V627" t="inlineStr">
        <is>
          <t>Searching for course page</t>
        </is>
      </c>
      <c r="W627" t="inlineStr"/>
      <c r="X627" t="inlineStr"/>
      <c r="Y627" t="n">
        <v>0</v>
      </c>
      <c r="Z627" t="inlineStr">
        <is>
          <t>No</t>
        </is>
      </c>
      <c r="AA627" t="inlineStr">
        <is>
          <t>Not stated on course page</t>
        </is>
      </c>
      <c r="AB627" t="inlineStr"/>
      <c r="AC627" t="inlineStr">
        <is>
          <t>Skipped: no correct course page: the page found is for another course</t>
        </is>
      </c>
      <c r="AD627" t="n">
        <v>1</v>
      </c>
      <c r="AE627" t="inlineStr"/>
      <c r="AF627" t="inlineStr"/>
      <c r="AG627" t="inlineStr"/>
      <c r="AH627" t="inlineStr"/>
      <c r="AI627" t="inlineStr"/>
      <c r="AJ627" t="inlineStr"/>
      <c r="AK627" t="inlineStr"/>
      <c r="AL627" t="inlineStr"/>
      <c r="AM627" t="inlineStr"/>
    </row>
    <row r="628">
      <c r="A628" t="inlineStr">
        <is>
          <t>051430M</t>
        </is>
      </c>
      <c r="B628" t="inlineStr">
        <is>
          <t>Postgraduate International Placement Program</t>
        </is>
      </c>
      <c r="C628" t="inlineStr">
        <is>
          <t>Masters Degree (Coursework)</t>
        </is>
      </c>
      <c r="D628" t="inlineStr">
        <is>
          <t>Postgraduate coursework</t>
        </is>
      </c>
      <c r="E628" t="inlineStr">
        <is>
          <t>Held: page found is for another course</t>
        </is>
      </c>
      <c r="F628" t="inlineStr"/>
      <c r="G628" t="inlineStr">
        <is>
          <t>https://www.unsw.edu.au/employability/courses/wil-placement</t>
        </is>
      </c>
      <c r="H628" t="inlineStr">
        <is>
          <t>Page is for another course</t>
        </is>
      </c>
      <c r="I628" t="inlineStr"/>
      <c r="J628" t="inlineStr"/>
      <c r="K628" t="inlineStr">
        <is>
          <t>Finished, no page: no address from the university's address forms or stored lis</t>
        </is>
      </c>
      <c r="L628" t="inlineStr">
        <is>
          <t>Searching for course page</t>
        </is>
      </c>
      <c r="M628" t="inlineStr">
        <is>
          <t>Searching for course page</t>
        </is>
      </c>
      <c r="N628" t="inlineStr"/>
      <c r="O628" t="n">
        <v>0</v>
      </c>
      <c r="P628" t="inlineStr"/>
      <c r="Q628" t="inlineStr">
        <is>
          <t>Filled</t>
        </is>
      </c>
      <c r="R628" t="n">
        <v>6</v>
      </c>
      <c r="S628" t="inlineStr">
        <is>
          <t>Central English policy</t>
        </is>
      </c>
      <c r="T628" t="inlineStr">
        <is>
          <t>Central rule applies (value agrees)</t>
        </is>
      </c>
      <c r="U628" t="inlineStr"/>
      <c r="V628" t="inlineStr">
        <is>
          <t>Searching for course page</t>
        </is>
      </c>
      <c r="W628" t="inlineStr"/>
      <c r="X628" t="inlineStr"/>
      <c r="Y628" t="n">
        <v>0</v>
      </c>
      <c r="Z628" t="inlineStr">
        <is>
          <t>No</t>
        </is>
      </c>
      <c r="AA628" t="inlineStr">
        <is>
          <t>Not stated on course page</t>
        </is>
      </c>
      <c r="AB628" t="inlineStr"/>
      <c r="AC628" t="inlineStr">
        <is>
          <t>Skipped: no correct course page: the page found is for another course</t>
        </is>
      </c>
      <c r="AD628" t="n">
        <v>1</v>
      </c>
      <c r="AE628" t="inlineStr"/>
      <c r="AF628" t="inlineStr"/>
      <c r="AG628" t="inlineStr"/>
      <c r="AH628" t="inlineStr"/>
      <c r="AI628" t="inlineStr"/>
      <c r="AJ628" t="inlineStr"/>
      <c r="AK628" t="inlineStr"/>
      <c r="AL628" t="inlineStr"/>
      <c r="AM628" t="inlineStr"/>
    </row>
    <row r="629">
      <c r="A629" t="inlineStr">
        <is>
          <t>051428E</t>
        </is>
      </c>
      <c r="B629" t="inlineStr">
        <is>
          <t>Postgraduate International Placement Program</t>
        </is>
      </c>
      <c r="C629" t="inlineStr">
        <is>
          <t>Masters Degree (Coursework)</t>
        </is>
      </c>
      <c r="D629" t="inlineStr">
        <is>
          <t>Postgraduate coursework</t>
        </is>
      </c>
      <c r="E629" t="inlineStr">
        <is>
          <t>Held: page found is for another course</t>
        </is>
      </c>
      <c r="F629" t="inlineStr"/>
      <c r="G629" t="inlineStr">
        <is>
          <t>https://www.unsw.edu.au/study/postgraduate</t>
        </is>
      </c>
      <c r="H629" t="inlineStr">
        <is>
          <t>Page is for another course</t>
        </is>
      </c>
      <c r="I629" t="inlineStr"/>
      <c r="J629" t="inlineStr"/>
      <c r="K629" t="inlineStr">
        <is>
          <t>Finished, no page: no address from the university's address forms or stored lis</t>
        </is>
      </c>
      <c r="L629" t="inlineStr">
        <is>
          <t>Searching for course page</t>
        </is>
      </c>
      <c r="M629" t="inlineStr">
        <is>
          <t>Searching for course page</t>
        </is>
      </c>
      <c r="N629" t="inlineStr"/>
      <c r="O629" t="n">
        <v>0</v>
      </c>
      <c r="P629" t="inlineStr"/>
      <c r="Q629" t="inlineStr">
        <is>
          <t>Filled</t>
        </is>
      </c>
      <c r="R629" t="n">
        <v>6</v>
      </c>
      <c r="S629" t="inlineStr">
        <is>
          <t>Central English policy</t>
        </is>
      </c>
      <c r="T629" t="inlineStr">
        <is>
          <t>Central rule applies (value agrees)</t>
        </is>
      </c>
      <c r="U629" t="inlineStr"/>
      <c r="V629" t="inlineStr">
        <is>
          <t>Searching for course page</t>
        </is>
      </c>
      <c r="W629" t="inlineStr"/>
      <c r="X629" t="inlineStr"/>
      <c r="Y629" t="n">
        <v>0</v>
      </c>
      <c r="Z629" t="inlineStr">
        <is>
          <t>No</t>
        </is>
      </c>
      <c r="AA629" t="inlineStr">
        <is>
          <t>Not stated on course page</t>
        </is>
      </c>
      <c r="AB629" t="inlineStr"/>
      <c r="AC629" t="inlineStr">
        <is>
          <t>Skipped: the page does not state it</t>
        </is>
      </c>
      <c r="AD629" t="n">
        <v>0</v>
      </c>
      <c r="AE629" t="inlineStr"/>
      <c r="AF629" t="inlineStr"/>
      <c r="AG629" t="inlineStr"/>
      <c r="AH629" t="inlineStr"/>
      <c r="AI629" t="inlineStr"/>
      <c r="AJ629" t="inlineStr"/>
      <c r="AK629" t="inlineStr"/>
      <c r="AL629" t="inlineStr"/>
      <c r="AM629" t="inlineStr"/>
    </row>
    <row r="630">
      <c r="A630" t="inlineStr">
        <is>
          <t>051442G</t>
        </is>
      </c>
      <c r="B630" t="inlineStr">
        <is>
          <t>Postgraduate International Placement Program</t>
        </is>
      </c>
      <c r="C630" t="inlineStr">
        <is>
          <t>Masters Degree (Coursework)</t>
        </is>
      </c>
      <c r="D630" t="inlineStr">
        <is>
          <t>Postgraduate coursework</t>
        </is>
      </c>
      <c r="E630" t="inlineStr">
        <is>
          <t>No-page record (no page), awaiting review</t>
        </is>
      </c>
      <c r="F630" t="inlineStr"/>
      <c r="G630" t="inlineStr">
        <is>
          <t>https://www.unsw.edu.au/study/postgraduate</t>
        </is>
      </c>
      <c r="H630" t="inlineStr">
        <is>
          <t>Page is for another course</t>
        </is>
      </c>
      <c r="I630" t="inlineStr"/>
      <c r="J630" t="inlineStr">
        <is>
          <t>No page (proposed)</t>
        </is>
      </c>
      <c r="K630" t="inlineStr">
        <is>
          <t>Finished, no page: no address from the university's address forms or stored lis</t>
        </is>
      </c>
      <c r="L630" t="inlineStr">
        <is>
          <t>Searching for course page</t>
        </is>
      </c>
      <c r="M630" t="inlineStr">
        <is>
          <t>Searching for course page</t>
        </is>
      </c>
      <c r="N630" t="inlineStr"/>
      <c r="O630" t="n">
        <v>0</v>
      </c>
      <c r="P630" t="inlineStr"/>
      <c r="Q630" t="inlineStr">
        <is>
          <t>Filled</t>
        </is>
      </c>
      <c r="R630" t="n">
        <v>6</v>
      </c>
      <c r="S630" t="inlineStr">
        <is>
          <t>Central English policy</t>
        </is>
      </c>
      <c r="T630" t="inlineStr">
        <is>
          <t>Central rule applies (value agrees)</t>
        </is>
      </c>
      <c r="U630" t="inlineStr"/>
      <c r="V630" t="inlineStr">
        <is>
          <t>Searching for course page</t>
        </is>
      </c>
      <c r="W630" t="inlineStr"/>
      <c r="X630" t="inlineStr"/>
      <c r="Y630" t="n">
        <v>0</v>
      </c>
      <c r="Z630" t="inlineStr">
        <is>
          <t>No</t>
        </is>
      </c>
      <c r="AA630" t="inlineStr">
        <is>
          <t>Not stated on course page</t>
        </is>
      </c>
      <c r="AB630" t="inlineStr"/>
      <c r="AC630" t="inlineStr">
        <is>
          <t>Skipped: the page does not state it</t>
        </is>
      </c>
      <c r="AD630" t="n">
        <v>0</v>
      </c>
      <c r="AE630" t="inlineStr"/>
      <c r="AF630" t="inlineStr"/>
      <c r="AG630" t="inlineStr"/>
      <c r="AH630" t="inlineStr"/>
      <c r="AI630" t="inlineStr"/>
      <c r="AJ630" t="inlineStr"/>
      <c r="AK630" t="inlineStr"/>
      <c r="AL630" t="inlineStr"/>
      <c r="AM630" t="inlineStr">
        <is>
          <t>Yes</t>
        </is>
      </c>
    </row>
    <row r="631">
      <c r="A631" t="inlineStr">
        <is>
          <t>051443F</t>
        </is>
      </c>
      <c r="B631" t="inlineStr">
        <is>
          <t>Postgraduate International Placement Program</t>
        </is>
      </c>
      <c r="C631" t="inlineStr">
        <is>
          <t>Masters Degree (Coursework)</t>
        </is>
      </c>
      <c r="D631" t="inlineStr">
        <is>
          <t>Postgraduate coursework</t>
        </is>
      </c>
      <c r="E631" t="inlineStr">
        <is>
          <t>Held: page found is for another course</t>
        </is>
      </c>
      <c r="F631" t="inlineStr"/>
      <c r="G631" t="inlineStr">
        <is>
          <t>https://www.unsw.edu.au/employability/courses/wil-placement</t>
        </is>
      </c>
      <c r="H631" t="inlineStr">
        <is>
          <t>Page is for another course</t>
        </is>
      </c>
      <c r="I631" t="inlineStr"/>
      <c r="J631" t="inlineStr"/>
      <c r="K631" t="inlineStr">
        <is>
          <t>Finished, no page: no address from the university's address forms or stored lis</t>
        </is>
      </c>
      <c r="L631" t="inlineStr">
        <is>
          <t>Searching for course page</t>
        </is>
      </c>
      <c r="M631" t="inlineStr">
        <is>
          <t>Searching for course page</t>
        </is>
      </c>
      <c r="N631" t="inlineStr"/>
      <c r="O631" t="n">
        <v>0</v>
      </c>
      <c r="P631" t="inlineStr"/>
      <c r="Q631" t="inlineStr">
        <is>
          <t>Filled</t>
        </is>
      </c>
      <c r="R631" t="n">
        <v>6</v>
      </c>
      <c r="S631" t="inlineStr">
        <is>
          <t>Central English policy</t>
        </is>
      </c>
      <c r="T631" t="inlineStr">
        <is>
          <t>Central rule applies (value agrees)</t>
        </is>
      </c>
      <c r="U631" t="inlineStr"/>
      <c r="V631" t="inlineStr">
        <is>
          <t>Searching for course page</t>
        </is>
      </c>
      <c r="W631" t="inlineStr"/>
      <c r="X631" t="inlineStr"/>
      <c r="Y631" t="n">
        <v>0</v>
      </c>
      <c r="Z631" t="inlineStr">
        <is>
          <t>No</t>
        </is>
      </c>
      <c r="AA631" t="inlineStr">
        <is>
          <t>Not stated on course page</t>
        </is>
      </c>
      <c r="AB631" t="inlineStr"/>
      <c r="AC631" t="inlineStr">
        <is>
          <t>Skipped: no correct course page: the page found is for another course</t>
        </is>
      </c>
      <c r="AD631" t="n">
        <v>1</v>
      </c>
      <c r="AE631" t="inlineStr"/>
      <c r="AF631" t="inlineStr"/>
      <c r="AG631" t="inlineStr"/>
      <c r="AH631" t="inlineStr"/>
      <c r="AI631" t="inlineStr"/>
      <c r="AJ631" t="inlineStr"/>
      <c r="AK631" t="inlineStr"/>
      <c r="AL631" t="inlineStr"/>
      <c r="AM631" t="inlineStr"/>
    </row>
    <row r="632">
      <c r="A632" t="inlineStr">
        <is>
          <t>051437D</t>
        </is>
      </c>
      <c r="B632" t="inlineStr">
        <is>
          <t>Postgraduate International Placement Program</t>
        </is>
      </c>
      <c r="C632" t="inlineStr">
        <is>
          <t>Masters Degree (Coursework)</t>
        </is>
      </c>
      <c r="D632" t="inlineStr">
        <is>
          <t>Postgraduate coursework</t>
        </is>
      </c>
      <c r="E632" t="inlineStr">
        <is>
          <t>Held: page found is for another course</t>
        </is>
      </c>
      <c r="F632" t="inlineStr"/>
      <c r="G632" t="inlineStr">
        <is>
          <t>https://www.unsw.edu.au/employability/courses/wil-placement</t>
        </is>
      </c>
      <c r="H632" t="inlineStr">
        <is>
          <t>Page is for another course</t>
        </is>
      </c>
      <c r="I632" t="inlineStr"/>
      <c r="J632" t="inlineStr"/>
      <c r="K632" t="inlineStr">
        <is>
          <t>Finished, no page: no address from the university's address forms or stored lis</t>
        </is>
      </c>
      <c r="L632" t="inlineStr">
        <is>
          <t>Searching for course page</t>
        </is>
      </c>
      <c r="M632" t="inlineStr">
        <is>
          <t>Searching for course page</t>
        </is>
      </c>
      <c r="N632" t="inlineStr"/>
      <c r="O632" t="n">
        <v>0</v>
      </c>
      <c r="P632" t="inlineStr"/>
      <c r="Q632" t="inlineStr">
        <is>
          <t>Filled</t>
        </is>
      </c>
      <c r="R632" t="n">
        <v>6</v>
      </c>
      <c r="S632" t="inlineStr">
        <is>
          <t>Central English policy</t>
        </is>
      </c>
      <c r="T632" t="inlineStr">
        <is>
          <t>Central rule applies (value agrees)</t>
        </is>
      </c>
      <c r="U632" t="inlineStr"/>
      <c r="V632" t="inlineStr">
        <is>
          <t>Searching for course page</t>
        </is>
      </c>
      <c r="W632" t="inlineStr"/>
      <c r="X632" t="inlineStr"/>
      <c r="Y632" t="n">
        <v>0</v>
      </c>
      <c r="Z632" t="inlineStr">
        <is>
          <t>No</t>
        </is>
      </c>
      <c r="AA632" t="inlineStr">
        <is>
          <t>Not stated on course page</t>
        </is>
      </c>
      <c r="AB632" t="inlineStr"/>
      <c r="AC632" t="inlineStr">
        <is>
          <t>Skipped: no correct course page: the page found is for another course</t>
        </is>
      </c>
      <c r="AD632" t="n">
        <v>1</v>
      </c>
      <c r="AE632" t="inlineStr"/>
      <c r="AF632" t="inlineStr"/>
      <c r="AG632" t="inlineStr"/>
      <c r="AH632" t="inlineStr"/>
      <c r="AI632" t="inlineStr"/>
      <c r="AJ632" t="inlineStr"/>
      <c r="AK632" t="inlineStr"/>
      <c r="AL632" t="inlineStr"/>
      <c r="AM632" t="inlineStr"/>
    </row>
    <row r="633">
      <c r="A633" t="inlineStr">
        <is>
          <t>051440J</t>
        </is>
      </c>
      <c r="B633" t="inlineStr">
        <is>
          <t>Postgraduate International Placement Program</t>
        </is>
      </c>
      <c r="C633" t="inlineStr">
        <is>
          <t>Masters Degree (Coursework)</t>
        </is>
      </c>
      <c r="D633" t="inlineStr">
        <is>
          <t>Postgraduate coursework</t>
        </is>
      </c>
      <c r="E633" t="inlineStr">
        <is>
          <t>Held: page found is for another course</t>
        </is>
      </c>
      <c r="F633" t="inlineStr"/>
      <c r="G633" t="inlineStr">
        <is>
          <t>https://www.unsw.edu.au/study/postgraduate</t>
        </is>
      </c>
      <c r="H633" t="inlineStr">
        <is>
          <t>Page is for another course</t>
        </is>
      </c>
      <c r="I633" t="inlineStr"/>
      <c r="J633" t="inlineStr"/>
      <c r="K633" t="inlineStr">
        <is>
          <t>Finished, no page: no address from the university's address forms or stored lis</t>
        </is>
      </c>
      <c r="L633" t="inlineStr">
        <is>
          <t>Searching for course page</t>
        </is>
      </c>
      <c r="M633" t="inlineStr">
        <is>
          <t>Searching for course page</t>
        </is>
      </c>
      <c r="N633" t="inlineStr"/>
      <c r="O633" t="n">
        <v>0</v>
      </c>
      <c r="P633" t="inlineStr"/>
      <c r="Q633" t="inlineStr">
        <is>
          <t>Filled</t>
        </is>
      </c>
      <c r="R633" t="n">
        <v>6</v>
      </c>
      <c r="S633" t="inlineStr">
        <is>
          <t>Central English policy</t>
        </is>
      </c>
      <c r="T633" t="inlineStr">
        <is>
          <t>Central rule applies (value agrees)</t>
        </is>
      </c>
      <c r="U633" t="inlineStr"/>
      <c r="V633" t="inlineStr">
        <is>
          <t>Searching for course page</t>
        </is>
      </c>
      <c r="W633" t="inlineStr"/>
      <c r="X633" t="inlineStr"/>
      <c r="Y633" t="n">
        <v>0</v>
      </c>
      <c r="Z633" t="inlineStr">
        <is>
          <t>No</t>
        </is>
      </c>
      <c r="AA633" t="inlineStr">
        <is>
          <t>Not stated on course page</t>
        </is>
      </c>
      <c r="AB633" t="inlineStr"/>
      <c r="AC633" t="inlineStr">
        <is>
          <t>Skipped: the page does not state it</t>
        </is>
      </c>
      <c r="AD633" t="n">
        <v>0</v>
      </c>
      <c r="AE633" t="inlineStr"/>
      <c r="AF633" t="inlineStr"/>
      <c r="AG633" t="inlineStr"/>
      <c r="AH633" t="inlineStr"/>
      <c r="AI633" t="inlineStr"/>
      <c r="AJ633" t="inlineStr"/>
      <c r="AK633" t="inlineStr"/>
      <c r="AL633" t="inlineStr"/>
      <c r="AM633" t="inlineStr"/>
    </row>
    <row r="634">
      <c r="A634" t="inlineStr">
        <is>
          <t>051439B</t>
        </is>
      </c>
      <c r="B634" t="inlineStr">
        <is>
          <t>Postgraduate International Placement Program</t>
        </is>
      </c>
      <c r="C634" t="inlineStr">
        <is>
          <t>Masters Degree (Coursework)</t>
        </is>
      </c>
      <c r="D634" t="inlineStr">
        <is>
          <t>Postgraduate coursework</t>
        </is>
      </c>
      <c r="E634" t="inlineStr">
        <is>
          <t>No-page record (no page), awaiting review</t>
        </is>
      </c>
      <c r="F634" t="inlineStr"/>
      <c r="G634" t="inlineStr">
        <is>
          <t>https://www.unsw.edu.au/study/postgraduate</t>
        </is>
      </c>
      <c r="H634" t="inlineStr">
        <is>
          <t>Page is for another course</t>
        </is>
      </c>
      <c r="I634" t="inlineStr"/>
      <c r="J634" t="inlineStr">
        <is>
          <t>No page (proposed)</t>
        </is>
      </c>
      <c r="K634" t="inlineStr">
        <is>
          <t>Finished, no page: no address from the university's address forms or stored lis</t>
        </is>
      </c>
      <c r="L634" t="inlineStr">
        <is>
          <t>Searching for course page</t>
        </is>
      </c>
      <c r="M634" t="inlineStr">
        <is>
          <t>Searching for course page</t>
        </is>
      </c>
      <c r="N634" t="inlineStr"/>
      <c r="O634" t="n">
        <v>0</v>
      </c>
      <c r="P634" t="inlineStr"/>
      <c r="Q634" t="inlineStr">
        <is>
          <t>Filled</t>
        </is>
      </c>
      <c r="R634" t="n">
        <v>6</v>
      </c>
      <c r="S634" t="inlineStr">
        <is>
          <t>Central English policy</t>
        </is>
      </c>
      <c r="T634" t="inlineStr">
        <is>
          <t>Central rule applies (value agrees)</t>
        </is>
      </c>
      <c r="U634" t="inlineStr"/>
      <c r="V634" t="inlineStr">
        <is>
          <t>Searching for course page</t>
        </is>
      </c>
      <c r="W634" t="inlineStr"/>
      <c r="X634" t="inlineStr"/>
      <c r="Y634" t="n">
        <v>0</v>
      </c>
      <c r="Z634" t="inlineStr">
        <is>
          <t>No</t>
        </is>
      </c>
      <c r="AA634" t="inlineStr">
        <is>
          <t>Not stated on course page</t>
        </is>
      </c>
      <c r="AB634" t="inlineStr"/>
      <c r="AC634" t="inlineStr">
        <is>
          <t>Skipped: the page does not state it</t>
        </is>
      </c>
      <c r="AD634" t="n">
        <v>0</v>
      </c>
      <c r="AE634" t="inlineStr"/>
      <c r="AF634" t="inlineStr"/>
      <c r="AG634" t="inlineStr"/>
      <c r="AH634" t="inlineStr"/>
      <c r="AI634" t="inlineStr"/>
      <c r="AJ634" t="inlineStr"/>
      <c r="AK634" t="inlineStr"/>
      <c r="AL634" t="inlineStr"/>
      <c r="AM634" t="inlineStr">
        <is>
          <t>Yes</t>
        </is>
      </c>
    </row>
    <row r="635">
      <c r="A635" t="inlineStr">
        <is>
          <t>051432J</t>
        </is>
      </c>
      <c r="B635" t="inlineStr">
        <is>
          <t>Postgraduate International Placement Program</t>
        </is>
      </c>
      <c r="C635" t="inlineStr">
        <is>
          <t>Masters Degree (Coursework)</t>
        </is>
      </c>
      <c r="D635" t="inlineStr">
        <is>
          <t>Postgraduate coursework</t>
        </is>
      </c>
      <c r="E635" t="inlineStr">
        <is>
          <t>Held: page found is for another course</t>
        </is>
      </c>
      <c r="F635" t="inlineStr"/>
      <c r="G635" t="inlineStr">
        <is>
          <t>https://www.unsw.edu.au/study/postgraduate</t>
        </is>
      </c>
      <c r="H635" t="inlineStr">
        <is>
          <t>Page is for another course</t>
        </is>
      </c>
      <c r="I635" t="inlineStr"/>
      <c r="J635" t="inlineStr"/>
      <c r="K635" t="inlineStr">
        <is>
          <t>Finished, no page: no address from the university's address forms or stored lis</t>
        </is>
      </c>
      <c r="L635" t="inlineStr">
        <is>
          <t>Searching for course page</t>
        </is>
      </c>
      <c r="M635" t="inlineStr">
        <is>
          <t>Searching for course page</t>
        </is>
      </c>
      <c r="N635" t="inlineStr"/>
      <c r="O635" t="n">
        <v>0</v>
      </c>
      <c r="P635" t="inlineStr"/>
      <c r="Q635" t="inlineStr">
        <is>
          <t>Filled</t>
        </is>
      </c>
      <c r="R635" t="n">
        <v>6</v>
      </c>
      <c r="S635" t="inlineStr">
        <is>
          <t>Central English policy</t>
        </is>
      </c>
      <c r="T635" t="inlineStr">
        <is>
          <t>Central rule applies (value agrees)</t>
        </is>
      </c>
      <c r="U635" t="inlineStr"/>
      <c r="V635" t="inlineStr">
        <is>
          <t>Searching for course page</t>
        </is>
      </c>
      <c r="W635" t="inlineStr"/>
      <c r="X635" t="inlineStr"/>
      <c r="Y635" t="n">
        <v>0</v>
      </c>
      <c r="Z635" t="inlineStr">
        <is>
          <t>No</t>
        </is>
      </c>
      <c r="AA635" t="inlineStr">
        <is>
          <t>Not stated on course page</t>
        </is>
      </c>
      <c r="AB635" t="inlineStr"/>
      <c r="AC635" t="inlineStr">
        <is>
          <t>Skipped: the page does not state it</t>
        </is>
      </c>
      <c r="AD635" t="n">
        <v>0</v>
      </c>
      <c r="AE635" t="inlineStr"/>
      <c r="AF635" t="inlineStr"/>
      <c r="AG635" t="inlineStr"/>
      <c r="AH635" t="inlineStr"/>
      <c r="AI635" t="inlineStr"/>
      <c r="AJ635" t="inlineStr"/>
      <c r="AK635" t="inlineStr"/>
      <c r="AL635" t="inlineStr"/>
      <c r="AM635" t="inlineStr"/>
    </row>
    <row r="636">
      <c r="A636" t="inlineStr">
        <is>
          <t>051424J</t>
        </is>
      </c>
      <c r="B636" t="inlineStr">
        <is>
          <t>Postgraduate International Placement Program</t>
        </is>
      </c>
      <c r="C636" t="inlineStr">
        <is>
          <t>Masters Degree (Coursework)</t>
        </is>
      </c>
      <c r="D636" t="inlineStr">
        <is>
          <t>Postgraduate coursework</t>
        </is>
      </c>
      <c r="E636" t="inlineStr">
        <is>
          <t>Held: page found is for another course</t>
        </is>
      </c>
      <c r="F636" t="inlineStr"/>
      <c r="G636" t="inlineStr">
        <is>
          <t>https://www.unsw.edu.au/study/postgraduate</t>
        </is>
      </c>
      <c r="H636" t="inlineStr">
        <is>
          <t>Page is for another course</t>
        </is>
      </c>
      <c r="I636" t="inlineStr"/>
      <c r="J636" t="inlineStr"/>
      <c r="K636" t="inlineStr">
        <is>
          <t>Finished, no page: no address from the university's address forms or stored lis</t>
        </is>
      </c>
      <c r="L636" t="inlineStr">
        <is>
          <t>Searching for course page</t>
        </is>
      </c>
      <c r="M636" t="inlineStr">
        <is>
          <t>Searching for course page</t>
        </is>
      </c>
      <c r="N636" t="inlineStr"/>
      <c r="O636" t="n">
        <v>0</v>
      </c>
      <c r="P636" t="inlineStr"/>
      <c r="Q636" t="inlineStr">
        <is>
          <t>Filled</t>
        </is>
      </c>
      <c r="R636" t="n">
        <v>6</v>
      </c>
      <c r="S636" t="inlineStr">
        <is>
          <t>Central English policy</t>
        </is>
      </c>
      <c r="T636" t="inlineStr">
        <is>
          <t>Central rule applies (value agrees)</t>
        </is>
      </c>
      <c r="U636" t="inlineStr"/>
      <c r="V636" t="inlineStr">
        <is>
          <t>Searching for course page</t>
        </is>
      </c>
      <c r="W636" t="inlineStr"/>
      <c r="X636" t="inlineStr"/>
      <c r="Y636" t="n">
        <v>0</v>
      </c>
      <c r="Z636" t="inlineStr">
        <is>
          <t>No</t>
        </is>
      </c>
      <c r="AA636" t="inlineStr">
        <is>
          <t>Not stated on course page</t>
        </is>
      </c>
      <c r="AB636" t="inlineStr"/>
      <c r="AC636" t="inlineStr">
        <is>
          <t>Skipped: the page does not state it</t>
        </is>
      </c>
      <c r="AD636" t="n">
        <v>0</v>
      </c>
      <c r="AE636" t="inlineStr"/>
      <c r="AF636" t="inlineStr"/>
      <c r="AG636" t="inlineStr"/>
      <c r="AH636" t="inlineStr"/>
      <c r="AI636" t="inlineStr"/>
      <c r="AJ636" t="inlineStr"/>
      <c r="AK636" t="inlineStr"/>
      <c r="AL636" t="inlineStr"/>
      <c r="AM636" t="inlineStr"/>
    </row>
    <row r="637">
      <c r="A637" t="inlineStr">
        <is>
          <t>051441G</t>
        </is>
      </c>
      <c r="B637" t="inlineStr">
        <is>
          <t>Postgraduate International Placement Program</t>
        </is>
      </c>
      <c r="C637" t="inlineStr">
        <is>
          <t>Masters Degree (Coursework)</t>
        </is>
      </c>
      <c r="D637" t="inlineStr">
        <is>
          <t>Postgraduate coursework</t>
        </is>
      </c>
      <c r="E637" t="inlineStr">
        <is>
          <t>Held: page found is for another course</t>
        </is>
      </c>
      <c r="F637" t="inlineStr"/>
      <c r="G637" t="inlineStr">
        <is>
          <t>https://www.unsw.edu.au/employability/courses/wil-placement</t>
        </is>
      </c>
      <c r="H637" t="inlineStr">
        <is>
          <t>Page is for another course</t>
        </is>
      </c>
      <c r="I637" t="inlineStr"/>
      <c r="J637" t="inlineStr"/>
      <c r="K637" t="inlineStr">
        <is>
          <t>Finished, no page: no address from the university's address forms or stored lis</t>
        </is>
      </c>
      <c r="L637" t="inlineStr">
        <is>
          <t>Searching for course page</t>
        </is>
      </c>
      <c r="M637" t="inlineStr">
        <is>
          <t>Searching for course page</t>
        </is>
      </c>
      <c r="N637" t="inlineStr"/>
      <c r="O637" t="n">
        <v>0</v>
      </c>
      <c r="P637" t="inlineStr"/>
      <c r="Q637" t="inlineStr">
        <is>
          <t>Filled</t>
        </is>
      </c>
      <c r="R637" t="n">
        <v>6</v>
      </c>
      <c r="S637" t="inlineStr">
        <is>
          <t>Central English policy</t>
        </is>
      </c>
      <c r="T637" t="inlineStr">
        <is>
          <t>Central rule applies (value agrees)</t>
        </is>
      </c>
      <c r="U637" t="inlineStr"/>
      <c r="V637" t="inlineStr">
        <is>
          <t>Searching for course page</t>
        </is>
      </c>
      <c r="W637" t="inlineStr"/>
      <c r="X637" t="inlineStr"/>
      <c r="Y637" t="n">
        <v>0</v>
      </c>
      <c r="Z637" t="inlineStr">
        <is>
          <t>No</t>
        </is>
      </c>
      <c r="AA637" t="inlineStr">
        <is>
          <t>Not stated on course page</t>
        </is>
      </c>
      <c r="AB637" t="inlineStr"/>
      <c r="AC637" t="inlineStr">
        <is>
          <t>Skipped: no correct course page: the page found is for another course</t>
        </is>
      </c>
      <c r="AD637" t="n">
        <v>1</v>
      </c>
      <c r="AE637" t="inlineStr"/>
      <c r="AF637" t="inlineStr"/>
      <c r="AG637" t="inlineStr"/>
      <c r="AH637" t="inlineStr"/>
      <c r="AI637" t="inlineStr"/>
      <c r="AJ637" t="inlineStr"/>
      <c r="AK637" t="inlineStr"/>
      <c r="AL637" t="inlineStr"/>
      <c r="AM637" t="inlineStr"/>
    </row>
    <row r="638">
      <c r="A638" t="inlineStr">
        <is>
          <t>051426G</t>
        </is>
      </c>
      <c r="B638" t="inlineStr">
        <is>
          <t>Postgraduate International Placement Program</t>
        </is>
      </c>
      <c r="C638" t="inlineStr">
        <is>
          <t>Masters Degree (Coursework)</t>
        </is>
      </c>
      <c r="D638" t="inlineStr">
        <is>
          <t>Postgraduate coursework</t>
        </is>
      </c>
      <c r="E638" t="inlineStr">
        <is>
          <t>Held: page found is for another course</t>
        </is>
      </c>
      <c r="F638" t="inlineStr"/>
      <c r="G638" t="inlineStr">
        <is>
          <t>https://www.unsw.edu.au/study/postgraduate</t>
        </is>
      </c>
      <c r="H638" t="inlineStr">
        <is>
          <t>Page is for another course</t>
        </is>
      </c>
      <c r="I638" t="inlineStr"/>
      <c r="J638" t="inlineStr"/>
      <c r="K638" t="inlineStr">
        <is>
          <t>Finished, no page: no address from the university's address forms or stored lis</t>
        </is>
      </c>
      <c r="L638" t="inlineStr">
        <is>
          <t>Searching for course page</t>
        </is>
      </c>
      <c r="M638" t="inlineStr">
        <is>
          <t>Searching for course page</t>
        </is>
      </c>
      <c r="N638" t="inlineStr"/>
      <c r="O638" t="n">
        <v>0</v>
      </c>
      <c r="P638" t="inlineStr"/>
      <c r="Q638" t="inlineStr">
        <is>
          <t>Filled</t>
        </is>
      </c>
      <c r="R638" t="n">
        <v>6</v>
      </c>
      <c r="S638" t="inlineStr">
        <is>
          <t>Central English policy</t>
        </is>
      </c>
      <c r="T638" t="inlineStr">
        <is>
          <t>Central rule applies (value agrees)</t>
        </is>
      </c>
      <c r="U638" t="inlineStr"/>
      <c r="V638" t="inlineStr">
        <is>
          <t>Searching for course page</t>
        </is>
      </c>
      <c r="W638" t="inlineStr"/>
      <c r="X638" t="inlineStr"/>
      <c r="Y638" t="n">
        <v>0</v>
      </c>
      <c r="Z638" t="inlineStr">
        <is>
          <t>No</t>
        </is>
      </c>
      <c r="AA638" t="inlineStr">
        <is>
          <t>Not stated on course page</t>
        </is>
      </c>
      <c r="AB638" t="inlineStr"/>
      <c r="AC638" t="inlineStr">
        <is>
          <t>Skipped: the page does not state it</t>
        </is>
      </c>
      <c r="AD638" t="n">
        <v>0</v>
      </c>
      <c r="AE638" t="inlineStr"/>
      <c r="AF638" t="inlineStr"/>
      <c r="AG638" t="inlineStr"/>
      <c r="AH638" t="inlineStr"/>
      <c r="AI638" t="inlineStr"/>
      <c r="AJ638" t="inlineStr"/>
      <c r="AK638" t="inlineStr"/>
      <c r="AL638" t="inlineStr"/>
      <c r="AM638" t="inlineStr"/>
    </row>
    <row r="639">
      <c r="A639" t="inlineStr">
        <is>
          <t>051431K</t>
        </is>
      </c>
      <c r="B639" t="inlineStr">
        <is>
          <t>Postgraduate International Placement Program</t>
        </is>
      </c>
      <c r="C639" t="inlineStr">
        <is>
          <t>Masters Degree (Coursework)</t>
        </is>
      </c>
      <c r="D639" t="inlineStr">
        <is>
          <t>Postgraduate coursework</t>
        </is>
      </c>
      <c r="E639" t="inlineStr">
        <is>
          <t>Held: page found is for another course</t>
        </is>
      </c>
      <c r="F639" t="inlineStr"/>
      <c r="G639" t="inlineStr">
        <is>
          <t>https://www.unsw.edu.au/employability/courses/wil-placement</t>
        </is>
      </c>
      <c r="H639" t="inlineStr">
        <is>
          <t>Page is for another course</t>
        </is>
      </c>
      <c r="I639" t="inlineStr"/>
      <c r="J639" t="inlineStr"/>
      <c r="K639" t="inlineStr">
        <is>
          <t>Finished, no page: no address from the university's address forms or stored lis</t>
        </is>
      </c>
      <c r="L639" t="inlineStr">
        <is>
          <t>Searching for course page</t>
        </is>
      </c>
      <c r="M639" t="inlineStr">
        <is>
          <t>Searching for course page</t>
        </is>
      </c>
      <c r="N639" t="inlineStr"/>
      <c r="O639" t="n">
        <v>0</v>
      </c>
      <c r="P639" t="inlineStr"/>
      <c r="Q639" t="inlineStr">
        <is>
          <t>Filled</t>
        </is>
      </c>
      <c r="R639" t="n">
        <v>6</v>
      </c>
      <c r="S639" t="inlineStr">
        <is>
          <t>Central English policy</t>
        </is>
      </c>
      <c r="T639" t="inlineStr">
        <is>
          <t>Central rule applies (value agrees)</t>
        </is>
      </c>
      <c r="U639" t="inlineStr"/>
      <c r="V639" t="inlineStr">
        <is>
          <t>Searching for course page</t>
        </is>
      </c>
      <c r="W639" t="inlineStr"/>
      <c r="X639" t="inlineStr"/>
      <c r="Y639" t="n">
        <v>0</v>
      </c>
      <c r="Z639" t="inlineStr">
        <is>
          <t>No</t>
        </is>
      </c>
      <c r="AA639" t="inlineStr">
        <is>
          <t>Not stated on course page</t>
        </is>
      </c>
      <c r="AB639" t="inlineStr"/>
      <c r="AC639" t="inlineStr">
        <is>
          <t>Skipped: no correct course page: the page found is for another course</t>
        </is>
      </c>
      <c r="AD639" t="n">
        <v>1</v>
      </c>
      <c r="AE639" t="inlineStr"/>
      <c r="AF639" t="inlineStr"/>
      <c r="AG639" t="inlineStr"/>
      <c r="AH639" t="inlineStr"/>
      <c r="AI639" t="inlineStr"/>
      <c r="AJ639" t="inlineStr"/>
      <c r="AK639" t="inlineStr"/>
      <c r="AL639" t="inlineStr"/>
      <c r="AM639" t="inlineStr"/>
    </row>
    <row r="640">
      <c r="A640" t="inlineStr">
        <is>
          <t>022160B</t>
        </is>
      </c>
      <c r="B640" t="inlineStr">
        <is>
          <t>Postgraduate Practicum (All Faculties)</t>
        </is>
      </c>
      <c r="C640" t="inlineStr">
        <is>
          <t>Non AQF Award</t>
        </is>
      </c>
      <c r="D640" t="inlineStr">
        <is>
          <t>Non-award</t>
        </is>
      </c>
      <c r="E640" t="inlineStr">
        <is>
          <t>No page found</t>
        </is>
      </c>
      <c r="F640" t="inlineStr"/>
      <c r="G640" t="inlineStr"/>
      <c r="H640" t="inlineStr"/>
      <c r="I640" t="inlineStr"/>
      <c r="J640" t="inlineStr"/>
      <c r="K640" t="inlineStr">
        <is>
          <t>Not sent to re-link</t>
        </is>
      </c>
      <c r="L640" t="inlineStr">
        <is>
          <t>Searching for course page</t>
        </is>
      </c>
      <c r="M640" t="inlineStr">
        <is>
          <t>Searching for course page</t>
        </is>
      </c>
      <c r="N640" t="inlineStr"/>
      <c r="O640" t="n">
        <v>0</v>
      </c>
      <c r="P640" t="inlineStr"/>
      <c r="Q640" t="inlineStr">
        <is>
          <t>Searching for course page</t>
        </is>
      </c>
      <c r="S640" t="inlineStr"/>
      <c r="T640" t="inlineStr">
        <is>
          <t>Held: level not covered by the policy default</t>
        </is>
      </c>
      <c r="U640" t="inlineStr"/>
      <c r="V640" t="inlineStr">
        <is>
          <t>Searching for course page</t>
        </is>
      </c>
      <c r="W640" t="inlineStr"/>
      <c r="X640" t="inlineStr"/>
      <c r="Y640" t="n">
        <v>0</v>
      </c>
      <c r="Z640" t="inlineStr">
        <is>
          <t>No</t>
        </is>
      </c>
      <c r="AA640" t="inlineStr">
        <is>
          <t>Not stated on course page</t>
        </is>
      </c>
      <c r="AB640" t="inlineStr"/>
      <c r="AC640" t="inlineStr">
        <is>
          <t>Skipped: no allowed source had a value</t>
        </is>
      </c>
      <c r="AD640" t="n">
        <v>0</v>
      </c>
      <c r="AE640" t="inlineStr"/>
      <c r="AF640" t="inlineStr"/>
      <c r="AG640" t="inlineStr"/>
      <c r="AH640" t="inlineStr"/>
      <c r="AI640" t="inlineStr"/>
      <c r="AJ640" t="inlineStr">
        <is>
          <t>Yes</t>
        </is>
      </c>
      <c r="AK640" t="inlineStr"/>
      <c r="AL640" t="inlineStr"/>
      <c r="AM640" t="inlineStr"/>
    </row>
    <row r="641">
      <c r="A641" t="inlineStr">
        <is>
          <t>042283C</t>
        </is>
      </c>
      <c r="B641" t="inlineStr">
        <is>
          <t>Postgraduate Qualifying Program (Commerce - PhD only)</t>
        </is>
      </c>
      <c r="C641" t="inlineStr">
        <is>
          <t>Non AQF Award</t>
        </is>
      </c>
      <c r="D641" t="inlineStr">
        <is>
          <t>Non-award</t>
        </is>
      </c>
      <c r="E641" t="inlineStr">
        <is>
          <t>Held: page found is for another course</t>
        </is>
      </c>
      <c r="F641" t="inlineStr"/>
      <c r="G641" t="inlineStr">
        <is>
          <t>https://www.unsw.edu.au/study/postgraduate/master-of-commerce-extension</t>
        </is>
      </c>
      <c r="H641" t="inlineStr">
        <is>
          <t>Page is for another course</t>
        </is>
      </c>
      <c r="I641" t="inlineStr"/>
      <c r="J641" t="inlineStr"/>
      <c r="K641" t="inlineStr">
        <is>
          <t>Finished, no page: no address from the university's address forms or stored lis</t>
        </is>
      </c>
      <c r="L641" t="inlineStr">
        <is>
          <t>Searching for course page</t>
        </is>
      </c>
      <c r="M641" t="inlineStr">
        <is>
          <t>Searching for course page</t>
        </is>
      </c>
      <c r="N641" t="inlineStr"/>
      <c r="O641" t="n">
        <v>0</v>
      </c>
      <c r="P641" t="inlineStr"/>
      <c r="Q641" t="inlineStr">
        <is>
          <t>Searching for course page</t>
        </is>
      </c>
      <c r="S641" t="inlineStr"/>
      <c r="T641" t="inlineStr">
        <is>
          <t>Held: level not covered by the policy default</t>
        </is>
      </c>
      <c r="U641" t="inlineStr"/>
      <c r="V641" t="inlineStr">
        <is>
          <t>Searching for course page</t>
        </is>
      </c>
      <c r="W641" t="inlineStr"/>
      <c r="X641" t="inlineStr"/>
      <c r="Y641" t="n">
        <v>0</v>
      </c>
      <c r="Z641" t="inlineStr">
        <is>
          <t>No</t>
        </is>
      </c>
      <c r="AA641" t="inlineStr">
        <is>
          <t>Not stated on course page</t>
        </is>
      </c>
      <c r="AB641" t="inlineStr"/>
      <c r="AC641" t="inlineStr">
        <is>
          <t>Skipped: no correct course page: the page found is for another course</t>
        </is>
      </c>
      <c r="AD641" t="n">
        <v>1</v>
      </c>
      <c r="AE641" t="inlineStr"/>
      <c r="AF641" t="inlineStr"/>
      <c r="AG641" t="inlineStr"/>
      <c r="AH641" t="inlineStr"/>
      <c r="AI641" t="inlineStr"/>
      <c r="AJ641" t="inlineStr">
        <is>
          <t>Yes</t>
        </is>
      </c>
      <c r="AK641" t="inlineStr"/>
      <c r="AL641" t="inlineStr"/>
      <c r="AM641" t="inlineStr"/>
    </row>
    <row r="642">
      <c r="A642" t="inlineStr">
        <is>
          <t>041995A</t>
        </is>
      </c>
      <c r="B642" t="inlineStr">
        <is>
          <t>Postgraduate Qualifying Program Research (Science or Engineering)</t>
        </is>
      </c>
      <c r="C642" t="inlineStr">
        <is>
          <t>Non AQF Award</t>
        </is>
      </c>
      <c r="D642" t="inlineStr">
        <is>
          <t>Non-award</t>
        </is>
      </c>
      <c r="E642" t="inlineStr">
        <is>
          <t>No-page record (no page), awaiting review</t>
        </is>
      </c>
      <c r="F642" t="inlineStr"/>
      <c r="G642" t="inlineStr">
        <is>
          <t>https://www.unsw.edu.au/study/postgraduate/master-of-engineering-science-nuclear-engineering</t>
        </is>
      </c>
      <c r="H642" t="inlineStr">
        <is>
          <t>Page is for another course</t>
        </is>
      </c>
      <c r="I642" t="inlineStr"/>
      <c r="J642" t="inlineStr">
        <is>
          <t>No page (proposed)</t>
        </is>
      </c>
      <c r="K642" t="inlineStr">
        <is>
          <t>Finished, no page: no address from the university's address forms or stored lis</t>
        </is>
      </c>
      <c r="L642" t="inlineStr">
        <is>
          <t>Searching for course page</t>
        </is>
      </c>
      <c r="M642" t="inlineStr">
        <is>
          <t>Searching for course page</t>
        </is>
      </c>
      <c r="N642" t="inlineStr"/>
      <c r="O642" t="n">
        <v>0</v>
      </c>
      <c r="P642" t="inlineStr"/>
      <c r="Q642" t="inlineStr">
        <is>
          <t>Searching for course page</t>
        </is>
      </c>
      <c r="S642" t="inlineStr"/>
      <c r="T642" t="inlineStr">
        <is>
          <t>Held: level not covered by the policy default</t>
        </is>
      </c>
      <c r="U642" t="inlineStr"/>
      <c r="V642" t="inlineStr">
        <is>
          <t>Searching for course page</t>
        </is>
      </c>
      <c r="W642" t="inlineStr"/>
      <c r="X642" t="inlineStr"/>
      <c r="Y642" t="n">
        <v>0</v>
      </c>
      <c r="Z642" t="inlineStr">
        <is>
          <t>No</t>
        </is>
      </c>
      <c r="AA642" t="inlineStr">
        <is>
          <t>Not stated on course page</t>
        </is>
      </c>
      <c r="AB642" t="inlineStr"/>
      <c r="AC642" t="inlineStr">
        <is>
          <t>Skipped: no correct course page: the page found is for another course</t>
        </is>
      </c>
      <c r="AD642" t="n">
        <v>0</v>
      </c>
      <c r="AE642" t="inlineStr"/>
      <c r="AF642" t="inlineStr"/>
      <c r="AG642" t="inlineStr"/>
      <c r="AH642" t="inlineStr"/>
      <c r="AI642" t="inlineStr"/>
      <c r="AJ642" t="inlineStr">
        <is>
          <t>Yes</t>
        </is>
      </c>
      <c r="AK642" t="inlineStr"/>
      <c r="AL642" t="inlineStr"/>
      <c r="AM642" t="inlineStr">
        <is>
          <t>Yes</t>
        </is>
      </c>
    </row>
    <row r="643">
      <c r="A643" t="inlineStr">
        <is>
          <t>085750C</t>
        </is>
      </c>
      <c r="B643" t="inlineStr">
        <is>
          <t>Professional Practicum</t>
        </is>
      </c>
      <c r="C643" t="inlineStr">
        <is>
          <t>Non AQF Award</t>
        </is>
      </c>
      <c r="D643" t="inlineStr">
        <is>
          <t>Non-award</t>
        </is>
      </c>
      <c r="E643" t="inlineStr">
        <is>
          <t>Held: page found is for another course</t>
        </is>
      </c>
      <c r="F643" t="inlineStr"/>
      <c r="G643" t="inlineStr">
        <is>
          <t>https://www.student.unsw.edu.au/notices/2025/04/acicis-professional-practicum-programs-2025-new-colombo-plan-grants-available</t>
        </is>
      </c>
      <c r="H643" t="inlineStr">
        <is>
          <t>Page is for another course</t>
        </is>
      </c>
      <c r="I643" t="inlineStr"/>
      <c r="J643" t="inlineStr"/>
      <c r="K643" t="inlineStr">
        <is>
          <t>Finished, no page: no address from the university's address forms or stored lis</t>
        </is>
      </c>
      <c r="L643" t="inlineStr">
        <is>
          <t>Searching for course page</t>
        </is>
      </c>
      <c r="M643" t="inlineStr">
        <is>
          <t>Searching for course page</t>
        </is>
      </c>
      <c r="N643" t="inlineStr"/>
      <c r="O643" t="n">
        <v>0</v>
      </c>
      <c r="P643" t="inlineStr"/>
      <c r="Q643" t="inlineStr">
        <is>
          <t>Searching for course page</t>
        </is>
      </c>
      <c r="S643" t="inlineStr"/>
      <c r="T643" t="inlineStr">
        <is>
          <t>Held: level not covered by the policy default</t>
        </is>
      </c>
      <c r="U643" t="inlineStr"/>
      <c r="V643" t="inlineStr">
        <is>
          <t>Searching for course page</t>
        </is>
      </c>
      <c r="W643" t="inlineStr"/>
      <c r="X643" t="inlineStr"/>
      <c r="Y643" t="n">
        <v>0</v>
      </c>
      <c r="Z643" t="inlineStr">
        <is>
          <t>No</t>
        </is>
      </c>
      <c r="AA643" t="inlineStr">
        <is>
          <t>Not stated on course page</t>
        </is>
      </c>
      <c r="AB643" t="inlineStr"/>
      <c r="AC643" t="inlineStr">
        <is>
          <t>Skipped: no correct course page: the page found is for another course</t>
        </is>
      </c>
      <c r="AD643" t="n">
        <v>1</v>
      </c>
      <c r="AE643" t="inlineStr"/>
      <c r="AF643" t="inlineStr"/>
      <c r="AG643" t="inlineStr"/>
      <c r="AH643" t="inlineStr"/>
      <c r="AI643" t="inlineStr"/>
      <c r="AJ643" t="inlineStr">
        <is>
          <t>Yes</t>
        </is>
      </c>
      <c r="AK643" t="inlineStr"/>
      <c r="AL643" t="inlineStr"/>
      <c r="AM643" t="inlineStr"/>
    </row>
    <row r="644">
      <c r="A644" t="inlineStr">
        <is>
          <t>085758F</t>
        </is>
      </c>
      <c r="B644" t="inlineStr">
        <is>
          <t>Professional Practicum</t>
        </is>
      </c>
      <c r="C644" t="inlineStr">
        <is>
          <t>Non AQF Award</t>
        </is>
      </c>
      <c r="D644" t="inlineStr">
        <is>
          <t>Non-award</t>
        </is>
      </c>
      <c r="E644" t="inlineStr">
        <is>
          <t>Held: page found is for another course</t>
        </is>
      </c>
      <c r="F644" t="inlineStr"/>
      <c r="G644" t="inlineStr">
        <is>
          <t>https://www.student.unsw.edu.au/notices/2023/05/acicis-professional-practicum-internship-programs-new-colombo-plan-grants-available</t>
        </is>
      </c>
      <c r="H644" t="inlineStr">
        <is>
          <t>Page is for another course</t>
        </is>
      </c>
      <c r="I644" t="inlineStr"/>
      <c r="J644" t="inlineStr"/>
      <c r="K644" t="inlineStr">
        <is>
          <t>Finished, no page: no address from the university's address forms or stored lis</t>
        </is>
      </c>
      <c r="L644" t="inlineStr">
        <is>
          <t>Searching for course page</t>
        </is>
      </c>
      <c r="M644" t="inlineStr">
        <is>
          <t>Searching for course page</t>
        </is>
      </c>
      <c r="N644" t="inlineStr"/>
      <c r="O644" t="n">
        <v>0</v>
      </c>
      <c r="P644" t="inlineStr"/>
      <c r="Q644" t="inlineStr">
        <is>
          <t>Searching for course page</t>
        </is>
      </c>
      <c r="S644" t="inlineStr"/>
      <c r="T644" t="inlineStr">
        <is>
          <t>Held: level not covered by the policy default</t>
        </is>
      </c>
      <c r="U644" t="inlineStr"/>
      <c r="V644" t="inlineStr">
        <is>
          <t>Searching for course page</t>
        </is>
      </c>
      <c r="W644" t="inlineStr"/>
      <c r="X644" t="inlineStr"/>
      <c r="Y644" t="n">
        <v>0</v>
      </c>
      <c r="Z644" t="inlineStr">
        <is>
          <t>No</t>
        </is>
      </c>
      <c r="AA644" t="inlineStr">
        <is>
          <t>Not stated on course page</t>
        </is>
      </c>
      <c r="AB644" t="inlineStr"/>
      <c r="AC644" t="inlineStr">
        <is>
          <t>Skipped: no correct course page: the page found is for another course</t>
        </is>
      </c>
      <c r="AD644" t="n">
        <v>1</v>
      </c>
      <c r="AE644" t="inlineStr"/>
      <c r="AF644" t="inlineStr"/>
      <c r="AG644" t="inlineStr"/>
      <c r="AH644" t="inlineStr"/>
      <c r="AI644" t="inlineStr"/>
      <c r="AJ644" t="inlineStr">
        <is>
          <t>Yes</t>
        </is>
      </c>
      <c r="AK644" t="inlineStr"/>
      <c r="AL644" t="inlineStr"/>
      <c r="AM644" t="inlineStr"/>
    </row>
    <row r="645">
      <c r="A645" t="inlineStr">
        <is>
          <t>085760A</t>
        </is>
      </c>
      <c r="B645" t="inlineStr">
        <is>
          <t>Professional Practicum</t>
        </is>
      </c>
      <c r="C645" t="inlineStr">
        <is>
          <t>Non AQF Award</t>
        </is>
      </c>
      <c r="D645" t="inlineStr">
        <is>
          <t>Non-award</t>
        </is>
      </c>
      <c r="E645" t="inlineStr">
        <is>
          <t>Held: page found is for another course</t>
        </is>
      </c>
      <c r="F645" t="inlineStr"/>
      <c r="G645" t="inlineStr">
        <is>
          <t>https://www.student.unsw.edu.au/notices/2025/04/acicis-professional-practicum-programs-2025-new-colombo-plan-grants-available</t>
        </is>
      </c>
      <c r="H645" t="inlineStr">
        <is>
          <t>Page is for another course</t>
        </is>
      </c>
      <c r="I645" t="inlineStr"/>
      <c r="J645" t="inlineStr"/>
      <c r="K645" t="inlineStr">
        <is>
          <t>Finished, no page: no address from the university's address forms or stored lis</t>
        </is>
      </c>
      <c r="L645" t="inlineStr">
        <is>
          <t>Searching for course page</t>
        </is>
      </c>
      <c r="M645" t="inlineStr">
        <is>
          <t>Searching for course page</t>
        </is>
      </c>
      <c r="N645" t="inlineStr"/>
      <c r="O645" t="n">
        <v>0</v>
      </c>
      <c r="P645" t="inlineStr"/>
      <c r="Q645" t="inlineStr">
        <is>
          <t>Searching for course page</t>
        </is>
      </c>
      <c r="S645" t="inlineStr"/>
      <c r="T645" t="inlineStr">
        <is>
          <t>Held: level not covered by the policy default</t>
        </is>
      </c>
      <c r="U645" t="inlineStr"/>
      <c r="V645" t="inlineStr">
        <is>
          <t>Searching for course page</t>
        </is>
      </c>
      <c r="W645" t="inlineStr"/>
      <c r="X645" t="inlineStr"/>
      <c r="Y645" t="n">
        <v>0</v>
      </c>
      <c r="Z645" t="inlineStr">
        <is>
          <t>No</t>
        </is>
      </c>
      <c r="AA645" t="inlineStr">
        <is>
          <t>Not stated on course page</t>
        </is>
      </c>
      <c r="AB645" t="inlineStr"/>
      <c r="AC645" t="inlineStr">
        <is>
          <t>Skipped: no correct course page: the page found is for another course</t>
        </is>
      </c>
      <c r="AD645" t="n">
        <v>1</v>
      </c>
      <c r="AE645" t="inlineStr"/>
      <c r="AF645" t="inlineStr"/>
      <c r="AG645" t="inlineStr"/>
      <c r="AH645" t="inlineStr"/>
      <c r="AI645" t="inlineStr"/>
      <c r="AJ645" t="inlineStr">
        <is>
          <t>Yes</t>
        </is>
      </c>
      <c r="AK645" t="inlineStr"/>
      <c r="AL645" t="inlineStr"/>
      <c r="AM645" t="inlineStr"/>
    </row>
    <row r="646">
      <c r="A646" t="inlineStr">
        <is>
          <t>085756G</t>
        </is>
      </c>
      <c r="B646" t="inlineStr">
        <is>
          <t>Professional Practicum</t>
        </is>
      </c>
      <c r="C646" t="inlineStr">
        <is>
          <t>Non AQF Award</t>
        </is>
      </c>
      <c r="D646" t="inlineStr">
        <is>
          <t>Non-award</t>
        </is>
      </c>
      <c r="E646" t="inlineStr">
        <is>
          <t>Held: page found is for another course</t>
        </is>
      </c>
      <c r="F646" t="inlineStr"/>
      <c r="G646" t="inlineStr">
        <is>
          <t>https://www.student.unsw.edu.au/notices/2025/04/acicis-professional-practicum-programs-2025-new-colombo-plan-grants-available</t>
        </is>
      </c>
      <c r="H646" t="inlineStr">
        <is>
          <t>Page is for another course</t>
        </is>
      </c>
      <c r="I646" t="inlineStr"/>
      <c r="J646" t="inlineStr"/>
      <c r="K646" t="inlineStr">
        <is>
          <t>Finished, no page: no address from the university's address forms or stored lis</t>
        </is>
      </c>
      <c r="L646" t="inlineStr">
        <is>
          <t>Searching for course page</t>
        </is>
      </c>
      <c r="M646" t="inlineStr">
        <is>
          <t>Searching for course page</t>
        </is>
      </c>
      <c r="N646" t="inlineStr"/>
      <c r="O646" t="n">
        <v>0</v>
      </c>
      <c r="P646" t="inlineStr"/>
      <c r="Q646" t="inlineStr">
        <is>
          <t>Searching for course page</t>
        </is>
      </c>
      <c r="S646" t="inlineStr"/>
      <c r="T646" t="inlineStr">
        <is>
          <t>Held: level not covered by the policy default</t>
        </is>
      </c>
      <c r="U646" t="inlineStr"/>
      <c r="V646" t="inlineStr">
        <is>
          <t>Searching for course page</t>
        </is>
      </c>
      <c r="W646" t="inlineStr"/>
      <c r="X646" t="inlineStr"/>
      <c r="Y646" t="n">
        <v>0</v>
      </c>
      <c r="Z646" t="inlineStr">
        <is>
          <t>No</t>
        </is>
      </c>
      <c r="AA646" t="inlineStr">
        <is>
          <t>Not stated on course page</t>
        </is>
      </c>
      <c r="AB646" t="inlineStr"/>
      <c r="AC646" t="inlineStr">
        <is>
          <t>Skipped: no correct course page: the page found is for another course</t>
        </is>
      </c>
      <c r="AD646" t="n">
        <v>1</v>
      </c>
      <c r="AE646" t="inlineStr"/>
      <c r="AF646" t="inlineStr"/>
      <c r="AG646" t="inlineStr"/>
      <c r="AH646" t="inlineStr"/>
      <c r="AI646" t="inlineStr"/>
      <c r="AJ646" t="inlineStr">
        <is>
          <t>Yes</t>
        </is>
      </c>
      <c r="AK646" t="inlineStr"/>
      <c r="AL646" t="inlineStr"/>
      <c r="AM646" t="inlineStr"/>
    </row>
    <row r="647">
      <c r="A647" t="inlineStr">
        <is>
          <t>085757G</t>
        </is>
      </c>
      <c r="B647" t="inlineStr">
        <is>
          <t>Professional Practicum</t>
        </is>
      </c>
      <c r="C647" t="inlineStr">
        <is>
          <t>Non AQF Award</t>
        </is>
      </c>
      <c r="D647" t="inlineStr">
        <is>
          <t>Non-award</t>
        </is>
      </c>
      <c r="E647" t="inlineStr">
        <is>
          <t>Held: page found is for another course</t>
        </is>
      </c>
      <c r="F647" t="inlineStr"/>
      <c r="G647" t="inlineStr">
        <is>
          <t>https://www.student.unsw.edu.au/notices/2025/04/acicis-professional-practicum-programs-2025-new-colombo-plan-grants-available</t>
        </is>
      </c>
      <c r="H647" t="inlineStr">
        <is>
          <t>Page is for another course</t>
        </is>
      </c>
      <c r="I647" t="inlineStr"/>
      <c r="J647" t="inlineStr"/>
      <c r="K647" t="inlineStr">
        <is>
          <t>Finished, no page: no address from the university's address forms or stored lis</t>
        </is>
      </c>
      <c r="L647" t="inlineStr">
        <is>
          <t>Searching for course page</t>
        </is>
      </c>
      <c r="M647" t="inlineStr">
        <is>
          <t>Searching for course page</t>
        </is>
      </c>
      <c r="N647" t="inlineStr"/>
      <c r="O647" t="n">
        <v>0</v>
      </c>
      <c r="P647" t="inlineStr"/>
      <c r="Q647" t="inlineStr">
        <is>
          <t>Searching for course page</t>
        </is>
      </c>
      <c r="S647" t="inlineStr"/>
      <c r="T647" t="inlineStr">
        <is>
          <t>Held: level not covered by the policy default</t>
        </is>
      </c>
      <c r="U647" t="inlineStr"/>
      <c r="V647" t="inlineStr">
        <is>
          <t>Searching for course page</t>
        </is>
      </c>
      <c r="W647" t="inlineStr"/>
      <c r="X647" t="inlineStr"/>
      <c r="Y647" t="n">
        <v>0</v>
      </c>
      <c r="Z647" t="inlineStr">
        <is>
          <t>No</t>
        </is>
      </c>
      <c r="AA647" t="inlineStr">
        <is>
          <t>Not stated on course page</t>
        </is>
      </c>
      <c r="AB647" t="inlineStr"/>
      <c r="AC647" t="inlineStr">
        <is>
          <t>Skipped: no correct course page: the page found is for another course</t>
        </is>
      </c>
      <c r="AD647" t="n">
        <v>1</v>
      </c>
      <c r="AE647" t="inlineStr"/>
      <c r="AF647" t="inlineStr"/>
      <c r="AG647" t="inlineStr"/>
      <c r="AH647" t="inlineStr"/>
      <c r="AI647" t="inlineStr"/>
      <c r="AJ647" t="inlineStr">
        <is>
          <t>Yes</t>
        </is>
      </c>
      <c r="AK647" t="inlineStr"/>
      <c r="AL647" t="inlineStr"/>
      <c r="AM647" t="inlineStr"/>
    </row>
    <row r="648">
      <c r="A648" t="inlineStr">
        <is>
          <t>085759E</t>
        </is>
      </c>
      <c r="B648" t="inlineStr">
        <is>
          <t>Professional Practicum</t>
        </is>
      </c>
      <c r="C648" t="inlineStr">
        <is>
          <t>Non AQF Award</t>
        </is>
      </c>
      <c r="D648" t="inlineStr">
        <is>
          <t>Non-award</t>
        </is>
      </c>
      <c r="E648" t="inlineStr">
        <is>
          <t>Held: page found is for another course</t>
        </is>
      </c>
      <c r="F648" t="inlineStr"/>
      <c r="G648" t="inlineStr">
        <is>
          <t>https://www.student.unsw.edu.au/notices/2025/04/acicis-professional-practicum-programs-2025-new-colombo-plan-grants-available</t>
        </is>
      </c>
      <c r="H648" t="inlineStr">
        <is>
          <t>Page is for another course</t>
        </is>
      </c>
      <c r="I648" t="inlineStr"/>
      <c r="J648" t="inlineStr"/>
      <c r="K648" t="inlineStr">
        <is>
          <t>Finished, no page: no address from the university's address forms or stored lis</t>
        </is>
      </c>
      <c r="L648" t="inlineStr">
        <is>
          <t>Searching for course page</t>
        </is>
      </c>
      <c r="M648" t="inlineStr">
        <is>
          <t>Searching for course page</t>
        </is>
      </c>
      <c r="N648" t="inlineStr"/>
      <c r="O648" t="n">
        <v>0</v>
      </c>
      <c r="P648" t="inlineStr"/>
      <c r="Q648" t="inlineStr">
        <is>
          <t>Searching for course page</t>
        </is>
      </c>
      <c r="S648" t="inlineStr"/>
      <c r="T648" t="inlineStr">
        <is>
          <t>Held: level not covered by the policy default</t>
        </is>
      </c>
      <c r="U648" t="inlineStr"/>
      <c r="V648" t="inlineStr">
        <is>
          <t>Searching for course page</t>
        </is>
      </c>
      <c r="W648" t="inlineStr"/>
      <c r="X648" t="inlineStr"/>
      <c r="Y648" t="n">
        <v>0</v>
      </c>
      <c r="Z648" t="inlineStr">
        <is>
          <t>No</t>
        </is>
      </c>
      <c r="AA648" t="inlineStr">
        <is>
          <t>Not stated on course page</t>
        </is>
      </c>
      <c r="AB648" t="inlineStr"/>
      <c r="AC648" t="inlineStr">
        <is>
          <t>Skipped: no correct course page: the page found is for another course</t>
        </is>
      </c>
      <c r="AD648" t="n">
        <v>1</v>
      </c>
      <c r="AE648" t="inlineStr"/>
      <c r="AF648" t="inlineStr"/>
      <c r="AG648" t="inlineStr"/>
      <c r="AH648" t="inlineStr"/>
      <c r="AI648" t="inlineStr"/>
      <c r="AJ648" t="inlineStr">
        <is>
          <t>Yes</t>
        </is>
      </c>
      <c r="AK648" t="inlineStr"/>
      <c r="AL648" t="inlineStr"/>
      <c r="AM648" t="inlineStr"/>
    </row>
    <row r="649">
      <c r="A649" t="inlineStr">
        <is>
          <t>061132E</t>
        </is>
      </c>
      <c r="B649" t="inlineStr">
        <is>
          <t>Professional Practicum  - All Faculties - 104 weeks</t>
        </is>
      </c>
      <c r="C649" t="inlineStr">
        <is>
          <t>Non AQF Award</t>
        </is>
      </c>
      <c r="D649" t="inlineStr">
        <is>
          <t>Non-award</t>
        </is>
      </c>
      <c r="E649" t="inlineStr">
        <is>
          <t>Held: page found is for another course</t>
        </is>
      </c>
      <c r="F649" t="inlineStr"/>
      <c r="G649" t="inlineStr">
        <is>
          <t>https://www.unsw.edu.au/business/student-life/career-accelerator/postgraduate/internships/social-entrepreneurship-practicum-comm5030</t>
        </is>
      </c>
      <c r="H649" t="inlineStr">
        <is>
          <t>Page is for another course</t>
        </is>
      </c>
      <c r="I649" t="inlineStr"/>
      <c r="J649" t="inlineStr"/>
      <c r="K649" t="inlineStr">
        <is>
          <t>Finished, no page: no address from the university's address forms or stored lis</t>
        </is>
      </c>
      <c r="L649" t="inlineStr">
        <is>
          <t>Searching for course page</t>
        </is>
      </c>
      <c r="M649" t="inlineStr">
        <is>
          <t>Searching for course page</t>
        </is>
      </c>
      <c r="N649" t="inlineStr"/>
      <c r="O649" t="n">
        <v>0</v>
      </c>
      <c r="P649" t="inlineStr"/>
      <c r="Q649" t="inlineStr">
        <is>
          <t>Searching for course page</t>
        </is>
      </c>
      <c r="S649" t="inlineStr"/>
      <c r="T649" t="inlineStr">
        <is>
          <t>Held: level not covered by the policy default</t>
        </is>
      </c>
      <c r="U649" t="inlineStr"/>
      <c r="V649" t="inlineStr">
        <is>
          <t>Searching for course page</t>
        </is>
      </c>
      <c r="W649" t="inlineStr"/>
      <c r="X649" t="inlineStr"/>
      <c r="Y649" t="n">
        <v>0</v>
      </c>
      <c r="Z649" t="inlineStr">
        <is>
          <t>No</t>
        </is>
      </c>
      <c r="AA649" t="inlineStr">
        <is>
          <t>Not stated on course page</t>
        </is>
      </c>
      <c r="AB649" t="inlineStr"/>
      <c r="AC649" t="inlineStr">
        <is>
          <t>Skipped: no correct course page: the page found is for another course</t>
        </is>
      </c>
      <c r="AD649" t="n">
        <v>1</v>
      </c>
      <c r="AE649" t="inlineStr"/>
      <c r="AF649" t="inlineStr"/>
      <c r="AG649" t="inlineStr"/>
      <c r="AH649" t="inlineStr"/>
      <c r="AI649" t="inlineStr"/>
      <c r="AJ649" t="inlineStr">
        <is>
          <t>Yes</t>
        </is>
      </c>
      <c r="AK649" t="inlineStr"/>
      <c r="AL649" t="inlineStr"/>
      <c r="AM649" t="inlineStr"/>
    </row>
    <row r="650">
      <c r="A650" t="inlineStr">
        <is>
          <t>019322D</t>
        </is>
      </c>
      <c r="B650" t="inlineStr">
        <is>
          <t>Professional Practicum  - All Faculties - 16 weeks</t>
        </is>
      </c>
      <c r="C650" t="inlineStr">
        <is>
          <t>Non AQF Award</t>
        </is>
      </c>
      <c r="D650" t="inlineStr">
        <is>
          <t>Non-award</t>
        </is>
      </c>
      <c r="E650" t="inlineStr">
        <is>
          <t>Held: page found is for another course</t>
        </is>
      </c>
      <c r="F650" t="inlineStr"/>
      <c r="G650" t="inlineStr">
        <is>
          <t>https://www.unsw.edu.au/business/student-life/career-accelerator/postgraduate/internships/social-entrepreneurship-practicum-comm5030</t>
        </is>
      </c>
      <c r="H650" t="inlineStr">
        <is>
          <t>Page is for another course</t>
        </is>
      </c>
      <c r="I650" t="inlineStr"/>
      <c r="J650" t="inlineStr"/>
      <c r="K650" t="inlineStr">
        <is>
          <t>Finished, no page: no address from the university's address forms or stored lis</t>
        </is>
      </c>
      <c r="L650" t="inlineStr">
        <is>
          <t>Searching for course page</t>
        </is>
      </c>
      <c r="M650" t="inlineStr">
        <is>
          <t>Searching for course page</t>
        </is>
      </c>
      <c r="N650" t="inlineStr"/>
      <c r="O650" t="n">
        <v>0</v>
      </c>
      <c r="P650" t="inlineStr"/>
      <c r="Q650" t="inlineStr">
        <is>
          <t>Searching for course page</t>
        </is>
      </c>
      <c r="S650" t="inlineStr"/>
      <c r="T650" t="inlineStr">
        <is>
          <t>Held: level not covered by the policy default</t>
        </is>
      </c>
      <c r="U650" t="inlineStr"/>
      <c r="V650" t="inlineStr">
        <is>
          <t>Searching for course page</t>
        </is>
      </c>
      <c r="W650" t="inlineStr"/>
      <c r="X650" t="inlineStr"/>
      <c r="Y650" t="n">
        <v>0</v>
      </c>
      <c r="Z650" t="inlineStr">
        <is>
          <t>No</t>
        </is>
      </c>
      <c r="AA650" t="inlineStr">
        <is>
          <t>Not stated on course page</t>
        </is>
      </c>
      <c r="AB650" t="inlineStr"/>
      <c r="AC650" t="inlineStr">
        <is>
          <t>Skipped: no correct course page: the page found is for another course</t>
        </is>
      </c>
      <c r="AD650" t="n">
        <v>1</v>
      </c>
      <c r="AE650" t="inlineStr"/>
      <c r="AF650" t="inlineStr"/>
      <c r="AG650" t="inlineStr"/>
      <c r="AH650" t="inlineStr"/>
      <c r="AI650" t="inlineStr"/>
      <c r="AJ650" t="inlineStr">
        <is>
          <t>Yes</t>
        </is>
      </c>
      <c r="AK650" t="inlineStr"/>
      <c r="AL650" t="inlineStr"/>
      <c r="AM650" t="inlineStr"/>
    </row>
    <row r="651">
      <c r="A651" t="inlineStr">
        <is>
          <t>022162M</t>
        </is>
      </c>
      <c r="B651" t="inlineStr">
        <is>
          <t>Professional Practicum  - All Faculties - 32 weeks</t>
        </is>
      </c>
      <c r="C651" t="inlineStr">
        <is>
          <t>Non AQF Award</t>
        </is>
      </c>
      <c r="D651" t="inlineStr">
        <is>
          <t>Non-award</t>
        </is>
      </c>
      <c r="E651" t="inlineStr">
        <is>
          <t>Held: page found is for another course</t>
        </is>
      </c>
      <c r="F651" t="inlineStr"/>
      <c r="G651" t="inlineStr">
        <is>
          <t>https://www.unsw.edu.au/business/student-life/career-accelerator/postgraduate/internships/social-entrepreneurship-practicum-comm5030</t>
        </is>
      </c>
      <c r="H651" t="inlineStr">
        <is>
          <t>Page is for another course</t>
        </is>
      </c>
      <c r="I651" t="inlineStr"/>
      <c r="J651" t="inlineStr"/>
      <c r="K651" t="inlineStr">
        <is>
          <t>Finished, no page: no address from the university's address forms or stored lis</t>
        </is>
      </c>
      <c r="L651" t="inlineStr">
        <is>
          <t>Searching for course page</t>
        </is>
      </c>
      <c r="M651" t="inlineStr">
        <is>
          <t>Searching for course page</t>
        </is>
      </c>
      <c r="N651" t="inlineStr"/>
      <c r="O651" t="n">
        <v>0</v>
      </c>
      <c r="P651" t="inlineStr"/>
      <c r="Q651" t="inlineStr">
        <is>
          <t>Searching for course page</t>
        </is>
      </c>
      <c r="S651" t="inlineStr"/>
      <c r="T651" t="inlineStr">
        <is>
          <t>Held: level not covered by the policy default</t>
        </is>
      </c>
      <c r="U651" t="inlineStr"/>
      <c r="V651" t="inlineStr">
        <is>
          <t>Searching for course page</t>
        </is>
      </c>
      <c r="W651" t="inlineStr"/>
      <c r="X651" t="inlineStr"/>
      <c r="Y651" t="n">
        <v>0</v>
      </c>
      <c r="Z651" t="inlineStr">
        <is>
          <t>No</t>
        </is>
      </c>
      <c r="AA651" t="inlineStr">
        <is>
          <t>Not stated on course page</t>
        </is>
      </c>
      <c r="AB651" t="inlineStr"/>
      <c r="AC651" t="inlineStr">
        <is>
          <t>Skipped: no correct course page: the page found is for another course</t>
        </is>
      </c>
      <c r="AD651" t="n">
        <v>1</v>
      </c>
      <c r="AE651" t="inlineStr"/>
      <c r="AF651" t="inlineStr"/>
      <c r="AG651" t="inlineStr"/>
      <c r="AH651" t="inlineStr"/>
      <c r="AI651" t="inlineStr"/>
      <c r="AJ651" t="inlineStr">
        <is>
          <t>Yes</t>
        </is>
      </c>
      <c r="AK651" t="inlineStr"/>
      <c r="AL651" t="inlineStr"/>
      <c r="AM651" t="inlineStr"/>
    </row>
    <row r="652">
      <c r="A652" t="inlineStr">
        <is>
          <t>099645M</t>
        </is>
      </c>
      <c r="B652" t="inlineStr">
        <is>
          <t>Professional Practicum  - All Faculties - 52 weeks</t>
        </is>
      </c>
      <c r="C652" t="inlineStr">
        <is>
          <t>Non AQF Award</t>
        </is>
      </c>
      <c r="D652" t="inlineStr">
        <is>
          <t>Non-award</t>
        </is>
      </c>
      <c r="E652" t="inlineStr">
        <is>
          <t>Held: page found is for another course</t>
        </is>
      </c>
      <c r="F652" t="inlineStr"/>
      <c r="G652" t="inlineStr">
        <is>
          <t>https://www.unsw.edu.au/business/student-life/career-accelerator/postgraduate/internships/social-entrepreneurship-practicum-comm5030</t>
        </is>
      </c>
      <c r="H652" t="inlineStr">
        <is>
          <t>Page is for another course</t>
        </is>
      </c>
      <c r="I652" t="inlineStr"/>
      <c r="J652" t="inlineStr"/>
      <c r="K652" t="inlineStr">
        <is>
          <t>Finished, no page: no address from the university's address forms or stored lis</t>
        </is>
      </c>
      <c r="L652" t="inlineStr">
        <is>
          <t>Searching for course page</t>
        </is>
      </c>
      <c r="M652" t="inlineStr">
        <is>
          <t>Searching for course page</t>
        </is>
      </c>
      <c r="N652" t="inlineStr"/>
      <c r="O652" t="n">
        <v>0</v>
      </c>
      <c r="P652" t="inlineStr"/>
      <c r="Q652" t="inlineStr">
        <is>
          <t>Searching for course page</t>
        </is>
      </c>
      <c r="S652" t="inlineStr"/>
      <c r="T652" t="inlineStr">
        <is>
          <t>Held: level not covered by the policy default</t>
        </is>
      </c>
      <c r="U652" t="inlineStr"/>
      <c r="V652" t="inlineStr">
        <is>
          <t>Searching for course page</t>
        </is>
      </c>
      <c r="W652" t="inlineStr"/>
      <c r="X652" t="inlineStr"/>
      <c r="Y652" t="n">
        <v>0</v>
      </c>
      <c r="Z652" t="inlineStr">
        <is>
          <t>No</t>
        </is>
      </c>
      <c r="AA652" t="inlineStr">
        <is>
          <t>Not stated on course page</t>
        </is>
      </c>
      <c r="AB652" t="inlineStr"/>
      <c r="AC652" t="inlineStr">
        <is>
          <t>Skipped: no correct course page: the page found is for another course</t>
        </is>
      </c>
      <c r="AD652" t="n">
        <v>1</v>
      </c>
      <c r="AE652" t="inlineStr"/>
      <c r="AF652" t="inlineStr"/>
      <c r="AG652" t="inlineStr"/>
      <c r="AH652" t="inlineStr"/>
      <c r="AI652" t="inlineStr"/>
      <c r="AJ652" t="inlineStr">
        <is>
          <t>Yes</t>
        </is>
      </c>
      <c r="AK652" t="inlineStr"/>
      <c r="AL652" t="inlineStr"/>
      <c r="AM652" t="inlineStr"/>
    </row>
    <row r="653">
      <c r="A653" t="inlineStr">
        <is>
          <t>099646K</t>
        </is>
      </c>
      <c r="B653" t="inlineStr">
        <is>
          <t>Professional Practicum  - All Faculties - 68 weeks</t>
        </is>
      </c>
      <c r="C653" t="inlineStr">
        <is>
          <t>Non AQF Award</t>
        </is>
      </c>
      <c r="D653" t="inlineStr">
        <is>
          <t>Non-award</t>
        </is>
      </c>
      <c r="E653" t="inlineStr">
        <is>
          <t>No page found</t>
        </is>
      </c>
      <c r="F653" t="inlineStr"/>
      <c r="G653" t="inlineStr"/>
      <c r="H653" t="inlineStr"/>
      <c r="I653" t="inlineStr"/>
      <c r="J653" t="inlineStr"/>
      <c r="K653" t="inlineStr">
        <is>
          <t>Not sent to re-link</t>
        </is>
      </c>
      <c r="L653" t="inlineStr">
        <is>
          <t>Searching for course page</t>
        </is>
      </c>
      <c r="M653" t="inlineStr">
        <is>
          <t>Searching for course page</t>
        </is>
      </c>
      <c r="N653" t="inlineStr"/>
      <c r="O653" t="n">
        <v>0</v>
      </c>
      <c r="P653" t="inlineStr"/>
      <c r="Q653" t="inlineStr">
        <is>
          <t>Searching for course page</t>
        </is>
      </c>
      <c r="S653" t="inlineStr"/>
      <c r="T653" t="inlineStr">
        <is>
          <t>Held: level not covered by the policy default</t>
        </is>
      </c>
      <c r="U653" t="inlineStr"/>
      <c r="V653" t="inlineStr">
        <is>
          <t>Searching for course page</t>
        </is>
      </c>
      <c r="W653" t="inlineStr"/>
      <c r="X653" t="inlineStr"/>
      <c r="Y653" t="n">
        <v>0</v>
      </c>
      <c r="Z653" t="inlineStr">
        <is>
          <t>No</t>
        </is>
      </c>
      <c r="AA653" t="inlineStr">
        <is>
          <t>Not stated on course page</t>
        </is>
      </c>
      <c r="AB653" t="inlineStr"/>
      <c r="AC653" t="inlineStr">
        <is>
          <t>Skipped: no allowed source had a value</t>
        </is>
      </c>
      <c r="AD653" t="n">
        <v>0</v>
      </c>
      <c r="AE653" t="inlineStr"/>
      <c r="AF653" t="inlineStr"/>
      <c r="AG653" t="inlineStr"/>
      <c r="AH653" t="inlineStr"/>
      <c r="AI653" t="inlineStr"/>
      <c r="AJ653" t="inlineStr">
        <is>
          <t>Yes</t>
        </is>
      </c>
      <c r="AK653" t="inlineStr"/>
      <c r="AL653" t="inlineStr"/>
      <c r="AM653" t="inlineStr"/>
    </row>
    <row r="654">
      <c r="A654" t="inlineStr">
        <is>
          <t>061131F</t>
        </is>
      </c>
      <c r="B654" t="inlineStr">
        <is>
          <t>Professional Practicum  - All Faculties - 84 weeks</t>
        </is>
      </c>
      <c r="C654" t="inlineStr">
        <is>
          <t>Non AQF Award</t>
        </is>
      </c>
      <c r="D654" t="inlineStr">
        <is>
          <t>Non-award</t>
        </is>
      </c>
      <c r="E654" t="inlineStr">
        <is>
          <t>Held: page found is for another course</t>
        </is>
      </c>
      <c r="F654" t="inlineStr"/>
      <c r="G654" t="inlineStr">
        <is>
          <t>https://www.handbook.unsw.edu.au/undergraduate/programs/2026/3558</t>
        </is>
      </c>
      <c r="H654" t="inlineStr">
        <is>
          <t>Page is for another course</t>
        </is>
      </c>
      <c r="I654" t="inlineStr"/>
      <c r="J654" t="inlineStr"/>
      <c r="K654" t="inlineStr">
        <is>
          <t>Finished, no page: no address from the university's address forms or stored lis</t>
        </is>
      </c>
      <c r="L654" t="inlineStr">
        <is>
          <t>Searching for course page</t>
        </is>
      </c>
      <c r="M654" t="inlineStr">
        <is>
          <t>Searching for course page</t>
        </is>
      </c>
      <c r="N654" t="inlineStr"/>
      <c r="O654" t="n">
        <v>0</v>
      </c>
      <c r="P654" t="inlineStr"/>
      <c r="Q654" t="inlineStr">
        <is>
          <t>Searching for course page</t>
        </is>
      </c>
      <c r="S654" t="inlineStr"/>
      <c r="T654" t="inlineStr">
        <is>
          <t>Held: level not covered by the policy default</t>
        </is>
      </c>
      <c r="U654" t="inlineStr"/>
      <c r="V654" t="inlineStr">
        <is>
          <t>Searching for course page</t>
        </is>
      </c>
      <c r="W654" t="inlineStr"/>
      <c r="X654" t="inlineStr"/>
      <c r="Y654" t="n">
        <v>0</v>
      </c>
      <c r="Z654" t="inlineStr">
        <is>
          <t>No</t>
        </is>
      </c>
      <c r="AA654" t="inlineStr">
        <is>
          <t>Not stated on course page</t>
        </is>
      </c>
      <c r="AB654" t="inlineStr"/>
      <c r="AC654" t="inlineStr">
        <is>
          <t>Skipped: no correct course page: the page found is for another course</t>
        </is>
      </c>
      <c r="AD654" t="n">
        <v>0</v>
      </c>
      <c r="AE654" t="inlineStr"/>
      <c r="AF654" t="inlineStr"/>
      <c r="AG654" t="inlineStr"/>
      <c r="AH654" t="inlineStr"/>
      <c r="AI654" t="inlineStr"/>
      <c r="AJ654" t="inlineStr">
        <is>
          <t>Yes</t>
        </is>
      </c>
      <c r="AK654" t="inlineStr"/>
      <c r="AL654" t="inlineStr"/>
      <c r="AM654" t="inlineStr"/>
    </row>
    <row r="655">
      <c r="A655" t="inlineStr">
        <is>
          <t>019324B</t>
        </is>
      </c>
      <c r="B655" t="inlineStr">
        <is>
          <t>Professional Practicum (All Faculties)</t>
        </is>
      </c>
      <c r="C655" t="inlineStr">
        <is>
          <t>Non AQF Award</t>
        </is>
      </c>
      <c r="D655" t="inlineStr">
        <is>
          <t>Non-award</t>
        </is>
      </c>
      <c r="E655" t="inlineStr">
        <is>
          <t>Held: page found is for another course</t>
        </is>
      </c>
      <c r="F655" t="inlineStr"/>
      <c r="G655" t="inlineStr">
        <is>
          <t>https://www.student.unsw.edu.au/notices/2023/05/acicis-professional-practicum-internship-programs-new-colombo-plan-grants-available</t>
        </is>
      </c>
      <c r="H655" t="inlineStr">
        <is>
          <t>Page is for another course</t>
        </is>
      </c>
      <c r="I655" t="inlineStr"/>
      <c r="J655" t="inlineStr"/>
      <c r="K655" t="inlineStr">
        <is>
          <t>Finished, no page: no address from the university's address forms or stored lis</t>
        </is>
      </c>
      <c r="L655" t="inlineStr">
        <is>
          <t>Searching for course page</t>
        </is>
      </c>
      <c r="M655" t="inlineStr">
        <is>
          <t>Searching for course page</t>
        </is>
      </c>
      <c r="N655" t="inlineStr"/>
      <c r="O655" t="n">
        <v>0</v>
      </c>
      <c r="P655" t="inlineStr"/>
      <c r="Q655" t="inlineStr">
        <is>
          <t>Searching for course page</t>
        </is>
      </c>
      <c r="S655" t="inlineStr"/>
      <c r="T655" t="inlineStr">
        <is>
          <t>Held: level not covered by the policy default</t>
        </is>
      </c>
      <c r="U655" t="inlineStr"/>
      <c r="V655" t="inlineStr">
        <is>
          <t>Searching for course page</t>
        </is>
      </c>
      <c r="W655" t="inlineStr"/>
      <c r="X655" t="inlineStr"/>
      <c r="Y655" t="n">
        <v>0</v>
      </c>
      <c r="Z655" t="inlineStr">
        <is>
          <t>No</t>
        </is>
      </c>
      <c r="AA655" t="inlineStr">
        <is>
          <t>Not stated on course page</t>
        </is>
      </c>
      <c r="AB655" t="inlineStr"/>
      <c r="AC655" t="inlineStr">
        <is>
          <t>Skipped: no correct course page: the page found is for another course</t>
        </is>
      </c>
      <c r="AD655" t="n">
        <v>1</v>
      </c>
      <c r="AE655" t="inlineStr"/>
      <c r="AF655" t="inlineStr"/>
      <c r="AG655" t="inlineStr"/>
      <c r="AH655" t="inlineStr"/>
      <c r="AI655" t="inlineStr"/>
      <c r="AJ655" t="inlineStr">
        <is>
          <t>Yes</t>
        </is>
      </c>
      <c r="AK655" t="inlineStr"/>
      <c r="AL655" t="inlineStr"/>
      <c r="AM655" t="inlineStr"/>
    </row>
    <row r="656">
      <c r="A656" t="inlineStr">
        <is>
          <t>000725G</t>
        </is>
      </c>
      <c r="B656" t="inlineStr">
        <is>
          <t>Standard Foundation Program</t>
        </is>
      </c>
      <c r="C656" t="inlineStr">
        <is>
          <t>Non AQF Award</t>
        </is>
      </c>
      <c r="D656" t="inlineStr">
        <is>
          <t>Non-award</t>
        </is>
      </c>
      <c r="E656" t="inlineStr">
        <is>
          <t>Advertised: official page in place</t>
        </is>
      </c>
      <c r="F656" t="inlineStr">
        <is>
          <t>https://www.unswcollege.edu.au/study/standard-program</t>
        </is>
      </c>
      <c r="G656" t="inlineStr">
        <is>
          <t>https://www.unswglobal.unsw.edu.au/study/standard-program</t>
        </is>
      </c>
      <c r="H656" t="inlineStr">
        <is>
          <t>Read</t>
        </is>
      </c>
      <c r="I656" t="inlineStr">
        <is>
          <t>Exact title match</t>
        </is>
      </c>
      <c r="J656" t="inlineStr"/>
      <c r="K656" t="inlineStr">
        <is>
          <t>Not sent to re-link</t>
        </is>
      </c>
      <c r="L656" t="inlineStr">
        <is>
          <t>Filled</t>
        </is>
      </c>
      <c r="M656" t="inlineStr">
        <is>
          <t>Not stated on course page</t>
        </is>
      </c>
      <c r="N656" t="inlineStr"/>
      <c r="O656" t="n">
        <v>0</v>
      </c>
      <c r="P656" t="inlineStr"/>
      <c r="Q656" t="inlineStr">
        <is>
          <t>Not stated on course page</t>
        </is>
      </c>
      <c r="S656" t="inlineStr"/>
      <c r="T656" t="inlineStr">
        <is>
          <t>Held: level not covered by the policy default</t>
        </is>
      </c>
      <c r="U656" t="inlineStr"/>
      <c r="V656" t="inlineStr">
        <is>
          <t>Filled</t>
        </is>
      </c>
      <c r="W656" t="inlineStr">
        <is>
          <t>April, October</t>
        </is>
      </c>
      <c r="X656" t="inlineStr">
        <is>
          <t>Page reader</t>
        </is>
      </c>
      <c r="Y656" t="n">
        <v>0</v>
      </c>
      <c r="Z656" t="inlineStr">
        <is>
          <t>No</t>
        </is>
      </c>
      <c r="AA656" t="inlineStr">
        <is>
          <t>Filled</t>
        </is>
      </c>
      <c r="AB656" t="inlineStr">
        <is>
          <t>on campus</t>
        </is>
      </c>
      <c r="AC656" t="inlineStr">
        <is>
          <t>Filled</t>
        </is>
      </c>
      <c r="AD656" t="n">
        <v>0</v>
      </c>
      <c r="AE656" t="inlineStr"/>
      <c r="AF656" t="inlineStr"/>
      <c r="AG656" t="inlineStr"/>
      <c r="AH656" t="inlineStr"/>
      <c r="AI656" t="inlineStr"/>
      <c r="AJ656" t="inlineStr">
        <is>
          <t>Yes</t>
        </is>
      </c>
      <c r="AK656" t="inlineStr"/>
      <c r="AL656" t="inlineStr"/>
      <c r="AM656" t="inlineStr"/>
    </row>
    <row r="657">
      <c r="A657" t="inlineStr">
        <is>
          <t>019277D</t>
        </is>
      </c>
      <c r="B657" t="inlineStr">
        <is>
          <t>Standard Plus Foundation Program</t>
        </is>
      </c>
      <c r="C657" t="inlineStr">
        <is>
          <t>Non AQF Award</t>
        </is>
      </c>
      <c r="D657" t="inlineStr">
        <is>
          <t>Non-award</t>
        </is>
      </c>
      <c r="E657" t="inlineStr">
        <is>
          <t>Held: page found is for another course</t>
        </is>
      </c>
      <c r="F657" t="inlineStr"/>
      <c r="G657" t="inlineStr">
        <is>
          <t>https://www.unswglobal.unsw.edu.au/study/standard-program</t>
        </is>
      </c>
      <c r="H657" t="inlineStr">
        <is>
          <t>Page is for another course</t>
        </is>
      </c>
      <c r="I657" t="inlineStr"/>
      <c r="J657" t="inlineStr"/>
      <c r="K657" t="inlineStr">
        <is>
          <t>Finished, no page: no address from the university's address forms or stored lis</t>
        </is>
      </c>
      <c r="L657" t="inlineStr">
        <is>
          <t>Searching for course page</t>
        </is>
      </c>
      <c r="M657" t="inlineStr">
        <is>
          <t>Searching for course page</t>
        </is>
      </c>
      <c r="N657" t="inlineStr"/>
      <c r="O657" t="n">
        <v>0</v>
      </c>
      <c r="P657" t="inlineStr"/>
      <c r="Q657" t="inlineStr">
        <is>
          <t>Searching for course page</t>
        </is>
      </c>
      <c r="S657" t="inlineStr"/>
      <c r="T657" t="inlineStr">
        <is>
          <t>Held: level not covered by the policy default</t>
        </is>
      </c>
      <c r="U657" t="inlineStr"/>
      <c r="V657" t="inlineStr">
        <is>
          <t>Searching for course page</t>
        </is>
      </c>
      <c r="W657" t="inlineStr"/>
      <c r="X657" t="inlineStr"/>
      <c r="Y657" t="n">
        <v>0</v>
      </c>
      <c r="Z657" t="inlineStr">
        <is>
          <t>No</t>
        </is>
      </c>
      <c r="AA657" t="inlineStr">
        <is>
          <t>Not stated on course page</t>
        </is>
      </c>
      <c r="AB657" t="inlineStr"/>
      <c r="AC657" t="inlineStr">
        <is>
          <t>Skipped: no correct course page: the page found is for another course</t>
        </is>
      </c>
      <c r="AD657" t="n">
        <v>1</v>
      </c>
      <c r="AE657" t="inlineStr"/>
      <c r="AF657" t="inlineStr"/>
      <c r="AG657" t="inlineStr"/>
      <c r="AH657" t="inlineStr"/>
      <c r="AI657" t="inlineStr"/>
      <c r="AJ657" t="inlineStr">
        <is>
          <t>Yes</t>
        </is>
      </c>
      <c r="AK657" t="inlineStr"/>
      <c r="AL657" t="inlineStr"/>
      <c r="AM657" t="inlineStr"/>
    </row>
    <row r="658">
      <c r="A658" t="inlineStr">
        <is>
          <t>097359M</t>
        </is>
      </c>
      <c r="B658" t="inlineStr">
        <is>
          <t>Study Abroad Double Term</t>
        </is>
      </c>
      <c r="C658" t="inlineStr">
        <is>
          <t>Non AQF Award</t>
        </is>
      </c>
      <c r="D658" t="inlineStr">
        <is>
          <t>Non-award</t>
        </is>
      </c>
      <c r="E658" t="inlineStr">
        <is>
          <t>No page found</t>
        </is>
      </c>
      <c r="F658" t="inlineStr"/>
      <c r="G658" t="inlineStr"/>
      <c r="H658" t="inlineStr"/>
      <c r="I658" t="inlineStr"/>
      <c r="J658" t="inlineStr"/>
      <c r="K658" t="inlineStr">
        <is>
          <t>Not sent to re-link</t>
        </is>
      </c>
      <c r="L658" t="inlineStr">
        <is>
          <t>Searching for course page</t>
        </is>
      </c>
      <c r="M658" t="inlineStr">
        <is>
          <t>Searching for course page</t>
        </is>
      </c>
      <c r="N658" t="inlineStr"/>
      <c r="O658" t="n">
        <v>0</v>
      </c>
      <c r="P658" t="inlineStr"/>
      <c r="Q658" t="inlineStr">
        <is>
          <t>Searching for course page</t>
        </is>
      </c>
      <c r="S658" t="inlineStr"/>
      <c r="T658" t="inlineStr">
        <is>
          <t>Held: level not covered by the policy default</t>
        </is>
      </c>
      <c r="U658" t="inlineStr"/>
      <c r="V658" t="inlineStr">
        <is>
          <t>Searching for course page</t>
        </is>
      </c>
      <c r="W658" t="inlineStr"/>
      <c r="X658" t="inlineStr"/>
      <c r="Y658" t="n">
        <v>0</v>
      </c>
      <c r="Z658" t="inlineStr">
        <is>
          <t>No</t>
        </is>
      </c>
      <c r="AA658" t="inlineStr">
        <is>
          <t>Not stated on course page</t>
        </is>
      </c>
      <c r="AB658" t="inlineStr"/>
      <c r="AC658" t="inlineStr">
        <is>
          <t>Skipped: no allowed source had a value</t>
        </is>
      </c>
      <c r="AD658" t="n">
        <v>0</v>
      </c>
      <c r="AE658" t="inlineStr"/>
      <c r="AF658" t="inlineStr"/>
      <c r="AG658" t="inlineStr"/>
      <c r="AH658" t="inlineStr"/>
      <c r="AI658" t="inlineStr"/>
      <c r="AJ658" t="inlineStr">
        <is>
          <t>Yes</t>
        </is>
      </c>
      <c r="AK658" t="inlineStr"/>
      <c r="AL658" t="inlineStr"/>
      <c r="AM658" t="inlineStr"/>
    </row>
    <row r="659">
      <c r="A659" t="inlineStr">
        <is>
          <t>097354E</t>
        </is>
      </c>
      <c r="B659" t="inlineStr">
        <is>
          <t>Study Abroad Single Term</t>
        </is>
      </c>
      <c r="C659" t="inlineStr">
        <is>
          <t>Non AQF Award</t>
        </is>
      </c>
      <c r="D659" t="inlineStr">
        <is>
          <t>Non-award</t>
        </is>
      </c>
      <c r="E659" t="inlineStr">
        <is>
          <t>No page found</t>
        </is>
      </c>
      <c r="F659" t="inlineStr"/>
      <c r="G659" t="inlineStr"/>
      <c r="H659" t="inlineStr"/>
      <c r="I659" t="inlineStr"/>
      <c r="J659" t="inlineStr"/>
      <c r="K659" t="inlineStr">
        <is>
          <t>Not sent to re-link</t>
        </is>
      </c>
      <c r="L659" t="inlineStr">
        <is>
          <t>Searching for course page</t>
        </is>
      </c>
      <c r="M659" t="inlineStr">
        <is>
          <t>Searching for course page</t>
        </is>
      </c>
      <c r="N659" t="inlineStr"/>
      <c r="O659" t="n">
        <v>0</v>
      </c>
      <c r="P659" t="inlineStr"/>
      <c r="Q659" t="inlineStr">
        <is>
          <t>Searching for course page</t>
        </is>
      </c>
      <c r="S659" t="inlineStr"/>
      <c r="T659" t="inlineStr">
        <is>
          <t>Held: level not covered by the policy default</t>
        </is>
      </c>
      <c r="U659" t="inlineStr"/>
      <c r="V659" t="inlineStr">
        <is>
          <t>Searching for course page</t>
        </is>
      </c>
      <c r="W659" t="inlineStr"/>
      <c r="X659" t="inlineStr"/>
      <c r="Y659" t="n">
        <v>0</v>
      </c>
      <c r="Z659" t="inlineStr">
        <is>
          <t>No</t>
        </is>
      </c>
      <c r="AA659" t="inlineStr">
        <is>
          <t>Not stated on course page</t>
        </is>
      </c>
      <c r="AB659" t="inlineStr"/>
      <c r="AC659" t="inlineStr">
        <is>
          <t>Skipped: no allowed source had a value</t>
        </is>
      </c>
      <c r="AD659" t="n">
        <v>0</v>
      </c>
      <c r="AE659" t="inlineStr"/>
      <c r="AF659" t="inlineStr"/>
      <c r="AG659" t="inlineStr"/>
      <c r="AH659" t="inlineStr"/>
      <c r="AI659" t="inlineStr"/>
      <c r="AJ659" t="inlineStr">
        <is>
          <t>Yes</t>
        </is>
      </c>
      <c r="AK659" t="inlineStr"/>
      <c r="AL659" t="inlineStr"/>
      <c r="AM659" t="inlineStr"/>
    </row>
    <row r="660">
      <c r="A660" t="inlineStr">
        <is>
          <t>099644A</t>
        </is>
      </c>
      <c r="B660" t="inlineStr">
        <is>
          <t>Study Abroad Tailored Term</t>
        </is>
      </c>
      <c r="C660" t="inlineStr">
        <is>
          <t>Non AQF Award</t>
        </is>
      </c>
      <c r="D660" t="inlineStr">
        <is>
          <t>Non-award</t>
        </is>
      </c>
      <c r="E660" t="inlineStr">
        <is>
          <t>No page found</t>
        </is>
      </c>
      <c r="F660" t="inlineStr"/>
      <c r="G660" t="inlineStr"/>
      <c r="H660" t="inlineStr"/>
      <c r="I660" t="inlineStr"/>
      <c r="J660" t="inlineStr"/>
      <c r="K660" t="inlineStr">
        <is>
          <t>Not sent to re-link</t>
        </is>
      </c>
      <c r="L660" t="inlineStr">
        <is>
          <t>Searching for course page</t>
        </is>
      </c>
      <c r="M660" t="inlineStr">
        <is>
          <t>Searching for course page</t>
        </is>
      </c>
      <c r="N660" t="inlineStr"/>
      <c r="O660" t="n">
        <v>0</v>
      </c>
      <c r="P660" t="inlineStr"/>
      <c r="Q660" t="inlineStr">
        <is>
          <t>Searching for course page</t>
        </is>
      </c>
      <c r="S660" t="inlineStr"/>
      <c r="T660" t="inlineStr">
        <is>
          <t>Held: level not covered by the policy default</t>
        </is>
      </c>
      <c r="U660" t="inlineStr"/>
      <c r="V660" t="inlineStr">
        <is>
          <t>Searching for course page</t>
        </is>
      </c>
      <c r="W660" t="inlineStr"/>
      <c r="X660" t="inlineStr"/>
      <c r="Y660" t="n">
        <v>0</v>
      </c>
      <c r="Z660" t="inlineStr">
        <is>
          <t>No</t>
        </is>
      </c>
      <c r="AA660" t="inlineStr">
        <is>
          <t>Not stated on course page</t>
        </is>
      </c>
      <c r="AB660" t="inlineStr"/>
      <c r="AC660" t="inlineStr">
        <is>
          <t>Skipped: no allowed source had a value</t>
        </is>
      </c>
      <c r="AD660" t="n">
        <v>0</v>
      </c>
      <c r="AE660" t="inlineStr"/>
      <c r="AF660" t="inlineStr"/>
      <c r="AG660" t="inlineStr"/>
      <c r="AH660" t="inlineStr"/>
      <c r="AI660" t="inlineStr"/>
      <c r="AJ660" t="inlineStr">
        <is>
          <t>Yes</t>
        </is>
      </c>
      <c r="AK660" t="inlineStr"/>
      <c r="AL660" t="inlineStr"/>
      <c r="AM660" t="inlineStr"/>
    </row>
    <row r="661">
      <c r="A661" t="inlineStr">
        <is>
          <t>097358A</t>
        </is>
      </c>
      <c r="B661" t="inlineStr">
        <is>
          <t>Study Abroad Year Long</t>
        </is>
      </c>
      <c r="C661" t="inlineStr">
        <is>
          <t>Non AQF Award</t>
        </is>
      </c>
      <c r="D661" t="inlineStr">
        <is>
          <t>Non-award</t>
        </is>
      </c>
      <c r="E661" t="inlineStr">
        <is>
          <t>Held: page found is for another course</t>
        </is>
      </c>
      <c r="F661" t="inlineStr"/>
      <c r="G661" t="inlineStr">
        <is>
          <t>https://www.unsw.edu.au/science/our-schools/aviation/news-events/newsletters/february-2024/avsoc-international-study-abroad-program</t>
        </is>
      </c>
      <c r="H661" t="inlineStr">
        <is>
          <t>Page is for another course</t>
        </is>
      </c>
      <c r="I661" t="inlineStr"/>
      <c r="J661" t="inlineStr"/>
      <c r="K661" t="inlineStr">
        <is>
          <t>Finished, no page: no address from the university's address forms or stored lis</t>
        </is>
      </c>
      <c r="L661" t="inlineStr">
        <is>
          <t>Searching for course page</t>
        </is>
      </c>
      <c r="M661" t="inlineStr">
        <is>
          <t>Searching for course page</t>
        </is>
      </c>
      <c r="N661" t="inlineStr"/>
      <c r="O661" t="n">
        <v>0</v>
      </c>
      <c r="P661" t="inlineStr"/>
      <c r="Q661" t="inlineStr">
        <is>
          <t>Searching for course page</t>
        </is>
      </c>
      <c r="S661" t="inlineStr"/>
      <c r="T661" t="inlineStr">
        <is>
          <t>Held: level not covered by the policy default</t>
        </is>
      </c>
      <c r="U661" t="inlineStr"/>
      <c r="V661" t="inlineStr">
        <is>
          <t>Searching for course page</t>
        </is>
      </c>
      <c r="W661" t="inlineStr"/>
      <c r="X661" t="inlineStr"/>
      <c r="Y661" t="n">
        <v>0</v>
      </c>
      <c r="Z661" t="inlineStr">
        <is>
          <t>No</t>
        </is>
      </c>
      <c r="AA661" t="inlineStr">
        <is>
          <t>Not stated on course page</t>
        </is>
      </c>
      <c r="AB661" t="inlineStr"/>
      <c r="AC661" t="inlineStr">
        <is>
          <t>Skipped: the page does not state it</t>
        </is>
      </c>
      <c r="AD661" t="n">
        <v>0</v>
      </c>
      <c r="AE661" t="inlineStr"/>
      <c r="AF661" t="inlineStr"/>
      <c r="AG661" t="inlineStr"/>
      <c r="AH661" t="inlineStr"/>
      <c r="AI661" t="inlineStr"/>
      <c r="AJ661" t="inlineStr">
        <is>
          <t>Yes</t>
        </is>
      </c>
      <c r="AK661" t="inlineStr"/>
      <c r="AL661" t="inlineStr"/>
      <c r="AM661" t="inlineStr"/>
    </row>
    <row r="662">
      <c r="A662" t="inlineStr">
        <is>
          <t>097353F</t>
        </is>
      </c>
      <c r="B662" t="inlineStr">
        <is>
          <t>Study AbroadTailored Term 1</t>
        </is>
      </c>
      <c r="C662" t="inlineStr">
        <is>
          <t>Non AQF Award</t>
        </is>
      </c>
      <c r="D662" t="inlineStr">
        <is>
          <t>Non-award</t>
        </is>
      </c>
      <c r="E662" t="inlineStr">
        <is>
          <t>No page found</t>
        </is>
      </c>
      <c r="F662" t="inlineStr"/>
      <c r="G662" t="inlineStr"/>
      <c r="H662" t="inlineStr"/>
      <c r="I662" t="inlineStr"/>
      <c r="J662" t="inlineStr"/>
      <c r="K662" t="inlineStr">
        <is>
          <t>Not sent to re-link</t>
        </is>
      </c>
      <c r="L662" t="inlineStr">
        <is>
          <t>Searching for course page</t>
        </is>
      </c>
      <c r="M662" t="inlineStr">
        <is>
          <t>Searching for course page</t>
        </is>
      </c>
      <c r="N662" t="inlineStr"/>
      <c r="O662" t="n">
        <v>0</v>
      </c>
      <c r="P662" t="inlineStr"/>
      <c r="Q662" t="inlineStr">
        <is>
          <t>Searching for course page</t>
        </is>
      </c>
      <c r="S662" t="inlineStr"/>
      <c r="T662" t="inlineStr">
        <is>
          <t>Held: level not covered by the policy default</t>
        </is>
      </c>
      <c r="U662" t="inlineStr"/>
      <c r="V662" t="inlineStr">
        <is>
          <t>Searching for course page</t>
        </is>
      </c>
      <c r="W662" t="inlineStr"/>
      <c r="X662" t="inlineStr"/>
      <c r="Y662" t="n">
        <v>0</v>
      </c>
      <c r="Z662" t="inlineStr">
        <is>
          <t>No</t>
        </is>
      </c>
      <c r="AA662" t="inlineStr">
        <is>
          <t>Not stated on course page</t>
        </is>
      </c>
      <c r="AB662" t="inlineStr"/>
      <c r="AC662" t="inlineStr">
        <is>
          <t>Skipped: no allowed source had a value</t>
        </is>
      </c>
      <c r="AD662" t="n">
        <v>0</v>
      </c>
      <c r="AE662" t="inlineStr"/>
      <c r="AF662" t="inlineStr"/>
      <c r="AG662" t="inlineStr"/>
      <c r="AH662" t="inlineStr"/>
      <c r="AI662" t="inlineStr"/>
      <c r="AJ662" t="inlineStr">
        <is>
          <t>Yes</t>
        </is>
      </c>
      <c r="AK662" t="inlineStr"/>
      <c r="AL662" t="inlineStr"/>
      <c r="AM662" t="inlineStr"/>
    </row>
    <row r="663">
      <c r="A663" t="inlineStr">
        <is>
          <t>097355D</t>
        </is>
      </c>
      <c r="B663" t="inlineStr">
        <is>
          <t>Study AbroadTerm 1 Start Full Year</t>
        </is>
      </c>
      <c r="C663" t="inlineStr">
        <is>
          <t>Non AQF Award</t>
        </is>
      </c>
      <c r="D663" t="inlineStr">
        <is>
          <t>Non-award</t>
        </is>
      </c>
      <c r="E663" t="inlineStr">
        <is>
          <t>No-page record (no page), awaiting review</t>
        </is>
      </c>
      <c r="F663" t="inlineStr"/>
      <c r="G663" t="inlineStr"/>
      <c r="H663" t="inlineStr"/>
      <c r="I663" t="inlineStr"/>
      <c r="J663" t="inlineStr">
        <is>
          <t>No page (proposed)</t>
        </is>
      </c>
      <c r="K663" t="inlineStr">
        <is>
          <t>Not sent to re-link</t>
        </is>
      </c>
      <c r="L663" t="inlineStr">
        <is>
          <t>Searching for course page</t>
        </is>
      </c>
      <c r="M663" t="inlineStr">
        <is>
          <t>Searching for course page</t>
        </is>
      </c>
      <c r="N663" t="inlineStr"/>
      <c r="O663" t="n">
        <v>0</v>
      </c>
      <c r="P663" t="inlineStr"/>
      <c r="Q663" t="inlineStr">
        <is>
          <t>Searching for course page</t>
        </is>
      </c>
      <c r="S663" t="inlineStr"/>
      <c r="T663" t="inlineStr">
        <is>
          <t>Held: level not covered by the policy default</t>
        </is>
      </c>
      <c r="U663" t="inlineStr"/>
      <c r="V663" t="inlineStr">
        <is>
          <t>Searching for course page</t>
        </is>
      </c>
      <c r="W663" t="inlineStr"/>
      <c r="X663" t="inlineStr"/>
      <c r="Y663" t="n">
        <v>0</v>
      </c>
      <c r="Z663" t="inlineStr">
        <is>
          <t>No</t>
        </is>
      </c>
      <c r="AA663" t="inlineStr">
        <is>
          <t>Not stated on course page</t>
        </is>
      </c>
      <c r="AB663" t="inlineStr"/>
      <c r="AC663" t="inlineStr">
        <is>
          <t>Skipped: no allowed source had a value</t>
        </is>
      </c>
      <c r="AD663" t="n">
        <v>0</v>
      </c>
      <c r="AE663" t="inlineStr"/>
      <c r="AF663" t="inlineStr"/>
      <c r="AG663" t="inlineStr"/>
      <c r="AH663" t="inlineStr"/>
      <c r="AI663" t="inlineStr"/>
      <c r="AJ663" t="inlineStr">
        <is>
          <t>Yes</t>
        </is>
      </c>
      <c r="AK663" t="inlineStr"/>
      <c r="AL663" t="inlineStr"/>
      <c r="AM663" t="inlineStr">
        <is>
          <t>Yes</t>
        </is>
      </c>
    </row>
    <row r="664">
      <c r="A664" t="inlineStr">
        <is>
          <t>000732G</t>
        </is>
      </c>
      <c r="B664" t="inlineStr">
        <is>
          <t>Tailored Term exchange</t>
        </is>
      </c>
      <c r="C664" t="inlineStr">
        <is>
          <t>Non AQF Award</t>
        </is>
      </c>
      <c r="D664" t="inlineStr">
        <is>
          <t>Non-award</t>
        </is>
      </c>
      <c r="E664" t="inlineStr">
        <is>
          <t>No page found</t>
        </is>
      </c>
      <c r="F664" t="inlineStr"/>
      <c r="G664" t="inlineStr"/>
      <c r="H664" t="inlineStr"/>
      <c r="I664" t="inlineStr"/>
      <c r="J664" t="inlineStr"/>
      <c r="K664" t="inlineStr">
        <is>
          <t>Not sent to re-link</t>
        </is>
      </c>
      <c r="L664" t="inlineStr">
        <is>
          <t>Searching for course page</t>
        </is>
      </c>
      <c r="M664" t="inlineStr">
        <is>
          <t>Searching for course page</t>
        </is>
      </c>
      <c r="N664" t="inlineStr"/>
      <c r="O664" t="n">
        <v>0</v>
      </c>
      <c r="P664" t="inlineStr"/>
      <c r="Q664" t="inlineStr">
        <is>
          <t>Searching for course page</t>
        </is>
      </c>
      <c r="S664" t="inlineStr"/>
      <c r="T664" t="inlineStr">
        <is>
          <t>Held: level not covered by the policy default</t>
        </is>
      </c>
      <c r="U664" t="inlineStr"/>
      <c r="V664" t="inlineStr">
        <is>
          <t>Searching for course page</t>
        </is>
      </c>
      <c r="W664" t="inlineStr"/>
      <c r="X664" t="inlineStr"/>
      <c r="Y664" t="n">
        <v>0</v>
      </c>
      <c r="Z664" t="inlineStr">
        <is>
          <t>No</t>
        </is>
      </c>
      <c r="AA664" t="inlineStr">
        <is>
          <t>Not stated on course page</t>
        </is>
      </c>
      <c r="AB664" t="inlineStr"/>
      <c r="AC664" t="inlineStr">
        <is>
          <t>Skipped: no allowed source had a value</t>
        </is>
      </c>
      <c r="AD664" t="n">
        <v>0</v>
      </c>
      <c r="AE664" t="inlineStr"/>
      <c r="AF664" t="inlineStr"/>
      <c r="AG664" t="inlineStr"/>
      <c r="AH664" t="inlineStr"/>
      <c r="AI664" t="inlineStr"/>
      <c r="AJ664" t="inlineStr">
        <is>
          <t>Yes</t>
        </is>
      </c>
      <c r="AK664" t="inlineStr"/>
      <c r="AL664" t="inlineStr"/>
      <c r="AM664" t="inlineStr"/>
    </row>
    <row r="665">
      <c r="A665" t="inlineStr">
        <is>
          <t>097364C</t>
        </is>
      </c>
      <c r="B665" t="inlineStr">
        <is>
          <t>Term exchange</t>
        </is>
      </c>
      <c r="C665" t="inlineStr">
        <is>
          <t>Non AQF Award</t>
        </is>
      </c>
      <c r="D665" t="inlineStr">
        <is>
          <t>Non-award</t>
        </is>
      </c>
      <c r="E665" t="inlineStr">
        <is>
          <t>Held: page found is for another course</t>
        </is>
      </c>
      <c r="F665" t="inlineStr"/>
      <c r="G665" t="inlineStr">
        <is>
          <t>https://www.unsw.edu.au/science/our-schools/materials/student-life-resources/exchange-programs</t>
        </is>
      </c>
      <c r="H665" t="inlineStr">
        <is>
          <t>Page is for another course</t>
        </is>
      </c>
      <c r="I665" t="inlineStr"/>
      <c r="J665" t="inlineStr"/>
      <c r="K665" t="inlineStr">
        <is>
          <t>Finished, no page: no address from the university's address forms or stored lis</t>
        </is>
      </c>
      <c r="L665" t="inlineStr">
        <is>
          <t>Searching for course page</t>
        </is>
      </c>
      <c r="M665" t="inlineStr">
        <is>
          <t>Searching for course page</t>
        </is>
      </c>
      <c r="N665" t="inlineStr"/>
      <c r="O665" t="n">
        <v>0</v>
      </c>
      <c r="P665" t="inlineStr"/>
      <c r="Q665" t="inlineStr">
        <is>
          <t>Searching for course page</t>
        </is>
      </c>
      <c r="S665" t="inlineStr"/>
      <c r="T665" t="inlineStr">
        <is>
          <t>Held: level not covered by the policy default</t>
        </is>
      </c>
      <c r="U665" t="inlineStr"/>
      <c r="V665" t="inlineStr">
        <is>
          <t>Searching for course page</t>
        </is>
      </c>
      <c r="W665" t="inlineStr"/>
      <c r="X665" t="inlineStr"/>
      <c r="Y665" t="n">
        <v>0</v>
      </c>
      <c r="Z665" t="inlineStr">
        <is>
          <t>No</t>
        </is>
      </c>
      <c r="AA665" t="inlineStr">
        <is>
          <t>Not stated on course page</t>
        </is>
      </c>
      <c r="AB665" t="inlineStr"/>
      <c r="AC665" t="inlineStr">
        <is>
          <t>Skipped: the page does not state it</t>
        </is>
      </c>
      <c r="AD665" t="n">
        <v>0</v>
      </c>
      <c r="AE665" t="inlineStr"/>
      <c r="AF665" t="inlineStr"/>
      <c r="AG665" t="inlineStr"/>
      <c r="AH665" t="inlineStr"/>
      <c r="AI665" t="inlineStr"/>
      <c r="AJ665" t="inlineStr">
        <is>
          <t>Yes</t>
        </is>
      </c>
      <c r="AK665" t="inlineStr"/>
      <c r="AL665" t="inlineStr"/>
      <c r="AM665" t="inlineStr"/>
    </row>
    <row r="666">
      <c r="A666" t="inlineStr">
        <is>
          <t>060623E</t>
        </is>
      </c>
      <c r="B666" t="inlineStr">
        <is>
          <t>Transition Program</t>
        </is>
      </c>
      <c r="C666" t="inlineStr">
        <is>
          <t>Non AQF Award</t>
        </is>
      </c>
      <c r="D666" t="inlineStr">
        <is>
          <t>Non-award</t>
        </is>
      </c>
      <c r="E666" t="inlineStr">
        <is>
          <t>No page found</t>
        </is>
      </c>
      <c r="F666" t="inlineStr"/>
      <c r="G666" t="inlineStr"/>
      <c r="H666" t="inlineStr"/>
      <c r="I666" t="inlineStr"/>
      <c r="J666" t="inlineStr"/>
      <c r="K666" t="inlineStr">
        <is>
          <t>Not sent to re-link</t>
        </is>
      </c>
      <c r="L666" t="inlineStr">
        <is>
          <t>Searching for course page</t>
        </is>
      </c>
      <c r="M666" t="inlineStr">
        <is>
          <t>Searching for course page</t>
        </is>
      </c>
      <c r="N666" t="inlineStr"/>
      <c r="O666" t="n">
        <v>0</v>
      </c>
      <c r="P666" t="inlineStr"/>
      <c r="Q666" t="inlineStr">
        <is>
          <t>Searching for course page</t>
        </is>
      </c>
      <c r="S666" t="inlineStr"/>
      <c r="T666" t="inlineStr">
        <is>
          <t>Held: level not covered by the policy default</t>
        </is>
      </c>
      <c r="U666" t="inlineStr"/>
      <c r="V666" t="inlineStr">
        <is>
          <t>Searching for course page</t>
        </is>
      </c>
      <c r="W666" t="inlineStr"/>
      <c r="X666" t="inlineStr"/>
      <c r="Y666" t="n">
        <v>0</v>
      </c>
      <c r="Z666" t="inlineStr">
        <is>
          <t>No</t>
        </is>
      </c>
      <c r="AA666" t="inlineStr">
        <is>
          <t>Not stated on course page</t>
        </is>
      </c>
      <c r="AB666" t="inlineStr"/>
      <c r="AC666" t="inlineStr">
        <is>
          <t>Skipped: no allowed source had a value</t>
        </is>
      </c>
      <c r="AD666" t="n">
        <v>0</v>
      </c>
      <c r="AE666" t="inlineStr"/>
      <c r="AF666" t="inlineStr"/>
      <c r="AG666" t="inlineStr"/>
      <c r="AH666" t="inlineStr"/>
      <c r="AI666" t="inlineStr"/>
      <c r="AJ666" t="inlineStr">
        <is>
          <t>Yes</t>
        </is>
      </c>
      <c r="AK666" t="inlineStr"/>
      <c r="AL666" t="inlineStr"/>
      <c r="AM666" t="inlineStr"/>
    </row>
    <row r="667">
      <c r="A667" t="inlineStr">
        <is>
          <t>097370E</t>
        </is>
      </c>
      <c r="B667" t="inlineStr">
        <is>
          <t>Two Term exchange</t>
        </is>
      </c>
      <c r="C667" t="inlineStr">
        <is>
          <t>Non AQF Award</t>
        </is>
      </c>
      <c r="D667" t="inlineStr">
        <is>
          <t>Non-award</t>
        </is>
      </c>
      <c r="E667" t="inlineStr">
        <is>
          <t>No page found</t>
        </is>
      </c>
      <c r="F667" t="inlineStr"/>
      <c r="G667" t="inlineStr"/>
      <c r="H667" t="inlineStr"/>
      <c r="I667" t="inlineStr"/>
      <c r="J667" t="inlineStr"/>
      <c r="K667" t="inlineStr">
        <is>
          <t>Not sent to re-link</t>
        </is>
      </c>
      <c r="L667" t="inlineStr">
        <is>
          <t>Searching for course page</t>
        </is>
      </c>
      <c r="M667" t="inlineStr">
        <is>
          <t>Searching for course page</t>
        </is>
      </c>
      <c r="N667" t="inlineStr"/>
      <c r="O667" t="n">
        <v>0</v>
      </c>
      <c r="P667" t="inlineStr"/>
      <c r="Q667" t="inlineStr">
        <is>
          <t>Searching for course page</t>
        </is>
      </c>
      <c r="S667" t="inlineStr"/>
      <c r="T667" t="inlineStr">
        <is>
          <t>Held: level not covered by the policy default</t>
        </is>
      </c>
      <c r="U667" t="inlineStr"/>
      <c r="V667" t="inlineStr">
        <is>
          <t>Searching for course page</t>
        </is>
      </c>
      <c r="W667" t="inlineStr"/>
      <c r="X667" t="inlineStr"/>
      <c r="Y667" t="n">
        <v>0</v>
      </c>
      <c r="Z667" t="inlineStr">
        <is>
          <t>No</t>
        </is>
      </c>
      <c r="AA667" t="inlineStr">
        <is>
          <t>Not stated on course page</t>
        </is>
      </c>
      <c r="AB667" t="inlineStr"/>
      <c r="AC667" t="inlineStr">
        <is>
          <t>Skipped: no allowed source had a value</t>
        </is>
      </c>
      <c r="AD667" t="n">
        <v>0</v>
      </c>
      <c r="AE667" t="inlineStr"/>
      <c r="AF667" t="inlineStr"/>
      <c r="AG667" t="inlineStr"/>
      <c r="AH667" t="inlineStr"/>
      <c r="AI667" t="inlineStr"/>
      <c r="AJ667" t="inlineStr">
        <is>
          <t>Yes</t>
        </is>
      </c>
      <c r="AK667" t="inlineStr"/>
      <c r="AL667" t="inlineStr"/>
      <c r="AM667" t="inlineStr"/>
    </row>
    <row r="668">
      <c r="A668" t="inlineStr">
        <is>
          <t>027951G</t>
        </is>
      </c>
      <c r="B668" t="inlineStr">
        <is>
          <t>Year exchange</t>
        </is>
      </c>
      <c r="C668" t="inlineStr">
        <is>
          <t>Non AQF Award</t>
        </is>
      </c>
      <c r="D668" t="inlineStr">
        <is>
          <t>Non-award</t>
        </is>
      </c>
      <c r="E668" t="inlineStr">
        <is>
          <t>Held: page found is for another course</t>
        </is>
      </c>
      <c r="F668" t="inlineStr"/>
      <c r="G668" t="inlineStr">
        <is>
          <t>https://www.handbook.unsw.edu.au/undergraduate/programs/2026/3558</t>
        </is>
      </c>
      <c r="H668" t="inlineStr">
        <is>
          <t>Page is for another course</t>
        </is>
      </c>
      <c r="I668" t="inlineStr"/>
      <c r="J668" t="inlineStr"/>
      <c r="K668" t="inlineStr">
        <is>
          <t>Finished, no page: no address from the university's address forms or stored lis</t>
        </is>
      </c>
      <c r="L668" t="inlineStr">
        <is>
          <t>Searching for course page</t>
        </is>
      </c>
      <c r="M668" t="inlineStr">
        <is>
          <t>Searching for course page</t>
        </is>
      </c>
      <c r="N668" t="inlineStr"/>
      <c r="O668" t="n">
        <v>0</v>
      </c>
      <c r="P668" t="inlineStr"/>
      <c r="Q668" t="inlineStr">
        <is>
          <t>Searching for course page</t>
        </is>
      </c>
      <c r="S668" t="inlineStr"/>
      <c r="T668" t="inlineStr">
        <is>
          <t>Held: level not covered by the policy default</t>
        </is>
      </c>
      <c r="U668" t="inlineStr"/>
      <c r="V668" t="inlineStr">
        <is>
          <t>Searching for course page</t>
        </is>
      </c>
      <c r="W668" t="inlineStr"/>
      <c r="X668" t="inlineStr"/>
      <c r="Y668" t="n">
        <v>0</v>
      </c>
      <c r="Z668" t="inlineStr">
        <is>
          <t>No</t>
        </is>
      </c>
      <c r="AA668" t="inlineStr">
        <is>
          <t>Not stated on course page</t>
        </is>
      </c>
      <c r="AB668" t="inlineStr"/>
      <c r="AC668" t="inlineStr">
        <is>
          <t>Skipped: no correct course page: the page found is for another course</t>
        </is>
      </c>
      <c r="AD668" t="n">
        <v>1</v>
      </c>
      <c r="AE668" t="inlineStr"/>
      <c r="AF668" t="inlineStr"/>
      <c r="AG668" t="inlineStr"/>
      <c r="AH668" t="inlineStr"/>
      <c r="AI668" t="inlineStr"/>
      <c r="AJ668" t="inlineStr">
        <is>
          <t>Yes</t>
        </is>
      </c>
      <c r="AK668" t="inlineStr"/>
      <c r="AL668" t="inlineStr"/>
      <c r="AM668" t="inlineStr"/>
    </row>
  </sheetData>
  <autoFilter ref="A1:AM6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22" customWidth="1" min="3" max="3"/>
    <col width="18" customWidth="1" min="4" max="4"/>
    <col width="34" customWidth="1" min="5" max="5"/>
    <col width="40" customWidth="1" min="6" max="6"/>
    <col width="40" customWidth="1" min="7" max="7"/>
    <col width="20" customWidth="1" min="8" max="8"/>
    <col width="18" customWidth="1" min="9" max="9"/>
    <col width="16" customWidth="1" min="10" max="10"/>
    <col width="40" customWidth="1" min="11" max="11"/>
    <col width="22" customWidth="1" min="12" max="12"/>
    <col width="22" customWidth="1" min="13" max="13"/>
    <col width="18" customWidth="1" min="14" max="14"/>
    <col width="12" customWidth="1" min="15" max="15"/>
    <col width="16" customWidth="1" min="16" max="16"/>
    <col width="22" customWidth="1" min="17" max="17"/>
    <col width="9" customWidth="1" min="18" max="18"/>
    <col width="20" customWidth="1" min="19" max="19"/>
    <col width="36" customWidth="1" min="20" max="20"/>
    <col width="34" customWidth="1" min="21" max="21"/>
    <col width="22" customWidth="1" min="22" max="22"/>
    <col width="20" customWidth="1" min="23" max="23"/>
    <col width="16" customWidth="1" min="24" max="24"/>
    <col width="10" customWidth="1" min="25" max="25"/>
    <col width="12" customWidth="1" min="26" max="26"/>
    <col width="22" customWidth="1" min="27" max="27"/>
    <col width="16" customWidth="1" min="28" max="28"/>
    <col width="40" customWidth="1" min="29" max="29"/>
    <col width="10"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s>
  <sheetData>
    <row r="1" ht="60" customHeight="1">
      <c r="A1" s="4" t="inlineStr">
        <is>
          <t>CRICOS code</t>
        </is>
      </c>
      <c r="B1" s="4" t="inlineStr">
        <is>
          <t>Course title</t>
        </is>
      </c>
      <c r="C1" s="4" t="inlineStr">
        <is>
          <t>Study level</t>
        </is>
      </c>
      <c r="D1" s="4" t="inlineStr">
        <is>
          <t>Study level group</t>
        </is>
      </c>
      <c r="E1" s="4" t="inlineStr">
        <is>
          <t>Advertised status</t>
        </is>
      </c>
      <c r="F1" s="4" t="inlineStr">
        <is>
          <t>Official course page (in place)</t>
        </is>
      </c>
      <c r="G1" s="4" t="inlineStr">
        <is>
          <t>Page found (address)</t>
        </is>
      </c>
      <c r="H1" s="4" t="inlineStr">
        <is>
          <t>Page read result</t>
        </is>
      </c>
      <c r="I1" s="4" t="inlineStr">
        <is>
          <t>Identity proof</t>
        </is>
      </c>
      <c r="J1" s="4" t="inlineStr">
        <is>
          <t>No-page record</t>
        </is>
      </c>
      <c r="K1" s="4" t="inlineStr">
        <is>
          <t>Re-link lane result</t>
        </is>
      </c>
      <c r="L1" s="4" t="inlineStr">
        <is>
          <t>Official course page (state)</t>
        </is>
      </c>
      <c r="M1" s="4" t="inlineStr">
        <is>
          <t>International tuition (state)</t>
        </is>
      </c>
      <c r="N1" s="4" t="inlineStr">
        <is>
          <t>International fee (amount, year)</t>
        </is>
      </c>
      <c r="O1" s="4" t="inlineStr">
        <is>
          <t>Rows in approved fee schedule (by CRICOS code)</t>
        </is>
      </c>
      <c r="P1" s="4" t="inlineStr">
        <is>
          <t>Fee source</t>
        </is>
      </c>
      <c r="Q1" s="4" t="inlineStr">
        <is>
          <t>English requirement (state)</t>
        </is>
      </c>
      <c r="R1" s="4" t="inlineStr">
        <is>
          <t>IELTS overall</t>
        </is>
      </c>
      <c r="S1" s="4" t="inlineStr">
        <is>
          <t>English source</t>
        </is>
      </c>
      <c r="T1" s="4" t="inlineStr">
        <is>
          <t>Central English rule for this course</t>
        </is>
      </c>
      <c r="U1" s="4" t="inlineStr">
        <is>
          <t>Course page disagrees with central English</t>
        </is>
      </c>
      <c r="V1" s="4" t="inlineStr">
        <is>
          <t>Intakes (state)</t>
        </is>
      </c>
      <c r="W1" s="4" t="inlineStr">
        <is>
          <t>Intake months</t>
        </is>
      </c>
      <c r="X1" s="4" t="inlineStr">
        <is>
          <t>Intakes source</t>
        </is>
      </c>
      <c r="Y1" s="4" t="inlineStr">
        <is>
          <t>Intake rows withdrawn earlier</t>
        </is>
      </c>
      <c r="Z1" s="4" t="inlineStr">
        <is>
          <t>Calendar months allowed at this level (19 Oct rule)</t>
        </is>
      </c>
      <c r="AA1" s="4" t="inlineStr">
        <is>
          <t>Delivery mode (state)</t>
        </is>
      </c>
      <c r="AB1" s="4" t="inlineStr">
        <is>
          <t>Delivery mode</t>
        </is>
      </c>
      <c r="AC1" s="4" t="inlineStr">
        <is>
          <t>Delivery: last reader result</t>
        </is>
      </c>
      <c r="AD1" s="4" t="inlineStr">
        <is>
          <t>Delivery values taken back (23 Oct)</t>
        </is>
      </c>
      <c r="AE1" s="4" t="inlineStr">
        <is>
          <t>Action: read the bound page again (rendered)</t>
        </is>
      </c>
      <c r="AF1" s="4" t="inlineStr">
        <is>
          <t>Action: Layer 4 review of a value read from the course page</t>
        </is>
      </c>
      <c r="AG1" s="4" t="inlineStr">
        <is>
          <t>Action: re-route item stuck in retired Layer 3</t>
        </is>
      </c>
      <c r="AH1" s="4" t="inlineStr">
        <is>
          <t>Action: calendar months, undergraduate (22 Oct rule)</t>
        </is>
      </c>
      <c r="AI1" s="4" t="inlineStr">
        <is>
          <t>Action: calendar months, postgraduate/research (19 + 22 Oct rules)</t>
        </is>
      </c>
      <c r="AJ1" s="4" t="inlineStr">
        <is>
          <t>Action: English rule for held course types</t>
        </is>
      </c>
      <c r="AK1" s="4" t="inlineStr">
        <is>
          <t>Action: delivery quote not found, re-run</t>
        </is>
      </c>
      <c r="AL1" s="4" t="inlineStr">
        <is>
          <t>Action: fee in approved schedule, not admitted</t>
        </is>
      </c>
      <c r="AM1" s="4" t="inlineStr">
        <is>
          <t>Action: confirm no-page record</t>
        </is>
      </c>
    </row>
    <row r="2">
      <c r="A2" t="inlineStr">
        <is>
          <t>067838M</t>
        </is>
      </c>
      <c r="B2" t="inlineStr">
        <is>
          <t>Bachelor of Actuarial Studies</t>
        </is>
      </c>
      <c r="C2" t="inlineStr">
        <is>
          <t>Bachelor</t>
        </is>
      </c>
      <c r="D2" t="inlineStr">
        <is>
          <t>Undergraduate</t>
        </is>
      </c>
      <c r="E2" t="inlineStr">
        <is>
          <t>Advertised: official page in place</t>
        </is>
      </c>
      <c r="F2" t="inlineStr">
        <is>
          <t>https://coursehandbook.mq.edu.au/2026/courses/C000117</t>
        </is>
      </c>
      <c r="G2" t="inlineStr">
        <is>
          <t>https://coursehandbook.mq.edu.au/2026/courses/C000117</t>
        </is>
      </c>
      <c r="H2" t="inlineStr">
        <is>
          <t>Read</t>
        </is>
      </c>
      <c r="I2" t="inlineStr">
        <is>
          <t>Exact title match</t>
        </is>
      </c>
      <c r="J2" t="inlineStr"/>
      <c r="K2" t="inlineStr">
        <is>
          <t>Not sent to re-link</t>
        </is>
      </c>
      <c r="L2" t="inlineStr">
        <is>
          <t>Filled</t>
        </is>
      </c>
      <c r="M2" t="inlineStr">
        <is>
          <t>Not stated on course page</t>
        </is>
      </c>
      <c r="N2" t="inlineStr"/>
      <c r="O2" t="n">
        <v>0</v>
      </c>
      <c r="P2" t="inlineStr"/>
      <c r="Q2" t="inlineStr">
        <is>
          <t>Filled</t>
        </is>
      </c>
      <c r="R2" t="n">
        <v>6.5</v>
      </c>
      <c r="S2" t="inlineStr">
        <is>
          <t>University adapter</t>
        </is>
      </c>
      <c r="T2" t="inlineStr">
        <is>
          <t>Central rule applies (value agrees)</t>
        </is>
      </c>
      <c r="U2" t="inlineStr"/>
      <c r="V2" t="inlineStr">
        <is>
          <t>Not stated on course page</t>
        </is>
      </c>
      <c r="W2" t="inlineStr"/>
      <c r="X2" t="inlineStr"/>
      <c r="Y2" t="n">
        <v>0</v>
      </c>
      <c r="Z2" t="inlineStr">
        <is>
          <t>Yes</t>
        </is>
      </c>
      <c r="AA2" t="inlineStr">
        <is>
          <t>Not stated on course page</t>
        </is>
      </c>
      <c r="AB2" t="inlineStr"/>
      <c r="AC2" t="inlineStr">
        <is>
          <t>Skipped: the page does not state it</t>
        </is>
      </c>
      <c r="AD2" t="n">
        <v>0</v>
      </c>
      <c r="AE2" t="inlineStr"/>
      <c r="AF2" t="inlineStr"/>
      <c r="AG2" t="inlineStr"/>
      <c r="AH2" t="inlineStr"/>
      <c r="AI2" t="inlineStr"/>
      <c r="AJ2" t="inlineStr"/>
      <c r="AK2" t="inlineStr"/>
      <c r="AL2" t="inlineStr"/>
      <c r="AM2" t="inlineStr"/>
    </row>
    <row r="3">
      <c r="A3" t="inlineStr">
        <is>
          <t>067842D</t>
        </is>
      </c>
      <c r="B3" t="inlineStr">
        <is>
          <t>Bachelor of Actuarial Studies with the degree of Bachelor of Science</t>
        </is>
      </c>
      <c r="C3" t="inlineStr">
        <is>
          <t>Bachelor</t>
        </is>
      </c>
      <c r="D3" t="inlineStr">
        <is>
          <t>Undergraduate</t>
        </is>
      </c>
      <c r="E3" t="inlineStr">
        <is>
          <t>Held: page found is for another course</t>
        </is>
      </c>
      <c r="F3" t="inlineStr"/>
      <c r="G3" t="inlineStr">
        <is>
          <t>https://coursehandbook.mq.edu.au/2025/courses/C000117</t>
        </is>
      </c>
      <c r="H3" t="inlineStr">
        <is>
          <t>Page is for another course</t>
        </is>
      </c>
      <c r="I3" t="inlineStr"/>
      <c r="J3" t="inlineStr"/>
      <c r="K3" t="inlineStr">
        <is>
          <t>Finished, no page: no address from the university's address forms or stored lis</t>
        </is>
      </c>
      <c r="L3" t="inlineStr">
        <is>
          <t>Searching for course page</t>
        </is>
      </c>
      <c r="M3" t="inlineStr">
        <is>
          <t>Searching for course page</t>
        </is>
      </c>
      <c r="N3" t="inlineStr"/>
      <c r="O3" t="n">
        <v>0</v>
      </c>
      <c r="P3" t="inlineStr"/>
      <c r="Q3" t="inlineStr">
        <is>
          <t>Filled</t>
        </is>
      </c>
      <c r="R3" t="n">
        <v>6.5</v>
      </c>
      <c r="S3" t="inlineStr">
        <is>
          <t>Central English policy</t>
        </is>
      </c>
      <c r="T3" t="inlineStr">
        <is>
          <t>Central rule applies (value agrees)</t>
        </is>
      </c>
      <c r="U3" t="inlineStr"/>
      <c r="V3" t="inlineStr">
        <is>
          <t>Searching for course page</t>
        </is>
      </c>
      <c r="W3" t="inlineStr"/>
      <c r="X3" t="inlineStr"/>
      <c r="Y3" t="n">
        <v>0</v>
      </c>
      <c r="Z3" t="inlineStr">
        <is>
          <t>Yes</t>
        </is>
      </c>
      <c r="AA3" t="inlineStr">
        <is>
          <t>Not stated on course page</t>
        </is>
      </c>
      <c r="AB3" t="inlineStr"/>
      <c r="AC3" t="inlineStr">
        <is>
          <t>Skipped: the quote is not on the page</t>
        </is>
      </c>
      <c r="AD3" t="n">
        <v>0</v>
      </c>
      <c r="AE3" t="inlineStr"/>
      <c r="AF3" t="inlineStr"/>
      <c r="AG3" t="inlineStr"/>
      <c r="AH3" t="inlineStr"/>
      <c r="AI3" t="inlineStr"/>
      <c r="AJ3" t="inlineStr"/>
      <c r="AK3" t="inlineStr">
        <is>
          <t>Yes</t>
        </is>
      </c>
      <c r="AL3" t="inlineStr"/>
      <c r="AM3" t="inlineStr"/>
    </row>
    <row r="4">
      <c r="A4" t="inlineStr">
        <is>
          <t>099141B</t>
        </is>
      </c>
      <c r="B4" t="inlineStr">
        <is>
          <t>Bachelor of Advanced Information Technology</t>
        </is>
      </c>
      <c r="C4" t="inlineStr">
        <is>
          <t>Bachelor</t>
        </is>
      </c>
      <c r="D4" t="inlineStr">
        <is>
          <t>Undergraduate</t>
        </is>
      </c>
      <c r="E4" t="inlineStr">
        <is>
          <t>Page address no longer works</t>
        </is>
      </c>
      <c r="F4" t="inlineStr"/>
      <c r="G4" t="inlineStr">
        <is>
          <t>https://coursehandbook.mq.edu.au/2026/courses/C000092</t>
        </is>
      </c>
      <c r="H4" t="inlineStr">
        <is>
          <t>Address no longer works</t>
        </is>
      </c>
      <c r="I4" t="inlineStr"/>
      <c r="J4" t="inlineStr"/>
      <c r="K4" t="inlineStr">
        <is>
          <t>Not sent to re-link</t>
        </is>
      </c>
      <c r="L4" t="inlineStr">
        <is>
          <t>Page found, being read</t>
        </is>
      </c>
      <c r="M4" t="inlineStr">
        <is>
          <t>Page found, being read</t>
        </is>
      </c>
      <c r="N4" t="inlineStr"/>
      <c r="O4" t="n">
        <v>0</v>
      </c>
      <c r="P4" t="inlineStr"/>
      <c r="Q4" t="inlineStr">
        <is>
          <t>Filled</t>
        </is>
      </c>
      <c r="R4" t="n">
        <v>6.5</v>
      </c>
      <c r="S4" t="inlineStr">
        <is>
          <t>Central English policy</t>
        </is>
      </c>
      <c r="T4" t="inlineStr">
        <is>
          <t>Central rule applies (value agrees)</t>
        </is>
      </c>
      <c r="U4" t="inlineStr"/>
      <c r="V4" t="inlineStr">
        <is>
          <t>Page found, being read</t>
        </is>
      </c>
      <c r="W4" t="inlineStr"/>
      <c r="X4" t="inlineStr"/>
      <c r="Y4" t="n">
        <v>0</v>
      </c>
      <c r="Z4" t="inlineStr">
        <is>
          <t>Yes</t>
        </is>
      </c>
      <c r="AA4" t="inlineStr">
        <is>
          <t>Not stated on course page</t>
        </is>
      </c>
      <c r="AB4" t="inlineStr"/>
      <c r="AC4" t="inlineStr">
        <is>
          <t>Skipped: no allowed source had a value</t>
        </is>
      </c>
      <c r="AD4" t="n">
        <v>0</v>
      </c>
      <c r="AE4" t="inlineStr"/>
      <c r="AF4" t="inlineStr"/>
      <c r="AG4" t="inlineStr"/>
      <c r="AH4" t="inlineStr"/>
      <c r="AI4" t="inlineStr"/>
      <c r="AJ4" t="inlineStr"/>
      <c r="AK4" t="inlineStr"/>
      <c r="AL4" t="inlineStr"/>
      <c r="AM4" t="inlineStr"/>
    </row>
    <row r="5">
      <c r="A5" t="inlineStr">
        <is>
          <t>067843C</t>
        </is>
      </c>
      <c r="B5" t="inlineStr">
        <is>
          <t>Bachelor of Advanced Science</t>
        </is>
      </c>
      <c r="C5" t="inlineStr">
        <is>
          <t>Bachelor</t>
        </is>
      </c>
      <c r="D5" t="inlineStr">
        <is>
          <t>Undergraduate</t>
        </is>
      </c>
      <c r="E5" t="inlineStr">
        <is>
          <t>Page address no longer works</t>
        </is>
      </c>
      <c r="F5" t="inlineStr"/>
      <c r="G5" t="inlineStr">
        <is>
          <t>https://coursehandbook.mq.edu.au/2026/courses/C000093</t>
        </is>
      </c>
      <c r="H5" t="inlineStr">
        <is>
          <t>Address no longer works</t>
        </is>
      </c>
      <c r="I5" t="inlineStr"/>
      <c r="J5" t="inlineStr"/>
      <c r="K5" t="inlineStr">
        <is>
          <t>Not sent to re-link</t>
        </is>
      </c>
      <c r="L5" t="inlineStr">
        <is>
          <t>Page found, being read</t>
        </is>
      </c>
      <c r="M5" t="inlineStr">
        <is>
          <t>Page found, being read</t>
        </is>
      </c>
      <c r="N5" t="inlineStr"/>
      <c r="O5" t="n">
        <v>0</v>
      </c>
      <c r="P5" t="inlineStr"/>
      <c r="Q5" t="inlineStr">
        <is>
          <t>Filled</t>
        </is>
      </c>
      <c r="R5" t="n">
        <v>6.5</v>
      </c>
      <c r="S5" t="inlineStr">
        <is>
          <t>Central English policy</t>
        </is>
      </c>
      <c r="T5" t="inlineStr">
        <is>
          <t>Central rule applies (value agrees)</t>
        </is>
      </c>
      <c r="U5" t="inlineStr"/>
      <c r="V5" t="inlineStr">
        <is>
          <t>Page found, being read</t>
        </is>
      </c>
      <c r="W5" t="inlineStr"/>
      <c r="X5" t="inlineStr"/>
      <c r="Y5" t="n">
        <v>0</v>
      </c>
      <c r="Z5" t="inlineStr">
        <is>
          <t>Yes</t>
        </is>
      </c>
      <c r="AA5" t="inlineStr">
        <is>
          <t>Not stated on course page</t>
        </is>
      </c>
      <c r="AB5" t="inlineStr"/>
      <c r="AC5" t="inlineStr">
        <is>
          <t>Skipped: no allowed source had a value</t>
        </is>
      </c>
      <c r="AD5" t="n">
        <v>0</v>
      </c>
      <c r="AE5" t="inlineStr"/>
      <c r="AF5" t="inlineStr"/>
      <c r="AG5" t="inlineStr"/>
      <c r="AH5" t="inlineStr"/>
      <c r="AI5" t="inlineStr"/>
      <c r="AJ5" t="inlineStr"/>
      <c r="AK5" t="inlineStr"/>
      <c r="AL5" t="inlineStr"/>
      <c r="AM5" t="inlineStr"/>
    </row>
    <row r="6">
      <c r="A6" t="inlineStr">
        <is>
          <t>079891G</t>
        </is>
      </c>
      <c r="B6" t="inlineStr">
        <is>
          <t>Bachelor of Ancient History</t>
        </is>
      </c>
      <c r="C6" t="inlineStr">
        <is>
          <t>Bachelor</t>
        </is>
      </c>
      <c r="D6" t="inlineStr">
        <is>
          <t>Undergraduate</t>
        </is>
      </c>
      <c r="E6" t="inlineStr">
        <is>
          <t>Page address no longer works</t>
        </is>
      </c>
      <c r="F6" t="inlineStr"/>
      <c r="G6" t="inlineStr">
        <is>
          <t>https://coursehandbook.mq.edu.au/2026/doubledegree/d000365</t>
        </is>
      </c>
      <c r="H6" t="inlineStr">
        <is>
          <t>Address no longer works</t>
        </is>
      </c>
      <c r="I6" t="inlineStr"/>
      <c r="J6" t="inlineStr"/>
      <c r="K6" t="inlineStr">
        <is>
          <t>Not sent to re-link</t>
        </is>
      </c>
      <c r="L6" t="inlineStr">
        <is>
          <t>Page found, being read</t>
        </is>
      </c>
      <c r="M6" t="inlineStr">
        <is>
          <t>Page found, being read</t>
        </is>
      </c>
      <c r="N6" t="inlineStr"/>
      <c r="O6" t="n">
        <v>0</v>
      </c>
      <c r="P6" t="inlineStr"/>
      <c r="Q6" t="inlineStr">
        <is>
          <t>Filled</t>
        </is>
      </c>
      <c r="R6" t="n">
        <v>6.5</v>
      </c>
      <c r="S6" t="inlineStr">
        <is>
          <t>Central English policy</t>
        </is>
      </c>
      <c r="T6" t="inlineStr">
        <is>
          <t>Central rule applies (value agrees)</t>
        </is>
      </c>
      <c r="U6" t="inlineStr"/>
      <c r="V6" t="inlineStr">
        <is>
          <t>Page found, being read</t>
        </is>
      </c>
      <c r="W6" t="inlineStr"/>
      <c r="X6" t="inlineStr"/>
      <c r="Y6" t="n">
        <v>0</v>
      </c>
      <c r="Z6" t="inlineStr">
        <is>
          <t>Yes</t>
        </is>
      </c>
      <c r="AA6" t="inlineStr">
        <is>
          <t>Not stated on course page</t>
        </is>
      </c>
      <c r="AB6" t="inlineStr"/>
      <c r="AC6" t="inlineStr">
        <is>
          <t>Skipped: no allowed source had a value</t>
        </is>
      </c>
      <c r="AD6" t="n">
        <v>0</v>
      </c>
      <c r="AE6" t="inlineStr"/>
      <c r="AF6" t="inlineStr"/>
      <c r="AG6" t="inlineStr"/>
      <c r="AH6" t="inlineStr"/>
      <c r="AI6" t="inlineStr"/>
      <c r="AJ6" t="inlineStr"/>
      <c r="AK6" t="inlineStr"/>
      <c r="AL6" t="inlineStr"/>
      <c r="AM6" t="inlineStr"/>
    </row>
    <row r="7">
      <c r="A7" t="inlineStr">
        <is>
          <t>027342M</t>
        </is>
      </c>
      <c r="B7" t="inlineStr">
        <is>
          <t>Bachelor of Applied Finance</t>
        </is>
      </c>
      <c r="C7" t="inlineStr">
        <is>
          <t>Bachelor</t>
        </is>
      </c>
      <c r="D7" t="inlineStr">
        <is>
          <t>Undergraduate</t>
        </is>
      </c>
      <c r="E7" t="inlineStr">
        <is>
          <t>Advertised: official page in place</t>
        </is>
      </c>
      <c r="F7" t="inlineStr">
        <is>
          <t>https://coursehandbook.mq.edu.au/2026/courses/C000017</t>
        </is>
      </c>
      <c r="G7" t="inlineStr">
        <is>
          <t>https://coursehandbook.mq.edu.au/2026/courses/C000017</t>
        </is>
      </c>
      <c r="H7" t="inlineStr">
        <is>
          <t>Read</t>
        </is>
      </c>
      <c r="I7" t="inlineStr">
        <is>
          <t>Exact title match</t>
        </is>
      </c>
      <c r="J7" t="inlineStr"/>
      <c r="K7" t="inlineStr">
        <is>
          <t>Not sent to re-link</t>
        </is>
      </c>
      <c r="L7" t="inlineStr">
        <is>
          <t>Filled</t>
        </is>
      </c>
      <c r="M7" t="inlineStr">
        <is>
          <t>Not stated on course page</t>
        </is>
      </c>
      <c r="N7" t="inlineStr"/>
      <c r="O7" t="n">
        <v>0</v>
      </c>
      <c r="P7" t="inlineStr"/>
      <c r="Q7" t="inlineStr">
        <is>
          <t>Filled</t>
        </is>
      </c>
      <c r="R7" t="n">
        <v>6.5</v>
      </c>
      <c r="S7" t="inlineStr">
        <is>
          <t>University adapter</t>
        </is>
      </c>
      <c r="T7" t="inlineStr">
        <is>
          <t>Central rule applies (value agrees)</t>
        </is>
      </c>
      <c r="U7" t="inlineStr"/>
      <c r="V7" t="inlineStr">
        <is>
          <t>Not stated on course page</t>
        </is>
      </c>
      <c r="W7" t="inlineStr"/>
      <c r="X7" t="inlineStr"/>
      <c r="Y7" t="n">
        <v>0</v>
      </c>
      <c r="Z7" t="inlineStr">
        <is>
          <t>Yes</t>
        </is>
      </c>
      <c r="AA7" t="inlineStr">
        <is>
          <t>Not stated on course page</t>
        </is>
      </c>
      <c r="AB7" t="inlineStr"/>
      <c r="AC7" t="inlineStr">
        <is>
          <t>Skipped: the page does not state it</t>
        </is>
      </c>
      <c r="AD7" t="n">
        <v>0</v>
      </c>
      <c r="AE7" t="inlineStr"/>
      <c r="AF7" t="inlineStr"/>
      <c r="AG7" t="inlineStr"/>
      <c r="AH7" t="inlineStr"/>
      <c r="AI7" t="inlineStr"/>
      <c r="AJ7" t="inlineStr"/>
      <c r="AK7" t="inlineStr"/>
      <c r="AL7" t="inlineStr"/>
      <c r="AM7" t="inlineStr"/>
    </row>
    <row r="8">
      <c r="A8" t="inlineStr">
        <is>
          <t>067844B</t>
        </is>
      </c>
      <c r="B8" t="inlineStr">
        <is>
          <t>Bachelor of Applied Finance with the degree of Bachelor of Actuarial Studies</t>
        </is>
      </c>
      <c r="C8" t="inlineStr">
        <is>
          <t>Bachelor</t>
        </is>
      </c>
      <c r="D8" t="inlineStr">
        <is>
          <t>Undergraduate</t>
        </is>
      </c>
      <c r="E8" t="inlineStr">
        <is>
          <t>Advertised: official page in place</t>
        </is>
      </c>
      <c r="F8" t="inlineStr">
        <is>
          <t>https://handbook.mq.edu.au/2018/DegreesDiplomas/Degree/Bachelor+of+Applied+Finance+with+the+degree+of+Bachelor+of+Actuarial+Studies</t>
        </is>
      </c>
      <c r="G8" t="inlineStr">
        <is>
          <t>https://handbook.mq.edu.au/2018/DegreesDiplomas/Degree/Bachelor+of+Applied+Finance+with+the+degree+of+Bachelor+of+Actuarial+Studies</t>
        </is>
      </c>
      <c r="H8" t="inlineStr">
        <is>
          <t>Read</t>
        </is>
      </c>
      <c r="I8" t="inlineStr">
        <is>
          <t>CRICOS code on page</t>
        </is>
      </c>
      <c r="J8" t="inlineStr"/>
      <c r="K8" t="inlineStr">
        <is>
          <t>Not sent to re-link</t>
        </is>
      </c>
      <c r="L8" t="inlineStr">
        <is>
          <t>Filled</t>
        </is>
      </c>
      <c r="M8" t="inlineStr">
        <is>
          <t>Not stated on course page</t>
        </is>
      </c>
      <c r="N8" t="inlineStr"/>
      <c r="O8" t="n">
        <v>0</v>
      </c>
      <c r="P8" t="inlineStr"/>
      <c r="Q8" t="inlineStr">
        <is>
          <t>Filled</t>
        </is>
      </c>
      <c r="R8" t="n">
        <v>6.5</v>
      </c>
      <c r="S8" t="inlineStr">
        <is>
          <t>Other</t>
        </is>
      </c>
      <c r="T8" t="inlineStr">
        <is>
          <t>Central rule applies (value agrees)</t>
        </is>
      </c>
      <c r="U8" t="inlineStr"/>
      <c r="V8" t="inlineStr">
        <is>
          <t>Filled</t>
        </is>
      </c>
      <c r="W8" t="inlineStr">
        <is>
          <t>February</t>
        </is>
      </c>
      <c r="X8" t="inlineStr">
        <is>
          <t>Other</t>
        </is>
      </c>
      <c r="Y8" t="n">
        <v>0</v>
      </c>
      <c r="Z8" t="inlineStr">
        <is>
          <t>Yes</t>
        </is>
      </c>
      <c r="AA8" t="inlineStr">
        <is>
          <t>Filled</t>
        </is>
      </c>
      <c r="AB8" t="inlineStr">
        <is>
          <t>on campus</t>
        </is>
      </c>
      <c r="AC8" t="inlineStr">
        <is>
          <t>Filled</t>
        </is>
      </c>
      <c r="AD8" t="n">
        <v>0</v>
      </c>
      <c r="AE8" t="inlineStr"/>
      <c r="AF8" t="inlineStr"/>
      <c r="AG8" t="inlineStr"/>
      <c r="AH8" t="inlineStr"/>
      <c r="AI8" t="inlineStr"/>
      <c r="AJ8" t="inlineStr"/>
      <c r="AK8" t="inlineStr"/>
      <c r="AL8" t="inlineStr"/>
      <c r="AM8" t="inlineStr"/>
    </row>
    <row r="9">
      <c r="A9" t="inlineStr">
        <is>
          <t>088497J</t>
        </is>
      </c>
      <c r="B9" t="inlineStr">
        <is>
          <t>Bachelor of Applied Finance with the degree of Bachelor of Business Analytics</t>
        </is>
      </c>
      <c r="C9" t="inlineStr">
        <is>
          <t>Bachelor</t>
        </is>
      </c>
      <c r="D9" t="inlineStr">
        <is>
          <t>Undergraduate</t>
        </is>
      </c>
      <c r="E9" t="inlineStr">
        <is>
          <t>Advertised: official page in place</t>
        </is>
      </c>
      <c r="F9" t="inlineStr">
        <is>
          <t>https://handbook.mq.edu.au/2019/DegreesDiplomas/Degree/Bachelor+of+Applied+Finance+with+the+degree+of+Bachelor+of+Business+Analytics</t>
        </is>
      </c>
      <c r="G9" t="inlineStr">
        <is>
          <t>https://handbook.mq.edu.au/2019/DegreesDiplomas/Degree/Bachelor+of+Applied+Finance+with+the+degree+of+Bachelor+of+Business+Analytics</t>
        </is>
      </c>
      <c r="H9" t="inlineStr">
        <is>
          <t>Read</t>
        </is>
      </c>
      <c r="I9" t="inlineStr">
        <is>
          <t>CRICOS code on page</t>
        </is>
      </c>
      <c r="J9" t="inlineStr"/>
      <c r="K9" t="inlineStr">
        <is>
          <t>Not sent to re-link</t>
        </is>
      </c>
      <c r="L9" t="inlineStr">
        <is>
          <t>Filled</t>
        </is>
      </c>
      <c r="M9" t="inlineStr">
        <is>
          <t>Not stated on course page</t>
        </is>
      </c>
      <c r="N9" t="inlineStr"/>
      <c r="O9" t="n">
        <v>0</v>
      </c>
      <c r="P9" t="inlineStr"/>
      <c r="Q9" t="inlineStr">
        <is>
          <t>Filled</t>
        </is>
      </c>
      <c r="R9" t="n">
        <v>6.5</v>
      </c>
      <c r="S9" t="inlineStr">
        <is>
          <t>Other</t>
        </is>
      </c>
      <c r="T9" t="inlineStr">
        <is>
          <t>Central rule applies (value agrees)</t>
        </is>
      </c>
      <c r="U9" t="inlineStr"/>
      <c r="V9" t="inlineStr">
        <is>
          <t>Filled</t>
        </is>
      </c>
      <c r="W9" t="inlineStr">
        <is>
          <t>February, July</t>
        </is>
      </c>
      <c r="X9" t="inlineStr">
        <is>
          <t>Other</t>
        </is>
      </c>
      <c r="Y9" t="n">
        <v>0</v>
      </c>
      <c r="Z9" t="inlineStr">
        <is>
          <t>Yes</t>
        </is>
      </c>
      <c r="AA9" t="inlineStr">
        <is>
          <t>Filled</t>
        </is>
      </c>
      <c r="AB9" t="inlineStr">
        <is>
          <t>on campus</t>
        </is>
      </c>
      <c r="AC9" t="inlineStr">
        <is>
          <t>Filled</t>
        </is>
      </c>
      <c r="AD9" t="n">
        <v>0</v>
      </c>
      <c r="AE9" t="inlineStr"/>
      <c r="AF9" t="inlineStr"/>
      <c r="AG9" t="inlineStr"/>
      <c r="AH9" t="inlineStr"/>
      <c r="AI9" t="inlineStr"/>
      <c r="AJ9" t="inlineStr"/>
      <c r="AK9" t="inlineStr"/>
      <c r="AL9" t="inlineStr"/>
      <c r="AM9" t="inlineStr"/>
    </row>
    <row r="10">
      <c r="A10" t="inlineStr">
        <is>
          <t>067845A</t>
        </is>
      </c>
      <c r="B10" t="inlineStr">
        <is>
          <t>Bachelor of Applied Finance with the degree of Bachelor of Commerce - Professional Accounting</t>
        </is>
      </c>
      <c r="C10" t="inlineStr">
        <is>
          <t>Bachelor</t>
        </is>
      </c>
      <c r="D10" t="inlineStr">
        <is>
          <t>Undergraduate</t>
        </is>
      </c>
      <c r="E10" t="inlineStr">
        <is>
          <t>Advertised: official page in place</t>
        </is>
      </c>
      <c r="F10" t="inlineStr">
        <is>
          <t>https://handbook.mq.edu.au/2014/DegreesDiplomas/Degree/Bachelor+of+Applied+Finance+with+the+degree+of+Bachelor+of+Commerce+-+Professional+Accounting</t>
        </is>
      </c>
      <c r="G10" t="inlineStr">
        <is>
          <t>https://handbook.mq.edu.au/2014/DegreesDiplomas/Degree/Bachelor+of+Applied+Finance+with+the+degree+of+Bachelor+of+Commerce+-+Professional+Accounting</t>
        </is>
      </c>
      <c r="H10" t="inlineStr">
        <is>
          <t>Read</t>
        </is>
      </c>
      <c r="I10" t="inlineStr">
        <is>
          <t>Exact title match</t>
        </is>
      </c>
      <c r="J10" t="inlineStr"/>
      <c r="K10" t="inlineStr">
        <is>
          <t>Not sent to re-link</t>
        </is>
      </c>
      <c r="L10" t="inlineStr">
        <is>
          <t>Filled</t>
        </is>
      </c>
      <c r="M10" t="inlineStr">
        <is>
          <t>Not stated on course page</t>
        </is>
      </c>
      <c r="N10" t="inlineStr"/>
      <c r="O10" t="n">
        <v>0</v>
      </c>
      <c r="P10" t="inlineStr"/>
      <c r="Q10" t="inlineStr">
        <is>
          <t>Filled</t>
        </is>
      </c>
      <c r="R10" t="n">
        <v>6.5</v>
      </c>
      <c r="S10" t="inlineStr">
        <is>
          <t>Central English policy</t>
        </is>
      </c>
      <c r="T10" t="inlineStr">
        <is>
          <t>Central rule applies (value agrees)</t>
        </is>
      </c>
      <c r="U10" t="inlineStr"/>
      <c r="V10" t="inlineStr">
        <is>
          <t>Filled</t>
        </is>
      </c>
      <c r="W10" t="inlineStr">
        <is>
          <t>March, August</t>
        </is>
      </c>
      <c r="X10" t="inlineStr">
        <is>
          <t>Other</t>
        </is>
      </c>
      <c r="Y10" t="n">
        <v>0</v>
      </c>
      <c r="Z10" t="inlineStr">
        <is>
          <t>Yes</t>
        </is>
      </c>
      <c r="AA10" t="inlineStr">
        <is>
          <t>Filled</t>
        </is>
      </c>
      <c r="AB10" t="inlineStr">
        <is>
          <t>on campus</t>
        </is>
      </c>
      <c r="AC10" t="inlineStr">
        <is>
          <t>Filled</t>
        </is>
      </c>
      <c r="AD10" t="n">
        <v>0</v>
      </c>
      <c r="AE10" t="inlineStr"/>
      <c r="AF10" t="inlineStr"/>
      <c r="AG10" t="inlineStr"/>
      <c r="AH10" t="inlineStr"/>
      <c r="AI10" t="inlineStr"/>
      <c r="AJ10" t="inlineStr"/>
      <c r="AK10" t="inlineStr"/>
      <c r="AL10" t="inlineStr"/>
      <c r="AM10" t="inlineStr"/>
    </row>
    <row r="11">
      <c r="A11" t="inlineStr">
        <is>
          <t>030375J</t>
        </is>
      </c>
      <c r="B11" t="inlineStr">
        <is>
          <t>Bachelor of Applied Finance with the degree of Bachelor of Economics</t>
        </is>
      </c>
      <c r="C11" t="inlineStr">
        <is>
          <t>Bachelor</t>
        </is>
      </c>
      <c r="D11" t="inlineStr">
        <is>
          <t>Undergraduate</t>
        </is>
      </c>
      <c r="E11" t="inlineStr">
        <is>
          <t>Held: page found is for another course</t>
        </is>
      </c>
      <c r="F11" t="inlineStr"/>
      <c r="G11" t="inlineStr">
        <is>
          <t>https://coursehandbook.mq.edu.au/2026/doubledegree/D000005</t>
        </is>
      </c>
      <c r="H11" t="inlineStr">
        <is>
          <t>Page is for another course</t>
        </is>
      </c>
      <c r="I11" t="inlineStr"/>
      <c r="J11" t="inlineStr"/>
      <c r="K11" t="inlineStr">
        <is>
          <t>Finished, no page: no address from the university's address forms or stored lis</t>
        </is>
      </c>
      <c r="L11" t="inlineStr">
        <is>
          <t>Searching for course page</t>
        </is>
      </c>
      <c r="M11" t="inlineStr">
        <is>
          <t>Searching for course page</t>
        </is>
      </c>
      <c r="N11" t="inlineStr"/>
      <c r="O11" t="n">
        <v>0</v>
      </c>
      <c r="P11" t="inlineStr"/>
      <c r="Q11" t="inlineStr">
        <is>
          <t>Filled</t>
        </is>
      </c>
      <c r="R11" t="n">
        <v>6.5</v>
      </c>
      <c r="S11" t="inlineStr">
        <is>
          <t>Central English policy</t>
        </is>
      </c>
      <c r="T11" t="inlineStr">
        <is>
          <t>Central rule applies (value agrees)</t>
        </is>
      </c>
      <c r="U11" t="inlineStr"/>
      <c r="V11" t="inlineStr">
        <is>
          <t>Searching for course page</t>
        </is>
      </c>
      <c r="W11" t="inlineStr"/>
      <c r="X11" t="inlineStr"/>
      <c r="Y11" t="n">
        <v>0</v>
      </c>
      <c r="Z11" t="inlineStr">
        <is>
          <t>Yes</t>
        </is>
      </c>
      <c r="AA11" t="inlineStr">
        <is>
          <t>Not stated on course page</t>
        </is>
      </c>
      <c r="AB11" t="inlineStr"/>
      <c r="AC11" t="inlineStr">
        <is>
          <t>Skipped: the page does not state it</t>
        </is>
      </c>
      <c r="AD11" t="n">
        <v>0</v>
      </c>
      <c r="AE11" t="inlineStr"/>
      <c r="AF11" t="inlineStr"/>
      <c r="AG11" t="inlineStr"/>
      <c r="AH11" t="inlineStr"/>
      <c r="AI11" t="inlineStr"/>
      <c r="AJ11" t="inlineStr"/>
      <c r="AK11" t="inlineStr"/>
      <c r="AL11" t="inlineStr"/>
      <c r="AM11" t="inlineStr"/>
    </row>
    <row r="12">
      <c r="A12" t="inlineStr">
        <is>
          <t>083740K</t>
        </is>
      </c>
      <c r="B12" t="inlineStr">
        <is>
          <t>Bachelor of Archaeology</t>
        </is>
      </c>
      <c r="C12" t="inlineStr">
        <is>
          <t>Bachelor</t>
        </is>
      </c>
      <c r="D12" t="inlineStr">
        <is>
          <t>Undergraduate</t>
        </is>
      </c>
      <c r="E12" t="inlineStr">
        <is>
          <t>Page address no longer works</t>
        </is>
      </c>
      <c r="F12" t="inlineStr"/>
      <c r="G12" t="inlineStr">
        <is>
          <t>https://coursehandbook.mq.edu.au/2026/doubledegree/d000402</t>
        </is>
      </c>
      <c r="H12" t="inlineStr">
        <is>
          <t>Address no longer works</t>
        </is>
      </c>
      <c r="I12" t="inlineStr"/>
      <c r="J12" t="inlineStr"/>
      <c r="K12" t="inlineStr">
        <is>
          <t>Not sent to re-link</t>
        </is>
      </c>
      <c r="L12" t="inlineStr">
        <is>
          <t>Page found, being read</t>
        </is>
      </c>
      <c r="M12" t="inlineStr">
        <is>
          <t>Page found, being read</t>
        </is>
      </c>
      <c r="N12" t="inlineStr"/>
      <c r="O12" t="n">
        <v>0</v>
      </c>
      <c r="P12" t="inlineStr"/>
      <c r="Q12" t="inlineStr">
        <is>
          <t>Filled</t>
        </is>
      </c>
      <c r="R12" t="n">
        <v>6.5</v>
      </c>
      <c r="S12" t="inlineStr">
        <is>
          <t>Central English policy</t>
        </is>
      </c>
      <c r="T12" t="inlineStr">
        <is>
          <t>Central rule applies (value agrees)</t>
        </is>
      </c>
      <c r="U12" t="inlineStr"/>
      <c r="V12" t="inlineStr">
        <is>
          <t>Page found, being read</t>
        </is>
      </c>
      <c r="W12" t="inlineStr"/>
      <c r="X12" t="inlineStr"/>
      <c r="Y12" t="n">
        <v>0</v>
      </c>
      <c r="Z12" t="inlineStr">
        <is>
          <t>Yes</t>
        </is>
      </c>
      <c r="AA12" t="inlineStr">
        <is>
          <t>Not stated on course page</t>
        </is>
      </c>
      <c r="AB12" t="inlineStr"/>
      <c r="AC12" t="inlineStr">
        <is>
          <t>Skipped: no allowed source had a value</t>
        </is>
      </c>
      <c r="AD12" t="n">
        <v>0</v>
      </c>
      <c r="AE12" t="inlineStr"/>
      <c r="AF12" t="inlineStr"/>
      <c r="AG12" t="inlineStr"/>
      <c r="AH12" t="inlineStr"/>
      <c r="AI12" t="inlineStr"/>
      <c r="AJ12" t="inlineStr"/>
      <c r="AK12" t="inlineStr"/>
      <c r="AL12" t="inlineStr"/>
      <c r="AM12" t="inlineStr"/>
    </row>
    <row r="13">
      <c r="A13" t="inlineStr">
        <is>
          <t>001357G</t>
        </is>
      </c>
      <c r="B13" t="inlineStr">
        <is>
          <t>Bachelor of Arts</t>
        </is>
      </c>
      <c r="C13" t="inlineStr">
        <is>
          <t>Bachelor</t>
        </is>
      </c>
      <c r="D13" t="inlineStr">
        <is>
          <t>Undergraduate</t>
        </is>
      </c>
      <c r="E13" t="inlineStr">
        <is>
          <t>Advertised: official page in place</t>
        </is>
      </c>
      <c r="F13" t="inlineStr">
        <is>
          <t>https://coursehandbook.mq.edu.au/2026/courses/C000004</t>
        </is>
      </c>
      <c r="G13" t="inlineStr">
        <is>
          <t>https://coursehandbook.mq.edu.au/2026/courses/C000004</t>
        </is>
      </c>
      <c r="H13" t="inlineStr">
        <is>
          <t>Read</t>
        </is>
      </c>
      <c r="I13" t="inlineStr">
        <is>
          <t>Exact title match</t>
        </is>
      </c>
      <c r="J13" t="inlineStr"/>
      <c r="K13" t="inlineStr">
        <is>
          <t>Not sent to re-link</t>
        </is>
      </c>
      <c r="L13" t="inlineStr">
        <is>
          <t>Filled</t>
        </is>
      </c>
      <c r="M13" t="inlineStr">
        <is>
          <t>Not stated on course page</t>
        </is>
      </c>
      <c r="N13" t="inlineStr"/>
      <c r="O13" t="n">
        <v>0</v>
      </c>
      <c r="P13" t="inlineStr"/>
      <c r="Q13" t="inlineStr">
        <is>
          <t>Filled</t>
        </is>
      </c>
      <c r="R13" t="n">
        <v>6.5</v>
      </c>
      <c r="S13" t="inlineStr">
        <is>
          <t>University adapter</t>
        </is>
      </c>
      <c r="T13" t="inlineStr">
        <is>
          <t>Central rule applies (value agrees)</t>
        </is>
      </c>
      <c r="U13" t="inlineStr"/>
      <c r="V13" t="inlineStr">
        <is>
          <t>Not stated on course page</t>
        </is>
      </c>
      <c r="W13" t="inlineStr"/>
      <c r="X13" t="inlineStr"/>
      <c r="Y13" t="n">
        <v>0</v>
      </c>
      <c r="Z13" t="inlineStr">
        <is>
          <t>Yes</t>
        </is>
      </c>
      <c r="AA13" t="inlineStr">
        <is>
          <t>Not stated on course page</t>
        </is>
      </c>
      <c r="AB13" t="inlineStr"/>
      <c r="AC13" t="inlineStr">
        <is>
          <t>Skipped: the page does not state it</t>
        </is>
      </c>
      <c r="AD13" t="n">
        <v>0</v>
      </c>
      <c r="AE13" t="inlineStr"/>
      <c r="AF13" t="inlineStr"/>
      <c r="AG13" t="inlineStr"/>
      <c r="AH13" t="inlineStr"/>
      <c r="AI13" t="inlineStr"/>
      <c r="AJ13" t="inlineStr"/>
      <c r="AK13" t="inlineStr"/>
      <c r="AL13" t="inlineStr"/>
      <c r="AM13" t="inlineStr"/>
    </row>
    <row r="14">
      <c r="A14" t="inlineStr">
        <is>
          <t>072063M</t>
        </is>
      </c>
      <c r="B14" t="inlineStr">
        <is>
          <t>Bachelor of Arts - Media</t>
        </is>
      </c>
      <c r="C14" t="inlineStr">
        <is>
          <t>Bachelor</t>
        </is>
      </c>
      <c r="D14" t="inlineStr">
        <is>
          <t>Undergraduate</t>
        </is>
      </c>
      <c r="E14" t="inlineStr">
        <is>
          <t>Page address no longer works</t>
        </is>
      </c>
      <c r="F14" t="inlineStr"/>
      <c r="G14" t="inlineStr">
        <is>
          <t>https://www.mq.edu.au/study/admissions-and-entry/pathways/schemes/academic-entry-program/lookup-tool/config/test-listing-page/nested-divs/bachelor-of-arts-media</t>
        </is>
      </c>
      <c r="H14" t="inlineStr">
        <is>
          <t>Blocked by the site</t>
        </is>
      </c>
      <c r="I14" t="inlineStr"/>
      <c r="J14" t="inlineStr"/>
      <c r="K14" t="inlineStr">
        <is>
          <t>Finished, no page: every candidate address was refused by the reader or did not</t>
        </is>
      </c>
      <c r="L14" t="inlineStr">
        <is>
          <t>Blocked: needs a person</t>
        </is>
      </c>
      <c r="M14" t="inlineStr">
        <is>
          <t>Blocked: needs a person</t>
        </is>
      </c>
      <c r="N14" t="inlineStr"/>
      <c r="O14" t="n">
        <v>0</v>
      </c>
      <c r="P14" t="inlineStr"/>
      <c r="Q14" t="inlineStr">
        <is>
          <t>Filled</t>
        </is>
      </c>
      <c r="R14" t="n">
        <v>6.5</v>
      </c>
      <c r="S14" t="inlineStr">
        <is>
          <t>Central English policy</t>
        </is>
      </c>
      <c r="T14" t="inlineStr">
        <is>
          <t>Central rule applies (value agrees)</t>
        </is>
      </c>
      <c r="U14" t="inlineStr"/>
      <c r="V14" t="inlineStr">
        <is>
          <t>Blocked: needs a person</t>
        </is>
      </c>
      <c r="W14" t="inlineStr"/>
      <c r="X14" t="inlineStr"/>
      <c r="Y14" t="n">
        <v>0</v>
      </c>
      <c r="Z14" t="inlineStr">
        <is>
          <t>Yes</t>
        </is>
      </c>
      <c r="AA14" t="inlineStr">
        <is>
          <t>Not stated on course page</t>
        </is>
      </c>
      <c r="AB14" t="inlineStr"/>
      <c r="AC14" t="inlineStr">
        <is>
          <t>Skipped: no allowed source had a value</t>
        </is>
      </c>
      <c r="AD14" t="n">
        <v>1</v>
      </c>
      <c r="AE14" t="inlineStr"/>
      <c r="AF14" t="inlineStr"/>
      <c r="AG14" t="inlineStr"/>
      <c r="AH14" t="inlineStr"/>
      <c r="AI14" t="inlineStr"/>
      <c r="AJ14" t="inlineStr"/>
      <c r="AK14" t="inlineStr"/>
      <c r="AL14" t="inlineStr"/>
      <c r="AM14" t="inlineStr"/>
    </row>
    <row r="15">
      <c r="A15" t="inlineStr">
        <is>
          <t>001359E</t>
        </is>
      </c>
      <c r="B15" t="inlineStr">
        <is>
          <t>Bachelor of Arts - Psychology</t>
        </is>
      </c>
      <c r="C15" t="inlineStr">
        <is>
          <t>Bachelor</t>
        </is>
      </c>
      <c r="D15" t="inlineStr">
        <is>
          <t>Undergraduate</t>
        </is>
      </c>
      <c r="E15" t="inlineStr">
        <is>
          <t>Advertised: official page in place</t>
        </is>
      </c>
      <c r="F15" t="inlineStr">
        <is>
          <t>https://handbook.mq.edu.au/2019/DegreesDiplomas/Degree/Bachelor+of+Arts+-+Psychology</t>
        </is>
      </c>
      <c r="G15" t="inlineStr">
        <is>
          <t>https://handbook.mq.edu.au/2019/DegreesDiplomas/Degree/Bachelor+of+Arts+-+Psychology</t>
        </is>
      </c>
      <c r="H15" t="inlineStr">
        <is>
          <t>Read</t>
        </is>
      </c>
      <c r="I15" t="inlineStr">
        <is>
          <t>CRICOS code on page</t>
        </is>
      </c>
      <c r="J15" t="inlineStr"/>
      <c r="K15" t="inlineStr">
        <is>
          <t>Not sent to re-link</t>
        </is>
      </c>
      <c r="L15" t="inlineStr">
        <is>
          <t>Filled</t>
        </is>
      </c>
      <c r="M15" t="inlineStr">
        <is>
          <t>Not stated on course page</t>
        </is>
      </c>
      <c r="N15" t="inlineStr"/>
      <c r="O15" t="n">
        <v>0</v>
      </c>
      <c r="P15" t="inlineStr"/>
      <c r="Q15" t="inlineStr">
        <is>
          <t>Filled</t>
        </is>
      </c>
      <c r="R15" t="n">
        <v>6.5</v>
      </c>
      <c r="S15" t="inlineStr">
        <is>
          <t>Other</t>
        </is>
      </c>
      <c r="T15" t="inlineStr">
        <is>
          <t>Central rule applies (value agrees)</t>
        </is>
      </c>
      <c r="U15" t="inlineStr"/>
      <c r="V15" t="inlineStr">
        <is>
          <t>Filled</t>
        </is>
      </c>
      <c r="W15" t="inlineStr">
        <is>
          <t>February, July</t>
        </is>
      </c>
      <c r="X15" t="inlineStr">
        <is>
          <t>Other</t>
        </is>
      </c>
      <c r="Y15" t="n">
        <v>0</v>
      </c>
      <c r="Z15" t="inlineStr">
        <is>
          <t>Yes</t>
        </is>
      </c>
      <c r="AA15" t="inlineStr">
        <is>
          <t>Filled</t>
        </is>
      </c>
      <c r="AB15" t="inlineStr">
        <is>
          <t>on campus</t>
        </is>
      </c>
      <c r="AC15" t="inlineStr">
        <is>
          <t>Filled</t>
        </is>
      </c>
      <c r="AD15" t="n">
        <v>0</v>
      </c>
      <c r="AE15" t="inlineStr"/>
      <c r="AF15" t="inlineStr"/>
      <c r="AG15" t="inlineStr"/>
      <c r="AH15" t="inlineStr"/>
      <c r="AI15" t="inlineStr"/>
      <c r="AJ15" t="inlineStr"/>
      <c r="AK15" t="inlineStr"/>
      <c r="AL15" t="inlineStr"/>
      <c r="AM15" t="inlineStr"/>
    </row>
    <row r="16">
      <c r="A16" t="inlineStr">
        <is>
          <t>079889A</t>
        </is>
      </c>
      <c r="B16" t="inlineStr">
        <is>
          <t>Bachelor of Arts - Psychology with the degree of Bachelor of Education (Primary)</t>
        </is>
      </c>
      <c r="C16" t="inlineStr">
        <is>
          <t>Bachelor</t>
        </is>
      </c>
      <c r="D16" t="inlineStr">
        <is>
          <t>Undergraduate</t>
        </is>
      </c>
      <c r="E16" t="inlineStr">
        <is>
          <t>Advertised: official page in place</t>
        </is>
      </c>
      <c r="F16" t="inlineStr">
        <is>
          <t>https://handbook.mq.edu.au/2015/DegreesDiplomas/Degree/Bachelor+of+Arts+-+Psychology+with+the+degree+of+Bachelor+of+Education+%28Primary%29</t>
        </is>
      </c>
      <c r="G16" t="inlineStr">
        <is>
          <t>https://handbook.mq.edu.au/2015/DegreesDiplomas/Degree/Bachelor+of+Arts+-+Psychology+with+the+degree+of+Bachelor+of+Education+%28Primary%29</t>
        </is>
      </c>
      <c r="H16" t="inlineStr">
        <is>
          <t>Read</t>
        </is>
      </c>
      <c r="I16" t="inlineStr">
        <is>
          <t>CRICOS code on page</t>
        </is>
      </c>
      <c r="J16" t="inlineStr"/>
      <c r="K16" t="inlineStr">
        <is>
          <t>Not sent to re-link</t>
        </is>
      </c>
      <c r="L16" t="inlineStr">
        <is>
          <t>Filled</t>
        </is>
      </c>
      <c r="M16" t="inlineStr">
        <is>
          <t>Not stated on course page</t>
        </is>
      </c>
      <c r="N16" t="inlineStr"/>
      <c r="O16" t="n">
        <v>0</v>
      </c>
      <c r="P16" t="inlineStr"/>
      <c r="Q16" t="inlineStr">
        <is>
          <t>Filled</t>
        </is>
      </c>
      <c r="R16" t="n">
        <v>7</v>
      </c>
      <c r="S16" t="inlineStr">
        <is>
          <t>Other</t>
        </is>
      </c>
      <c r="T16" t="inlineStr">
        <is>
          <t>Central rule applies (course value differs)</t>
        </is>
      </c>
      <c r="U16" t="inlineStr">
        <is>
          <t>Yes: course has IELTS 7.00, central rule says 6.5</t>
        </is>
      </c>
      <c r="V16" t="inlineStr">
        <is>
          <t>Filled</t>
        </is>
      </c>
      <c r="W16" t="inlineStr">
        <is>
          <t>February</t>
        </is>
      </c>
      <c r="X16" t="inlineStr">
        <is>
          <t>Page reader</t>
        </is>
      </c>
      <c r="Y16" t="n">
        <v>0</v>
      </c>
      <c r="Z16" t="inlineStr">
        <is>
          <t>Yes</t>
        </is>
      </c>
      <c r="AA16" t="inlineStr">
        <is>
          <t>Filled</t>
        </is>
      </c>
      <c r="AB16" t="inlineStr">
        <is>
          <t>on campus</t>
        </is>
      </c>
      <c r="AC16" t="inlineStr">
        <is>
          <t>Filled</t>
        </is>
      </c>
      <c r="AD16" t="n">
        <v>0</v>
      </c>
      <c r="AE16" t="inlineStr"/>
      <c r="AF16" t="inlineStr"/>
      <c r="AG16" t="inlineStr"/>
      <c r="AH16" t="inlineStr"/>
      <c r="AI16" t="inlineStr"/>
      <c r="AJ16" t="inlineStr"/>
      <c r="AK16" t="inlineStr"/>
      <c r="AL16" t="inlineStr"/>
      <c r="AM16" t="inlineStr"/>
    </row>
    <row r="17">
      <c r="A17" t="inlineStr">
        <is>
          <t>083741J</t>
        </is>
      </c>
      <c r="B17" t="inlineStr">
        <is>
          <t>Bachelor of Arts - Psychology with the degree of Bachelor of Human Sciences</t>
        </is>
      </c>
      <c r="C17" t="inlineStr">
        <is>
          <t>Bachelor</t>
        </is>
      </c>
      <c r="D17" t="inlineStr">
        <is>
          <t>Undergraduate</t>
        </is>
      </c>
      <c r="E17" t="inlineStr">
        <is>
          <t>Advertised: official page in place</t>
        </is>
      </c>
      <c r="F17" t="inlineStr">
        <is>
          <t>https://handbook.mq.edu.au/2019/DegreesDiplomas/Degree/Bachelor+of+Arts+-+Psychology+with+the+degree+of+Bachelor+of+Human+Sciences</t>
        </is>
      </c>
      <c r="G17" t="inlineStr">
        <is>
          <t>https://handbook.mq.edu.au/2019/DegreesDiplomas/Degree/Bachelor+of+Arts+-+Psychology+with+the+degree+of+Bachelor+of+Human+Sciences</t>
        </is>
      </c>
      <c r="H17" t="inlineStr">
        <is>
          <t>Read</t>
        </is>
      </c>
      <c r="I17" t="inlineStr">
        <is>
          <t>CRICOS code on page</t>
        </is>
      </c>
      <c r="J17" t="inlineStr"/>
      <c r="K17" t="inlineStr">
        <is>
          <t>Not sent to re-link</t>
        </is>
      </c>
      <c r="L17" t="inlineStr">
        <is>
          <t>Filled</t>
        </is>
      </c>
      <c r="M17" t="inlineStr">
        <is>
          <t>Not stated on course page</t>
        </is>
      </c>
      <c r="N17" t="inlineStr"/>
      <c r="O17" t="n">
        <v>0</v>
      </c>
      <c r="P17" t="inlineStr"/>
      <c r="Q17" t="inlineStr">
        <is>
          <t>Filled</t>
        </is>
      </c>
      <c r="R17" t="n">
        <v>6.5</v>
      </c>
      <c r="S17" t="inlineStr">
        <is>
          <t>Other</t>
        </is>
      </c>
      <c r="T17" t="inlineStr">
        <is>
          <t>Central rule applies (value agrees)</t>
        </is>
      </c>
      <c r="U17" t="inlineStr"/>
      <c r="V17" t="inlineStr">
        <is>
          <t>Filled</t>
        </is>
      </c>
      <c r="W17" t="inlineStr">
        <is>
          <t>February, July</t>
        </is>
      </c>
      <c r="X17" t="inlineStr">
        <is>
          <t>Other</t>
        </is>
      </c>
      <c r="Y17" t="n">
        <v>0</v>
      </c>
      <c r="Z17" t="inlineStr">
        <is>
          <t>Yes</t>
        </is>
      </c>
      <c r="AA17" t="inlineStr">
        <is>
          <t>Filled</t>
        </is>
      </c>
      <c r="AB17" t="inlineStr">
        <is>
          <t>on campus</t>
        </is>
      </c>
      <c r="AC17" t="inlineStr">
        <is>
          <t>Filled</t>
        </is>
      </c>
      <c r="AD17" t="n">
        <v>0</v>
      </c>
      <c r="AE17" t="inlineStr"/>
      <c r="AF17" t="inlineStr"/>
      <c r="AG17" t="inlineStr"/>
      <c r="AH17" t="inlineStr"/>
      <c r="AI17" t="inlineStr"/>
      <c r="AJ17" t="inlineStr"/>
      <c r="AK17" t="inlineStr"/>
      <c r="AL17" t="inlineStr"/>
      <c r="AM17" t="inlineStr"/>
    </row>
    <row r="18">
      <c r="A18" t="inlineStr">
        <is>
          <t>037283A</t>
        </is>
      </c>
      <c r="B18" t="inlineStr">
        <is>
          <t>Bachelor of Arts - Psychology with the degree of Bachelor of Laws</t>
        </is>
      </c>
      <c r="C18" t="inlineStr">
        <is>
          <t>Bachelor</t>
        </is>
      </c>
      <c r="D18" t="inlineStr">
        <is>
          <t>Undergraduate</t>
        </is>
      </c>
      <c r="E18" t="inlineStr">
        <is>
          <t>Advertised: official page in place</t>
        </is>
      </c>
      <c r="F18" t="inlineStr">
        <is>
          <t>https://handbook.mq.edu.au/2019/DegreesDiplomas/Degree/Bachelor+of+Arts+-+Psychology+with+the+degree+of+Bachelor+of+Laws</t>
        </is>
      </c>
      <c r="G18" t="inlineStr">
        <is>
          <t>https://handbook.mq.edu.au/2019/DegreesDiplomas/Degree/Bachelor+of+Arts+-+Psychology+with+the+degree+of+Bachelor+of+Laws</t>
        </is>
      </c>
      <c r="H18" t="inlineStr">
        <is>
          <t>Read</t>
        </is>
      </c>
      <c r="I18" t="inlineStr">
        <is>
          <t>CRICOS code on page</t>
        </is>
      </c>
      <c r="J18" t="inlineStr"/>
      <c r="K18" t="inlineStr">
        <is>
          <t>Not sent to re-link</t>
        </is>
      </c>
      <c r="L18" t="inlineStr">
        <is>
          <t>Filled</t>
        </is>
      </c>
      <c r="M18" t="inlineStr">
        <is>
          <t>Not stated on course page</t>
        </is>
      </c>
      <c r="N18" t="inlineStr"/>
      <c r="O18" t="n">
        <v>0</v>
      </c>
      <c r="P18" t="inlineStr"/>
      <c r="Q18" t="inlineStr">
        <is>
          <t>Filled</t>
        </is>
      </c>
      <c r="R18" t="n">
        <v>7</v>
      </c>
      <c r="S18" t="inlineStr">
        <is>
          <t>Other</t>
        </is>
      </c>
      <c r="T18" t="inlineStr">
        <is>
          <t>Central rule applies (course value differs)</t>
        </is>
      </c>
      <c r="U18" t="inlineStr">
        <is>
          <t>Yes: course has IELTS 7.00, central rule says 6.5</t>
        </is>
      </c>
      <c r="V18" t="inlineStr">
        <is>
          <t>Filled</t>
        </is>
      </c>
      <c r="W18" t="inlineStr">
        <is>
          <t>February, July</t>
        </is>
      </c>
      <c r="X18" t="inlineStr">
        <is>
          <t>Other</t>
        </is>
      </c>
      <c r="Y18" t="n">
        <v>0</v>
      </c>
      <c r="Z18" t="inlineStr">
        <is>
          <t>Yes</t>
        </is>
      </c>
      <c r="AA18" t="inlineStr">
        <is>
          <t>Filled</t>
        </is>
      </c>
      <c r="AB18" t="inlineStr">
        <is>
          <t>on campus</t>
        </is>
      </c>
      <c r="AC18" t="inlineStr">
        <is>
          <t>Filled</t>
        </is>
      </c>
      <c r="AD18" t="n">
        <v>0</v>
      </c>
      <c r="AE18" t="inlineStr"/>
      <c r="AF18" t="inlineStr"/>
      <c r="AG18" t="inlineStr"/>
      <c r="AH18" t="inlineStr"/>
      <c r="AI18" t="inlineStr"/>
      <c r="AJ18" t="inlineStr"/>
      <c r="AK18" t="inlineStr"/>
      <c r="AL18" t="inlineStr"/>
      <c r="AM18" t="inlineStr"/>
    </row>
    <row r="19">
      <c r="A19" t="inlineStr">
        <is>
          <t>096860F</t>
        </is>
      </c>
      <c r="B19" t="inlineStr">
        <is>
          <t>Bachelor of Arts - Psychology with the degree of Bachelor of Speech, Hearing and Language Sciences</t>
        </is>
      </c>
      <c r="C19" t="inlineStr">
        <is>
          <t>Bachelor</t>
        </is>
      </c>
      <c r="D19" t="inlineStr">
        <is>
          <t>Undergraduate</t>
        </is>
      </c>
      <c r="E19" t="inlineStr">
        <is>
          <t>Advertised: official page in place</t>
        </is>
      </c>
      <c r="F19" t="inlineStr">
        <is>
          <t>https://handbook.mq.edu.au/2019/DegreesDiplomas/Degree/Bachelor+of+Arts+-+Psychology+with+the+degree+of+Bachelor+of+Speech%2C+Hearing+and+Language+Sciences</t>
        </is>
      </c>
      <c r="G19" t="inlineStr">
        <is>
          <t>https://handbook.mq.edu.au/2019/DegreesDiplomas/Degree/Bachelor+of+Arts+-+Psychology+with+the+degree+of+Bachelor+of+Speech%2C+Hearing+and+Language+Sciences</t>
        </is>
      </c>
      <c r="H19" t="inlineStr">
        <is>
          <t>Read</t>
        </is>
      </c>
      <c r="I19" t="inlineStr">
        <is>
          <t>CRICOS code on page</t>
        </is>
      </c>
      <c r="J19" t="inlineStr"/>
      <c r="K19" t="inlineStr">
        <is>
          <t>Not sent to re-link</t>
        </is>
      </c>
      <c r="L19" t="inlineStr">
        <is>
          <t>Filled</t>
        </is>
      </c>
      <c r="M19" t="inlineStr">
        <is>
          <t>Not stated on course page</t>
        </is>
      </c>
      <c r="N19" t="inlineStr"/>
      <c r="O19" t="n">
        <v>0</v>
      </c>
      <c r="P19" t="inlineStr"/>
      <c r="Q19" t="inlineStr">
        <is>
          <t>Filled</t>
        </is>
      </c>
      <c r="R19" t="n">
        <v>6.5</v>
      </c>
      <c r="S19" t="inlineStr">
        <is>
          <t>Other</t>
        </is>
      </c>
      <c r="T19" t="inlineStr">
        <is>
          <t>Central rule applies (value agrees)</t>
        </is>
      </c>
      <c r="U19" t="inlineStr"/>
      <c r="V19" t="inlineStr">
        <is>
          <t>Filled</t>
        </is>
      </c>
      <c r="W19" t="inlineStr">
        <is>
          <t>February, July</t>
        </is>
      </c>
      <c r="X19" t="inlineStr">
        <is>
          <t>Other</t>
        </is>
      </c>
      <c r="Y19" t="n">
        <v>0</v>
      </c>
      <c r="Z19" t="inlineStr">
        <is>
          <t>Yes</t>
        </is>
      </c>
      <c r="AA19" t="inlineStr">
        <is>
          <t>Filled</t>
        </is>
      </c>
      <c r="AB19" t="inlineStr">
        <is>
          <t>on campus</t>
        </is>
      </c>
      <c r="AC19" t="inlineStr">
        <is>
          <t>Filled</t>
        </is>
      </c>
      <c r="AD19" t="n">
        <v>0</v>
      </c>
      <c r="AE19" t="inlineStr"/>
      <c r="AF19" t="inlineStr"/>
      <c r="AG19" t="inlineStr"/>
      <c r="AH19" t="inlineStr"/>
      <c r="AI19" t="inlineStr"/>
      <c r="AJ19" t="inlineStr"/>
      <c r="AK19" t="inlineStr"/>
      <c r="AL19" t="inlineStr"/>
      <c r="AM19" t="inlineStr"/>
    </row>
    <row r="20">
      <c r="A20" t="inlineStr">
        <is>
          <t>081342G</t>
        </is>
      </c>
      <c r="B20" t="inlineStr">
        <is>
          <t>Bachelor of Arts with the degree of  Bachelor of Education (Secondary)</t>
        </is>
      </c>
      <c r="C20" t="inlineStr">
        <is>
          <t>Bachelor</t>
        </is>
      </c>
      <c r="D20" t="inlineStr">
        <is>
          <t>Undergraduate</t>
        </is>
      </c>
      <c r="E20" t="inlineStr">
        <is>
          <t>Advertised: official page in place</t>
        </is>
      </c>
      <c r="F20" t="inlineStr">
        <is>
          <t>https://handbook.mq.edu.au/2019/DegreesDiplomas/Degree/Bachelor+of+Arts+with+the+degree+of+Bachelor+of+Education+%28Secondary%29</t>
        </is>
      </c>
      <c r="G20" t="inlineStr">
        <is>
          <t>https://handbook.mq.edu.au/2019/DegreesDiplomas/Degree/Bachelor+of+Arts+with+the+degree+of+Bachelor+of+Education+%28Secondary%29</t>
        </is>
      </c>
      <c r="H20" t="inlineStr">
        <is>
          <t>Read</t>
        </is>
      </c>
      <c r="I20" t="inlineStr">
        <is>
          <t>CRICOS code on page</t>
        </is>
      </c>
      <c r="J20" t="inlineStr"/>
      <c r="K20" t="inlineStr">
        <is>
          <t>Not sent to re-link</t>
        </is>
      </c>
      <c r="L20" t="inlineStr">
        <is>
          <t>Filled</t>
        </is>
      </c>
      <c r="M20" t="inlineStr">
        <is>
          <t>Not stated on course page</t>
        </is>
      </c>
      <c r="N20" t="inlineStr"/>
      <c r="O20" t="n">
        <v>0</v>
      </c>
      <c r="P20" t="inlineStr"/>
      <c r="Q20" t="inlineStr">
        <is>
          <t>Filled</t>
        </is>
      </c>
      <c r="R20" t="n">
        <v>7.5</v>
      </c>
      <c r="S20" t="inlineStr">
        <is>
          <t>Other</t>
        </is>
      </c>
      <c r="T20" t="inlineStr">
        <is>
          <t>Central rule applies (course value differs)</t>
        </is>
      </c>
      <c r="U20" t="inlineStr">
        <is>
          <t>Yes: course has IELTS 7.50, central rule says 6.5</t>
        </is>
      </c>
      <c r="V20" t="inlineStr">
        <is>
          <t>Filled</t>
        </is>
      </c>
      <c r="W20" t="inlineStr">
        <is>
          <t>February</t>
        </is>
      </c>
      <c r="X20" t="inlineStr">
        <is>
          <t>Other</t>
        </is>
      </c>
      <c r="Y20" t="n">
        <v>0</v>
      </c>
      <c r="Z20" t="inlineStr">
        <is>
          <t>Yes</t>
        </is>
      </c>
      <c r="AA20" t="inlineStr">
        <is>
          <t>Filled</t>
        </is>
      </c>
      <c r="AB20" t="inlineStr">
        <is>
          <t>on campus</t>
        </is>
      </c>
      <c r="AC20" t="inlineStr">
        <is>
          <t>Filled</t>
        </is>
      </c>
      <c r="AD20" t="n">
        <v>0</v>
      </c>
      <c r="AE20" t="inlineStr"/>
      <c r="AF20" t="inlineStr"/>
      <c r="AG20" t="inlineStr"/>
      <c r="AH20" t="inlineStr"/>
      <c r="AI20" t="inlineStr"/>
      <c r="AJ20" t="inlineStr"/>
      <c r="AK20" t="inlineStr"/>
      <c r="AL20" t="inlineStr"/>
      <c r="AM20" t="inlineStr"/>
    </row>
    <row r="21">
      <c r="A21" t="inlineStr">
        <is>
          <t>067846M</t>
        </is>
      </c>
      <c r="B21" t="inlineStr">
        <is>
          <t>Bachelor of Arts with the degree of Bachelor of Commerce</t>
        </is>
      </c>
      <c r="C21" t="inlineStr">
        <is>
          <t>Bachelor</t>
        </is>
      </c>
      <c r="D21" t="inlineStr">
        <is>
          <t>Undergraduate</t>
        </is>
      </c>
      <c r="E21" t="inlineStr">
        <is>
          <t>Advertised: official page in place</t>
        </is>
      </c>
      <c r="F21" t="inlineStr">
        <is>
          <t>https://handbook.mq.edu.au/2018/DegreesDiplomas/Degree/Bachelor+of+Arts+with+the+degree+of+Bachelor+of+Commerce</t>
        </is>
      </c>
      <c r="G21" t="inlineStr">
        <is>
          <t>https://handbook.mq.edu.au/2018/DegreesDiplomas/Degree/Bachelor+of+Arts+with+the+degree+of+Bachelor+of+Commerce</t>
        </is>
      </c>
      <c r="H21" t="inlineStr">
        <is>
          <t>Read</t>
        </is>
      </c>
      <c r="I21" t="inlineStr">
        <is>
          <t>CRICOS code on page</t>
        </is>
      </c>
      <c r="J21" t="inlineStr"/>
      <c r="K21" t="inlineStr">
        <is>
          <t>Not sent to re-link</t>
        </is>
      </c>
      <c r="L21" t="inlineStr">
        <is>
          <t>Filled</t>
        </is>
      </c>
      <c r="M21" t="inlineStr">
        <is>
          <t>Not stated on course page</t>
        </is>
      </c>
      <c r="N21" t="inlineStr"/>
      <c r="O21" t="n">
        <v>0</v>
      </c>
      <c r="P21" t="inlineStr"/>
      <c r="Q21" t="inlineStr">
        <is>
          <t>Filled</t>
        </is>
      </c>
      <c r="R21" t="n">
        <v>6.5</v>
      </c>
      <c r="S21" t="inlineStr">
        <is>
          <t>Other</t>
        </is>
      </c>
      <c r="T21" t="inlineStr">
        <is>
          <t>Central rule applies (value agrees)</t>
        </is>
      </c>
      <c r="U21" t="inlineStr"/>
      <c r="V21" t="inlineStr">
        <is>
          <t>Filled</t>
        </is>
      </c>
      <c r="W21" t="inlineStr">
        <is>
          <t>February, July</t>
        </is>
      </c>
      <c r="X21" t="inlineStr">
        <is>
          <t>Other</t>
        </is>
      </c>
      <c r="Y21" t="n">
        <v>0</v>
      </c>
      <c r="Z21" t="inlineStr">
        <is>
          <t>Yes</t>
        </is>
      </c>
      <c r="AA21" t="inlineStr">
        <is>
          <t>Filled</t>
        </is>
      </c>
      <c r="AB21" t="inlineStr">
        <is>
          <t>on campus</t>
        </is>
      </c>
      <c r="AC21" t="inlineStr">
        <is>
          <t>Filled</t>
        </is>
      </c>
      <c r="AD21" t="n">
        <v>0</v>
      </c>
      <c r="AE21" t="inlineStr"/>
      <c r="AF21" t="inlineStr"/>
      <c r="AG21" t="inlineStr"/>
      <c r="AH21" t="inlineStr"/>
      <c r="AI21" t="inlineStr"/>
      <c r="AJ21" t="inlineStr"/>
      <c r="AK21" t="inlineStr"/>
      <c r="AL21" t="inlineStr"/>
      <c r="AM21" t="inlineStr"/>
    </row>
    <row r="22">
      <c r="A22" t="inlineStr">
        <is>
          <t>075047J</t>
        </is>
      </c>
      <c r="B22" t="inlineStr">
        <is>
          <t>Bachelor of Arts with the degree of Bachelor of Education (Primary)</t>
        </is>
      </c>
      <c r="C22" t="inlineStr">
        <is>
          <t>Bachelor</t>
        </is>
      </c>
      <c r="D22" t="inlineStr">
        <is>
          <t>Undergraduate</t>
        </is>
      </c>
      <c r="E22" t="inlineStr">
        <is>
          <t>Held: page found is for another course</t>
        </is>
      </c>
      <c r="F22" t="inlineStr"/>
      <c r="G22" t="inlineStr">
        <is>
          <t>https://coursehandbook.mq.edu.au/2021/courses/D000006</t>
        </is>
      </c>
      <c r="H22" t="inlineStr">
        <is>
          <t>Page is for another course</t>
        </is>
      </c>
      <c r="I22" t="inlineStr"/>
      <c r="J22" t="inlineStr"/>
      <c r="K22" t="inlineStr">
        <is>
          <t>Finished, no page: no address from the university's address forms or stored lis</t>
        </is>
      </c>
      <c r="L22" t="inlineStr">
        <is>
          <t>Searching for course page</t>
        </is>
      </c>
      <c r="M22" t="inlineStr">
        <is>
          <t>Searching for course page</t>
        </is>
      </c>
      <c r="N22" t="inlineStr"/>
      <c r="O22" t="n">
        <v>0</v>
      </c>
      <c r="P22" t="inlineStr"/>
      <c r="Q22" t="inlineStr">
        <is>
          <t>Filled</t>
        </is>
      </c>
      <c r="R22" t="n">
        <v>6.5</v>
      </c>
      <c r="S22" t="inlineStr">
        <is>
          <t>Central English policy</t>
        </is>
      </c>
      <c r="T22" t="inlineStr">
        <is>
          <t>Central rule applies (value agrees)</t>
        </is>
      </c>
      <c r="U22" t="inlineStr"/>
      <c r="V22" t="inlineStr">
        <is>
          <t>Searching for course page</t>
        </is>
      </c>
      <c r="W22" t="inlineStr"/>
      <c r="X22" t="inlineStr"/>
      <c r="Y22" t="n">
        <v>0</v>
      </c>
      <c r="Z22" t="inlineStr">
        <is>
          <t>Yes</t>
        </is>
      </c>
      <c r="AA22" t="inlineStr">
        <is>
          <t>Not stated on course page</t>
        </is>
      </c>
      <c r="AB22" t="inlineStr"/>
      <c r="AC22" t="inlineStr">
        <is>
          <t>Skipped: taken back: the page read was another course's page</t>
        </is>
      </c>
      <c r="AD22" t="n">
        <v>1</v>
      </c>
      <c r="AE22" t="inlineStr"/>
      <c r="AF22" t="inlineStr"/>
      <c r="AG22" t="inlineStr"/>
      <c r="AH22" t="inlineStr"/>
      <c r="AI22" t="inlineStr"/>
      <c r="AJ22" t="inlineStr"/>
      <c r="AK22" t="inlineStr"/>
      <c r="AL22" t="inlineStr"/>
      <c r="AM22" t="inlineStr"/>
    </row>
    <row r="23">
      <c r="A23" t="inlineStr">
        <is>
          <t>001371J</t>
        </is>
      </c>
      <c r="B23" t="inlineStr">
        <is>
          <t>Bachelor of Arts with the degree of Bachelor of Laws</t>
        </is>
      </c>
      <c r="C23" t="inlineStr">
        <is>
          <t>Bachelor</t>
        </is>
      </c>
      <c r="D23" t="inlineStr">
        <is>
          <t>Undergraduate</t>
        </is>
      </c>
      <c r="E23" t="inlineStr">
        <is>
          <t>Advertised: official page in place</t>
        </is>
      </c>
      <c r="F23" t="inlineStr">
        <is>
          <t>https://handbook.mq.edu.au/2018/DegreesDiplomas/Degree/Bachelor+of+Arts+with+the+degree+of+Bachelor+of+Laws</t>
        </is>
      </c>
      <c r="G23" t="inlineStr">
        <is>
          <t>https://handbook.mq.edu.au/2018/DegreesDiplomas/Degree/Bachelor+of+Arts+with+the+degree+of+Bachelor+of+Laws</t>
        </is>
      </c>
      <c r="H23" t="inlineStr">
        <is>
          <t>Read</t>
        </is>
      </c>
      <c r="I23" t="inlineStr">
        <is>
          <t>CRICOS code on page</t>
        </is>
      </c>
      <c r="J23" t="inlineStr"/>
      <c r="K23" t="inlineStr">
        <is>
          <t>Not sent to re-link</t>
        </is>
      </c>
      <c r="L23" t="inlineStr">
        <is>
          <t>Filled</t>
        </is>
      </c>
      <c r="M23" t="inlineStr">
        <is>
          <t>Not stated on course page</t>
        </is>
      </c>
      <c r="N23" t="inlineStr"/>
      <c r="O23" t="n">
        <v>0</v>
      </c>
      <c r="P23" t="inlineStr"/>
      <c r="Q23" t="inlineStr">
        <is>
          <t>Filled</t>
        </is>
      </c>
      <c r="R23" t="n">
        <v>7</v>
      </c>
      <c r="S23" t="inlineStr">
        <is>
          <t>Other</t>
        </is>
      </c>
      <c r="T23" t="inlineStr">
        <is>
          <t>Central rule applies (course value differs)</t>
        </is>
      </c>
      <c r="U23" t="inlineStr">
        <is>
          <t>Yes: course has IELTS 7.00, central rule says 6.5</t>
        </is>
      </c>
      <c r="V23" t="inlineStr">
        <is>
          <t>Filled</t>
        </is>
      </c>
      <c r="W23" t="inlineStr">
        <is>
          <t>February, July</t>
        </is>
      </c>
      <c r="X23" t="inlineStr">
        <is>
          <t>Other</t>
        </is>
      </c>
      <c r="Y23" t="n">
        <v>0</v>
      </c>
      <c r="Z23" t="inlineStr">
        <is>
          <t>Yes</t>
        </is>
      </c>
      <c r="AA23" t="inlineStr">
        <is>
          <t>Filled</t>
        </is>
      </c>
      <c r="AB23" t="inlineStr">
        <is>
          <t>on campus</t>
        </is>
      </c>
      <c r="AC23" t="inlineStr">
        <is>
          <t>Filled</t>
        </is>
      </c>
      <c r="AD23" t="n">
        <v>0</v>
      </c>
      <c r="AE23" t="inlineStr"/>
      <c r="AF23" t="inlineStr"/>
      <c r="AG23" t="inlineStr"/>
      <c r="AH23" t="inlineStr"/>
      <c r="AI23" t="inlineStr"/>
      <c r="AJ23" t="inlineStr"/>
      <c r="AK23" t="inlineStr"/>
      <c r="AL23" t="inlineStr"/>
      <c r="AM23" t="inlineStr"/>
    </row>
    <row r="24">
      <c r="A24" t="inlineStr">
        <is>
          <t>067848J</t>
        </is>
      </c>
      <c r="B24" t="inlineStr">
        <is>
          <t>Bachelor of Biodiversity and Conservation</t>
        </is>
      </c>
      <c r="C24" t="inlineStr">
        <is>
          <t>Bachelor</t>
        </is>
      </c>
      <c r="D24" t="inlineStr">
        <is>
          <t>Undergraduate</t>
        </is>
      </c>
      <c r="E24" t="inlineStr">
        <is>
          <t>Advertised: official page in place</t>
        </is>
      </c>
      <c r="F24" t="inlineStr">
        <is>
          <t>https://coursehandbook.mq.edu.au/2026/courses/c000001</t>
        </is>
      </c>
      <c r="G24" t="inlineStr">
        <is>
          <t>https://coursehandbook.mq.edu.au/2026/courses/c000001</t>
        </is>
      </c>
      <c r="H24" t="inlineStr">
        <is>
          <t>Read</t>
        </is>
      </c>
      <c r="I24" t="inlineStr">
        <is>
          <t>Exact title match</t>
        </is>
      </c>
      <c r="J24" t="inlineStr"/>
      <c r="K24" t="inlineStr">
        <is>
          <t>Not sent to re-link</t>
        </is>
      </c>
      <c r="L24" t="inlineStr">
        <is>
          <t>Filled</t>
        </is>
      </c>
      <c r="M24" t="inlineStr">
        <is>
          <t>Not stated on course page</t>
        </is>
      </c>
      <c r="N24" t="inlineStr"/>
      <c r="O24" t="n">
        <v>0</v>
      </c>
      <c r="P24" t="inlineStr"/>
      <c r="Q24" t="inlineStr">
        <is>
          <t>Filled</t>
        </is>
      </c>
      <c r="R24" t="n">
        <v>6.5</v>
      </c>
      <c r="S24" t="inlineStr">
        <is>
          <t>University adapter</t>
        </is>
      </c>
      <c r="T24" t="inlineStr">
        <is>
          <t>Central rule applies (value agrees)</t>
        </is>
      </c>
      <c r="U24" t="inlineStr"/>
      <c r="V24" t="inlineStr">
        <is>
          <t>Not stated on course page</t>
        </is>
      </c>
      <c r="W24" t="inlineStr"/>
      <c r="X24" t="inlineStr"/>
      <c r="Y24" t="n">
        <v>0</v>
      </c>
      <c r="Z24" t="inlineStr">
        <is>
          <t>Yes</t>
        </is>
      </c>
      <c r="AA24" t="inlineStr">
        <is>
          <t>Not stated on course page</t>
        </is>
      </c>
      <c r="AB24" t="inlineStr"/>
      <c r="AC24" t="inlineStr">
        <is>
          <t>Skipped: the page does not state it</t>
        </is>
      </c>
      <c r="AD24" t="n">
        <v>0</v>
      </c>
      <c r="AE24" t="inlineStr"/>
      <c r="AF24" t="inlineStr"/>
      <c r="AG24" t="inlineStr"/>
      <c r="AH24" t="inlineStr"/>
      <c r="AI24" t="inlineStr"/>
      <c r="AJ24" t="inlineStr"/>
      <c r="AK24" t="inlineStr"/>
      <c r="AL24" t="inlineStr"/>
      <c r="AM24" t="inlineStr"/>
    </row>
    <row r="25">
      <c r="A25" t="inlineStr">
        <is>
          <t>111851M</t>
        </is>
      </c>
      <c r="B25" t="inlineStr">
        <is>
          <t>Bachelor of Business</t>
        </is>
      </c>
      <c r="C25" t="inlineStr">
        <is>
          <t>Bachelor</t>
        </is>
      </c>
      <c r="D25" t="inlineStr">
        <is>
          <t>Undergraduate</t>
        </is>
      </c>
      <c r="E25" t="inlineStr">
        <is>
          <t>Advertised: official page in place</t>
        </is>
      </c>
      <c r="F25" t="inlineStr">
        <is>
          <t>https://coursehandbook.mq.edu.au/2026/courses/C000389</t>
        </is>
      </c>
      <c r="G25" t="inlineStr">
        <is>
          <t>https://coursehandbook.mq.edu.au/2026/courses/C000389</t>
        </is>
      </c>
      <c r="H25" t="inlineStr">
        <is>
          <t>Read</t>
        </is>
      </c>
      <c r="I25" t="inlineStr">
        <is>
          <t>Exact title match</t>
        </is>
      </c>
      <c r="J25" t="inlineStr"/>
      <c r="K25" t="inlineStr">
        <is>
          <t>Not sent to re-link</t>
        </is>
      </c>
      <c r="L25" t="inlineStr">
        <is>
          <t>Filled</t>
        </is>
      </c>
      <c r="M25" t="inlineStr">
        <is>
          <t>Not stated on course page</t>
        </is>
      </c>
      <c r="N25" t="inlineStr"/>
      <c r="O25" t="n">
        <v>0</v>
      </c>
      <c r="P25" t="inlineStr"/>
      <c r="Q25" t="inlineStr">
        <is>
          <t>Filled</t>
        </is>
      </c>
      <c r="R25" t="n">
        <v>6.5</v>
      </c>
      <c r="S25" t="inlineStr">
        <is>
          <t>University adapter</t>
        </is>
      </c>
      <c r="T25" t="inlineStr">
        <is>
          <t>Central rule applies (value agrees)</t>
        </is>
      </c>
      <c r="U25" t="inlineStr"/>
      <c r="V25" t="inlineStr">
        <is>
          <t>Not stated on course page</t>
        </is>
      </c>
      <c r="W25" t="inlineStr"/>
      <c r="X25" t="inlineStr"/>
      <c r="Y25" t="n">
        <v>0</v>
      </c>
      <c r="Z25" t="inlineStr">
        <is>
          <t>Yes</t>
        </is>
      </c>
      <c r="AA25" t="inlineStr">
        <is>
          <t>Not stated on course page</t>
        </is>
      </c>
      <c r="AB25" t="inlineStr"/>
      <c r="AC25" t="inlineStr">
        <is>
          <t>Skipped: the page does not state it</t>
        </is>
      </c>
      <c r="AD25" t="n">
        <v>0</v>
      </c>
      <c r="AE25" t="inlineStr"/>
      <c r="AF25" t="inlineStr"/>
      <c r="AG25" t="inlineStr"/>
      <c r="AH25" t="inlineStr"/>
      <c r="AI25" t="inlineStr"/>
      <c r="AJ25" t="inlineStr"/>
      <c r="AK25" t="inlineStr"/>
      <c r="AL25" t="inlineStr"/>
      <c r="AM25" t="inlineStr"/>
    </row>
    <row r="26">
      <c r="A26" t="inlineStr">
        <is>
          <t>027343K</t>
        </is>
      </c>
      <c r="B26" t="inlineStr">
        <is>
          <t>Bachelor of Business Administration</t>
        </is>
      </c>
      <c r="C26" t="inlineStr">
        <is>
          <t>Bachelor</t>
        </is>
      </c>
      <c r="D26" t="inlineStr">
        <is>
          <t>Undergraduate</t>
        </is>
      </c>
      <c r="E26" t="inlineStr">
        <is>
          <t>Page address no longer works</t>
        </is>
      </c>
      <c r="F26" t="inlineStr"/>
      <c r="G26" t="inlineStr">
        <is>
          <t>https://coursehandbook.mq.edu.au/2026/doubledegree/d006331</t>
        </is>
      </c>
      <c r="H26" t="inlineStr">
        <is>
          <t>Address no longer works</t>
        </is>
      </c>
      <c r="I26" t="inlineStr"/>
      <c r="J26" t="inlineStr"/>
      <c r="K26" t="inlineStr">
        <is>
          <t>Not sent to re-link</t>
        </is>
      </c>
      <c r="L26" t="inlineStr">
        <is>
          <t>Page found, being read</t>
        </is>
      </c>
      <c r="M26" t="inlineStr">
        <is>
          <t>Page found, being read</t>
        </is>
      </c>
      <c r="N26" t="inlineStr"/>
      <c r="O26" t="n">
        <v>0</v>
      </c>
      <c r="P26" t="inlineStr"/>
      <c r="Q26" t="inlineStr">
        <is>
          <t>Filled</t>
        </is>
      </c>
      <c r="R26" t="n">
        <v>6.5</v>
      </c>
      <c r="S26" t="inlineStr">
        <is>
          <t>Central English policy</t>
        </is>
      </c>
      <c r="T26" t="inlineStr">
        <is>
          <t>Central rule applies (value agrees)</t>
        </is>
      </c>
      <c r="U26" t="inlineStr"/>
      <c r="V26" t="inlineStr">
        <is>
          <t>Page found, being read</t>
        </is>
      </c>
      <c r="W26" t="inlineStr"/>
      <c r="X26" t="inlineStr"/>
      <c r="Y26" t="n">
        <v>0</v>
      </c>
      <c r="Z26" t="inlineStr">
        <is>
          <t>Yes</t>
        </is>
      </c>
      <c r="AA26" t="inlineStr">
        <is>
          <t>Not stated on course page</t>
        </is>
      </c>
      <c r="AB26" t="inlineStr"/>
      <c r="AC26" t="inlineStr">
        <is>
          <t>Skipped: no allowed source had a value</t>
        </is>
      </c>
      <c r="AD26" t="n">
        <v>0</v>
      </c>
      <c r="AE26" t="inlineStr"/>
      <c r="AF26" t="inlineStr"/>
      <c r="AG26" t="inlineStr"/>
      <c r="AH26" t="inlineStr"/>
      <c r="AI26" t="inlineStr"/>
      <c r="AJ26" t="inlineStr"/>
      <c r="AK26" t="inlineStr"/>
      <c r="AL26" t="inlineStr"/>
      <c r="AM26" t="inlineStr"/>
    </row>
    <row r="27">
      <c r="A27" t="inlineStr">
        <is>
          <t>067866G</t>
        </is>
      </c>
      <c r="B27" t="inlineStr">
        <is>
          <t>Bachelor of Business Administration with the degree of Bachelor of Arts</t>
        </is>
      </c>
      <c r="C27" t="inlineStr">
        <is>
          <t>Bachelor</t>
        </is>
      </c>
      <c r="D27" t="inlineStr">
        <is>
          <t>Undergraduate</t>
        </is>
      </c>
      <c r="E27" t="inlineStr">
        <is>
          <t>Advertised: official page in place</t>
        </is>
      </c>
      <c r="F27" t="inlineStr">
        <is>
          <t>https://handbook.mq.edu.au/2018/DegreesDiplomas/Degree/Bachelor+of+Business+Administration+with+the+degree+of+Bachelor+of+Arts</t>
        </is>
      </c>
      <c r="G27" t="inlineStr">
        <is>
          <t>https://handbook.mq.edu.au/2018/DegreesDiplomas/Degree/Bachelor+of+Business+Administration+with+the+degree+of+Bachelor+of+Arts</t>
        </is>
      </c>
      <c r="H27" t="inlineStr">
        <is>
          <t>Read</t>
        </is>
      </c>
      <c r="I27" t="inlineStr">
        <is>
          <t>CRICOS code on page</t>
        </is>
      </c>
      <c r="J27" t="inlineStr"/>
      <c r="K27" t="inlineStr">
        <is>
          <t>Not sent to re-link</t>
        </is>
      </c>
      <c r="L27" t="inlineStr">
        <is>
          <t>Filled</t>
        </is>
      </c>
      <c r="M27" t="inlineStr">
        <is>
          <t>Not stated on course page</t>
        </is>
      </c>
      <c r="N27" t="inlineStr"/>
      <c r="O27" t="n">
        <v>0</v>
      </c>
      <c r="P27" t="inlineStr"/>
      <c r="Q27" t="inlineStr">
        <is>
          <t>Filled</t>
        </is>
      </c>
      <c r="R27" t="n">
        <v>6.5</v>
      </c>
      <c r="S27" t="inlineStr">
        <is>
          <t>Other</t>
        </is>
      </c>
      <c r="T27" t="inlineStr">
        <is>
          <t>Central rule applies (value agrees)</t>
        </is>
      </c>
      <c r="U27" t="inlineStr"/>
      <c r="V27" t="inlineStr">
        <is>
          <t>Filled</t>
        </is>
      </c>
      <c r="W27" t="inlineStr">
        <is>
          <t>February, July</t>
        </is>
      </c>
      <c r="X27" t="inlineStr">
        <is>
          <t>Other</t>
        </is>
      </c>
      <c r="Y27" t="n">
        <v>0</v>
      </c>
      <c r="Z27" t="inlineStr">
        <is>
          <t>Yes</t>
        </is>
      </c>
      <c r="AA27" t="inlineStr">
        <is>
          <t>Filled</t>
        </is>
      </c>
      <c r="AB27" t="inlineStr">
        <is>
          <t>on campus</t>
        </is>
      </c>
      <c r="AC27" t="inlineStr">
        <is>
          <t>Filled</t>
        </is>
      </c>
      <c r="AD27" t="n">
        <v>0</v>
      </c>
      <c r="AE27" t="inlineStr"/>
      <c r="AF27" t="inlineStr"/>
      <c r="AG27" t="inlineStr"/>
      <c r="AH27" t="inlineStr"/>
      <c r="AI27" t="inlineStr"/>
      <c r="AJ27" t="inlineStr"/>
      <c r="AK27" t="inlineStr"/>
      <c r="AL27" t="inlineStr"/>
      <c r="AM27" t="inlineStr"/>
    </row>
    <row r="28">
      <c r="A28" t="inlineStr">
        <is>
          <t>031133G</t>
        </is>
      </c>
      <c r="B28" t="inlineStr">
        <is>
          <t>Bachelor of Business Administration with the degree of Bachelor of Arts - Psychology</t>
        </is>
      </c>
      <c r="C28" t="inlineStr">
        <is>
          <t>Bachelor</t>
        </is>
      </c>
      <c r="D28" t="inlineStr">
        <is>
          <t>Undergraduate</t>
        </is>
      </c>
      <c r="E28" t="inlineStr">
        <is>
          <t>Advertised: official page in place</t>
        </is>
      </c>
      <c r="F28" t="inlineStr">
        <is>
          <t>https://handbook.mq.edu.au/2019/DegreesDiplomas/Degree/Bachelor+of+Business+Administration+with+the+degree+of+Bachelor+of+Arts+-+Psychology</t>
        </is>
      </c>
      <c r="G28" t="inlineStr">
        <is>
          <t>https://handbook.mq.edu.au/2019/DegreesDiplomas/Degree/Bachelor+of+Business+Administration+with+the+degree+of+Bachelor+of+Arts+-+Psychology</t>
        </is>
      </c>
      <c r="H28" t="inlineStr">
        <is>
          <t>Read</t>
        </is>
      </c>
      <c r="I28" t="inlineStr">
        <is>
          <t>CRICOS code on page</t>
        </is>
      </c>
      <c r="J28" t="inlineStr"/>
      <c r="K28" t="inlineStr">
        <is>
          <t>Not sent to re-link</t>
        </is>
      </c>
      <c r="L28" t="inlineStr">
        <is>
          <t>Filled</t>
        </is>
      </c>
      <c r="M28" t="inlineStr">
        <is>
          <t>Not stated on course page</t>
        </is>
      </c>
      <c r="N28" t="inlineStr"/>
      <c r="O28" t="n">
        <v>0</v>
      </c>
      <c r="P28" t="inlineStr"/>
      <c r="Q28" t="inlineStr">
        <is>
          <t>Filled</t>
        </is>
      </c>
      <c r="R28" t="n">
        <v>6.5</v>
      </c>
      <c r="S28" t="inlineStr">
        <is>
          <t>Other</t>
        </is>
      </c>
      <c r="T28" t="inlineStr">
        <is>
          <t>Central rule applies (value agrees)</t>
        </is>
      </c>
      <c r="U28" t="inlineStr"/>
      <c r="V28" t="inlineStr">
        <is>
          <t>Filled</t>
        </is>
      </c>
      <c r="W28" t="inlineStr">
        <is>
          <t>February, July</t>
        </is>
      </c>
      <c r="X28" t="inlineStr">
        <is>
          <t>Other</t>
        </is>
      </c>
      <c r="Y28" t="n">
        <v>0</v>
      </c>
      <c r="Z28" t="inlineStr">
        <is>
          <t>Yes</t>
        </is>
      </c>
      <c r="AA28" t="inlineStr">
        <is>
          <t>Filled</t>
        </is>
      </c>
      <c r="AB28" t="inlineStr">
        <is>
          <t>on campus</t>
        </is>
      </c>
      <c r="AC28" t="inlineStr">
        <is>
          <t>Filled</t>
        </is>
      </c>
      <c r="AD28" t="n">
        <v>0</v>
      </c>
      <c r="AE28" t="inlineStr"/>
      <c r="AF28" t="inlineStr"/>
      <c r="AG28" t="inlineStr"/>
      <c r="AH28" t="inlineStr"/>
      <c r="AI28" t="inlineStr"/>
      <c r="AJ28" t="inlineStr"/>
      <c r="AK28" t="inlineStr"/>
      <c r="AL28" t="inlineStr"/>
      <c r="AM28" t="inlineStr"/>
    </row>
    <row r="29">
      <c r="A29" t="inlineStr">
        <is>
          <t>067850D</t>
        </is>
      </c>
      <c r="B29" t="inlineStr">
        <is>
          <t>Bachelor of Business Administration with the degree of Bachelor of Commerce - Professional Accounting</t>
        </is>
      </c>
      <c r="C29" t="inlineStr">
        <is>
          <t>Bachelor</t>
        </is>
      </c>
      <c r="D29" t="inlineStr">
        <is>
          <t>Undergraduate</t>
        </is>
      </c>
      <c r="E29" t="inlineStr">
        <is>
          <t>Held: page found is for another course</t>
        </is>
      </c>
      <c r="F29" t="inlineStr"/>
      <c r="G29" t="inlineStr">
        <is>
          <t>https://handbook.mq.edu.au/2019/DegreesDiplomas/Degree/Bachelor+of+Commerce+-+Professional+Accounting+with+the+degree+of+Bachelor+of+Business+Analytics</t>
        </is>
      </c>
      <c r="H29" t="inlineStr">
        <is>
          <t>Page is for another course</t>
        </is>
      </c>
      <c r="I29" t="inlineStr"/>
      <c r="J29" t="inlineStr"/>
      <c r="K29" t="inlineStr">
        <is>
          <t>Finished, no page: no address from the university's address forms or stored lis</t>
        </is>
      </c>
      <c r="L29" t="inlineStr">
        <is>
          <t>Searching for course page</t>
        </is>
      </c>
      <c r="M29" t="inlineStr">
        <is>
          <t>Searching for course page</t>
        </is>
      </c>
      <c r="N29" t="inlineStr"/>
      <c r="O29" t="n">
        <v>0</v>
      </c>
      <c r="P29" t="inlineStr"/>
      <c r="Q29" t="inlineStr">
        <is>
          <t>Filled</t>
        </is>
      </c>
      <c r="R29" t="n">
        <v>6.5</v>
      </c>
      <c r="S29" t="inlineStr">
        <is>
          <t>Central English policy</t>
        </is>
      </c>
      <c r="T29" t="inlineStr">
        <is>
          <t>Central rule applies (value agrees)</t>
        </is>
      </c>
      <c r="U29" t="inlineStr"/>
      <c r="V29" t="inlineStr">
        <is>
          <t>Searching for course page</t>
        </is>
      </c>
      <c r="W29" t="inlineStr"/>
      <c r="X29" t="inlineStr"/>
      <c r="Y29" t="n">
        <v>0</v>
      </c>
      <c r="Z29" t="inlineStr">
        <is>
          <t>Yes</t>
        </is>
      </c>
      <c r="AA29" t="inlineStr">
        <is>
          <t>Not stated on course page</t>
        </is>
      </c>
      <c r="AB29" t="inlineStr"/>
      <c r="AC29" t="inlineStr">
        <is>
          <t>Skipped: taken back: the page read was another course's page</t>
        </is>
      </c>
      <c r="AD29" t="n">
        <v>1</v>
      </c>
      <c r="AE29" t="inlineStr"/>
      <c r="AF29" t="inlineStr"/>
      <c r="AG29" t="inlineStr"/>
      <c r="AH29" t="inlineStr"/>
      <c r="AI29" t="inlineStr"/>
      <c r="AJ29" t="inlineStr"/>
      <c r="AK29" t="inlineStr"/>
      <c r="AL29" t="inlineStr"/>
      <c r="AM29" t="inlineStr"/>
    </row>
    <row r="30">
      <c r="A30" t="inlineStr">
        <is>
          <t>079304J</t>
        </is>
      </c>
      <c r="B30" t="inlineStr">
        <is>
          <t>Bachelor of Business Administration with the degree of Bachelor of Psychology (Honours)</t>
        </is>
      </c>
      <c r="C30" t="inlineStr">
        <is>
          <t>Bachelor Honours Degree</t>
        </is>
      </c>
      <c r="D30" t="inlineStr">
        <is>
          <t>Undergraduate</t>
        </is>
      </c>
      <c r="E30" t="inlineStr">
        <is>
          <t>Advertised: official page in place</t>
        </is>
      </c>
      <c r="F30" t="inlineStr">
        <is>
          <t>https://handbook.mq.edu.au/2019/DegreesDiplomas/Degree/Bachelor+of+Business+Administration+with+the+degree+of+Bachelor+of+Psychology+%28Honours%29</t>
        </is>
      </c>
      <c r="G30" t="inlineStr">
        <is>
          <t>https://handbook.mq.edu.au/2019/DegreesDiplomas/Degree/Bachelor+of+Business+Administration+with+the+degree+of+Bachelor+of+Psychology+%28Honours%29</t>
        </is>
      </c>
      <c r="H30" t="inlineStr">
        <is>
          <t>Read</t>
        </is>
      </c>
      <c r="I30" t="inlineStr">
        <is>
          <t>CRICOS code on page</t>
        </is>
      </c>
      <c r="J30" t="inlineStr"/>
      <c r="K30" t="inlineStr">
        <is>
          <t>Not sent to re-link</t>
        </is>
      </c>
      <c r="L30" t="inlineStr">
        <is>
          <t>Filled</t>
        </is>
      </c>
      <c r="M30" t="inlineStr">
        <is>
          <t>Not stated on course page</t>
        </is>
      </c>
      <c r="N30" t="inlineStr"/>
      <c r="O30" t="n">
        <v>0</v>
      </c>
      <c r="P30" t="inlineStr"/>
      <c r="Q30" t="inlineStr">
        <is>
          <t>Filled</t>
        </is>
      </c>
      <c r="R30" t="n">
        <v>6.5</v>
      </c>
      <c r="S30" t="inlineStr">
        <is>
          <t>Other</t>
        </is>
      </c>
      <c r="T30" t="inlineStr">
        <is>
          <t>Central rule applies (value agrees)</t>
        </is>
      </c>
      <c r="U30" t="inlineStr"/>
      <c r="V30" t="inlineStr">
        <is>
          <t>Filled</t>
        </is>
      </c>
      <c r="W30" t="inlineStr">
        <is>
          <t>February, July</t>
        </is>
      </c>
      <c r="X30" t="inlineStr">
        <is>
          <t>Other</t>
        </is>
      </c>
      <c r="Y30" t="n">
        <v>0</v>
      </c>
      <c r="Z30" t="inlineStr">
        <is>
          <t>Yes</t>
        </is>
      </c>
      <c r="AA30" t="inlineStr">
        <is>
          <t>Filled</t>
        </is>
      </c>
      <c r="AB30" t="inlineStr">
        <is>
          <t>on campus</t>
        </is>
      </c>
      <c r="AC30" t="inlineStr">
        <is>
          <t>Filled</t>
        </is>
      </c>
      <c r="AD30" t="n">
        <v>0</v>
      </c>
      <c r="AE30" t="inlineStr"/>
      <c r="AF30" t="inlineStr"/>
      <c r="AG30" t="inlineStr"/>
      <c r="AH30" t="inlineStr"/>
      <c r="AI30" t="inlineStr"/>
      <c r="AJ30" t="inlineStr"/>
      <c r="AK30" t="inlineStr"/>
      <c r="AL30" t="inlineStr"/>
      <c r="AM30" t="inlineStr"/>
    </row>
    <row r="31">
      <c r="A31" t="inlineStr">
        <is>
          <t>079306G</t>
        </is>
      </c>
      <c r="B31" t="inlineStr">
        <is>
          <t>Bachelor of Business Analytics</t>
        </is>
      </c>
      <c r="C31" t="inlineStr">
        <is>
          <t>Bachelor</t>
        </is>
      </c>
      <c r="D31" t="inlineStr">
        <is>
          <t>Undergraduate</t>
        </is>
      </c>
      <c r="E31" t="inlineStr">
        <is>
          <t>Advertised: official page in place</t>
        </is>
      </c>
      <c r="F31" t="inlineStr">
        <is>
          <t>https://coursehandbook.mq.edu.au/2026/courses/C000016</t>
        </is>
      </c>
      <c r="G31" t="inlineStr">
        <is>
          <t>https://coursehandbook.mq.edu.au/2026/courses/C000016</t>
        </is>
      </c>
      <c r="H31" t="inlineStr">
        <is>
          <t>Read</t>
        </is>
      </c>
      <c r="I31" t="inlineStr">
        <is>
          <t>Exact title match</t>
        </is>
      </c>
      <c r="J31" t="inlineStr"/>
      <c r="K31" t="inlineStr">
        <is>
          <t>Not sent to re-link</t>
        </is>
      </c>
      <c r="L31" t="inlineStr">
        <is>
          <t>Filled</t>
        </is>
      </c>
      <c r="M31" t="inlineStr">
        <is>
          <t>Not stated on course page</t>
        </is>
      </c>
      <c r="N31" t="inlineStr"/>
      <c r="O31" t="n">
        <v>0</v>
      </c>
      <c r="P31" t="inlineStr"/>
      <c r="Q31" t="inlineStr">
        <is>
          <t>Filled</t>
        </is>
      </c>
      <c r="R31" t="n">
        <v>6.5</v>
      </c>
      <c r="S31" t="inlineStr">
        <is>
          <t>University adapter</t>
        </is>
      </c>
      <c r="T31" t="inlineStr">
        <is>
          <t>Central rule applies (value agrees)</t>
        </is>
      </c>
      <c r="U31" t="inlineStr"/>
      <c r="V31" t="inlineStr">
        <is>
          <t>Not stated on course page</t>
        </is>
      </c>
      <c r="W31" t="inlineStr"/>
      <c r="X31" t="inlineStr"/>
      <c r="Y31" t="n">
        <v>0</v>
      </c>
      <c r="Z31" t="inlineStr">
        <is>
          <t>Yes</t>
        </is>
      </c>
      <c r="AA31" t="inlineStr">
        <is>
          <t>Not stated on course page</t>
        </is>
      </c>
      <c r="AB31" t="inlineStr"/>
      <c r="AC31" t="inlineStr">
        <is>
          <t>Skipped: the page does not state it</t>
        </is>
      </c>
      <c r="AD31" t="n">
        <v>0</v>
      </c>
      <c r="AE31" t="inlineStr"/>
      <c r="AF31" t="inlineStr"/>
      <c r="AG31" t="inlineStr"/>
      <c r="AH31" t="inlineStr"/>
      <c r="AI31" t="inlineStr"/>
      <c r="AJ31" t="inlineStr"/>
      <c r="AK31" t="inlineStr"/>
      <c r="AL31" t="inlineStr"/>
      <c r="AM31" t="inlineStr"/>
    </row>
    <row r="32">
      <c r="A32" t="inlineStr">
        <is>
          <t>121323H</t>
        </is>
      </c>
      <c r="B32" t="inlineStr">
        <is>
          <t>Bachelor of Business and Bachelor of  Engineering (Honours)</t>
        </is>
      </c>
      <c r="C32" t="inlineStr">
        <is>
          <t>Bachelor Honours Degree</t>
        </is>
      </c>
      <c r="D32" t="inlineStr">
        <is>
          <t>Undergraduate</t>
        </is>
      </c>
      <c r="E32" t="inlineStr">
        <is>
          <t>Advertised: official page in place</t>
        </is>
      </c>
      <c r="F32" t="inlineStr">
        <is>
          <t>https://www.mq.edu.au/study/find-a-course/courses/bachelor-of-business-and-bachelor-of-engineering-honours</t>
        </is>
      </c>
      <c r="G32" t="inlineStr">
        <is>
          <t>https://www.mq.edu.au/study/find-a-course/courses/bachelor-of-business-and-bachelor-of-engineering-honours</t>
        </is>
      </c>
      <c r="H32" t="inlineStr">
        <is>
          <t>Read</t>
        </is>
      </c>
      <c r="I32" t="inlineStr">
        <is>
          <t>Exact title match</t>
        </is>
      </c>
      <c r="J32" t="inlineStr"/>
      <c r="K32" t="inlineStr">
        <is>
          <t>Not sent to re-link</t>
        </is>
      </c>
      <c r="L32" t="inlineStr">
        <is>
          <t>Filled</t>
        </is>
      </c>
      <c r="M32" t="inlineStr">
        <is>
          <t>Not stated on course page</t>
        </is>
      </c>
      <c r="N32" t="inlineStr"/>
      <c r="O32" t="n">
        <v>0</v>
      </c>
      <c r="P32" t="inlineStr"/>
      <c r="Q32" t="inlineStr">
        <is>
          <t>Filled</t>
        </is>
      </c>
      <c r="R32" t="n">
        <v>6.5</v>
      </c>
      <c r="S32" t="inlineStr">
        <is>
          <t>Other</t>
        </is>
      </c>
      <c r="T32" t="inlineStr">
        <is>
          <t>Central rule applies (value agrees)</t>
        </is>
      </c>
      <c r="U32" t="inlineStr"/>
      <c r="V32" t="inlineStr">
        <is>
          <t>Filled</t>
        </is>
      </c>
      <c r="W32" t="inlineStr">
        <is>
          <t>February, July</t>
        </is>
      </c>
      <c r="X32" t="inlineStr">
        <is>
          <t>Other</t>
        </is>
      </c>
      <c r="Y32" t="n">
        <v>0</v>
      </c>
      <c r="Z32" t="inlineStr">
        <is>
          <t>Yes</t>
        </is>
      </c>
      <c r="AA32" t="inlineStr">
        <is>
          <t>Filled</t>
        </is>
      </c>
      <c r="AB32" t="inlineStr">
        <is>
          <t>on campus</t>
        </is>
      </c>
      <c r="AC32" t="inlineStr">
        <is>
          <t>Filled</t>
        </is>
      </c>
      <c r="AD32" t="n">
        <v>0</v>
      </c>
      <c r="AE32" t="inlineStr"/>
      <c r="AF32" t="inlineStr"/>
      <c r="AG32" t="inlineStr"/>
      <c r="AH32" t="inlineStr"/>
      <c r="AI32" t="inlineStr"/>
      <c r="AJ32" t="inlineStr"/>
      <c r="AK32" t="inlineStr"/>
      <c r="AL32" t="inlineStr"/>
      <c r="AM32" t="inlineStr"/>
    </row>
    <row r="33">
      <c r="A33" t="inlineStr">
        <is>
          <t>079307F</t>
        </is>
      </c>
      <c r="B33" t="inlineStr">
        <is>
          <t>Bachelor of Business Leadership and Commerce</t>
        </is>
      </c>
      <c r="C33" t="inlineStr">
        <is>
          <t>Bachelor</t>
        </is>
      </c>
      <c r="D33" t="inlineStr">
        <is>
          <t>Undergraduate</t>
        </is>
      </c>
      <c r="E33" t="inlineStr">
        <is>
          <t>Advertised: official page in place</t>
        </is>
      </c>
      <c r="F33" t="inlineStr">
        <is>
          <t>https://handbook.mq.edu.au/2019/DegreesDiplomas/Degree/Bachelor+of+Business+Leadership+and+Commerce</t>
        </is>
      </c>
      <c r="G33" t="inlineStr">
        <is>
          <t>https://handbook.mq.edu.au/2019/DegreesDiplomas/Degree/Bachelor+of+Business+Leadership+and+Commerce</t>
        </is>
      </c>
      <c r="H33" t="inlineStr">
        <is>
          <t>Read</t>
        </is>
      </c>
      <c r="I33" t="inlineStr">
        <is>
          <t>CRICOS code on page</t>
        </is>
      </c>
      <c r="J33" t="inlineStr"/>
      <c r="K33" t="inlineStr">
        <is>
          <t>Not sent to re-link</t>
        </is>
      </c>
      <c r="L33" t="inlineStr">
        <is>
          <t>Filled</t>
        </is>
      </c>
      <c r="M33" t="inlineStr">
        <is>
          <t>Not stated on course page</t>
        </is>
      </c>
      <c r="N33" t="inlineStr"/>
      <c r="O33" t="n">
        <v>0</v>
      </c>
      <c r="P33" t="inlineStr"/>
      <c r="Q33" t="inlineStr">
        <is>
          <t>Filled</t>
        </is>
      </c>
      <c r="R33" t="n">
        <v>6.5</v>
      </c>
      <c r="S33" t="inlineStr">
        <is>
          <t>Other</t>
        </is>
      </c>
      <c r="T33" t="inlineStr">
        <is>
          <t>Central rule applies (value agrees)</t>
        </is>
      </c>
      <c r="U33" t="inlineStr"/>
      <c r="V33" t="inlineStr">
        <is>
          <t>Filled</t>
        </is>
      </c>
      <c r="W33" t="inlineStr">
        <is>
          <t>February</t>
        </is>
      </c>
      <c r="X33" t="inlineStr">
        <is>
          <t>Other</t>
        </is>
      </c>
      <c r="Y33" t="n">
        <v>0</v>
      </c>
      <c r="Z33" t="inlineStr">
        <is>
          <t>Yes</t>
        </is>
      </c>
      <c r="AA33" t="inlineStr">
        <is>
          <t>Filled</t>
        </is>
      </c>
      <c r="AB33" t="inlineStr">
        <is>
          <t>on campus</t>
        </is>
      </c>
      <c r="AC33" t="inlineStr">
        <is>
          <t>Filled</t>
        </is>
      </c>
      <c r="AD33" t="n">
        <v>0</v>
      </c>
      <c r="AE33" t="inlineStr"/>
      <c r="AF33" t="inlineStr"/>
      <c r="AG33" t="inlineStr"/>
      <c r="AH33" t="inlineStr"/>
      <c r="AI33" t="inlineStr"/>
      <c r="AJ33" t="inlineStr"/>
      <c r="AK33" t="inlineStr"/>
      <c r="AL33" t="inlineStr"/>
      <c r="AM33" t="inlineStr"/>
    </row>
    <row r="34">
      <c r="A34" t="inlineStr">
        <is>
          <t>028866G</t>
        </is>
      </c>
      <c r="B34" t="inlineStr">
        <is>
          <t>Bachelor of Chiropractic Science</t>
        </is>
      </c>
      <c r="C34" t="inlineStr">
        <is>
          <t>Bachelor</t>
        </is>
      </c>
      <c r="D34" t="inlineStr">
        <is>
          <t>Undergraduate</t>
        </is>
      </c>
      <c r="E34" t="inlineStr">
        <is>
          <t>Advertised: official page in place</t>
        </is>
      </c>
      <c r="F34" t="inlineStr">
        <is>
          <t>https://coursehandbook.mq.edu.au/2026/courses/C000005</t>
        </is>
      </c>
      <c r="G34" t="inlineStr">
        <is>
          <t>https://coursehandbook.mq.edu.au/2026/courses/C000005</t>
        </is>
      </c>
      <c r="H34" t="inlineStr">
        <is>
          <t>Read</t>
        </is>
      </c>
      <c r="I34" t="inlineStr">
        <is>
          <t>Exact title match</t>
        </is>
      </c>
      <c r="J34" t="inlineStr"/>
      <c r="K34" t="inlineStr">
        <is>
          <t>Not sent to re-link</t>
        </is>
      </c>
      <c r="L34" t="inlineStr">
        <is>
          <t>Filled</t>
        </is>
      </c>
      <c r="M34" t="inlineStr">
        <is>
          <t>Not stated on course page</t>
        </is>
      </c>
      <c r="N34" t="inlineStr"/>
      <c r="O34" t="n">
        <v>0</v>
      </c>
      <c r="P34" t="inlineStr"/>
      <c r="Q34" t="inlineStr">
        <is>
          <t>Filled</t>
        </is>
      </c>
      <c r="R34" t="n">
        <v>6.5</v>
      </c>
      <c r="S34" t="inlineStr">
        <is>
          <t>University adapter</t>
        </is>
      </c>
      <c r="T34" t="inlineStr">
        <is>
          <t>Central rule applies (value agrees)</t>
        </is>
      </c>
      <c r="U34" t="inlineStr"/>
      <c r="V34" t="inlineStr">
        <is>
          <t>Not stated on course page</t>
        </is>
      </c>
      <c r="W34" t="inlineStr"/>
      <c r="X34" t="inlineStr"/>
      <c r="Y34" t="n">
        <v>0</v>
      </c>
      <c r="Z34" t="inlineStr">
        <is>
          <t>Yes</t>
        </is>
      </c>
      <c r="AA34" t="inlineStr">
        <is>
          <t>Not stated on course page</t>
        </is>
      </c>
      <c r="AB34" t="inlineStr"/>
      <c r="AC34" t="inlineStr">
        <is>
          <t>Skipped: the page does not state it</t>
        </is>
      </c>
      <c r="AD34" t="n">
        <v>0</v>
      </c>
      <c r="AE34" t="inlineStr"/>
      <c r="AF34" t="inlineStr"/>
      <c r="AG34" t="inlineStr"/>
      <c r="AH34" t="inlineStr"/>
      <c r="AI34" t="inlineStr"/>
      <c r="AJ34" t="inlineStr"/>
      <c r="AK34" t="inlineStr"/>
      <c r="AL34" t="inlineStr"/>
      <c r="AM34" t="inlineStr"/>
    </row>
    <row r="35">
      <c r="A35" t="inlineStr">
        <is>
          <t>087679M</t>
        </is>
      </c>
      <c r="B35" t="inlineStr">
        <is>
          <t>Bachelor of Clinical Science</t>
        </is>
      </c>
      <c r="C35" t="inlineStr">
        <is>
          <t>Bachelor</t>
        </is>
      </c>
      <c r="D35" t="inlineStr">
        <is>
          <t>Undergraduate</t>
        </is>
      </c>
      <c r="E35" t="inlineStr">
        <is>
          <t>Advertised: official page in place</t>
        </is>
      </c>
      <c r="F35" t="inlineStr">
        <is>
          <t>https://coursehandbook.mq.edu.au/2026/courses/C000020</t>
        </is>
      </c>
      <c r="G35" t="inlineStr">
        <is>
          <t>https://coursehandbook.mq.edu.au/2026/courses/C000020</t>
        </is>
      </c>
      <c r="H35" t="inlineStr">
        <is>
          <t>Read</t>
        </is>
      </c>
      <c r="I35" t="inlineStr">
        <is>
          <t>Exact title match</t>
        </is>
      </c>
      <c r="J35" t="inlineStr"/>
      <c r="K35" t="inlineStr">
        <is>
          <t>Not sent to re-link</t>
        </is>
      </c>
      <c r="L35" t="inlineStr">
        <is>
          <t>Filled</t>
        </is>
      </c>
      <c r="M35" t="inlineStr">
        <is>
          <t>Not stated on course page</t>
        </is>
      </c>
      <c r="N35" t="inlineStr"/>
      <c r="O35" t="n">
        <v>0</v>
      </c>
      <c r="P35" t="inlineStr"/>
      <c r="Q35" t="inlineStr">
        <is>
          <t>Filled</t>
        </is>
      </c>
      <c r="R35" t="n">
        <v>7</v>
      </c>
      <c r="S35" t="inlineStr">
        <is>
          <t>University adapter</t>
        </is>
      </c>
      <c r="T35" t="inlineStr">
        <is>
          <t>Central rule applies (course value differs)</t>
        </is>
      </c>
      <c r="U35" t="inlineStr">
        <is>
          <t>Yes: course has IELTS 7.00, central rule says 6.5</t>
        </is>
      </c>
      <c r="V35" t="inlineStr">
        <is>
          <t>Not stated on course page</t>
        </is>
      </c>
      <c r="W35" t="inlineStr"/>
      <c r="X35" t="inlineStr"/>
      <c r="Y35" t="n">
        <v>0</v>
      </c>
      <c r="Z35" t="inlineStr">
        <is>
          <t>Yes</t>
        </is>
      </c>
      <c r="AA35" t="inlineStr">
        <is>
          <t>Not stated on course page</t>
        </is>
      </c>
      <c r="AB35" t="inlineStr"/>
      <c r="AC35" t="inlineStr">
        <is>
          <t>Skipped: the page does not state it</t>
        </is>
      </c>
      <c r="AD35" t="n">
        <v>0</v>
      </c>
      <c r="AE35" t="inlineStr"/>
      <c r="AF35" t="inlineStr"/>
      <c r="AG35" t="inlineStr"/>
      <c r="AH35" t="inlineStr"/>
      <c r="AI35" t="inlineStr"/>
      <c r="AJ35" t="inlineStr"/>
      <c r="AK35" t="inlineStr"/>
      <c r="AL35" t="inlineStr"/>
      <c r="AM35" t="inlineStr"/>
    </row>
    <row r="36">
      <c r="A36" t="inlineStr">
        <is>
          <t>099142A</t>
        </is>
      </c>
      <c r="B36" t="inlineStr">
        <is>
          <t>Bachelor of Cognitive and Brain Sciences</t>
        </is>
      </c>
      <c r="C36" t="inlineStr">
        <is>
          <t>Bachelor</t>
        </is>
      </c>
      <c r="D36" t="inlineStr">
        <is>
          <t>Undergraduate</t>
        </is>
      </c>
      <c r="E36" t="inlineStr">
        <is>
          <t>Page address no longer works</t>
        </is>
      </c>
      <c r="F36" t="inlineStr"/>
      <c r="G36" t="inlineStr">
        <is>
          <t>https://coursehandbook.mq.edu.au/2026/doubledegree/d000379</t>
        </is>
      </c>
      <c r="H36" t="inlineStr">
        <is>
          <t>Address no longer works</t>
        </is>
      </c>
      <c r="I36" t="inlineStr"/>
      <c r="J36" t="inlineStr"/>
      <c r="K36" t="inlineStr">
        <is>
          <t>Not sent to re-link</t>
        </is>
      </c>
      <c r="L36" t="inlineStr">
        <is>
          <t>Page found, being read</t>
        </is>
      </c>
      <c r="M36" t="inlineStr">
        <is>
          <t>Page found, being read</t>
        </is>
      </c>
      <c r="N36" t="inlineStr"/>
      <c r="O36" t="n">
        <v>0</v>
      </c>
      <c r="P36" t="inlineStr"/>
      <c r="Q36" t="inlineStr">
        <is>
          <t>Filled</t>
        </is>
      </c>
      <c r="R36" t="n">
        <v>6.5</v>
      </c>
      <c r="S36" t="inlineStr">
        <is>
          <t>Central English policy</t>
        </is>
      </c>
      <c r="T36" t="inlineStr">
        <is>
          <t>Central rule applies (value agrees)</t>
        </is>
      </c>
      <c r="U36" t="inlineStr"/>
      <c r="V36" t="inlineStr">
        <is>
          <t>Page found, being read</t>
        </is>
      </c>
      <c r="W36" t="inlineStr"/>
      <c r="X36" t="inlineStr"/>
      <c r="Y36" t="n">
        <v>0</v>
      </c>
      <c r="Z36" t="inlineStr">
        <is>
          <t>Yes</t>
        </is>
      </c>
      <c r="AA36" t="inlineStr">
        <is>
          <t>Not stated on course page</t>
        </is>
      </c>
      <c r="AB36" t="inlineStr"/>
      <c r="AC36" t="inlineStr">
        <is>
          <t>Skipped: no allowed source had a value</t>
        </is>
      </c>
      <c r="AD36" t="n">
        <v>0</v>
      </c>
      <c r="AE36" t="inlineStr"/>
      <c r="AF36" t="inlineStr"/>
      <c r="AG36" t="inlineStr"/>
      <c r="AH36" t="inlineStr"/>
      <c r="AI36" t="inlineStr"/>
      <c r="AJ36" t="inlineStr"/>
      <c r="AK36" t="inlineStr"/>
      <c r="AL36" t="inlineStr"/>
      <c r="AM36" t="inlineStr"/>
    </row>
    <row r="37">
      <c r="A37" t="inlineStr">
        <is>
          <t>098526D</t>
        </is>
      </c>
      <c r="B37" t="inlineStr">
        <is>
          <t>Bachelor of Combined Studies</t>
        </is>
      </c>
      <c r="C37" t="inlineStr">
        <is>
          <t>Bachelor</t>
        </is>
      </c>
      <c r="D37" t="inlineStr">
        <is>
          <t>Undergraduate</t>
        </is>
      </c>
      <c r="E37" t="inlineStr">
        <is>
          <t>Advertised: official page in place</t>
        </is>
      </c>
      <c r="F37" t="inlineStr">
        <is>
          <t>https://coursehandbook.mq.edu.au/2026/doubledegree/d006766</t>
        </is>
      </c>
      <c r="G37" t="inlineStr">
        <is>
          <t>https://coursehandbook.mq.edu.au/2026/doubledegree/d006766</t>
        </is>
      </c>
      <c r="H37" t="inlineStr">
        <is>
          <t>Read</t>
        </is>
      </c>
      <c r="I37" t="inlineStr">
        <is>
          <t>University adapter (code)</t>
        </is>
      </c>
      <c r="J37" t="inlineStr"/>
      <c r="K37" t="inlineStr">
        <is>
          <t>Not sent to re-link</t>
        </is>
      </c>
      <c r="L37" t="inlineStr">
        <is>
          <t>Filled</t>
        </is>
      </c>
      <c r="M37" t="inlineStr">
        <is>
          <t>Not stated on course page</t>
        </is>
      </c>
      <c r="N37" t="inlineStr"/>
      <c r="O37" t="n">
        <v>0</v>
      </c>
      <c r="P37" t="inlineStr"/>
      <c r="Q37" t="inlineStr">
        <is>
          <t>Filled</t>
        </is>
      </c>
      <c r="R37" t="n">
        <v>6.5</v>
      </c>
      <c r="S37" t="inlineStr">
        <is>
          <t>University adapter</t>
        </is>
      </c>
      <c r="T37" t="inlineStr">
        <is>
          <t>Central rule applies (value agrees)</t>
        </is>
      </c>
      <c r="U37" t="inlineStr"/>
      <c r="V37" t="inlineStr">
        <is>
          <t>Not stated on course page</t>
        </is>
      </c>
      <c r="W37" t="inlineStr"/>
      <c r="X37" t="inlineStr"/>
      <c r="Y37" t="n">
        <v>0</v>
      </c>
      <c r="Z37" t="inlineStr">
        <is>
          <t>Yes</t>
        </is>
      </c>
      <c r="AA37" t="inlineStr">
        <is>
          <t>Not stated on course page</t>
        </is>
      </c>
      <c r="AB37" t="inlineStr"/>
      <c r="AC37" t="inlineStr">
        <is>
          <t>Skipped: the page does not state it</t>
        </is>
      </c>
      <c r="AD37" t="n">
        <v>0</v>
      </c>
      <c r="AE37" t="inlineStr"/>
      <c r="AF37" t="inlineStr"/>
      <c r="AG37" t="inlineStr"/>
      <c r="AH37" t="inlineStr"/>
      <c r="AI37" t="inlineStr"/>
      <c r="AJ37" t="inlineStr"/>
      <c r="AK37" t="inlineStr"/>
      <c r="AL37" t="inlineStr"/>
      <c r="AM37" t="inlineStr"/>
    </row>
    <row r="38">
      <c r="A38" t="inlineStr">
        <is>
          <t>109315J</t>
        </is>
      </c>
      <c r="B38" t="inlineStr">
        <is>
          <t>Bachelor of Combined Studies (Honours)</t>
        </is>
      </c>
      <c r="C38" t="inlineStr">
        <is>
          <t>Bachelor Honours Degree</t>
        </is>
      </c>
      <c r="D38" t="inlineStr">
        <is>
          <t>Undergraduate</t>
        </is>
      </c>
      <c r="E38" t="inlineStr">
        <is>
          <t>Advertised: official page in place</t>
        </is>
      </c>
      <c r="F38" t="inlineStr">
        <is>
          <t>https://coursehandbook.mq.edu.au/2026/doubledegree/d000058</t>
        </is>
      </c>
      <c r="G38" t="inlineStr">
        <is>
          <t>https://coursehandbook.mq.edu.au/2026/doubledegree/d000058</t>
        </is>
      </c>
      <c r="H38" t="inlineStr">
        <is>
          <t>Read</t>
        </is>
      </c>
      <c r="I38" t="inlineStr">
        <is>
          <t>University adapter (code)</t>
        </is>
      </c>
      <c r="J38" t="inlineStr"/>
      <c r="K38" t="inlineStr">
        <is>
          <t>Not sent to re-link</t>
        </is>
      </c>
      <c r="L38" t="inlineStr">
        <is>
          <t>Filled</t>
        </is>
      </c>
      <c r="M38" t="inlineStr">
        <is>
          <t>Not stated on course page</t>
        </is>
      </c>
      <c r="N38" t="inlineStr"/>
      <c r="O38" t="n">
        <v>0</v>
      </c>
      <c r="P38" t="inlineStr"/>
      <c r="Q38" t="inlineStr">
        <is>
          <t>Filled</t>
        </is>
      </c>
      <c r="R38" t="n">
        <v>6.5</v>
      </c>
      <c r="S38" t="inlineStr">
        <is>
          <t>University adapter</t>
        </is>
      </c>
      <c r="T38" t="inlineStr">
        <is>
          <t>Central rule applies (value agrees)</t>
        </is>
      </c>
      <c r="U38" t="inlineStr"/>
      <c r="V38" t="inlineStr">
        <is>
          <t>Not stated on course page</t>
        </is>
      </c>
      <c r="W38" t="inlineStr"/>
      <c r="X38" t="inlineStr"/>
      <c r="Y38" t="n">
        <v>0</v>
      </c>
      <c r="Z38" t="inlineStr">
        <is>
          <t>Yes</t>
        </is>
      </c>
      <c r="AA38" t="inlineStr">
        <is>
          <t>Not stated on course page</t>
        </is>
      </c>
      <c r="AB38" t="inlineStr"/>
      <c r="AC38" t="inlineStr">
        <is>
          <t>Skipped: the page does not state it</t>
        </is>
      </c>
      <c r="AD38" t="n">
        <v>0</v>
      </c>
      <c r="AE38" t="inlineStr"/>
      <c r="AF38" t="inlineStr"/>
      <c r="AG38" t="inlineStr"/>
      <c r="AH38" t="inlineStr"/>
      <c r="AI38" t="inlineStr"/>
      <c r="AJ38" t="inlineStr"/>
      <c r="AK38" t="inlineStr"/>
      <c r="AL38" t="inlineStr"/>
      <c r="AM38" t="inlineStr"/>
    </row>
    <row r="39">
      <c r="A39" t="inlineStr">
        <is>
          <t>099516J</t>
        </is>
      </c>
      <c r="B39" t="inlineStr">
        <is>
          <t>Bachelor of Combined Studies in Actuarial Studies / Applied Finance</t>
        </is>
      </c>
      <c r="C39" t="inlineStr">
        <is>
          <t>Bachelor</t>
        </is>
      </c>
      <c r="D39" t="inlineStr">
        <is>
          <t>Undergraduate</t>
        </is>
      </c>
      <c r="E39" t="inlineStr">
        <is>
          <t>Advertised: official page in place</t>
        </is>
      </c>
      <c r="F39" t="inlineStr">
        <is>
          <t>https://coursehandbook.mq.edu.au/2026/doubledegree/d000002</t>
        </is>
      </c>
      <c r="G39" t="inlineStr">
        <is>
          <t>https://coursehandbook.mq.edu.au/2026/doubledegree/d000002</t>
        </is>
      </c>
      <c r="H39" t="inlineStr">
        <is>
          <t>Read</t>
        </is>
      </c>
      <c r="I39" t="inlineStr">
        <is>
          <t>University adapter (code)</t>
        </is>
      </c>
      <c r="J39" t="inlineStr"/>
      <c r="K39" t="inlineStr">
        <is>
          <t>Not sent to re-link</t>
        </is>
      </c>
      <c r="L39" t="inlineStr">
        <is>
          <t>Filled</t>
        </is>
      </c>
      <c r="M39" t="inlineStr">
        <is>
          <t>Not stated on course page</t>
        </is>
      </c>
      <c r="N39" t="inlineStr"/>
      <c r="O39" t="n">
        <v>0</v>
      </c>
      <c r="P39" t="inlineStr"/>
      <c r="Q39" t="inlineStr">
        <is>
          <t>Filled</t>
        </is>
      </c>
      <c r="R39" t="n">
        <v>6.5</v>
      </c>
      <c r="S39" t="inlineStr">
        <is>
          <t>University adapter</t>
        </is>
      </c>
      <c r="T39" t="inlineStr">
        <is>
          <t>Held: double degree (its parts are at different levels)</t>
        </is>
      </c>
      <c r="U39" t="inlineStr"/>
      <c r="V39" t="inlineStr">
        <is>
          <t>Not stated on course page</t>
        </is>
      </c>
      <c r="W39" t="inlineStr"/>
      <c r="X39" t="inlineStr"/>
      <c r="Y39" t="n">
        <v>0</v>
      </c>
      <c r="Z39" t="inlineStr">
        <is>
          <t>Yes</t>
        </is>
      </c>
      <c r="AA39" t="inlineStr">
        <is>
          <t>Not stated on course page</t>
        </is>
      </c>
      <c r="AB39" t="inlineStr"/>
      <c r="AC39" t="inlineStr">
        <is>
          <t>Skipped: the page does not state it</t>
        </is>
      </c>
      <c r="AD39" t="n">
        <v>0</v>
      </c>
      <c r="AE39" t="inlineStr"/>
      <c r="AF39" t="inlineStr"/>
      <c r="AG39" t="inlineStr"/>
      <c r="AH39" t="inlineStr"/>
      <c r="AI39" t="inlineStr"/>
      <c r="AJ39" t="inlineStr"/>
      <c r="AK39" t="inlineStr"/>
      <c r="AL39" t="inlineStr"/>
      <c r="AM39" t="inlineStr"/>
    </row>
    <row r="40">
      <c r="A40" t="inlineStr">
        <is>
          <t>099519F</t>
        </is>
      </c>
      <c r="B40" t="inlineStr">
        <is>
          <t>Bachelor of Combined Studies in Actuarial Studies / Business Analytics</t>
        </is>
      </c>
      <c r="C40" t="inlineStr">
        <is>
          <t>Bachelor</t>
        </is>
      </c>
      <c r="D40" t="inlineStr">
        <is>
          <t>Undergraduate</t>
        </is>
      </c>
      <c r="E40" t="inlineStr">
        <is>
          <t>No-page record (conjoint), awaiting review</t>
        </is>
      </c>
      <c r="F40" t="inlineStr"/>
      <c r="G40" t="inlineStr">
        <is>
          <t>https://www.mq.edu.au/study/find-a-course/courses/bachelor-of-actuarial-studies</t>
        </is>
      </c>
      <c r="H40" t="inlineStr">
        <is>
          <t>Page is for another course</t>
        </is>
      </c>
      <c r="I40" t="inlineStr"/>
      <c r="J40" t="inlineStr">
        <is>
          <t>Conjoint (proposed)</t>
        </is>
      </c>
      <c r="K40" t="inlineStr">
        <is>
          <t>Finished, no page: no address from the university's address forms or stored lis</t>
        </is>
      </c>
      <c r="L40" t="inlineStr">
        <is>
          <t>Searching for course page</t>
        </is>
      </c>
      <c r="M40" t="inlineStr">
        <is>
          <t>Searching for course page</t>
        </is>
      </c>
      <c r="N40" t="inlineStr"/>
      <c r="O40" t="n">
        <v>0</v>
      </c>
      <c r="P40" t="inlineStr"/>
      <c r="Q40" t="inlineStr">
        <is>
          <t>Searching for course page</t>
        </is>
      </c>
      <c r="S40" t="inlineStr"/>
      <c r="T40" t="inlineStr">
        <is>
          <t>Held: double degree (its parts are at different levels)</t>
        </is>
      </c>
      <c r="U40" t="inlineStr"/>
      <c r="V40" t="inlineStr">
        <is>
          <t>Searching for course page</t>
        </is>
      </c>
      <c r="W40" t="inlineStr"/>
      <c r="X40" t="inlineStr"/>
      <c r="Y40" t="n">
        <v>0</v>
      </c>
      <c r="Z40" t="inlineStr">
        <is>
          <t>Yes</t>
        </is>
      </c>
      <c r="AA40" t="inlineStr">
        <is>
          <t>Not stated on course page</t>
        </is>
      </c>
      <c r="AB40" t="inlineStr"/>
      <c r="AC40" t="inlineStr">
        <is>
          <t>Skipped: no correct course page: the page found is for another course</t>
        </is>
      </c>
      <c r="AD40" t="n">
        <v>1</v>
      </c>
      <c r="AE40" t="inlineStr"/>
      <c r="AF40" t="inlineStr"/>
      <c r="AG40" t="inlineStr"/>
      <c r="AH40" t="inlineStr"/>
      <c r="AI40" t="inlineStr"/>
      <c r="AJ40" t="inlineStr">
        <is>
          <t>Yes</t>
        </is>
      </c>
      <c r="AK40" t="inlineStr"/>
      <c r="AL40" t="inlineStr"/>
      <c r="AM40" t="inlineStr">
        <is>
          <t>Yes</t>
        </is>
      </c>
    </row>
    <row r="41">
      <c r="A41" t="inlineStr">
        <is>
          <t>099518G</t>
        </is>
      </c>
      <c r="B41" t="inlineStr">
        <is>
          <t>Bachelor of Combined Studies in Actuarial Studies / Mathematical Sciences</t>
        </is>
      </c>
      <c r="C41" t="inlineStr">
        <is>
          <t>Bachelor</t>
        </is>
      </c>
      <c r="D41" t="inlineStr">
        <is>
          <t>Undergraduate</t>
        </is>
      </c>
      <c r="E41" t="inlineStr">
        <is>
          <t>Held: page found is for another course</t>
        </is>
      </c>
      <c r="F41" t="inlineStr"/>
      <c r="G41" t="inlineStr">
        <is>
          <t>https://coursehandbook.mq.edu.au/2026/doubledegree/D006279</t>
        </is>
      </c>
      <c r="H41" t="inlineStr">
        <is>
          <t>Page is for another course</t>
        </is>
      </c>
      <c r="I41" t="inlineStr"/>
      <c r="J41" t="inlineStr"/>
      <c r="K41" t="inlineStr">
        <is>
          <t>Finished, no page: no address from the university's address forms or stored lis</t>
        </is>
      </c>
      <c r="L41" t="inlineStr">
        <is>
          <t>Searching for course page</t>
        </is>
      </c>
      <c r="M41" t="inlineStr">
        <is>
          <t>Searching for course page</t>
        </is>
      </c>
      <c r="N41" t="inlineStr"/>
      <c r="O41" t="n">
        <v>0</v>
      </c>
      <c r="P41" t="inlineStr"/>
      <c r="Q41" t="inlineStr">
        <is>
          <t>Searching for course page</t>
        </is>
      </c>
      <c r="S41" t="inlineStr"/>
      <c r="T41" t="inlineStr">
        <is>
          <t>Held: double degree (its parts are at different levels)</t>
        </is>
      </c>
      <c r="U41" t="inlineStr"/>
      <c r="V41" t="inlineStr">
        <is>
          <t>Searching for course page</t>
        </is>
      </c>
      <c r="W41" t="inlineStr"/>
      <c r="X41" t="inlineStr"/>
      <c r="Y41" t="n">
        <v>0</v>
      </c>
      <c r="Z41" t="inlineStr">
        <is>
          <t>Yes</t>
        </is>
      </c>
      <c r="AA41" t="inlineStr">
        <is>
          <t>Not stated on course page</t>
        </is>
      </c>
      <c r="AB41" t="inlineStr"/>
      <c r="AC41" t="inlineStr">
        <is>
          <t>Skipped: no correct course page: the page found is for another course</t>
        </is>
      </c>
      <c r="AD41" t="n">
        <v>0</v>
      </c>
      <c r="AE41" t="inlineStr"/>
      <c r="AF41" t="inlineStr"/>
      <c r="AG41" t="inlineStr"/>
      <c r="AH41" t="inlineStr"/>
      <c r="AI41" t="inlineStr"/>
      <c r="AJ41" t="inlineStr">
        <is>
          <t>Yes</t>
        </is>
      </c>
      <c r="AK41" t="inlineStr"/>
      <c r="AL41" t="inlineStr"/>
      <c r="AM41" t="inlineStr"/>
    </row>
    <row r="42">
      <c r="A42" t="inlineStr">
        <is>
          <t>099517G</t>
        </is>
      </c>
      <c r="B42" t="inlineStr">
        <is>
          <t>Bachelor of Combined Studies in Actuarial Studies / Professional Accounting</t>
        </is>
      </c>
      <c r="C42" t="inlineStr">
        <is>
          <t>Bachelor</t>
        </is>
      </c>
      <c r="D42" t="inlineStr">
        <is>
          <t>Undergraduate</t>
        </is>
      </c>
      <c r="E42" t="inlineStr">
        <is>
          <t>No-page record (conjoint), awaiting review</t>
        </is>
      </c>
      <c r="F42" t="inlineStr"/>
      <c r="G42" t="inlineStr">
        <is>
          <t>https://www.mq.edu.au/study/find-a-course/courses/bachelor-of-applied-finance-and-bachelor-of-professional-accounting</t>
        </is>
      </c>
      <c r="H42" t="inlineStr">
        <is>
          <t>Page is for another course</t>
        </is>
      </c>
      <c r="I42" t="inlineStr"/>
      <c r="J42" t="inlineStr">
        <is>
          <t>Conjoint (proposed)</t>
        </is>
      </c>
      <c r="K42" t="inlineStr">
        <is>
          <t>Finished, no page: no address from the university's address forms or stored lis</t>
        </is>
      </c>
      <c r="L42" t="inlineStr">
        <is>
          <t>Searching for course page</t>
        </is>
      </c>
      <c r="M42" t="inlineStr">
        <is>
          <t>Searching for course page</t>
        </is>
      </c>
      <c r="N42" t="inlineStr"/>
      <c r="O42" t="n">
        <v>0</v>
      </c>
      <c r="P42" t="inlineStr"/>
      <c r="Q42" t="inlineStr">
        <is>
          <t>Searching for course page</t>
        </is>
      </c>
      <c r="S42" t="inlineStr"/>
      <c r="T42" t="inlineStr">
        <is>
          <t>Held: double degree (its parts are at different levels)</t>
        </is>
      </c>
      <c r="U42" t="inlineStr"/>
      <c r="V42" t="inlineStr">
        <is>
          <t>Searching for course page</t>
        </is>
      </c>
      <c r="W42" t="inlineStr"/>
      <c r="X42" t="inlineStr"/>
      <c r="Y42" t="n">
        <v>0</v>
      </c>
      <c r="Z42" t="inlineStr">
        <is>
          <t>Yes</t>
        </is>
      </c>
      <c r="AA42" t="inlineStr">
        <is>
          <t>Not stated on course page</t>
        </is>
      </c>
      <c r="AB42" t="inlineStr"/>
      <c r="AC42" t="inlineStr">
        <is>
          <t>Skipped: no correct course page: the page found is for another course</t>
        </is>
      </c>
      <c r="AD42" t="n">
        <v>1</v>
      </c>
      <c r="AE42" t="inlineStr"/>
      <c r="AF42" t="inlineStr"/>
      <c r="AG42" t="inlineStr"/>
      <c r="AH42" t="inlineStr"/>
      <c r="AI42" t="inlineStr"/>
      <c r="AJ42" t="inlineStr">
        <is>
          <t>Yes</t>
        </is>
      </c>
      <c r="AK42" t="inlineStr"/>
      <c r="AL42" t="inlineStr"/>
      <c r="AM42" t="inlineStr">
        <is>
          <t>Yes</t>
        </is>
      </c>
    </row>
    <row r="43">
      <c r="A43" t="inlineStr">
        <is>
          <t>099515K</t>
        </is>
      </c>
      <c r="B43" t="inlineStr">
        <is>
          <t>Bachelor of Combined Studies in Actuarial Studies / Science</t>
        </is>
      </c>
      <c r="C43" t="inlineStr">
        <is>
          <t>Bachelor</t>
        </is>
      </c>
      <c r="D43" t="inlineStr">
        <is>
          <t>Undergraduate</t>
        </is>
      </c>
      <c r="E43" t="inlineStr">
        <is>
          <t>Advertised: official page in place</t>
        </is>
      </c>
      <c r="F43" t="inlineStr">
        <is>
          <t>https://coursehandbook.mq.edu.au/2026/doubledegree/D006279</t>
        </is>
      </c>
      <c r="G43" t="inlineStr">
        <is>
          <t>https://coursehandbook.mq.edu.au/2026/doubledegree/D006279</t>
        </is>
      </c>
      <c r="H43" t="inlineStr">
        <is>
          <t>Read</t>
        </is>
      </c>
      <c r="I43" t="inlineStr">
        <is>
          <t>University adapter (code)</t>
        </is>
      </c>
      <c r="J43" t="inlineStr"/>
      <c r="K43" t="inlineStr">
        <is>
          <t>Not sent to re-link</t>
        </is>
      </c>
      <c r="L43" t="inlineStr">
        <is>
          <t>Filled</t>
        </is>
      </c>
      <c r="M43" t="inlineStr">
        <is>
          <t>Not stated on course page</t>
        </is>
      </c>
      <c r="N43" t="inlineStr"/>
      <c r="O43" t="n">
        <v>0</v>
      </c>
      <c r="P43" t="inlineStr"/>
      <c r="Q43" t="inlineStr">
        <is>
          <t>Filled</t>
        </is>
      </c>
      <c r="R43" t="n">
        <v>6.5</v>
      </c>
      <c r="S43" t="inlineStr">
        <is>
          <t>University adapter</t>
        </is>
      </c>
      <c r="T43" t="inlineStr">
        <is>
          <t>Held: double degree (its parts are at different levels)</t>
        </is>
      </c>
      <c r="U43" t="inlineStr"/>
      <c r="V43" t="inlineStr">
        <is>
          <t>Not stated on course page</t>
        </is>
      </c>
      <c r="W43" t="inlineStr"/>
      <c r="X43" t="inlineStr"/>
      <c r="Y43" t="n">
        <v>0</v>
      </c>
      <c r="Z43" t="inlineStr">
        <is>
          <t>Yes</t>
        </is>
      </c>
      <c r="AA43" t="inlineStr">
        <is>
          <t>Not stated on course page</t>
        </is>
      </c>
      <c r="AB43" t="inlineStr"/>
      <c r="AC43" t="inlineStr">
        <is>
          <t>Skipped: the page does not state it</t>
        </is>
      </c>
      <c r="AD43" t="n">
        <v>0</v>
      </c>
      <c r="AE43" t="inlineStr"/>
      <c r="AF43" t="inlineStr"/>
      <c r="AG43" t="inlineStr"/>
      <c r="AH43" t="inlineStr"/>
      <c r="AI43" t="inlineStr"/>
      <c r="AJ43" t="inlineStr"/>
      <c r="AK43" t="inlineStr"/>
      <c r="AL43" t="inlineStr"/>
      <c r="AM43" t="inlineStr"/>
    </row>
    <row r="44">
      <c r="A44" t="inlineStr">
        <is>
          <t>099520B</t>
        </is>
      </c>
      <c r="B44" t="inlineStr">
        <is>
          <t>Bachelor of Combined Studies in Applied Finance / Business Analytics</t>
        </is>
      </c>
      <c r="C44" t="inlineStr">
        <is>
          <t>Bachelor</t>
        </is>
      </c>
      <c r="D44" t="inlineStr">
        <is>
          <t>Undergraduate</t>
        </is>
      </c>
      <c r="E44" t="inlineStr">
        <is>
          <t>Advertised: official page in place</t>
        </is>
      </c>
      <c r="F44" t="inlineStr">
        <is>
          <t>https://coursehandbook.mq.edu.au/2026/doubledegree/D000005</t>
        </is>
      </c>
      <c r="G44" t="inlineStr">
        <is>
          <t>https://coursehandbook.mq.edu.au/2026/doubledegree/D000005</t>
        </is>
      </c>
      <c r="H44" t="inlineStr">
        <is>
          <t>Read</t>
        </is>
      </c>
      <c r="I44" t="inlineStr">
        <is>
          <t>University adapter (code)</t>
        </is>
      </c>
      <c r="J44" t="inlineStr"/>
      <c r="K44" t="inlineStr">
        <is>
          <t>Not sent to re-link</t>
        </is>
      </c>
      <c r="L44" t="inlineStr">
        <is>
          <t>Filled</t>
        </is>
      </c>
      <c r="M44" t="inlineStr">
        <is>
          <t>Not stated on course page</t>
        </is>
      </c>
      <c r="N44" t="inlineStr"/>
      <c r="O44" t="n">
        <v>0</v>
      </c>
      <c r="P44" t="inlineStr"/>
      <c r="Q44" t="inlineStr">
        <is>
          <t>Filled</t>
        </is>
      </c>
      <c r="R44" t="n">
        <v>6.5</v>
      </c>
      <c r="S44" t="inlineStr">
        <is>
          <t>University adapter</t>
        </is>
      </c>
      <c r="T44" t="inlineStr">
        <is>
          <t>Held: double degree (its parts are at different levels)</t>
        </is>
      </c>
      <c r="U44" t="inlineStr"/>
      <c r="V44" t="inlineStr">
        <is>
          <t>Not stated on course page</t>
        </is>
      </c>
      <c r="W44" t="inlineStr"/>
      <c r="X44" t="inlineStr"/>
      <c r="Y44" t="n">
        <v>0</v>
      </c>
      <c r="Z44" t="inlineStr">
        <is>
          <t>Yes</t>
        </is>
      </c>
      <c r="AA44" t="inlineStr">
        <is>
          <t>Not stated on course page</t>
        </is>
      </c>
      <c r="AB44" t="inlineStr"/>
      <c r="AC44" t="inlineStr">
        <is>
          <t>Skipped: the page does not state it</t>
        </is>
      </c>
      <c r="AD44" t="n">
        <v>0</v>
      </c>
      <c r="AE44" t="inlineStr"/>
      <c r="AF44" t="inlineStr"/>
      <c r="AG44" t="inlineStr"/>
      <c r="AH44" t="inlineStr"/>
      <c r="AI44" t="inlineStr"/>
      <c r="AJ44" t="inlineStr"/>
      <c r="AK44" t="inlineStr"/>
      <c r="AL44" t="inlineStr"/>
      <c r="AM44" t="inlineStr"/>
    </row>
    <row r="45">
      <c r="A45" t="inlineStr">
        <is>
          <t>099521A</t>
        </is>
      </c>
      <c r="B45" t="inlineStr">
        <is>
          <t>Bachelor of Combined Studies in Applied Finance / Economics</t>
        </is>
      </c>
      <c r="C45" t="inlineStr">
        <is>
          <t>Bachelor</t>
        </is>
      </c>
      <c r="D45" t="inlineStr">
        <is>
          <t>Undergraduate</t>
        </is>
      </c>
      <c r="E45" t="inlineStr">
        <is>
          <t>Advertised: official page in place</t>
        </is>
      </c>
      <c r="F45" t="inlineStr">
        <is>
          <t>https://coursehandbook.mq.edu.au/2026/doubledegree/d000004</t>
        </is>
      </c>
      <c r="G45" t="inlineStr">
        <is>
          <t>https://coursehandbook.mq.edu.au/2026/doubledegree/d000004</t>
        </is>
      </c>
      <c r="H45" t="inlineStr">
        <is>
          <t>Read</t>
        </is>
      </c>
      <c r="I45" t="inlineStr">
        <is>
          <t>University adapter (code)</t>
        </is>
      </c>
      <c r="J45" t="inlineStr"/>
      <c r="K45" t="inlineStr">
        <is>
          <t>Not sent to re-link</t>
        </is>
      </c>
      <c r="L45" t="inlineStr">
        <is>
          <t>Filled</t>
        </is>
      </c>
      <c r="M45" t="inlineStr">
        <is>
          <t>Not stated on course page</t>
        </is>
      </c>
      <c r="N45" t="inlineStr"/>
      <c r="O45" t="n">
        <v>0</v>
      </c>
      <c r="P45" t="inlineStr"/>
      <c r="Q45" t="inlineStr">
        <is>
          <t>Filled</t>
        </is>
      </c>
      <c r="R45" t="n">
        <v>6.5</v>
      </c>
      <c r="S45" t="inlineStr">
        <is>
          <t>University adapter</t>
        </is>
      </c>
      <c r="T45" t="inlineStr">
        <is>
          <t>Held: double degree (its parts are at different levels)</t>
        </is>
      </c>
      <c r="U45" t="inlineStr"/>
      <c r="V45" t="inlineStr">
        <is>
          <t>Not stated on course page</t>
        </is>
      </c>
      <c r="W45" t="inlineStr"/>
      <c r="X45" t="inlineStr"/>
      <c r="Y45" t="n">
        <v>0</v>
      </c>
      <c r="Z45" t="inlineStr">
        <is>
          <t>Yes</t>
        </is>
      </c>
      <c r="AA45" t="inlineStr">
        <is>
          <t>Not stated on course page</t>
        </is>
      </c>
      <c r="AB45" t="inlineStr"/>
      <c r="AC45" t="inlineStr">
        <is>
          <t>Skipped: the page does not state it</t>
        </is>
      </c>
      <c r="AD45" t="n">
        <v>0</v>
      </c>
      <c r="AE45" t="inlineStr"/>
      <c r="AF45" t="inlineStr"/>
      <c r="AG45" t="inlineStr"/>
      <c r="AH45" t="inlineStr"/>
      <c r="AI45" t="inlineStr"/>
      <c r="AJ45" t="inlineStr"/>
      <c r="AK45" t="inlineStr"/>
      <c r="AL45" t="inlineStr"/>
      <c r="AM45" t="inlineStr"/>
    </row>
    <row r="46">
      <c r="A46" t="inlineStr">
        <is>
          <t>099523K</t>
        </is>
      </c>
      <c r="B46" t="inlineStr">
        <is>
          <t>Bachelor of Combined Studies in Applied Finance / Information Technology</t>
        </is>
      </c>
      <c r="C46" t="inlineStr">
        <is>
          <t>Bachelor</t>
        </is>
      </c>
      <c r="D46" t="inlineStr">
        <is>
          <t>Undergraduate</t>
        </is>
      </c>
      <c r="E46" t="inlineStr">
        <is>
          <t>Page address no longer works</t>
        </is>
      </c>
      <c r="F46" t="inlineStr"/>
      <c r="G46" t="inlineStr">
        <is>
          <t>https://coursehandbook.mq.edu.au/2026/doubledegree/D000007</t>
        </is>
      </c>
      <c r="H46" t="inlineStr">
        <is>
          <t>Address no longer works</t>
        </is>
      </c>
      <c r="I46" t="inlineStr"/>
      <c r="J46" t="inlineStr"/>
      <c r="K46" t="inlineStr">
        <is>
          <t>Not sent to re-link</t>
        </is>
      </c>
      <c r="L46" t="inlineStr">
        <is>
          <t>Page found, being read</t>
        </is>
      </c>
      <c r="M46" t="inlineStr">
        <is>
          <t>Page found, being read</t>
        </is>
      </c>
      <c r="N46" t="inlineStr"/>
      <c r="O46" t="n">
        <v>0</v>
      </c>
      <c r="P46" t="inlineStr"/>
      <c r="Q46" t="inlineStr">
        <is>
          <t>Page found, being read</t>
        </is>
      </c>
      <c r="S46" t="inlineStr"/>
      <c r="T46" t="inlineStr">
        <is>
          <t>Held: double degree (its parts are at different levels)</t>
        </is>
      </c>
      <c r="U46" t="inlineStr"/>
      <c r="V46" t="inlineStr">
        <is>
          <t>Page found, being read</t>
        </is>
      </c>
      <c r="W46" t="inlineStr"/>
      <c r="X46" t="inlineStr"/>
      <c r="Y46" t="n">
        <v>0</v>
      </c>
      <c r="Z46" t="inlineStr">
        <is>
          <t>Yes</t>
        </is>
      </c>
      <c r="AA46" t="inlineStr">
        <is>
          <t>Not stated on course page</t>
        </is>
      </c>
      <c r="AB46" t="inlineStr"/>
      <c r="AC46" t="inlineStr">
        <is>
          <t>Skipped: no allowed source had a value</t>
        </is>
      </c>
      <c r="AD46" t="n">
        <v>0</v>
      </c>
      <c r="AE46" t="inlineStr"/>
      <c r="AF46" t="inlineStr"/>
      <c r="AG46" t="inlineStr"/>
      <c r="AH46" t="inlineStr"/>
      <c r="AI46" t="inlineStr"/>
      <c r="AJ46" t="inlineStr">
        <is>
          <t>Yes</t>
        </is>
      </c>
      <c r="AK46" t="inlineStr"/>
      <c r="AL46" t="inlineStr"/>
      <c r="AM46" t="inlineStr"/>
    </row>
    <row r="47">
      <c r="A47" t="inlineStr">
        <is>
          <t>099522M</t>
        </is>
      </c>
      <c r="B47" t="inlineStr">
        <is>
          <t>Bachelor of Combined Studies in Applied Finance / Professional Accounting</t>
        </is>
      </c>
      <c r="C47" t="inlineStr">
        <is>
          <t>Bachelor</t>
        </is>
      </c>
      <c r="D47" t="inlineStr">
        <is>
          <t>Undergraduate</t>
        </is>
      </c>
      <c r="E47" t="inlineStr">
        <is>
          <t>Advertised: official page in place</t>
        </is>
      </c>
      <c r="F47" t="inlineStr">
        <is>
          <t>https://coursehandbook.mq.edu.au/2026/doubledegree/D000008</t>
        </is>
      </c>
      <c r="G47" t="inlineStr">
        <is>
          <t>https://coursehandbook.mq.edu.au/2026/doubledegree/D000008</t>
        </is>
      </c>
      <c r="H47" t="inlineStr">
        <is>
          <t>Read</t>
        </is>
      </c>
      <c r="I47" t="inlineStr">
        <is>
          <t>University adapter (code)</t>
        </is>
      </c>
      <c r="J47" t="inlineStr"/>
      <c r="K47" t="inlineStr">
        <is>
          <t>Not sent to re-link</t>
        </is>
      </c>
      <c r="L47" t="inlineStr">
        <is>
          <t>Filled</t>
        </is>
      </c>
      <c r="M47" t="inlineStr">
        <is>
          <t>Not stated on course page</t>
        </is>
      </c>
      <c r="N47" t="inlineStr"/>
      <c r="O47" t="n">
        <v>0</v>
      </c>
      <c r="P47" t="inlineStr"/>
      <c r="Q47" t="inlineStr">
        <is>
          <t>Filled</t>
        </is>
      </c>
      <c r="R47" t="n">
        <v>6.5</v>
      </c>
      <c r="S47" t="inlineStr">
        <is>
          <t>University adapter</t>
        </is>
      </c>
      <c r="T47" t="inlineStr">
        <is>
          <t>Held: double degree (its parts are at different levels)</t>
        </is>
      </c>
      <c r="U47" t="inlineStr"/>
      <c r="V47" t="inlineStr">
        <is>
          <t>Not stated on course page</t>
        </is>
      </c>
      <c r="W47" t="inlineStr"/>
      <c r="X47" t="inlineStr"/>
      <c r="Y47" t="n">
        <v>0</v>
      </c>
      <c r="Z47" t="inlineStr">
        <is>
          <t>Yes</t>
        </is>
      </c>
      <c r="AA47" t="inlineStr">
        <is>
          <t>Not stated on course page</t>
        </is>
      </c>
      <c r="AB47" t="inlineStr"/>
      <c r="AC47" t="inlineStr">
        <is>
          <t>Skipped: the page does not state it</t>
        </is>
      </c>
      <c r="AD47" t="n">
        <v>0</v>
      </c>
      <c r="AE47" t="inlineStr"/>
      <c r="AF47" t="inlineStr"/>
      <c r="AG47" t="inlineStr"/>
      <c r="AH47" t="inlineStr"/>
      <c r="AI47" t="inlineStr"/>
      <c r="AJ47" t="inlineStr"/>
      <c r="AK47" t="inlineStr"/>
      <c r="AL47" t="inlineStr"/>
      <c r="AM47" t="inlineStr"/>
    </row>
    <row r="48">
      <c r="A48" t="inlineStr">
        <is>
          <t>0100917</t>
        </is>
      </c>
      <c r="B48" t="inlineStr">
        <is>
          <t>Bachelor of Combined Studies in Arts / Engineering (Honours)</t>
        </is>
      </c>
      <c r="C48" t="inlineStr">
        <is>
          <t>Bachelor Honours Degree</t>
        </is>
      </c>
      <c r="D48" t="inlineStr">
        <is>
          <t>Undergraduate</t>
        </is>
      </c>
      <c r="E48" t="inlineStr">
        <is>
          <t>Page address no longer works</t>
        </is>
      </c>
      <c r="F48" t="inlineStr"/>
      <c r="G48" t="inlineStr">
        <is>
          <t>https://coursehandbook.mq.edu.au/2026/doubledegree/D000085</t>
        </is>
      </c>
      <c r="H48" t="inlineStr">
        <is>
          <t>Address no longer works</t>
        </is>
      </c>
      <c r="I48" t="inlineStr"/>
      <c r="J48" t="inlineStr"/>
      <c r="K48" t="inlineStr">
        <is>
          <t>Finished, no page: no address from the university's address forms or stored lis</t>
        </is>
      </c>
      <c r="L48" t="inlineStr">
        <is>
          <t>Page found, being read</t>
        </is>
      </c>
      <c r="M48" t="inlineStr">
        <is>
          <t>Page found, being read</t>
        </is>
      </c>
      <c r="N48" t="inlineStr"/>
      <c r="O48" t="n">
        <v>0</v>
      </c>
      <c r="P48" t="inlineStr"/>
      <c r="Q48" t="inlineStr">
        <is>
          <t>Page found, being read</t>
        </is>
      </c>
      <c r="S48" t="inlineStr"/>
      <c r="T48" t="inlineStr">
        <is>
          <t>Held: double degree (its parts are at different levels)</t>
        </is>
      </c>
      <c r="U48" t="inlineStr"/>
      <c r="V48" t="inlineStr">
        <is>
          <t>Page found, being read</t>
        </is>
      </c>
      <c r="W48" t="inlineStr"/>
      <c r="X48" t="inlineStr"/>
      <c r="Y48" t="n">
        <v>0</v>
      </c>
      <c r="Z48" t="inlineStr">
        <is>
          <t>Yes</t>
        </is>
      </c>
      <c r="AA48" t="inlineStr">
        <is>
          <t>Not stated on course page</t>
        </is>
      </c>
      <c r="AB48" t="inlineStr"/>
      <c r="AC48" t="inlineStr">
        <is>
          <t>Skipped: no allowed source had a value</t>
        </is>
      </c>
      <c r="AD48" t="n">
        <v>0</v>
      </c>
      <c r="AE48" t="inlineStr"/>
      <c r="AF48" t="inlineStr"/>
      <c r="AG48" t="inlineStr"/>
      <c r="AH48" t="inlineStr"/>
      <c r="AI48" t="inlineStr"/>
      <c r="AJ48" t="inlineStr">
        <is>
          <t>Yes</t>
        </is>
      </c>
      <c r="AK48" t="inlineStr"/>
      <c r="AL48" t="inlineStr"/>
      <c r="AM48" t="inlineStr"/>
    </row>
    <row r="49">
      <c r="A49" t="inlineStr">
        <is>
          <t>099525G</t>
        </is>
      </c>
      <c r="B49" t="inlineStr">
        <is>
          <t>Bachelor of Combined Studies in Business Administration / Arts</t>
        </is>
      </c>
      <c r="C49" t="inlineStr">
        <is>
          <t>Bachelor</t>
        </is>
      </c>
      <c r="D49" t="inlineStr">
        <is>
          <t>Undergraduate</t>
        </is>
      </c>
      <c r="E49" t="inlineStr">
        <is>
          <t>Held: page found is for another course</t>
        </is>
      </c>
      <c r="F49" t="inlineStr"/>
      <c r="G49" t="inlineStr">
        <is>
          <t>https://coursehandbook.mq.edu.au/2026/doubledegree/D006753</t>
        </is>
      </c>
      <c r="H49" t="inlineStr">
        <is>
          <t>Page is for another course</t>
        </is>
      </c>
      <c r="I49" t="inlineStr"/>
      <c r="J49" t="inlineStr"/>
      <c r="K49" t="inlineStr">
        <is>
          <t>Finished, no page: no address from the university's address forms or stored lis</t>
        </is>
      </c>
      <c r="L49" t="inlineStr">
        <is>
          <t>Searching for course page</t>
        </is>
      </c>
      <c r="M49" t="inlineStr">
        <is>
          <t>Searching for course page</t>
        </is>
      </c>
      <c r="N49" t="inlineStr"/>
      <c r="O49" t="n">
        <v>0</v>
      </c>
      <c r="P49" t="inlineStr"/>
      <c r="Q49" t="inlineStr">
        <is>
          <t>Searching for course page</t>
        </is>
      </c>
      <c r="S49" t="inlineStr"/>
      <c r="T49" t="inlineStr">
        <is>
          <t>Held: double degree (its parts are at different levels)</t>
        </is>
      </c>
      <c r="U49" t="inlineStr"/>
      <c r="V49" t="inlineStr">
        <is>
          <t>Searching for course page</t>
        </is>
      </c>
      <c r="W49" t="inlineStr"/>
      <c r="X49" t="inlineStr"/>
      <c r="Y49" t="n">
        <v>0</v>
      </c>
      <c r="Z49" t="inlineStr">
        <is>
          <t>Yes</t>
        </is>
      </c>
      <c r="AA49" t="inlineStr">
        <is>
          <t>Not stated on course page</t>
        </is>
      </c>
      <c r="AB49" t="inlineStr"/>
      <c r="AC49" t="inlineStr">
        <is>
          <t>Skipped: no correct course page: the page found is for another course</t>
        </is>
      </c>
      <c r="AD49" t="n">
        <v>0</v>
      </c>
      <c r="AE49" t="inlineStr"/>
      <c r="AF49" t="inlineStr"/>
      <c r="AG49" t="inlineStr"/>
      <c r="AH49" t="inlineStr"/>
      <c r="AI49" t="inlineStr"/>
      <c r="AJ49" t="inlineStr">
        <is>
          <t>Yes</t>
        </is>
      </c>
      <c r="AK49" t="inlineStr"/>
      <c r="AL49" t="inlineStr"/>
      <c r="AM49" t="inlineStr"/>
    </row>
    <row r="50">
      <c r="A50" t="inlineStr">
        <is>
          <t>099527F</t>
        </is>
      </c>
      <c r="B50" t="inlineStr">
        <is>
          <t>Bachelor of Combined Studies in Business Administration / Information Technology</t>
        </is>
      </c>
      <c r="C50" t="inlineStr">
        <is>
          <t>Bachelor</t>
        </is>
      </c>
      <c r="D50" t="inlineStr">
        <is>
          <t>Undergraduate</t>
        </is>
      </c>
      <c r="E50" t="inlineStr">
        <is>
          <t>Held: page found is for another course</t>
        </is>
      </c>
      <c r="F50" t="inlineStr"/>
      <c r="G50" t="inlineStr">
        <is>
          <t>https://coursehandbook.mq.edu.au/2026/courses/C000105</t>
        </is>
      </c>
      <c r="H50" t="inlineStr">
        <is>
          <t>Page is for another course</t>
        </is>
      </c>
      <c r="I50" t="inlineStr"/>
      <c r="J50" t="inlineStr"/>
      <c r="K50" t="inlineStr">
        <is>
          <t>Finished, no page: no address from the university's address forms or stored lis</t>
        </is>
      </c>
      <c r="L50" t="inlineStr">
        <is>
          <t>Searching for course page</t>
        </is>
      </c>
      <c r="M50" t="inlineStr">
        <is>
          <t>Searching for course page</t>
        </is>
      </c>
      <c r="N50" t="inlineStr"/>
      <c r="O50" t="n">
        <v>0</v>
      </c>
      <c r="P50" t="inlineStr"/>
      <c r="Q50" t="inlineStr">
        <is>
          <t>Searching for course page</t>
        </is>
      </c>
      <c r="S50" t="inlineStr"/>
      <c r="T50" t="inlineStr">
        <is>
          <t>Held: double degree (its parts are at different levels)</t>
        </is>
      </c>
      <c r="U50" t="inlineStr"/>
      <c r="V50" t="inlineStr">
        <is>
          <t>Searching for course page</t>
        </is>
      </c>
      <c r="W50" t="inlineStr"/>
      <c r="X50" t="inlineStr"/>
      <c r="Y50" t="n">
        <v>0</v>
      </c>
      <c r="Z50" t="inlineStr">
        <is>
          <t>Yes</t>
        </is>
      </c>
      <c r="AA50" t="inlineStr">
        <is>
          <t>Not stated on course page</t>
        </is>
      </c>
      <c r="AB50" t="inlineStr"/>
      <c r="AC50" t="inlineStr">
        <is>
          <t>Skipped: no correct course page: the page found is for another course</t>
        </is>
      </c>
      <c r="AD50" t="n">
        <v>0</v>
      </c>
      <c r="AE50" t="inlineStr"/>
      <c r="AF50" t="inlineStr"/>
      <c r="AG50" t="inlineStr"/>
      <c r="AH50" t="inlineStr"/>
      <c r="AI50" t="inlineStr"/>
      <c r="AJ50" t="inlineStr">
        <is>
          <t>Yes</t>
        </is>
      </c>
      <c r="AK50" t="inlineStr"/>
      <c r="AL50" t="inlineStr"/>
      <c r="AM50" t="inlineStr"/>
    </row>
    <row r="51">
      <c r="A51" t="inlineStr">
        <is>
          <t>099526G</t>
        </is>
      </c>
      <c r="B51" t="inlineStr">
        <is>
          <t>Bachelor of Combined Studies in Business Administration / Professional Accounting</t>
        </is>
      </c>
      <c r="C51" t="inlineStr">
        <is>
          <t>Bachelor</t>
        </is>
      </c>
      <c r="D51" t="inlineStr">
        <is>
          <t>Undergraduate</t>
        </is>
      </c>
      <c r="E51" t="inlineStr">
        <is>
          <t>Page address no longer works</t>
        </is>
      </c>
      <c r="F51" t="inlineStr"/>
      <c r="G51" t="inlineStr">
        <is>
          <t>https://coursehandbook.mq.edu.au/2026/doubledegree/D000040</t>
        </is>
      </c>
      <c r="H51" t="inlineStr">
        <is>
          <t>Address no longer works</t>
        </is>
      </c>
      <c r="I51" t="inlineStr"/>
      <c r="J51" t="inlineStr"/>
      <c r="K51" t="inlineStr">
        <is>
          <t>Finished, no page: no address from the university's address forms or stored lis</t>
        </is>
      </c>
      <c r="L51" t="inlineStr">
        <is>
          <t>Page found, being read</t>
        </is>
      </c>
      <c r="M51" t="inlineStr">
        <is>
          <t>Page found, being read</t>
        </is>
      </c>
      <c r="N51" t="inlineStr"/>
      <c r="O51" t="n">
        <v>0</v>
      </c>
      <c r="P51" t="inlineStr"/>
      <c r="Q51" t="inlineStr">
        <is>
          <t>Page found, being read</t>
        </is>
      </c>
      <c r="S51" t="inlineStr"/>
      <c r="T51" t="inlineStr">
        <is>
          <t>Held: double degree (its parts are at different levels)</t>
        </is>
      </c>
      <c r="U51" t="inlineStr"/>
      <c r="V51" t="inlineStr">
        <is>
          <t>Page found, being read</t>
        </is>
      </c>
      <c r="W51" t="inlineStr"/>
      <c r="X51" t="inlineStr"/>
      <c r="Y51" t="n">
        <v>0</v>
      </c>
      <c r="Z51" t="inlineStr">
        <is>
          <t>Yes</t>
        </is>
      </c>
      <c r="AA51" t="inlineStr">
        <is>
          <t>Not stated on course page</t>
        </is>
      </c>
      <c r="AB51" t="inlineStr"/>
      <c r="AC51" t="inlineStr">
        <is>
          <t>Skipped: no allowed source had a value</t>
        </is>
      </c>
      <c r="AD51" t="n">
        <v>1</v>
      </c>
      <c r="AE51" t="inlineStr"/>
      <c r="AF51" t="inlineStr"/>
      <c r="AG51" t="inlineStr"/>
      <c r="AH51" t="inlineStr"/>
      <c r="AI51" t="inlineStr"/>
      <c r="AJ51" t="inlineStr">
        <is>
          <t>Yes</t>
        </is>
      </c>
      <c r="AK51" t="inlineStr"/>
      <c r="AL51" t="inlineStr"/>
      <c r="AM51" t="inlineStr"/>
    </row>
    <row r="52">
      <c r="A52" t="inlineStr">
        <is>
          <t>099524J</t>
        </is>
      </c>
      <c r="B52" t="inlineStr">
        <is>
          <t>Bachelor of Combined Studies in Business Administration / Psychology</t>
        </is>
      </c>
      <c r="C52" t="inlineStr">
        <is>
          <t>Bachelor</t>
        </is>
      </c>
      <c r="D52" t="inlineStr">
        <is>
          <t>Undergraduate</t>
        </is>
      </c>
      <c r="E52" t="inlineStr">
        <is>
          <t>Page address no longer works</t>
        </is>
      </c>
      <c r="F52" t="inlineStr"/>
      <c r="G52" t="inlineStr">
        <is>
          <t>https://coursehandbook.mq.edu.au/2026/doubledegree/d006437</t>
        </is>
      </c>
      <c r="H52" t="inlineStr">
        <is>
          <t>Address no longer works</t>
        </is>
      </c>
      <c r="I52" t="inlineStr"/>
      <c r="J52" t="inlineStr"/>
      <c r="K52" t="inlineStr">
        <is>
          <t>Not sent to re-link</t>
        </is>
      </c>
      <c r="L52" t="inlineStr">
        <is>
          <t>Page found, being read</t>
        </is>
      </c>
      <c r="M52" t="inlineStr">
        <is>
          <t>Page found, being read</t>
        </is>
      </c>
      <c r="N52" t="inlineStr"/>
      <c r="O52" t="n">
        <v>0</v>
      </c>
      <c r="P52" t="inlineStr"/>
      <c r="Q52" t="inlineStr">
        <is>
          <t>Page found, being read</t>
        </is>
      </c>
      <c r="S52" t="inlineStr"/>
      <c r="T52" t="inlineStr">
        <is>
          <t>Held: double degree (its parts are at different levels)</t>
        </is>
      </c>
      <c r="U52" t="inlineStr"/>
      <c r="V52" t="inlineStr">
        <is>
          <t>Page found, being read</t>
        </is>
      </c>
      <c r="W52" t="inlineStr"/>
      <c r="X52" t="inlineStr"/>
      <c r="Y52" t="n">
        <v>0</v>
      </c>
      <c r="Z52" t="inlineStr">
        <is>
          <t>Yes</t>
        </is>
      </c>
      <c r="AA52" t="inlineStr">
        <is>
          <t>Not stated on course page</t>
        </is>
      </c>
      <c r="AB52" t="inlineStr"/>
      <c r="AC52" t="inlineStr">
        <is>
          <t>Skipped: no allowed source had a value</t>
        </is>
      </c>
      <c r="AD52" t="n">
        <v>0</v>
      </c>
      <c r="AE52" t="inlineStr"/>
      <c r="AF52" t="inlineStr"/>
      <c r="AG52" t="inlineStr"/>
      <c r="AH52" t="inlineStr"/>
      <c r="AI52" t="inlineStr"/>
      <c r="AJ52" t="inlineStr">
        <is>
          <t>Yes</t>
        </is>
      </c>
      <c r="AK52" t="inlineStr"/>
      <c r="AL52" t="inlineStr"/>
      <c r="AM52" t="inlineStr"/>
    </row>
    <row r="53">
      <c r="A53" t="inlineStr">
        <is>
          <t>099528E</t>
        </is>
      </c>
      <c r="B53" t="inlineStr">
        <is>
          <t>Bachelor of Combined Studies in Business Analytics / Professional Accounting</t>
        </is>
      </c>
      <c r="C53" t="inlineStr">
        <is>
          <t>Bachelor</t>
        </is>
      </c>
      <c r="D53" t="inlineStr">
        <is>
          <t>Undergraduate</t>
        </is>
      </c>
      <c r="E53" t="inlineStr">
        <is>
          <t>No-page record (conjoint), awaiting review</t>
        </is>
      </c>
      <c r="F53" t="inlineStr"/>
      <c r="G53" t="inlineStr">
        <is>
          <t>https://coursehandbook.mq.edu.au/2026/courses/C000016</t>
        </is>
      </c>
      <c r="H53" t="inlineStr">
        <is>
          <t>Page is for another course</t>
        </is>
      </c>
      <c r="I53" t="inlineStr"/>
      <c r="J53" t="inlineStr">
        <is>
          <t>Conjoint (proposed)</t>
        </is>
      </c>
      <c r="K53" t="inlineStr">
        <is>
          <t>Finished, no page: no address from the university's address forms or stored lis</t>
        </is>
      </c>
      <c r="L53" t="inlineStr">
        <is>
          <t>Searching for course page</t>
        </is>
      </c>
      <c r="M53" t="inlineStr">
        <is>
          <t>Searching for course page</t>
        </is>
      </c>
      <c r="N53" t="inlineStr"/>
      <c r="O53" t="n">
        <v>0</v>
      </c>
      <c r="P53" t="inlineStr"/>
      <c r="Q53" t="inlineStr">
        <is>
          <t>Searching for course page</t>
        </is>
      </c>
      <c r="S53" t="inlineStr"/>
      <c r="T53" t="inlineStr">
        <is>
          <t>Held: double degree (its parts are at different levels)</t>
        </is>
      </c>
      <c r="U53" t="inlineStr"/>
      <c r="V53" t="inlineStr">
        <is>
          <t>Searching for course page</t>
        </is>
      </c>
      <c r="W53" t="inlineStr"/>
      <c r="X53" t="inlineStr"/>
      <c r="Y53" t="n">
        <v>0</v>
      </c>
      <c r="Z53" t="inlineStr">
        <is>
          <t>Yes</t>
        </is>
      </c>
      <c r="AA53" t="inlineStr">
        <is>
          <t>Not stated on course page</t>
        </is>
      </c>
      <c r="AB53" t="inlineStr"/>
      <c r="AC53" t="inlineStr">
        <is>
          <t>Skipped: no correct course page: the page found is for another course</t>
        </is>
      </c>
      <c r="AD53" t="n">
        <v>0</v>
      </c>
      <c r="AE53" t="inlineStr"/>
      <c r="AF53" t="inlineStr"/>
      <c r="AG53" t="inlineStr"/>
      <c r="AH53" t="inlineStr"/>
      <c r="AI53" t="inlineStr"/>
      <c r="AJ53" t="inlineStr">
        <is>
          <t>Yes</t>
        </is>
      </c>
      <c r="AK53" t="inlineStr"/>
      <c r="AL53" t="inlineStr"/>
      <c r="AM53" t="inlineStr">
        <is>
          <t>Yes</t>
        </is>
      </c>
    </row>
    <row r="54">
      <c r="A54" t="inlineStr">
        <is>
          <t>099530M</t>
        </is>
      </c>
      <c r="B54" t="inlineStr">
        <is>
          <t>Bachelor of Combined Studies in Commerce / Arts</t>
        </is>
      </c>
      <c r="C54" t="inlineStr">
        <is>
          <t>Bachelor</t>
        </is>
      </c>
      <c r="D54" t="inlineStr">
        <is>
          <t>Undergraduate</t>
        </is>
      </c>
      <c r="E54" t="inlineStr">
        <is>
          <t>Advertised: official page in place</t>
        </is>
      </c>
      <c r="F54" t="inlineStr">
        <is>
          <t>https://coursehandbook.mq.edu.au/2026/doubledegree/d000086</t>
        </is>
      </c>
      <c r="G54" t="inlineStr">
        <is>
          <t>https://coursehandbook.mq.edu.au/2026/doubledegree/d000086</t>
        </is>
      </c>
      <c r="H54" t="inlineStr">
        <is>
          <t>Read</t>
        </is>
      </c>
      <c r="I54" t="inlineStr">
        <is>
          <t>University adapter (code)</t>
        </is>
      </c>
      <c r="J54" t="inlineStr"/>
      <c r="K54" t="inlineStr">
        <is>
          <t>Not sent to re-link</t>
        </is>
      </c>
      <c r="L54" t="inlineStr">
        <is>
          <t>Filled</t>
        </is>
      </c>
      <c r="M54" t="inlineStr">
        <is>
          <t>Not stated on course page</t>
        </is>
      </c>
      <c r="N54" t="inlineStr"/>
      <c r="O54" t="n">
        <v>0</v>
      </c>
      <c r="P54" t="inlineStr"/>
      <c r="Q54" t="inlineStr">
        <is>
          <t>Filled</t>
        </is>
      </c>
      <c r="R54" t="n">
        <v>6.5</v>
      </c>
      <c r="S54" t="inlineStr">
        <is>
          <t>University adapter</t>
        </is>
      </c>
      <c r="T54" t="inlineStr">
        <is>
          <t>Held: double degree (its parts are at different levels)</t>
        </is>
      </c>
      <c r="U54" t="inlineStr"/>
      <c r="V54" t="inlineStr">
        <is>
          <t>Not stated on course page</t>
        </is>
      </c>
      <c r="W54" t="inlineStr"/>
      <c r="X54" t="inlineStr"/>
      <c r="Y54" t="n">
        <v>0</v>
      </c>
      <c r="Z54" t="inlineStr">
        <is>
          <t>Yes</t>
        </is>
      </c>
      <c r="AA54" t="inlineStr">
        <is>
          <t>Not stated on course page</t>
        </is>
      </c>
      <c r="AB54" t="inlineStr"/>
      <c r="AC54" t="inlineStr">
        <is>
          <t>Skipped: the page does not state it</t>
        </is>
      </c>
      <c r="AD54" t="n">
        <v>0</v>
      </c>
      <c r="AE54" t="inlineStr"/>
      <c r="AF54" t="inlineStr"/>
      <c r="AG54" t="inlineStr"/>
      <c r="AH54" t="inlineStr"/>
      <c r="AI54" t="inlineStr"/>
      <c r="AJ54" t="inlineStr"/>
      <c r="AK54" t="inlineStr"/>
      <c r="AL54" t="inlineStr"/>
      <c r="AM54" t="inlineStr"/>
    </row>
    <row r="55">
      <c r="A55" t="inlineStr">
        <is>
          <t>0101343</t>
        </is>
      </c>
      <c r="B55" t="inlineStr">
        <is>
          <t>Bachelor of Combined Studies in Commerce / Education (Secondary)</t>
        </is>
      </c>
      <c r="C55" t="inlineStr">
        <is>
          <t>Bachelor</t>
        </is>
      </c>
      <c r="D55" t="inlineStr">
        <is>
          <t>Undergraduate</t>
        </is>
      </c>
      <c r="E55" t="inlineStr">
        <is>
          <t>Page address no longer works</t>
        </is>
      </c>
      <c r="F55" t="inlineStr"/>
      <c r="G55" t="inlineStr">
        <is>
          <t>https://coursehandbook.mq.edu.au/2026/courses/D000023</t>
        </is>
      </c>
      <c r="H55" t="inlineStr">
        <is>
          <t>Address no longer works</t>
        </is>
      </c>
      <c r="I55" t="inlineStr"/>
      <c r="J55" t="inlineStr"/>
      <c r="K55" t="inlineStr">
        <is>
          <t>Finished, no page: no address from the university's address forms or stored lis</t>
        </is>
      </c>
      <c r="L55" t="inlineStr">
        <is>
          <t>Page found, being read</t>
        </is>
      </c>
      <c r="M55" t="inlineStr">
        <is>
          <t>Page found, being read</t>
        </is>
      </c>
      <c r="N55" t="inlineStr"/>
      <c r="O55" t="n">
        <v>0</v>
      </c>
      <c r="P55" t="inlineStr"/>
      <c r="Q55" t="inlineStr">
        <is>
          <t>Page found, being read</t>
        </is>
      </c>
      <c r="S55" t="inlineStr"/>
      <c r="T55" t="inlineStr">
        <is>
          <t>Held: double degree (its parts are at different levels)</t>
        </is>
      </c>
      <c r="U55" t="inlineStr"/>
      <c r="V55" t="inlineStr">
        <is>
          <t>Page found, being read</t>
        </is>
      </c>
      <c r="W55" t="inlineStr"/>
      <c r="X55" t="inlineStr"/>
      <c r="Y55" t="n">
        <v>0</v>
      </c>
      <c r="Z55" t="inlineStr">
        <is>
          <t>Yes</t>
        </is>
      </c>
      <c r="AA55" t="inlineStr">
        <is>
          <t>Not stated on course page</t>
        </is>
      </c>
      <c r="AB55" t="inlineStr"/>
      <c r="AC55" t="inlineStr">
        <is>
          <t>Skipped: no allowed source had a value</t>
        </is>
      </c>
      <c r="AD55" t="n">
        <v>0</v>
      </c>
      <c r="AE55" t="inlineStr"/>
      <c r="AF55" t="inlineStr"/>
      <c r="AG55" t="inlineStr"/>
      <c r="AH55" t="inlineStr"/>
      <c r="AI55" t="inlineStr"/>
      <c r="AJ55" t="inlineStr">
        <is>
          <t>Yes</t>
        </is>
      </c>
      <c r="AK55" t="inlineStr"/>
      <c r="AL55" t="inlineStr"/>
      <c r="AM55" t="inlineStr"/>
    </row>
    <row r="56">
      <c r="A56" t="inlineStr">
        <is>
          <t>099533G</t>
        </is>
      </c>
      <c r="B56" t="inlineStr">
        <is>
          <t>Bachelor of Combined Studies in Commerce / Information Technology</t>
        </is>
      </c>
      <c r="C56" t="inlineStr">
        <is>
          <t>Bachelor</t>
        </is>
      </c>
      <c r="D56" t="inlineStr">
        <is>
          <t>Undergraduate</t>
        </is>
      </c>
      <c r="E56" t="inlineStr">
        <is>
          <t>Advertised: official page in place</t>
        </is>
      </c>
      <c r="F56" t="inlineStr">
        <is>
          <t>https://coursehandbook.mq.edu.au/2026/doubledegree/d000072</t>
        </is>
      </c>
      <c r="G56" t="inlineStr">
        <is>
          <t>https://coursehandbook.mq.edu.au/2026/doubledegree/d000072</t>
        </is>
      </c>
      <c r="H56" t="inlineStr">
        <is>
          <t>Read</t>
        </is>
      </c>
      <c r="I56" t="inlineStr">
        <is>
          <t>University adapter (code)</t>
        </is>
      </c>
      <c r="J56" t="inlineStr"/>
      <c r="K56" t="inlineStr">
        <is>
          <t>Not sent to re-link</t>
        </is>
      </c>
      <c r="L56" t="inlineStr">
        <is>
          <t>Filled</t>
        </is>
      </c>
      <c r="M56" t="inlineStr">
        <is>
          <t>Not stated on course page</t>
        </is>
      </c>
      <c r="N56" t="inlineStr"/>
      <c r="O56" t="n">
        <v>0</v>
      </c>
      <c r="P56" t="inlineStr"/>
      <c r="Q56" t="inlineStr">
        <is>
          <t>Filled</t>
        </is>
      </c>
      <c r="R56" t="n">
        <v>6.5</v>
      </c>
      <c r="S56" t="inlineStr">
        <is>
          <t>University adapter</t>
        </is>
      </c>
      <c r="T56" t="inlineStr">
        <is>
          <t>Held: double degree (its parts are at different levels)</t>
        </is>
      </c>
      <c r="U56" t="inlineStr"/>
      <c r="V56" t="inlineStr">
        <is>
          <t>Not stated on course page</t>
        </is>
      </c>
      <c r="W56" t="inlineStr"/>
      <c r="X56" t="inlineStr"/>
      <c r="Y56" t="n">
        <v>0</v>
      </c>
      <c r="Z56" t="inlineStr">
        <is>
          <t>Yes</t>
        </is>
      </c>
      <c r="AA56" t="inlineStr">
        <is>
          <t>Not stated on course page</t>
        </is>
      </c>
      <c r="AB56" t="inlineStr"/>
      <c r="AC56" t="inlineStr">
        <is>
          <t>Skipped: the page does not state it</t>
        </is>
      </c>
      <c r="AD56" t="n">
        <v>0</v>
      </c>
      <c r="AE56" t="inlineStr"/>
      <c r="AF56" t="inlineStr"/>
      <c r="AG56" t="inlineStr"/>
      <c r="AH56" t="inlineStr"/>
      <c r="AI56" t="inlineStr"/>
      <c r="AJ56" t="inlineStr"/>
      <c r="AK56" t="inlineStr"/>
      <c r="AL56" t="inlineStr"/>
      <c r="AM56" t="inlineStr"/>
    </row>
    <row r="57">
      <c r="A57" t="inlineStr">
        <is>
          <t>099532J</t>
        </is>
      </c>
      <c r="B57" t="inlineStr">
        <is>
          <t>Bachelor of Combined Studies in Commerce / Media and Communications</t>
        </is>
      </c>
      <c r="C57" t="inlineStr">
        <is>
          <t>Bachelor</t>
        </is>
      </c>
      <c r="D57" t="inlineStr">
        <is>
          <t>Undergraduate</t>
        </is>
      </c>
      <c r="E57" t="inlineStr">
        <is>
          <t>Page address no longer works</t>
        </is>
      </c>
      <c r="F57" t="inlineStr"/>
      <c r="G57" t="inlineStr">
        <is>
          <t>https://coursehandbook.mq.edu.au/2026/doubledegree/d000081</t>
        </is>
      </c>
      <c r="H57" t="inlineStr">
        <is>
          <t>Address no longer works</t>
        </is>
      </c>
      <c r="I57" t="inlineStr"/>
      <c r="J57" t="inlineStr"/>
      <c r="K57" t="inlineStr">
        <is>
          <t>Finished, no page: no address from the university's address forms or stored lis</t>
        </is>
      </c>
      <c r="L57" t="inlineStr">
        <is>
          <t>Page found, being read</t>
        </is>
      </c>
      <c r="M57" t="inlineStr">
        <is>
          <t>Page found, being read</t>
        </is>
      </c>
      <c r="N57" t="inlineStr"/>
      <c r="O57" t="n">
        <v>0</v>
      </c>
      <c r="P57" t="inlineStr"/>
      <c r="Q57" t="inlineStr">
        <is>
          <t>Page found, being read</t>
        </is>
      </c>
      <c r="S57" t="inlineStr"/>
      <c r="T57" t="inlineStr">
        <is>
          <t>Held: double degree (its parts are at different levels)</t>
        </is>
      </c>
      <c r="U57" t="inlineStr"/>
      <c r="V57" t="inlineStr">
        <is>
          <t>Page found, being read</t>
        </is>
      </c>
      <c r="W57" t="inlineStr"/>
      <c r="X57" t="inlineStr"/>
      <c r="Y57" t="n">
        <v>0</v>
      </c>
      <c r="Z57" t="inlineStr">
        <is>
          <t>Yes</t>
        </is>
      </c>
      <c r="AA57" t="inlineStr">
        <is>
          <t>Not stated on course page</t>
        </is>
      </c>
      <c r="AB57" t="inlineStr"/>
      <c r="AC57" t="inlineStr">
        <is>
          <t>Skipped: no allowed source had a value</t>
        </is>
      </c>
      <c r="AD57" t="n">
        <v>0</v>
      </c>
      <c r="AE57" t="inlineStr"/>
      <c r="AF57" t="inlineStr"/>
      <c r="AG57" t="inlineStr"/>
      <c r="AH57" t="inlineStr"/>
      <c r="AI57" t="inlineStr"/>
      <c r="AJ57" t="inlineStr">
        <is>
          <t>Yes</t>
        </is>
      </c>
      <c r="AK57" t="inlineStr"/>
      <c r="AL57" t="inlineStr"/>
      <c r="AM57" t="inlineStr"/>
    </row>
    <row r="58">
      <c r="A58" t="inlineStr">
        <is>
          <t>099529D</t>
        </is>
      </c>
      <c r="B58" t="inlineStr">
        <is>
          <t>Bachelor of Combined Studies in Commerce / Psychology</t>
        </is>
      </c>
      <c r="C58" t="inlineStr">
        <is>
          <t>Bachelor</t>
        </is>
      </c>
      <c r="D58" t="inlineStr">
        <is>
          <t>Undergraduate</t>
        </is>
      </c>
      <c r="E58" t="inlineStr">
        <is>
          <t>Advertised: official page in place</t>
        </is>
      </c>
      <c r="F58" t="inlineStr">
        <is>
          <t>https://coursehandbook.mq.edu.au/2026/doubledegree/D000073</t>
        </is>
      </c>
      <c r="G58" t="inlineStr">
        <is>
          <t>https://coursehandbook.mq.edu.au/2026/doubledegree/D000073</t>
        </is>
      </c>
      <c r="H58" t="inlineStr">
        <is>
          <t>Read</t>
        </is>
      </c>
      <c r="I58" t="inlineStr">
        <is>
          <t>University adapter (code)</t>
        </is>
      </c>
      <c r="J58" t="inlineStr"/>
      <c r="K58" t="inlineStr">
        <is>
          <t>Not sent to re-link</t>
        </is>
      </c>
      <c r="L58" t="inlineStr">
        <is>
          <t>Filled</t>
        </is>
      </c>
      <c r="M58" t="inlineStr">
        <is>
          <t>Not stated on course page</t>
        </is>
      </c>
      <c r="N58" t="inlineStr"/>
      <c r="O58" t="n">
        <v>0</v>
      </c>
      <c r="P58" t="inlineStr"/>
      <c r="Q58" t="inlineStr">
        <is>
          <t>Filled</t>
        </is>
      </c>
      <c r="R58" t="n">
        <v>6.5</v>
      </c>
      <c r="S58" t="inlineStr">
        <is>
          <t>University adapter</t>
        </is>
      </c>
      <c r="T58" t="inlineStr">
        <is>
          <t>Held: double degree (its parts are at different levels)</t>
        </is>
      </c>
      <c r="U58" t="inlineStr"/>
      <c r="V58" t="inlineStr">
        <is>
          <t>Not stated on course page</t>
        </is>
      </c>
      <c r="W58" t="inlineStr"/>
      <c r="X58" t="inlineStr"/>
      <c r="Y58" t="n">
        <v>0</v>
      </c>
      <c r="Z58" t="inlineStr">
        <is>
          <t>Yes</t>
        </is>
      </c>
      <c r="AA58" t="inlineStr">
        <is>
          <t>Not stated on course page</t>
        </is>
      </c>
      <c r="AB58" t="inlineStr"/>
      <c r="AC58" t="inlineStr">
        <is>
          <t>Skipped: the page does not state it</t>
        </is>
      </c>
      <c r="AD58" t="n">
        <v>0</v>
      </c>
      <c r="AE58" t="inlineStr"/>
      <c r="AF58" t="inlineStr"/>
      <c r="AG58" t="inlineStr"/>
      <c r="AH58" t="inlineStr"/>
      <c r="AI58" t="inlineStr"/>
      <c r="AJ58" t="inlineStr"/>
      <c r="AK58" t="inlineStr"/>
      <c r="AL58" t="inlineStr"/>
      <c r="AM58" t="inlineStr"/>
    </row>
    <row r="59">
      <c r="A59" t="inlineStr">
        <is>
          <t>099531K</t>
        </is>
      </c>
      <c r="B59" t="inlineStr">
        <is>
          <t>Bachelor of Combined Studies in Commerce / Science</t>
        </is>
      </c>
      <c r="C59" t="inlineStr">
        <is>
          <t>Bachelor</t>
        </is>
      </c>
      <c r="D59" t="inlineStr">
        <is>
          <t>Undergraduate</t>
        </is>
      </c>
      <c r="E59" t="inlineStr">
        <is>
          <t>Advertised: official page in place</t>
        </is>
      </c>
      <c r="F59" t="inlineStr">
        <is>
          <t>https://coursehandbook.mq.edu.au/2026/doubledegree/d006292</t>
        </is>
      </c>
      <c r="G59" t="inlineStr">
        <is>
          <t>https://coursehandbook.mq.edu.au/2026/doubledegree/d006292</t>
        </is>
      </c>
      <c r="H59" t="inlineStr">
        <is>
          <t>Read</t>
        </is>
      </c>
      <c r="I59" t="inlineStr">
        <is>
          <t>University adapter (code)</t>
        </is>
      </c>
      <c r="J59" t="inlineStr"/>
      <c r="K59" t="inlineStr">
        <is>
          <t>Not sent to re-link</t>
        </is>
      </c>
      <c r="L59" t="inlineStr">
        <is>
          <t>Filled</t>
        </is>
      </c>
      <c r="M59" t="inlineStr">
        <is>
          <t>Not stated on course page</t>
        </is>
      </c>
      <c r="N59" t="inlineStr"/>
      <c r="O59" t="n">
        <v>0</v>
      </c>
      <c r="P59" t="inlineStr"/>
      <c r="Q59" t="inlineStr">
        <is>
          <t>Filled</t>
        </is>
      </c>
      <c r="R59" t="n">
        <v>6.5</v>
      </c>
      <c r="S59" t="inlineStr">
        <is>
          <t>University adapter</t>
        </is>
      </c>
      <c r="T59" t="inlineStr">
        <is>
          <t>Held: double degree (its parts are at different levels)</t>
        </is>
      </c>
      <c r="U59" t="inlineStr"/>
      <c r="V59" t="inlineStr">
        <is>
          <t>Not stated on course page</t>
        </is>
      </c>
      <c r="W59" t="inlineStr"/>
      <c r="X59" t="inlineStr"/>
      <c r="Y59" t="n">
        <v>0</v>
      </c>
      <c r="Z59" t="inlineStr">
        <is>
          <t>Yes</t>
        </is>
      </c>
      <c r="AA59" t="inlineStr">
        <is>
          <t>Not stated on course page</t>
        </is>
      </c>
      <c r="AB59" t="inlineStr"/>
      <c r="AC59" t="inlineStr">
        <is>
          <t>Skipped: the page does not state it</t>
        </is>
      </c>
      <c r="AD59" t="n">
        <v>0</v>
      </c>
      <c r="AE59" t="inlineStr"/>
      <c r="AF59" t="inlineStr"/>
      <c r="AG59" t="inlineStr"/>
      <c r="AH59" t="inlineStr"/>
      <c r="AI59" t="inlineStr"/>
      <c r="AJ59" t="inlineStr"/>
      <c r="AK59" t="inlineStr"/>
      <c r="AL59" t="inlineStr"/>
      <c r="AM59" t="inlineStr"/>
    </row>
    <row r="60">
      <c r="A60" t="inlineStr">
        <is>
          <t>099534G</t>
        </is>
      </c>
      <c r="B60" t="inlineStr">
        <is>
          <t>Bachelor of Combined Studies in Education (Primary) / Arts</t>
        </is>
      </c>
      <c r="C60" t="inlineStr">
        <is>
          <t>Bachelor</t>
        </is>
      </c>
      <c r="D60" t="inlineStr">
        <is>
          <t>Undergraduate</t>
        </is>
      </c>
      <c r="E60" t="inlineStr">
        <is>
          <t>Page address no longer works</t>
        </is>
      </c>
      <c r="F60" t="inlineStr"/>
      <c r="G60" t="inlineStr">
        <is>
          <t>https://coursehandbook.mq.edu.au/2026/courses/D000032</t>
        </is>
      </c>
      <c r="H60" t="inlineStr">
        <is>
          <t>Address no longer works</t>
        </is>
      </c>
      <c r="I60" t="inlineStr"/>
      <c r="J60" t="inlineStr"/>
      <c r="K60" t="inlineStr">
        <is>
          <t>Not sent to re-link</t>
        </is>
      </c>
      <c r="L60" t="inlineStr">
        <is>
          <t>Page found, being read</t>
        </is>
      </c>
      <c r="M60" t="inlineStr">
        <is>
          <t>Page found, being read</t>
        </is>
      </c>
      <c r="N60" t="inlineStr"/>
      <c r="O60" t="n">
        <v>0</v>
      </c>
      <c r="P60" t="inlineStr"/>
      <c r="Q60" t="inlineStr">
        <is>
          <t>Page found, being read</t>
        </is>
      </c>
      <c r="S60" t="inlineStr"/>
      <c r="T60" t="inlineStr">
        <is>
          <t>Held: double degree (its parts are at different levels)</t>
        </is>
      </c>
      <c r="U60" t="inlineStr"/>
      <c r="V60" t="inlineStr">
        <is>
          <t>Page found, being read</t>
        </is>
      </c>
      <c r="W60" t="inlineStr"/>
      <c r="X60" t="inlineStr"/>
      <c r="Y60" t="n">
        <v>0</v>
      </c>
      <c r="Z60" t="inlineStr">
        <is>
          <t>Yes</t>
        </is>
      </c>
      <c r="AA60" t="inlineStr">
        <is>
          <t>Not stated on course page</t>
        </is>
      </c>
      <c r="AB60" t="inlineStr"/>
      <c r="AC60" t="inlineStr">
        <is>
          <t>Skipped: no allowed source had a value</t>
        </is>
      </c>
      <c r="AD60" t="n">
        <v>0</v>
      </c>
      <c r="AE60" t="inlineStr"/>
      <c r="AF60" t="inlineStr"/>
      <c r="AG60" t="inlineStr"/>
      <c r="AH60" t="inlineStr"/>
      <c r="AI60" t="inlineStr"/>
      <c r="AJ60" t="inlineStr">
        <is>
          <t>Yes</t>
        </is>
      </c>
      <c r="AK60" t="inlineStr"/>
      <c r="AL60" t="inlineStr"/>
      <c r="AM60" t="inlineStr"/>
    </row>
    <row r="61">
      <c r="A61" t="inlineStr">
        <is>
          <t>0101344</t>
        </is>
      </c>
      <c r="B61" t="inlineStr">
        <is>
          <t>Bachelor of Combined Studies in Education (Primary) / Psychology</t>
        </is>
      </c>
      <c r="C61" t="inlineStr">
        <is>
          <t>Bachelor</t>
        </is>
      </c>
      <c r="D61" t="inlineStr">
        <is>
          <t>Undergraduate</t>
        </is>
      </c>
      <c r="E61" t="inlineStr">
        <is>
          <t>Page address no longer works</t>
        </is>
      </c>
      <c r="F61" t="inlineStr"/>
      <c r="G61" t="inlineStr">
        <is>
          <t>https://coursehandbook.mq.edu.au/2026/courses/D000032</t>
        </is>
      </c>
      <c r="H61" t="inlineStr">
        <is>
          <t>Address no longer works</t>
        </is>
      </c>
      <c r="I61" t="inlineStr"/>
      <c r="J61" t="inlineStr"/>
      <c r="K61" t="inlineStr">
        <is>
          <t>Not sent to re-link</t>
        </is>
      </c>
      <c r="L61" t="inlineStr">
        <is>
          <t>Page found, being read</t>
        </is>
      </c>
      <c r="M61" t="inlineStr">
        <is>
          <t>Page found, being read</t>
        </is>
      </c>
      <c r="N61" t="inlineStr"/>
      <c r="O61" t="n">
        <v>0</v>
      </c>
      <c r="P61" t="inlineStr"/>
      <c r="Q61" t="inlineStr">
        <is>
          <t>Page found, being read</t>
        </is>
      </c>
      <c r="S61" t="inlineStr"/>
      <c r="T61" t="inlineStr">
        <is>
          <t>Held: double degree (its parts are at different levels)</t>
        </is>
      </c>
      <c r="U61" t="inlineStr"/>
      <c r="V61" t="inlineStr">
        <is>
          <t>Page found, being read</t>
        </is>
      </c>
      <c r="W61" t="inlineStr"/>
      <c r="X61" t="inlineStr"/>
      <c r="Y61" t="n">
        <v>0</v>
      </c>
      <c r="Z61" t="inlineStr">
        <is>
          <t>Yes</t>
        </is>
      </c>
      <c r="AA61" t="inlineStr">
        <is>
          <t>Not stated on course page</t>
        </is>
      </c>
      <c r="AB61" t="inlineStr"/>
      <c r="AC61" t="inlineStr">
        <is>
          <t>Skipped: no allowed source had a value</t>
        </is>
      </c>
      <c r="AD61" t="n">
        <v>0</v>
      </c>
      <c r="AE61" t="inlineStr"/>
      <c r="AF61" t="inlineStr"/>
      <c r="AG61" t="inlineStr"/>
      <c r="AH61" t="inlineStr"/>
      <c r="AI61" t="inlineStr"/>
      <c r="AJ61" t="inlineStr">
        <is>
          <t>Yes</t>
        </is>
      </c>
      <c r="AK61" t="inlineStr"/>
      <c r="AL61" t="inlineStr"/>
      <c r="AM61" t="inlineStr"/>
    </row>
    <row r="62">
      <c r="A62" t="inlineStr">
        <is>
          <t>099535F</t>
        </is>
      </c>
      <c r="B62" t="inlineStr">
        <is>
          <t>Bachelor of Combined Studies in Education (Secondary) / Arts</t>
        </is>
      </c>
      <c r="C62" t="inlineStr">
        <is>
          <t>Bachelor</t>
        </is>
      </c>
      <c r="D62" t="inlineStr">
        <is>
          <t>Undergraduate</t>
        </is>
      </c>
      <c r="E62" t="inlineStr">
        <is>
          <t>Page address no longer works</t>
        </is>
      </c>
      <c r="F62" t="inlineStr"/>
      <c r="G62" t="inlineStr">
        <is>
          <t>https://coursehandbook.mq.edu.au/2026/courses/D000023</t>
        </is>
      </c>
      <c r="H62" t="inlineStr">
        <is>
          <t>Address no longer works</t>
        </is>
      </c>
      <c r="I62" t="inlineStr"/>
      <c r="J62" t="inlineStr"/>
      <c r="K62" t="inlineStr">
        <is>
          <t>Finished, no page: no address from the university's address forms or stored lis</t>
        </is>
      </c>
      <c r="L62" t="inlineStr">
        <is>
          <t>Page found, being read</t>
        </is>
      </c>
      <c r="M62" t="inlineStr">
        <is>
          <t>Page found, being read</t>
        </is>
      </c>
      <c r="N62" t="inlineStr"/>
      <c r="O62" t="n">
        <v>0</v>
      </c>
      <c r="P62" t="inlineStr"/>
      <c r="Q62" t="inlineStr">
        <is>
          <t>Page found, being read</t>
        </is>
      </c>
      <c r="S62" t="inlineStr"/>
      <c r="T62" t="inlineStr">
        <is>
          <t>Held: double degree (its parts are at different levels)</t>
        </is>
      </c>
      <c r="U62" t="inlineStr"/>
      <c r="V62" t="inlineStr">
        <is>
          <t>Page found, being read</t>
        </is>
      </c>
      <c r="W62" t="inlineStr"/>
      <c r="X62" t="inlineStr"/>
      <c r="Y62" t="n">
        <v>0</v>
      </c>
      <c r="Z62" t="inlineStr">
        <is>
          <t>Yes</t>
        </is>
      </c>
      <c r="AA62" t="inlineStr">
        <is>
          <t>Not stated on course page</t>
        </is>
      </c>
      <c r="AB62" t="inlineStr"/>
      <c r="AC62" t="inlineStr">
        <is>
          <t>Skipped: no allowed source had a value</t>
        </is>
      </c>
      <c r="AD62" t="n">
        <v>0</v>
      </c>
      <c r="AE62" t="inlineStr"/>
      <c r="AF62" t="inlineStr"/>
      <c r="AG62" t="inlineStr"/>
      <c r="AH62" t="inlineStr"/>
      <c r="AI62" t="inlineStr"/>
      <c r="AJ62" t="inlineStr">
        <is>
          <t>Yes</t>
        </is>
      </c>
      <c r="AK62" t="inlineStr"/>
      <c r="AL62" t="inlineStr"/>
      <c r="AM62" t="inlineStr"/>
    </row>
    <row r="63">
      <c r="A63" t="inlineStr">
        <is>
          <t>099536E</t>
        </is>
      </c>
      <c r="B63" t="inlineStr">
        <is>
          <t>Bachelor of Combined Studies in Education (Secondary) / Science</t>
        </is>
      </c>
      <c r="C63" t="inlineStr">
        <is>
          <t>Bachelor</t>
        </is>
      </c>
      <c r="D63" t="inlineStr">
        <is>
          <t>Undergraduate</t>
        </is>
      </c>
      <c r="E63" t="inlineStr">
        <is>
          <t>No-page record (conjoint), awaiting review</t>
        </is>
      </c>
      <c r="F63" t="inlineStr"/>
      <c r="G63" t="inlineStr">
        <is>
          <t>https://www.mq.edu.au/study/admissions-and-entry/pathways/schemes/academic-entry-program/lookup-tool/config/test-listing-page/nested-divs/bachelor-of-science-with-bachelor-of-education-secondary</t>
        </is>
      </c>
      <c r="H63" t="inlineStr">
        <is>
          <t>Page is for another course</t>
        </is>
      </c>
      <c r="I63" t="inlineStr"/>
      <c r="J63" t="inlineStr">
        <is>
          <t>Conjoint (proposed)</t>
        </is>
      </c>
      <c r="K63" t="inlineStr">
        <is>
          <t>Finished, no page: no address from the university's address forms or stored lis</t>
        </is>
      </c>
      <c r="L63" t="inlineStr">
        <is>
          <t>Searching for course page</t>
        </is>
      </c>
      <c r="M63" t="inlineStr">
        <is>
          <t>Searching for course page</t>
        </is>
      </c>
      <c r="N63" t="inlineStr"/>
      <c r="O63" t="n">
        <v>0</v>
      </c>
      <c r="P63" t="inlineStr"/>
      <c r="Q63" t="inlineStr">
        <is>
          <t>Searching for course page</t>
        </is>
      </c>
      <c r="S63" t="inlineStr"/>
      <c r="T63" t="inlineStr">
        <is>
          <t>Held: double degree (its parts are at different levels)</t>
        </is>
      </c>
      <c r="U63" t="inlineStr"/>
      <c r="V63" t="inlineStr">
        <is>
          <t>Searching for course page</t>
        </is>
      </c>
      <c r="W63" t="inlineStr"/>
      <c r="X63" t="inlineStr"/>
      <c r="Y63" t="n">
        <v>0</v>
      </c>
      <c r="Z63" t="inlineStr">
        <is>
          <t>Yes</t>
        </is>
      </c>
      <c r="AA63" t="inlineStr">
        <is>
          <t>Not stated on course page</t>
        </is>
      </c>
      <c r="AB63" t="inlineStr"/>
      <c r="AC63" t="inlineStr">
        <is>
          <t>Skipped: no correct course page: the page found is for another course</t>
        </is>
      </c>
      <c r="AD63" t="n">
        <v>1</v>
      </c>
      <c r="AE63" t="inlineStr"/>
      <c r="AF63" t="inlineStr"/>
      <c r="AG63" t="inlineStr"/>
      <c r="AH63" t="inlineStr"/>
      <c r="AI63" t="inlineStr"/>
      <c r="AJ63" t="inlineStr">
        <is>
          <t>Yes</t>
        </is>
      </c>
      <c r="AK63" t="inlineStr"/>
      <c r="AL63" t="inlineStr"/>
      <c r="AM63" t="inlineStr">
        <is>
          <t>Yes</t>
        </is>
      </c>
    </row>
    <row r="64">
      <c r="A64" t="inlineStr">
        <is>
          <t>099537D</t>
        </is>
      </c>
      <c r="B64" t="inlineStr">
        <is>
          <t>Bachelor of Combined Studies in Laws / Arts</t>
        </is>
      </c>
      <c r="C64" t="inlineStr">
        <is>
          <t>Bachelor</t>
        </is>
      </c>
      <c r="D64" t="inlineStr">
        <is>
          <t>Undergraduate</t>
        </is>
      </c>
      <c r="E64" t="inlineStr">
        <is>
          <t>Advertised: official page in place</t>
        </is>
      </c>
      <c r="F64" t="inlineStr">
        <is>
          <t>https://coursehandbook.mq.edu.au/2026/doubledegree/d000053</t>
        </is>
      </c>
      <c r="G64" t="inlineStr">
        <is>
          <t>https://coursehandbook.mq.edu.au/2026/doubledegree/d000053</t>
        </is>
      </c>
      <c r="H64" t="inlineStr">
        <is>
          <t>Read</t>
        </is>
      </c>
      <c r="I64" t="inlineStr">
        <is>
          <t>University adapter (code)</t>
        </is>
      </c>
      <c r="J64" t="inlineStr"/>
      <c r="K64" t="inlineStr">
        <is>
          <t>Not sent to re-link</t>
        </is>
      </c>
      <c r="L64" t="inlineStr">
        <is>
          <t>Filled</t>
        </is>
      </c>
      <c r="M64" t="inlineStr">
        <is>
          <t>Not stated on course page</t>
        </is>
      </c>
      <c r="N64" t="inlineStr"/>
      <c r="O64" t="n">
        <v>0</v>
      </c>
      <c r="P64" t="inlineStr"/>
      <c r="Q64" t="inlineStr">
        <is>
          <t>Filled</t>
        </is>
      </c>
      <c r="R64" t="n">
        <v>7</v>
      </c>
      <c r="S64" t="inlineStr">
        <is>
          <t>University adapter</t>
        </is>
      </c>
      <c r="T64" t="inlineStr">
        <is>
          <t>Held: double degree (its parts are at different levels)</t>
        </is>
      </c>
      <c r="U64" t="inlineStr"/>
      <c r="V64" t="inlineStr">
        <is>
          <t>Not stated on course page</t>
        </is>
      </c>
      <c r="W64" t="inlineStr"/>
      <c r="X64" t="inlineStr"/>
      <c r="Y64" t="n">
        <v>0</v>
      </c>
      <c r="Z64" t="inlineStr">
        <is>
          <t>Yes</t>
        </is>
      </c>
      <c r="AA64" t="inlineStr">
        <is>
          <t>Not stated on course page</t>
        </is>
      </c>
      <c r="AB64" t="inlineStr"/>
      <c r="AC64" t="inlineStr">
        <is>
          <t>Skipped: the page does not state it</t>
        </is>
      </c>
      <c r="AD64" t="n">
        <v>0</v>
      </c>
      <c r="AE64" t="inlineStr"/>
      <c r="AF64" t="inlineStr"/>
      <c r="AG64" t="inlineStr"/>
      <c r="AH64" t="inlineStr"/>
      <c r="AI64" t="inlineStr"/>
      <c r="AJ64" t="inlineStr"/>
      <c r="AK64" t="inlineStr"/>
      <c r="AL64" t="inlineStr"/>
      <c r="AM64" t="inlineStr"/>
    </row>
    <row r="65">
      <c r="A65" t="inlineStr">
        <is>
          <t>099538C</t>
        </is>
      </c>
      <c r="B65" t="inlineStr">
        <is>
          <t>Bachelor of Combined Studies in Laws / Commerce</t>
        </is>
      </c>
      <c r="C65" t="inlineStr">
        <is>
          <t>Bachelor</t>
        </is>
      </c>
      <c r="D65" t="inlineStr">
        <is>
          <t>Undergraduate</t>
        </is>
      </c>
      <c r="E65" t="inlineStr">
        <is>
          <t>Advertised: official page in place</t>
        </is>
      </c>
      <c r="F65" t="inlineStr">
        <is>
          <t>https://coursehandbook.mq.edu.au/2026/doubledegree/d000083</t>
        </is>
      </c>
      <c r="G65" t="inlineStr">
        <is>
          <t>https://coursehandbook.mq.edu.au/2026/doubledegree/d000083</t>
        </is>
      </c>
      <c r="H65" t="inlineStr">
        <is>
          <t>Read</t>
        </is>
      </c>
      <c r="I65" t="inlineStr">
        <is>
          <t>University adapter (code)</t>
        </is>
      </c>
      <c r="J65" t="inlineStr"/>
      <c r="K65" t="inlineStr">
        <is>
          <t>Not sent to re-link</t>
        </is>
      </c>
      <c r="L65" t="inlineStr">
        <is>
          <t>Filled</t>
        </is>
      </c>
      <c r="M65" t="inlineStr">
        <is>
          <t>Not stated on course page</t>
        </is>
      </c>
      <c r="N65" t="inlineStr"/>
      <c r="O65" t="n">
        <v>0</v>
      </c>
      <c r="P65" t="inlineStr"/>
      <c r="Q65" t="inlineStr">
        <is>
          <t>Filled</t>
        </is>
      </c>
      <c r="R65" t="n">
        <v>7</v>
      </c>
      <c r="S65" t="inlineStr">
        <is>
          <t>University adapter</t>
        </is>
      </c>
      <c r="T65" t="inlineStr">
        <is>
          <t>Held: double degree (its parts are at different levels)</t>
        </is>
      </c>
      <c r="U65" t="inlineStr"/>
      <c r="V65" t="inlineStr">
        <is>
          <t>Not stated on course page</t>
        </is>
      </c>
      <c r="W65" t="inlineStr"/>
      <c r="X65" t="inlineStr"/>
      <c r="Y65" t="n">
        <v>0</v>
      </c>
      <c r="Z65" t="inlineStr">
        <is>
          <t>Yes</t>
        </is>
      </c>
      <c r="AA65" t="inlineStr">
        <is>
          <t>Not stated on course page</t>
        </is>
      </c>
      <c r="AB65" t="inlineStr"/>
      <c r="AC65" t="inlineStr">
        <is>
          <t>Skipped: the page does not state it</t>
        </is>
      </c>
      <c r="AD65" t="n">
        <v>0</v>
      </c>
      <c r="AE65" t="inlineStr"/>
      <c r="AF65" t="inlineStr"/>
      <c r="AG65" t="inlineStr"/>
      <c r="AH65" t="inlineStr"/>
      <c r="AI65" t="inlineStr"/>
      <c r="AJ65" t="inlineStr"/>
      <c r="AK65" t="inlineStr"/>
      <c r="AL65" t="inlineStr"/>
      <c r="AM65" t="inlineStr"/>
    </row>
    <row r="66">
      <c r="A66" t="inlineStr">
        <is>
          <t>099539B</t>
        </is>
      </c>
      <c r="B66" t="inlineStr">
        <is>
          <t>Bachelor of Combined Studies in Media and Communications / Arts</t>
        </is>
      </c>
      <c r="C66" t="inlineStr">
        <is>
          <t>Bachelor</t>
        </is>
      </c>
      <c r="D66" t="inlineStr">
        <is>
          <t>Undergraduate</t>
        </is>
      </c>
      <c r="E66" t="inlineStr">
        <is>
          <t>Page address no longer works</t>
        </is>
      </c>
      <c r="F66" t="inlineStr"/>
      <c r="G66" t="inlineStr">
        <is>
          <t>https://coursehandbook.mq.edu.au/2026/doubledegree/D000010</t>
        </is>
      </c>
      <c r="H66" t="inlineStr">
        <is>
          <t>Address no longer works</t>
        </is>
      </c>
      <c r="I66" t="inlineStr"/>
      <c r="J66" t="inlineStr"/>
      <c r="K66" t="inlineStr">
        <is>
          <t>Finished, no page: no address from the university's address forms or stored lis</t>
        </is>
      </c>
      <c r="L66" t="inlineStr">
        <is>
          <t>Page found, being read</t>
        </is>
      </c>
      <c r="M66" t="inlineStr">
        <is>
          <t>Page found, being read</t>
        </is>
      </c>
      <c r="N66" t="inlineStr"/>
      <c r="O66" t="n">
        <v>0</v>
      </c>
      <c r="P66" t="inlineStr"/>
      <c r="Q66" t="inlineStr">
        <is>
          <t>Page found, being read</t>
        </is>
      </c>
      <c r="S66" t="inlineStr"/>
      <c r="T66" t="inlineStr">
        <is>
          <t>Held: double degree (its parts are at different levels)</t>
        </is>
      </c>
      <c r="U66" t="inlineStr"/>
      <c r="V66" t="inlineStr">
        <is>
          <t>Page found, being read</t>
        </is>
      </c>
      <c r="W66" t="inlineStr"/>
      <c r="X66" t="inlineStr"/>
      <c r="Y66" t="n">
        <v>0</v>
      </c>
      <c r="Z66" t="inlineStr">
        <is>
          <t>Yes</t>
        </is>
      </c>
      <c r="AA66" t="inlineStr">
        <is>
          <t>Not stated on course page</t>
        </is>
      </c>
      <c r="AB66" t="inlineStr"/>
      <c r="AC66" t="inlineStr">
        <is>
          <t>Skipped: the page does not state it</t>
        </is>
      </c>
      <c r="AD66" t="n">
        <v>0</v>
      </c>
      <c r="AE66" t="inlineStr"/>
      <c r="AF66" t="inlineStr"/>
      <c r="AG66" t="inlineStr"/>
      <c r="AH66" t="inlineStr"/>
      <c r="AI66" t="inlineStr"/>
      <c r="AJ66" t="inlineStr">
        <is>
          <t>Yes</t>
        </is>
      </c>
      <c r="AK66" t="inlineStr"/>
      <c r="AL66" t="inlineStr"/>
      <c r="AM66" t="inlineStr"/>
    </row>
    <row r="67">
      <c r="A67" t="inlineStr">
        <is>
          <t>099540J</t>
        </is>
      </c>
      <c r="B67" t="inlineStr">
        <is>
          <t>Bachelor of Combined Studies in Science / Arts</t>
        </is>
      </c>
      <c r="C67" t="inlineStr">
        <is>
          <t>Bachelor</t>
        </is>
      </c>
      <c r="D67" t="inlineStr">
        <is>
          <t>Undergraduate</t>
        </is>
      </c>
      <c r="E67" t="inlineStr">
        <is>
          <t>Advertised: official page in place</t>
        </is>
      </c>
      <c r="F67" t="inlineStr">
        <is>
          <t>https://coursehandbook.mq.edu.au/2026/doubledegree/d006280</t>
        </is>
      </c>
      <c r="G67" t="inlineStr">
        <is>
          <t>https://coursehandbook.mq.edu.au/2026/doubledegree/d006280</t>
        </is>
      </c>
      <c r="H67" t="inlineStr">
        <is>
          <t>Read</t>
        </is>
      </c>
      <c r="I67" t="inlineStr">
        <is>
          <t>University adapter (code)</t>
        </is>
      </c>
      <c r="J67" t="inlineStr"/>
      <c r="K67" t="inlineStr">
        <is>
          <t>Not sent to re-link</t>
        </is>
      </c>
      <c r="L67" t="inlineStr">
        <is>
          <t>Filled</t>
        </is>
      </c>
      <c r="M67" t="inlineStr">
        <is>
          <t>Not stated on course page</t>
        </is>
      </c>
      <c r="N67" t="inlineStr"/>
      <c r="O67" t="n">
        <v>0</v>
      </c>
      <c r="P67" t="inlineStr"/>
      <c r="Q67" t="inlineStr">
        <is>
          <t>Filled</t>
        </is>
      </c>
      <c r="R67" t="n">
        <v>6.5</v>
      </c>
      <c r="S67" t="inlineStr">
        <is>
          <t>University adapter</t>
        </is>
      </c>
      <c r="T67" t="inlineStr">
        <is>
          <t>Held: double degree (its parts are at different levels)</t>
        </is>
      </c>
      <c r="U67" t="inlineStr"/>
      <c r="V67" t="inlineStr">
        <is>
          <t>Not stated on course page</t>
        </is>
      </c>
      <c r="W67" t="inlineStr"/>
      <c r="X67" t="inlineStr"/>
      <c r="Y67" t="n">
        <v>0</v>
      </c>
      <c r="Z67" t="inlineStr">
        <is>
          <t>Yes</t>
        </is>
      </c>
      <c r="AA67" t="inlineStr">
        <is>
          <t>Not stated on course page</t>
        </is>
      </c>
      <c r="AB67" t="inlineStr"/>
      <c r="AC67" t="inlineStr">
        <is>
          <t>Skipped: the page does not state it</t>
        </is>
      </c>
      <c r="AD67" t="n">
        <v>0</v>
      </c>
      <c r="AE67" t="inlineStr"/>
      <c r="AF67" t="inlineStr"/>
      <c r="AG67" t="inlineStr"/>
      <c r="AH67" t="inlineStr"/>
      <c r="AI67" t="inlineStr"/>
      <c r="AJ67" t="inlineStr"/>
      <c r="AK67" t="inlineStr"/>
      <c r="AL67" t="inlineStr"/>
      <c r="AM67" t="inlineStr"/>
    </row>
    <row r="68">
      <c r="A68" t="inlineStr">
        <is>
          <t>0100918</t>
        </is>
      </c>
      <c r="B68" t="inlineStr">
        <is>
          <t>Bachelor of Combined Studies in Science / Engineering (Honours)</t>
        </is>
      </c>
      <c r="C68" t="inlineStr">
        <is>
          <t>Bachelor Honours Degree</t>
        </is>
      </c>
      <c r="D68" t="inlineStr">
        <is>
          <t>Undergraduate</t>
        </is>
      </c>
      <c r="E68" t="inlineStr">
        <is>
          <t>Advertised: official page in place</t>
        </is>
      </c>
      <c r="F68" t="inlineStr">
        <is>
          <t>https://coursehandbook.mq.edu.au/2026/doubledegree/d006302</t>
        </is>
      </c>
      <c r="G68" t="inlineStr">
        <is>
          <t>https://coursehandbook.mq.edu.au/2026/doubledegree/d006302</t>
        </is>
      </c>
      <c r="H68" t="inlineStr">
        <is>
          <t>Read</t>
        </is>
      </c>
      <c r="I68" t="inlineStr">
        <is>
          <t>University adapter (code)</t>
        </is>
      </c>
      <c r="J68" t="inlineStr"/>
      <c r="K68" t="inlineStr">
        <is>
          <t>Not sent to re-link</t>
        </is>
      </c>
      <c r="L68" t="inlineStr">
        <is>
          <t>Filled</t>
        </is>
      </c>
      <c r="M68" t="inlineStr">
        <is>
          <t>Not stated on course page</t>
        </is>
      </c>
      <c r="N68" t="inlineStr"/>
      <c r="O68" t="n">
        <v>0</v>
      </c>
      <c r="P68" t="inlineStr"/>
      <c r="Q68" t="inlineStr">
        <is>
          <t>Filled</t>
        </is>
      </c>
      <c r="R68" t="n">
        <v>6.5</v>
      </c>
      <c r="S68" t="inlineStr">
        <is>
          <t>University adapter</t>
        </is>
      </c>
      <c r="T68" t="inlineStr">
        <is>
          <t>Held: double degree (its parts are at different levels)</t>
        </is>
      </c>
      <c r="U68" t="inlineStr"/>
      <c r="V68" t="inlineStr">
        <is>
          <t>Not stated on course page</t>
        </is>
      </c>
      <c r="W68" t="inlineStr"/>
      <c r="X68" t="inlineStr"/>
      <c r="Y68" t="n">
        <v>0</v>
      </c>
      <c r="Z68" t="inlineStr">
        <is>
          <t>Yes</t>
        </is>
      </c>
      <c r="AA68" t="inlineStr">
        <is>
          <t>Not stated on course page</t>
        </is>
      </c>
      <c r="AB68" t="inlineStr"/>
      <c r="AC68" t="inlineStr">
        <is>
          <t>Skipped: the page does not state it</t>
        </is>
      </c>
      <c r="AD68" t="n">
        <v>0</v>
      </c>
      <c r="AE68" t="inlineStr"/>
      <c r="AF68" t="inlineStr"/>
      <c r="AG68" t="inlineStr"/>
      <c r="AH68" t="inlineStr"/>
      <c r="AI68" t="inlineStr"/>
      <c r="AJ68" t="inlineStr"/>
      <c r="AK68" t="inlineStr"/>
      <c r="AL68" t="inlineStr"/>
      <c r="AM68" t="inlineStr"/>
    </row>
    <row r="69">
      <c r="A69" t="inlineStr">
        <is>
          <t>048246D</t>
        </is>
      </c>
      <c r="B69" t="inlineStr">
        <is>
          <t>Bachelor of Commerce</t>
        </is>
      </c>
      <c r="C69" t="inlineStr">
        <is>
          <t>Bachelor</t>
        </is>
      </c>
      <c r="D69" t="inlineStr">
        <is>
          <t>Undergraduate</t>
        </is>
      </c>
      <c r="E69" t="inlineStr">
        <is>
          <t>Advertised: official page in place</t>
        </is>
      </c>
      <c r="F69" t="inlineStr">
        <is>
          <t>https://coursehandbook.mq.edu.au/2026/courses/C000130</t>
        </is>
      </c>
      <c r="G69" t="inlineStr">
        <is>
          <t>https://coursehandbook.mq.edu.au/2026/courses/C000130</t>
        </is>
      </c>
      <c r="H69" t="inlineStr">
        <is>
          <t>Read</t>
        </is>
      </c>
      <c r="I69" t="inlineStr">
        <is>
          <t>Exact title match</t>
        </is>
      </c>
      <c r="J69" t="inlineStr"/>
      <c r="K69" t="inlineStr">
        <is>
          <t>Not sent to re-link</t>
        </is>
      </c>
      <c r="L69" t="inlineStr">
        <is>
          <t>Filled</t>
        </is>
      </c>
      <c r="M69" t="inlineStr">
        <is>
          <t>Not stated on course page</t>
        </is>
      </c>
      <c r="N69" t="inlineStr"/>
      <c r="O69" t="n">
        <v>0</v>
      </c>
      <c r="P69" t="inlineStr"/>
      <c r="Q69" t="inlineStr">
        <is>
          <t>Filled</t>
        </is>
      </c>
      <c r="R69" t="n">
        <v>6.5</v>
      </c>
      <c r="S69" t="inlineStr">
        <is>
          <t>University adapter</t>
        </is>
      </c>
      <c r="T69" t="inlineStr">
        <is>
          <t>Central rule applies (value agrees)</t>
        </is>
      </c>
      <c r="U69" t="inlineStr"/>
      <c r="V69" t="inlineStr">
        <is>
          <t>Not stated on course page</t>
        </is>
      </c>
      <c r="W69" t="inlineStr"/>
      <c r="X69" t="inlineStr"/>
      <c r="Y69" t="n">
        <v>0</v>
      </c>
      <c r="Z69" t="inlineStr">
        <is>
          <t>Yes</t>
        </is>
      </c>
      <c r="AA69" t="inlineStr">
        <is>
          <t>Not stated on course page</t>
        </is>
      </c>
      <c r="AB69" t="inlineStr"/>
      <c r="AC69" t="inlineStr">
        <is>
          <t>Skipped: the page does not state it</t>
        </is>
      </c>
      <c r="AD69" t="n">
        <v>0</v>
      </c>
      <c r="AE69" t="inlineStr"/>
      <c r="AF69" t="inlineStr"/>
      <c r="AG69" t="inlineStr"/>
      <c r="AH69" t="inlineStr"/>
      <c r="AI69" t="inlineStr"/>
      <c r="AJ69" t="inlineStr"/>
      <c r="AK69" t="inlineStr"/>
      <c r="AL69" t="inlineStr"/>
      <c r="AM69" t="inlineStr"/>
    </row>
    <row r="70">
      <c r="A70" t="inlineStr">
        <is>
          <t>067851C</t>
        </is>
      </c>
      <c r="B70" t="inlineStr">
        <is>
          <t>Bachelor of Commerce - Professional Accounting</t>
        </is>
      </c>
      <c r="C70" t="inlineStr">
        <is>
          <t>Bachelor</t>
        </is>
      </c>
      <c r="D70" t="inlineStr">
        <is>
          <t>Undergraduate</t>
        </is>
      </c>
      <c r="E70" t="inlineStr">
        <is>
          <t>Advertised: official page in place</t>
        </is>
      </c>
      <c r="F70" t="inlineStr">
        <is>
          <t>https://handbook.mq.edu.au/2019/DegreesDiplomas/Degree/Bachelor+of+Commerce+-+Professional+Accounting</t>
        </is>
      </c>
      <c r="G70" t="inlineStr">
        <is>
          <t>https://handbook.mq.edu.au/2019/DegreesDiplomas/Degree/Bachelor+of+Commerce+-+Professional+Accounting</t>
        </is>
      </c>
      <c r="H70" t="inlineStr">
        <is>
          <t>Read</t>
        </is>
      </c>
      <c r="I70" t="inlineStr">
        <is>
          <t>CRICOS code on page</t>
        </is>
      </c>
      <c r="J70" t="inlineStr"/>
      <c r="K70" t="inlineStr">
        <is>
          <t>Not sent to re-link</t>
        </is>
      </c>
      <c r="L70" t="inlineStr">
        <is>
          <t>Filled</t>
        </is>
      </c>
      <c r="M70" t="inlineStr">
        <is>
          <t>Not stated on course page</t>
        </is>
      </c>
      <c r="N70" t="inlineStr"/>
      <c r="O70" t="n">
        <v>0</v>
      </c>
      <c r="P70" t="inlineStr"/>
      <c r="Q70" t="inlineStr">
        <is>
          <t>Filled</t>
        </is>
      </c>
      <c r="R70" t="n">
        <v>6.5</v>
      </c>
      <c r="S70" t="inlineStr">
        <is>
          <t>Other</t>
        </is>
      </c>
      <c r="T70" t="inlineStr">
        <is>
          <t>Central rule applies (value agrees)</t>
        </is>
      </c>
      <c r="U70" t="inlineStr"/>
      <c r="V70" t="inlineStr">
        <is>
          <t>Filled</t>
        </is>
      </c>
      <c r="W70" t="inlineStr">
        <is>
          <t>February, July</t>
        </is>
      </c>
      <c r="X70" t="inlineStr">
        <is>
          <t>Other</t>
        </is>
      </c>
      <c r="Y70" t="n">
        <v>0</v>
      </c>
      <c r="Z70" t="inlineStr">
        <is>
          <t>Yes</t>
        </is>
      </c>
      <c r="AA70" t="inlineStr">
        <is>
          <t>Filled</t>
        </is>
      </c>
      <c r="AB70" t="inlineStr">
        <is>
          <t>on campus</t>
        </is>
      </c>
      <c r="AC70" t="inlineStr">
        <is>
          <t>Filled</t>
        </is>
      </c>
      <c r="AD70" t="n">
        <v>0</v>
      </c>
      <c r="AE70" t="inlineStr"/>
      <c r="AF70" t="inlineStr"/>
      <c r="AG70" t="inlineStr"/>
      <c r="AH70" t="inlineStr"/>
      <c r="AI70" t="inlineStr"/>
      <c r="AJ70" t="inlineStr"/>
      <c r="AK70" t="inlineStr"/>
      <c r="AL70" t="inlineStr"/>
      <c r="AM70" t="inlineStr"/>
    </row>
    <row r="71">
      <c r="A71" t="inlineStr">
        <is>
          <t>088498G</t>
        </is>
      </c>
      <c r="B71" t="inlineStr">
        <is>
          <t>Bachelor of Commerce - Professional Accounting with the degree of Bachelor of Business Analytics</t>
        </is>
      </c>
      <c r="C71" t="inlineStr">
        <is>
          <t>Bachelor</t>
        </is>
      </c>
      <c r="D71" t="inlineStr">
        <is>
          <t>Undergraduate</t>
        </is>
      </c>
      <c r="E71" t="inlineStr">
        <is>
          <t>Advertised: official page in place</t>
        </is>
      </c>
      <c r="F71" t="inlineStr">
        <is>
          <t>https://handbook.mq.edu.au/2016/DegreesDiplomas/Degree/Bachelor+of+Commerce+-+Professional+Accounting+with+the+degree+of+Bachelor+of+Business+Analytics</t>
        </is>
      </c>
      <c r="G71" t="inlineStr">
        <is>
          <t>https://handbook.mq.edu.au/2016/DegreesDiplomas/Degree/Bachelor+of+Commerce+-+Professional+Accounting+with+the+degree+of+Bachelor+of+Business+Analytics</t>
        </is>
      </c>
      <c r="H71" t="inlineStr">
        <is>
          <t>Read</t>
        </is>
      </c>
      <c r="I71" t="inlineStr">
        <is>
          <t>CRICOS code on page</t>
        </is>
      </c>
      <c r="J71" t="inlineStr"/>
      <c r="K71" t="inlineStr">
        <is>
          <t>Not sent to re-link</t>
        </is>
      </c>
      <c r="L71" t="inlineStr">
        <is>
          <t>Filled</t>
        </is>
      </c>
      <c r="M71" t="inlineStr">
        <is>
          <t>Not stated on course page</t>
        </is>
      </c>
      <c r="N71" t="inlineStr"/>
      <c r="O71" t="n">
        <v>0</v>
      </c>
      <c r="P71" t="inlineStr"/>
      <c r="Q71" t="inlineStr">
        <is>
          <t>Filled</t>
        </is>
      </c>
      <c r="R71" t="n">
        <v>6.5</v>
      </c>
      <c r="S71" t="inlineStr">
        <is>
          <t>Other</t>
        </is>
      </c>
      <c r="T71" t="inlineStr">
        <is>
          <t>Central rule applies (value agrees)</t>
        </is>
      </c>
      <c r="U71" t="inlineStr"/>
      <c r="V71" t="inlineStr">
        <is>
          <t>Not stated on course page</t>
        </is>
      </c>
      <c r="W71" t="inlineStr"/>
      <c r="X71" t="inlineStr"/>
      <c r="Y71" t="n">
        <v>0</v>
      </c>
      <c r="Z71" t="inlineStr">
        <is>
          <t>Yes</t>
        </is>
      </c>
      <c r="AA71" t="inlineStr">
        <is>
          <t>Filled</t>
        </is>
      </c>
      <c r="AB71" t="inlineStr">
        <is>
          <t>on campus</t>
        </is>
      </c>
      <c r="AC71" t="inlineStr">
        <is>
          <t>Filled</t>
        </is>
      </c>
      <c r="AD71" t="n">
        <v>0</v>
      </c>
      <c r="AE71" t="inlineStr"/>
      <c r="AF71" t="inlineStr"/>
      <c r="AG71" t="inlineStr"/>
      <c r="AH71" t="inlineStr"/>
      <c r="AI71" t="inlineStr"/>
      <c r="AJ71" t="inlineStr"/>
      <c r="AK71" t="inlineStr"/>
      <c r="AL71" t="inlineStr"/>
      <c r="AM71" t="inlineStr"/>
    </row>
    <row r="72">
      <c r="A72" t="inlineStr">
        <is>
          <t>094123M</t>
        </is>
      </c>
      <c r="B72" t="inlineStr">
        <is>
          <t>Bachelor of Commerce - Professional Accounting with the degree of Bachelor of Laws</t>
        </is>
      </c>
      <c r="C72" t="inlineStr">
        <is>
          <t>Bachelor</t>
        </is>
      </c>
      <c r="D72" t="inlineStr">
        <is>
          <t>Undergraduate</t>
        </is>
      </c>
      <c r="E72" t="inlineStr">
        <is>
          <t>Advertised: official page in place</t>
        </is>
      </c>
      <c r="F72" t="inlineStr">
        <is>
          <t>https://handbook.mq.edu.au/2015/DegreesDiplomas/Degree/Bachelor+of+Commerce+-+Professional+Accounting+with+the+degree+of+Bachelor+of+Laws</t>
        </is>
      </c>
      <c r="G72" t="inlineStr">
        <is>
          <t>https://handbook.mq.edu.au/2015/DegreesDiplomas/Degree/Bachelor+of+Commerce+-+Professional+Accounting+with+the+degree+of+Bachelor+of+Laws</t>
        </is>
      </c>
      <c r="H72" t="inlineStr">
        <is>
          <t>Read</t>
        </is>
      </c>
      <c r="I72" t="inlineStr">
        <is>
          <t>Exact title match</t>
        </is>
      </c>
      <c r="J72" t="inlineStr"/>
      <c r="K72" t="inlineStr">
        <is>
          <t>Not sent to re-link</t>
        </is>
      </c>
      <c r="L72" t="inlineStr">
        <is>
          <t>Filled</t>
        </is>
      </c>
      <c r="M72" t="inlineStr">
        <is>
          <t>Not stated on course page</t>
        </is>
      </c>
      <c r="N72" t="inlineStr"/>
      <c r="O72" t="n">
        <v>0</v>
      </c>
      <c r="P72" t="inlineStr"/>
      <c r="Q72" t="inlineStr">
        <is>
          <t>Filled</t>
        </is>
      </c>
      <c r="R72" t="n">
        <v>7</v>
      </c>
      <c r="S72" t="inlineStr">
        <is>
          <t>Other</t>
        </is>
      </c>
      <c r="T72" t="inlineStr">
        <is>
          <t>Central rule applies (course value differs)</t>
        </is>
      </c>
      <c r="U72" t="inlineStr">
        <is>
          <t>Yes: course has IELTS 7.00, central rule says 6.5</t>
        </is>
      </c>
      <c r="V72" t="inlineStr">
        <is>
          <t>Filled</t>
        </is>
      </c>
      <c r="W72" t="inlineStr">
        <is>
          <t>February, July</t>
        </is>
      </c>
      <c r="X72" t="inlineStr">
        <is>
          <t>Other</t>
        </is>
      </c>
      <c r="Y72" t="n">
        <v>0</v>
      </c>
      <c r="Z72" t="inlineStr">
        <is>
          <t>Yes</t>
        </is>
      </c>
      <c r="AA72" t="inlineStr">
        <is>
          <t>Filled</t>
        </is>
      </c>
      <c r="AB72" t="inlineStr">
        <is>
          <t>on campus</t>
        </is>
      </c>
      <c r="AC72" t="inlineStr">
        <is>
          <t>Filled</t>
        </is>
      </c>
      <c r="AD72" t="n">
        <v>0</v>
      </c>
      <c r="AE72" t="inlineStr"/>
      <c r="AF72" t="inlineStr"/>
      <c r="AG72" t="inlineStr"/>
      <c r="AH72" t="inlineStr"/>
      <c r="AI72" t="inlineStr"/>
      <c r="AJ72" t="inlineStr"/>
      <c r="AK72" t="inlineStr"/>
      <c r="AL72" t="inlineStr"/>
      <c r="AM72" t="inlineStr"/>
    </row>
    <row r="73">
      <c r="A73" t="inlineStr">
        <is>
          <t>078005F</t>
        </is>
      </c>
      <c r="B73" t="inlineStr">
        <is>
          <t>Bachelor of Commerce with the degree of Bachelor of Arts - Psychology</t>
        </is>
      </c>
      <c r="C73" t="inlineStr">
        <is>
          <t>Bachelor</t>
        </is>
      </c>
      <c r="D73" t="inlineStr">
        <is>
          <t>Undergraduate</t>
        </is>
      </c>
      <c r="E73" t="inlineStr">
        <is>
          <t>Advertised: official page in place</t>
        </is>
      </c>
      <c r="F73" t="inlineStr">
        <is>
          <t>https://handbook.mq.edu.au/2019/DegreesDiplomas/Degree/Bachelor+of+Commerce+with+the+degree+of+Bachelor+of+Arts+-+Psychology</t>
        </is>
      </c>
      <c r="G73" t="inlineStr">
        <is>
          <t>https://handbook.mq.edu.au/2019/DegreesDiplomas/Degree/Bachelor+of+Commerce+with+the+degree+of+Bachelor+of+Arts+-+Psychology</t>
        </is>
      </c>
      <c r="H73" t="inlineStr">
        <is>
          <t>Read</t>
        </is>
      </c>
      <c r="I73" t="inlineStr">
        <is>
          <t>CRICOS code on page</t>
        </is>
      </c>
      <c r="J73" t="inlineStr"/>
      <c r="K73" t="inlineStr">
        <is>
          <t>Not sent to re-link</t>
        </is>
      </c>
      <c r="L73" t="inlineStr">
        <is>
          <t>Filled</t>
        </is>
      </c>
      <c r="M73" t="inlineStr">
        <is>
          <t>Not stated on course page</t>
        </is>
      </c>
      <c r="N73" t="inlineStr"/>
      <c r="O73" t="n">
        <v>0</v>
      </c>
      <c r="P73" t="inlineStr"/>
      <c r="Q73" t="inlineStr">
        <is>
          <t>Filled</t>
        </is>
      </c>
      <c r="R73" t="n">
        <v>6.5</v>
      </c>
      <c r="S73" t="inlineStr">
        <is>
          <t>Other</t>
        </is>
      </c>
      <c r="T73" t="inlineStr">
        <is>
          <t>Central rule applies (value agrees)</t>
        </is>
      </c>
      <c r="U73" t="inlineStr"/>
      <c r="V73" t="inlineStr">
        <is>
          <t>Filled</t>
        </is>
      </c>
      <c r="W73" t="inlineStr">
        <is>
          <t>February, July</t>
        </is>
      </c>
      <c r="X73" t="inlineStr">
        <is>
          <t>Other</t>
        </is>
      </c>
      <c r="Y73" t="n">
        <v>0</v>
      </c>
      <c r="Z73" t="inlineStr">
        <is>
          <t>Yes</t>
        </is>
      </c>
      <c r="AA73" t="inlineStr">
        <is>
          <t>Filled</t>
        </is>
      </c>
      <c r="AB73" t="inlineStr">
        <is>
          <t>on campus</t>
        </is>
      </c>
      <c r="AC73" t="inlineStr">
        <is>
          <t>Filled</t>
        </is>
      </c>
      <c r="AD73" t="n">
        <v>0</v>
      </c>
      <c r="AE73" t="inlineStr"/>
      <c r="AF73" t="inlineStr"/>
      <c r="AG73" t="inlineStr"/>
      <c r="AH73" t="inlineStr"/>
      <c r="AI73" t="inlineStr"/>
      <c r="AJ73" t="inlineStr"/>
      <c r="AK73" t="inlineStr"/>
      <c r="AL73" t="inlineStr"/>
      <c r="AM73" t="inlineStr"/>
    </row>
    <row r="74">
      <c r="A74" t="inlineStr">
        <is>
          <t>018437A</t>
        </is>
      </c>
      <c r="B74" t="inlineStr">
        <is>
          <t>Bachelor of Commerce with the degree of Bachelor of Laws</t>
        </is>
      </c>
      <c r="C74" t="inlineStr">
        <is>
          <t>Bachelor</t>
        </is>
      </c>
      <c r="D74" t="inlineStr">
        <is>
          <t>Undergraduate</t>
        </is>
      </c>
      <c r="E74" t="inlineStr">
        <is>
          <t>Advertised: official page in place</t>
        </is>
      </c>
      <c r="F74" t="inlineStr">
        <is>
          <t>https://handbook.mq.edu.au/2018/DegreesDiplomas/Degree/Bachelor+of+Commerce+with+the+degree+of+Bachelor+of+Laws</t>
        </is>
      </c>
      <c r="G74" t="inlineStr">
        <is>
          <t>https://handbook.mq.edu.au/2018/DegreesDiplomas/Degree/Bachelor+of+Commerce+with+the+degree+of+Bachelor+of+Laws</t>
        </is>
      </c>
      <c r="H74" t="inlineStr">
        <is>
          <t>Read</t>
        </is>
      </c>
      <c r="I74" t="inlineStr">
        <is>
          <t>CRICOS code on page</t>
        </is>
      </c>
      <c r="J74" t="inlineStr"/>
      <c r="K74" t="inlineStr">
        <is>
          <t>Not sent to re-link</t>
        </is>
      </c>
      <c r="L74" t="inlineStr">
        <is>
          <t>Filled</t>
        </is>
      </c>
      <c r="M74" t="inlineStr">
        <is>
          <t>Not stated on course page</t>
        </is>
      </c>
      <c r="N74" t="inlineStr"/>
      <c r="O74" t="n">
        <v>0</v>
      </c>
      <c r="P74" t="inlineStr"/>
      <c r="Q74" t="inlineStr">
        <is>
          <t>Filled</t>
        </is>
      </c>
      <c r="R74" t="n">
        <v>7</v>
      </c>
      <c r="S74" t="inlineStr">
        <is>
          <t>Other</t>
        </is>
      </c>
      <c r="T74" t="inlineStr">
        <is>
          <t>Central rule applies (course value differs)</t>
        </is>
      </c>
      <c r="U74" t="inlineStr">
        <is>
          <t>Yes: course has IELTS 7.00, central rule says 6.5</t>
        </is>
      </c>
      <c r="V74" t="inlineStr">
        <is>
          <t>Filled</t>
        </is>
      </c>
      <c r="W74" t="inlineStr">
        <is>
          <t>February, July</t>
        </is>
      </c>
      <c r="X74" t="inlineStr">
        <is>
          <t>Other</t>
        </is>
      </c>
      <c r="Y74" t="n">
        <v>0</v>
      </c>
      <c r="Z74" t="inlineStr">
        <is>
          <t>Yes</t>
        </is>
      </c>
      <c r="AA74" t="inlineStr">
        <is>
          <t>Filled</t>
        </is>
      </c>
      <c r="AB74" t="inlineStr">
        <is>
          <t>on campus</t>
        </is>
      </c>
      <c r="AC74" t="inlineStr">
        <is>
          <t>Filled</t>
        </is>
      </c>
      <c r="AD74" t="n">
        <v>0</v>
      </c>
      <c r="AE74" t="inlineStr"/>
      <c r="AF74" t="inlineStr"/>
      <c r="AG74" t="inlineStr"/>
      <c r="AH74" t="inlineStr"/>
      <c r="AI74" t="inlineStr"/>
      <c r="AJ74" t="inlineStr"/>
      <c r="AK74" t="inlineStr"/>
      <c r="AL74" t="inlineStr"/>
      <c r="AM74" t="inlineStr"/>
    </row>
    <row r="75">
      <c r="A75" t="inlineStr">
        <is>
          <t>079305G</t>
        </is>
      </c>
      <c r="B75" t="inlineStr">
        <is>
          <t>Bachelor of Commerce with the degree of Bachelor of Psychology (Honours)</t>
        </is>
      </c>
      <c r="C75" t="inlineStr">
        <is>
          <t>Bachelor Honours Degree</t>
        </is>
      </c>
      <c r="D75" t="inlineStr">
        <is>
          <t>Undergraduate</t>
        </is>
      </c>
      <c r="E75" t="inlineStr">
        <is>
          <t>Advertised: official page in place</t>
        </is>
      </c>
      <c r="F75" t="inlineStr">
        <is>
          <t>https://handbook.mq.edu.au/2019/DegreesDiplomas/Degree/Bachelor+of+Commerce+with+the+degree+of+Bachelor+of+Psychology+%28Honours%29</t>
        </is>
      </c>
      <c r="G75" t="inlineStr">
        <is>
          <t>https://handbook.mq.edu.au/2019/DegreesDiplomas/Degree/Bachelor+of+Commerce+with+the+degree+of+Bachelor+of+Psychology+%28Honours%29</t>
        </is>
      </c>
      <c r="H75" t="inlineStr">
        <is>
          <t>Read</t>
        </is>
      </c>
      <c r="I75" t="inlineStr">
        <is>
          <t>CRICOS code on page</t>
        </is>
      </c>
      <c r="J75" t="inlineStr"/>
      <c r="K75" t="inlineStr">
        <is>
          <t>Not sent to re-link</t>
        </is>
      </c>
      <c r="L75" t="inlineStr">
        <is>
          <t>Filled</t>
        </is>
      </c>
      <c r="M75" t="inlineStr">
        <is>
          <t>Not stated on course page</t>
        </is>
      </c>
      <c r="N75" t="inlineStr"/>
      <c r="O75" t="n">
        <v>0</v>
      </c>
      <c r="P75" t="inlineStr"/>
      <c r="Q75" t="inlineStr">
        <is>
          <t>Filled</t>
        </is>
      </c>
      <c r="R75" t="n">
        <v>6.5</v>
      </c>
      <c r="S75" t="inlineStr">
        <is>
          <t>Other</t>
        </is>
      </c>
      <c r="T75" t="inlineStr">
        <is>
          <t>Central rule applies (value agrees)</t>
        </is>
      </c>
      <c r="U75" t="inlineStr"/>
      <c r="V75" t="inlineStr">
        <is>
          <t>Filled</t>
        </is>
      </c>
      <c r="W75" t="inlineStr">
        <is>
          <t>February, July</t>
        </is>
      </c>
      <c r="X75" t="inlineStr">
        <is>
          <t>Other</t>
        </is>
      </c>
      <c r="Y75" t="n">
        <v>0</v>
      </c>
      <c r="Z75" t="inlineStr">
        <is>
          <t>Yes</t>
        </is>
      </c>
      <c r="AA75" t="inlineStr">
        <is>
          <t>Filled</t>
        </is>
      </c>
      <c r="AB75" t="inlineStr">
        <is>
          <t>on campus</t>
        </is>
      </c>
      <c r="AC75" t="inlineStr">
        <is>
          <t>Filled</t>
        </is>
      </c>
      <c r="AD75" t="n">
        <v>0</v>
      </c>
      <c r="AE75" t="inlineStr"/>
      <c r="AF75" t="inlineStr"/>
      <c r="AG75" t="inlineStr"/>
      <c r="AH75" t="inlineStr"/>
      <c r="AI75" t="inlineStr"/>
      <c r="AJ75" t="inlineStr"/>
      <c r="AK75" t="inlineStr"/>
      <c r="AL75" t="inlineStr"/>
      <c r="AM75" t="inlineStr"/>
    </row>
    <row r="76">
      <c r="A76" t="inlineStr">
        <is>
          <t>067856J</t>
        </is>
      </c>
      <c r="B76" t="inlineStr">
        <is>
          <t>Bachelor of Commerce with the degree of Bachelor of Science</t>
        </is>
      </c>
      <c r="C76" t="inlineStr">
        <is>
          <t>Bachelor</t>
        </is>
      </c>
      <c r="D76" t="inlineStr">
        <is>
          <t>Undergraduate</t>
        </is>
      </c>
      <c r="E76" t="inlineStr">
        <is>
          <t>Held: page found is for another course</t>
        </is>
      </c>
      <c r="F76" t="inlineStr"/>
      <c r="G76" t="inlineStr">
        <is>
          <t>https://coursehandbook.mq.edu.au/2026/doubledegree/d006292</t>
        </is>
      </c>
      <c r="H76" t="inlineStr">
        <is>
          <t>Page is for another course</t>
        </is>
      </c>
      <c r="I76" t="inlineStr"/>
      <c r="J76" t="inlineStr"/>
      <c r="K76" t="inlineStr">
        <is>
          <t>Finished, no page: no address from the university's address forms or stored lis</t>
        </is>
      </c>
      <c r="L76" t="inlineStr">
        <is>
          <t>Searching for course page</t>
        </is>
      </c>
      <c r="M76" t="inlineStr">
        <is>
          <t>Searching for course page</t>
        </is>
      </c>
      <c r="N76" t="inlineStr"/>
      <c r="O76" t="n">
        <v>0</v>
      </c>
      <c r="P76" t="inlineStr"/>
      <c r="Q76" t="inlineStr">
        <is>
          <t>Filled</t>
        </is>
      </c>
      <c r="R76" t="n">
        <v>6.5</v>
      </c>
      <c r="S76" t="inlineStr">
        <is>
          <t>Central English policy</t>
        </is>
      </c>
      <c r="T76" t="inlineStr">
        <is>
          <t>Central rule applies (value agrees)</t>
        </is>
      </c>
      <c r="U76" t="inlineStr"/>
      <c r="V76" t="inlineStr">
        <is>
          <t>Searching for course page</t>
        </is>
      </c>
      <c r="W76" t="inlineStr"/>
      <c r="X76" t="inlineStr"/>
      <c r="Y76" t="n">
        <v>0</v>
      </c>
      <c r="Z76" t="inlineStr">
        <is>
          <t>Yes</t>
        </is>
      </c>
      <c r="AA76" t="inlineStr">
        <is>
          <t>Not stated on course page</t>
        </is>
      </c>
      <c r="AB76" t="inlineStr"/>
      <c r="AC76" t="inlineStr">
        <is>
          <t>Skipped: the page does not state it</t>
        </is>
      </c>
      <c r="AD76" t="n">
        <v>0</v>
      </c>
      <c r="AE76" t="inlineStr"/>
      <c r="AF76" t="inlineStr"/>
      <c r="AG76" t="inlineStr"/>
      <c r="AH76" t="inlineStr"/>
      <c r="AI76" t="inlineStr"/>
      <c r="AJ76" t="inlineStr"/>
      <c r="AK76" t="inlineStr"/>
      <c r="AL76" t="inlineStr"/>
      <c r="AM76" t="inlineStr"/>
    </row>
    <row r="77">
      <c r="A77" t="inlineStr">
        <is>
          <t>115579A</t>
        </is>
      </c>
      <c r="B77" t="inlineStr">
        <is>
          <t>Bachelor of Criminology</t>
        </is>
      </c>
      <c r="C77" t="inlineStr">
        <is>
          <t>Bachelor</t>
        </is>
      </c>
      <c r="D77" t="inlineStr">
        <is>
          <t>Undergraduate</t>
        </is>
      </c>
      <c r="E77" t="inlineStr">
        <is>
          <t>Advertised: official page in place</t>
        </is>
      </c>
      <c r="F77" t="inlineStr">
        <is>
          <t>https://coursehandbook.mq.edu.au/2026/courses/C000421</t>
        </is>
      </c>
      <c r="G77" t="inlineStr">
        <is>
          <t>https://coursehandbook.mq.edu.au/2026/courses/C000421</t>
        </is>
      </c>
      <c r="H77" t="inlineStr">
        <is>
          <t>Read</t>
        </is>
      </c>
      <c r="I77" t="inlineStr">
        <is>
          <t>Exact title match</t>
        </is>
      </c>
      <c r="J77" t="inlineStr"/>
      <c r="K77" t="inlineStr">
        <is>
          <t>Not sent to re-link</t>
        </is>
      </c>
      <c r="L77" t="inlineStr">
        <is>
          <t>Filled</t>
        </is>
      </c>
      <c r="M77" t="inlineStr">
        <is>
          <t>Not stated on course page</t>
        </is>
      </c>
      <c r="N77" t="inlineStr"/>
      <c r="O77" t="n">
        <v>0</v>
      </c>
      <c r="P77" t="inlineStr"/>
      <c r="Q77" t="inlineStr">
        <is>
          <t>Filled</t>
        </is>
      </c>
      <c r="R77" t="n">
        <v>6.5</v>
      </c>
      <c r="S77" t="inlineStr">
        <is>
          <t>University adapter</t>
        </is>
      </c>
      <c r="T77" t="inlineStr">
        <is>
          <t>Central rule applies (value agrees)</t>
        </is>
      </c>
      <c r="U77" t="inlineStr"/>
      <c r="V77" t="inlineStr">
        <is>
          <t>Not stated on course page</t>
        </is>
      </c>
      <c r="W77" t="inlineStr"/>
      <c r="X77" t="inlineStr"/>
      <c r="Y77" t="n">
        <v>0</v>
      </c>
      <c r="Z77" t="inlineStr">
        <is>
          <t>Yes</t>
        </is>
      </c>
      <c r="AA77" t="inlineStr">
        <is>
          <t>Not stated on course page</t>
        </is>
      </c>
      <c r="AB77" t="inlineStr"/>
      <c r="AC77" t="inlineStr">
        <is>
          <t>Skipped: the page does not state it</t>
        </is>
      </c>
      <c r="AD77" t="n">
        <v>0</v>
      </c>
      <c r="AE77" t="inlineStr"/>
      <c r="AF77" t="inlineStr"/>
      <c r="AG77" t="inlineStr"/>
      <c r="AH77" t="inlineStr"/>
      <c r="AI77" t="inlineStr"/>
      <c r="AJ77" t="inlineStr"/>
      <c r="AK77" t="inlineStr"/>
      <c r="AL77" t="inlineStr"/>
      <c r="AM77" t="inlineStr"/>
    </row>
    <row r="78">
      <c r="A78" t="inlineStr">
        <is>
          <t>099143M</t>
        </is>
      </c>
      <c r="B78" t="inlineStr">
        <is>
          <t>Bachelor of Cyber Security</t>
        </is>
      </c>
      <c r="C78" t="inlineStr">
        <is>
          <t>Bachelor</t>
        </is>
      </c>
      <c r="D78" t="inlineStr">
        <is>
          <t>Undergraduate</t>
        </is>
      </c>
      <c r="E78" t="inlineStr">
        <is>
          <t>Advertised: official page in place</t>
        </is>
      </c>
      <c r="F78" t="inlineStr">
        <is>
          <t>https://coursehandbook.mq.edu.au/2026/courses/C000102</t>
        </is>
      </c>
      <c r="G78" t="inlineStr">
        <is>
          <t>https://coursehandbook.mq.edu.au/2026/courses/C000102</t>
        </is>
      </c>
      <c r="H78" t="inlineStr">
        <is>
          <t>Read</t>
        </is>
      </c>
      <c r="I78" t="inlineStr">
        <is>
          <t>Exact title match</t>
        </is>
      </c>
      <c r="J78" t="inlineStr"/>
      <c r="K78" t="inlineStr">
        <is>
          <t>Not sent to re-link</t>
        </is>
      </c>
      <c r="L78" t="inlineStr">
        <is>
          <t>Filled</t>
        </is>
      </c>
      <c r="M78" t="inlineStr">
        <is>
          <t>Not stated on course page</t>
        </is>
      </c>
      <c r="N78" t="inlineStr"/>
      <c r="O78" t="n">
        <v>0</v>
      </c>
      <c r="P78" t="inlineStr"/>
      <c r="Q78" t="inlineStr">
        <is>
          <t>Filled</t>
        </is>
      </c>
      <c r="R78" t="n">
        <v>6.5</v>
      </c>
      <c r="S78" t="inlineStr">
        <is>
          <t>University adapter</t>
        </is>
      </c>
      <c r="T78" t="inlineStr">
        <is>
          <t>Central rule applies (value agrees)</t>
        </is>
      </c>
      <c r="U78" t="inlineStr"/>
      <c r="V78" t="inlineStr">
        <is>
          <t>Not stated on course page</t>
        </is>
      </c>
      <c r="W78" t="inlineStr"/>
      <c r="X78" t="inlineStr"/>
      <c r="Y78" t="n">
        <v>0</v>
      </c>
      <c r="Z78" t="inlineStr">
        <is>
          <t>Yes</t>
        </is>
      </c>
      <c r="AA78" t="inlineStr">
        <is>
          <t>Not stated on course page</t>
        </is>
      </c>
      <c r="AB78" t="inlineStr"/>
      <c r="AC78" t="inlineStr">
        <is>
          <t>Skipped: the page does not state it</t>
        </is>
      </c>
      <c r="AD78" t="n">
        <v>0</v>
      </c>
      <c r="AE78" t="inlineStr"/>
      <c r="AF78" t="inlineStr"/>
      <c r="AG78" t="inlineStr"/>
      <c r="AH78" t="inlineStr"/>
      <c r="AI78" t="inlineStr"/>
      <c r="AJ78" t="inlineStr"/>
      <c r="AK78" t="inlineStr"/>
      <c r="AL78" t="inlineStr"/>
      <c r="AM78" t="inlineStr"/>
    </row>
    <row r="79">
      <c r="A79" t="inlineStr">
        <is>
          <t>090742E</t>
        </is>
      </c>
      <c r="B79" t="inlineStr">
        <is>
          <t>Bachelor of Digital Business</t>
        </is>
      </c>
      <c r="C79" t="inlineStr">
        <is>
          <t>Bachelor</t>
        </is>
      </c>
      <c r="D79" t="inlineStr">
        <is>
          <t>Undergraduate</t>
        </is>
      </c>
      <c r="E79" t="inlineStr">
        <is>
          <t>Advertised: official page in place</t>
        </is>
      </c>
      <c r="F79" t="inlineStr">
        <is>
          <t>https://handbook.mq.edu.au/2019/DegreesDiplomas/Degree/Bachelor+of+Digital+Business</t>
        </is>
      </c>
      <c r="G79" t="inlineStr">
        <is>
          <t>https://handbook.mq.edu.au/2019/DegreesDiplomas/Degree/Bachelor+of+Digital+Business</t>
        </is>
      </c>
      <c r="H79" t="inlineStr">
        <is>
          <t>Read</t>
        </is>
      </c>
      <c r="I79" t="inlineStr">
        <is>
          <t>CRICOS code on page</t>
        </is>
      </c>
      <c r="J79" t="inlineStr"/>
      <c r="K79" t="inlineStr">
        <is>
          <t>Not sent to re-link</t>
        </is>
      </c>
      <c r="L79" t="inlineStr">
        <is>
          <t>Filled</t>
        </is>
      </c>
      <c r="M79" t="inlineStr">
        <is>
          <t>Not stated on course page</t>
        </is>
      </c>
      <c r="N79" t="inlineStr"/>
      <c r="O79" t="n">
        <v>0</v>
      </c>
      <c r="P79" t="inlineStr"/>
      <c r="Q79" t="inlineStr">
        <is>
          <t>Filled</t>
        </is>
      </c>
      <c r="R79" t="n">
        <v>6.5</v>
      </c>
      <c r="S79" t="inlineStr">
        <is>
          <t>Other</t>
        </is>
      </c>
      <c r="T79" t="inlineStr">
        <is>
          <t>Central rule applies (value agrees)</t>
        </is>
      </c>
      <c r="U79" t="inlineStr"/>
      <c r="V79" t="inlineStr">
        <is>
          <t>Filled</t>
        </is>
      </c>
      <c r="W79" t="inlineStr">
        <is>
          <t>February</t>
        </is>
      </c>
      <c r="X79" t="inlineStr">
        <is>
          <t>Other</t>
        </is>
      </c>
      <c r="Y79" t="n">
        <v>0</v>
      </c>
      <c r="Z79" t="inlineStr">
        <is>
          <t>Yes</t>
        </is>
      </c>
      <c r="AA79" t="inlineStr">
        <is>
          <t>Filled</t>
        </is>
      </c>
      <c r="AB79" t="inlineStr">
        <is>
          <t>on campus</t>
        </is>
      </c>
      <c r="AC79" t="inlineStr">
        <is>
          <t>Filled</t>
        </is>
      </c>
      <c r="AD79" t="n">
        <v>0</v>
      </c>
      <c r="AE79" t="inlineStr"/>
      <c r="AF79" t="inlineStr"/>
      <c r="AG79" t="inlineStr"/>
      <c r="AH79" t="inlineStr"/>
      <c r="AI79" t="inlineStr"/>
      <c r="AJ79" t="inlineStr"/>
      <c r="AK79" t="inlineStr"/>
      <c r="AL79" t="inlineStr"/>
      <c r="AM79" t="inlineStr"/>
    </row>
    <row r="80">
      <c r="A80" t="inlineStr">
        <is>
          <t>043333A</t>
        </is>
      </c>
      <c r="B80" t="inlineStr">
        <is>
          <t>Bachelor of e-Business</t>
        </is>
      </c>
      <c r="C80" t="inlineStr">
        <is>
          <t>Bachelor</t>
        </is>
      </c>
      <c r="D80" t="inlineStr">
        <is>
          <t>Undergraduate</t>
        </is>
      </c>
      <c r="E80" t="inlineStr">
        <is>
          <t>Advertised: official page in place</t>
        </is>
      </c>
      <c r="F80" t="inlineStr">
        <is>
          <t>https://handbook.mq.edu.au/2016/DegreesDiplomas/Degree/Bachelor+of+e-Business</t>
        </is>
      </c>
      <c r="G80" t="inlineStr">
        <is>
          <t>https://handbook.mq.edu.au/2016/DegreesDiplomas/Degree/Bachelor+of+e-Business</t>
        </is>
      </c>
      <c r="H80" t="inlineStr">
        <is>
          <t>Read</t>
        </is>
      </c>
      <c r="I80" t="inlineStr">
        <is>
          <t>CRICOS code on page</t>
        </is>
      </c>
      <c r="J80" t="inlineStr"/>
      <c r="K80" t="inlineStr">
        <is>
          <t>Not sent to re-link</t>
        </is>
      </c>
      <c r="L80" t="inlineStr">
        <is>
          <t>Filled</t>
        </is>
      </c>
      <c r="M80" t="inlineStr">
        <is>
          <t>Not stated on course page</t>
        </is>
      </c>
      <c r="N80" t="inlineStr"/>
      <c r="O80" t="n">
        <v>0</v>
      </c>
      <c r="P80" t="inlineStr"/>
      <c r="Q80" t="inlineStr">
        <is>
          <t>Filled</t>
        </is>
      </c>
      <c r="R80" t="n">
        <v>6.5</v>
      </c>
      <c r="S80" t="inlineStr">
        <is>
          <t>Other</t>
        </is>
      </c>
      <c r="T80" t="inlineStr">
        <is>
          <t>Central rule applies (value agrees)</t>
        </is>
      </c>
      <c r="U80" t="inlineStr"/>
      <c r="V80" t="inlineStr">
        <is>
          <t>Not stated on course page</t>
        </is>
      </c>
      <c r="W80" t="inlineStr"/>
      <c r="X80" t="inlineStr"/>
      <c r="Y80" t="n">
        <v>0</v>
      </c>
      <c r="Z80" t="inlineStr">
        <is>
          <t>Yes</t>
        </is>
      </c>
      <c r="AA80" t="inlineStr">
        <is>
          <t>Filled</t>
        </is>
      </c>
      <c r="AB80" t="inlineStr">
        <is>
          <t>on campus</t>
        </is>
      </c>
      <c r="AC80" t="inlineStr">
        <is>
          <t>Filled</t>
        </is>
      </c>
      <c r="AD80" t="n">
        <v>0</v>
      </c>
      <c r="AE80" t="inlineStr"/>
      <c r="AF80" t="inlineStr"/>
      <c r="AG80" t="inlineStr"/>
      <c r="AH80" t="inlineStr"/>
      <c r="AI80" t="inlineStr"/>
      <c r="AJ80" t="inlineStr"/>
      <c r="AK80" t="inlineStr"/>
      <c r="AL80" t="inlineStr"/>
      <c r="AM80" t="inlineStr"/>
    </row>
    <row r="81">
      <c r="A81" t="inlineStr">
        <is>
          <t>001362K</t>
        </is>
      </c>
      <c r="B81" t="inlineStr">
        <is>
          <t>Bachelor of Economics</t>
        </is>
      </c>
      <c r="C81" t="inlineStr">
        <is>
          <t>Bachelor</t>
        </is>
      </c>
      <c r="D81" t="inlineStr">
        <is>
          <t>Undergraduate</t>
        </is>
      </c>
      <c r="E81" t="inlineStr">
        <is>
          <t>Advertised: official page in place</t>
        </is>
      </c>
      <c r="F81" t="inlineStr">
        <is>
          <t>https://coursehandbook.mq.edu.au/2026/courses/C000119</t>
        </is>
      </c>
      <c r="G81" t="inlineStr">
        <is>
          <t>https://coursehandbook.mq.edu.au/2026/courses/C000119</t>
        </is>
      </c>
      <c r="H81" t="inlineStr">
        <is>
          <t>Read</t>
        </is>
      </c>
      <c r="I81" t="inlineStr">
        <is>
          <t>Exact title match</t>
        </is>
      </c>
      <c r="J81" t="inlineStr"/>
      <c r="K81" t="inlineStr">
        <is>
          <t>Not sent to re-link</t>
        </is>
      </c>
      <c r="L81" t="inlineStr">
        <is>
          <t>Filled</t>
        </is>
      </c>
      <c r="M81" t="inlineStr">
        <is>
          <t>Not stated on course page</t>
        </is>
      </c>
      <c r="N81" t="inlineStr"/>
      <c r="O81" t="n">
        <v>0</v>
      </c>
      <c r="P81" t="inlineStr"/>
      <c r="Q81" t="inlineStr">
        <is>
          <t>Filled</t>
        </is>
      </c>
      <c r="R81" t="n">
        <v>6.5</v>
      </c>
      <c r="S81" t="inlineStr">
        <is>
          <t>University adapter</t>
        </is>
      </c>
      <c r="T81" t="inlineStr">
        <is>
          <t>Central rule applies (value agrees)</t>
        </is>
      </c>
      <c r="U81" t="inlineStr"/>
      <c r="V81" t="inlineStr">
        <is>
          <t>Not stated on course page</t>
        </is>
      </c>
      <c r="W81" t="inlineStr"/>
      <c r="X81" t="inlineStr"/>
      <c r="Y81" t="n">
        <v>0</v>
      </c>
      <c r="Z81" t="inlineStr">
        <is>
          <t>Yes</t>
        </is>
      </c>
      <c r="AA81" t="inlineStr">
        <is>
          <t>Not stated on course page</t>
        </is>
      </c>
      <c r="AB81" t="inlineStr"/>
      <c r="AC81" t="inlineStr">
        <is>
          <t>Skipped: the page does not state it</t>
        </is>
      </c>
      <c r="AD81" t="n">
        <v>0</v>
      </c>
      <c r="AE81" t="inlineStr"/>
      <c r="AF81" t="inlineStr"/>
      <c r="AG81" t="inlineStr"/>
      <c r="AH81" t="inlineStr"/>
      <c r="AI81" t="inlineStr"/>
      <c r="AJ81" t="inlineStr"/>
      <c r="AK81" t="inlineStr"/>
      <c r="AL81" t="inlineStr"/>
      <c r="AM81" t="inlineStr"/>
    </row>
    <row r="82">
      <c r="A82" t="inlineStr">
        <is>
          <t>116114D</t>
        </is>
      </c>
      <c r="B82" t="inlineStr">
        <is>
          <t>Bachelor of Education (Early Childhood and Primary)</t>
        </is>
      </c>
      <c r="C82" t="inlineStr">
        <is>
          <t>Bachelor</t>
        </is>
      </c>
      <c r="D82" t="inlineStr">
        <is>
          <t>Undergraduate</t>
        </is>
      </c>
      <c r="E82" t="inlineStr">
        <is>
          <t>Advertised: official page in place</t>
        </is>
      </c>
      <c r="F82" t="inlineStr">
        <is>
          <t>https://coursehandbook.mq.edu.au/2026/courses/C000426</t>
        </is>
      </c>
      <c r="G82" t="inlineStr">
        <is>
          <t>https://coursehandbook.mq.edu.au/2026/courses/C000426</t>
        </is>
      </c>
      <c r="H82" t="inlineStr">
        <is>
          <t>Read</t>
        </is>
      </c>
      <c r="I82" t="inlineStr">
        <is>
          <t>Exact title match</t>
        </is>
      </c>
      <c r="J82" t="inlineStr"/>
      <c r="K82" t="inlineStr">
        <is>
          <t>Not sent to re-link</t>
        </is>
      </c>
      <c r="L82" t="inlineStr">
        <is>
          <t>Filled</t>
        </is>
      </c>
      <c r="M82" t="inlineStr">
        <is>
          <t>Not stated on course page</t>
        </is>
      </c>
      <c r="N82" t="inlineStr"/>
      <c r="O82" t="n">
        <v>0</v>
      </c>
      <c r="P82" t="inlineStr"/>
      <c r="Q82" t="inlineStr">
        <is>
          <t>Filled</t>
        </is>
      </c>
      <c r="R82" t="n">
        <v>7.5</v>
      </c>
      <c r="S82" t="inlineStr">
        <is>
          <t>University adapter</t>
        </is>
      </c>
      <c r="T82" t="inlineStr">
        <is>
          <t>Central rule applies (course value differs)</t>
        </is>
      </c>
      <c r="U82" t="inlineStr">
        <is>
          <t>Yes: course has IELTS 7.50, central rule says 6.5</t>
        </is>
      </c>
      <c r="V82" t="inlineStr">
        <is>
          <t>Not stated on course page</t>
        </is>
      </c>
      <c r="W82" t="inlineStr"/>
      <c r="X82" t="inlineStr"/>
      <c r="Y82" t="n">
        <v>0</v>
      </c>
      <c r="Z82" t="inlineStr">
        <is>
          <t>Yes</t>
        </is>
      </c>
      <c r="AA82" t="inlineStr">
        <is>
          <t>Not stated on course page</t>
        </is>
      </c>
      <c r="AB82" t="inlineStr"/>
      <c r="AC82" t="inlineStr">
        <is>
          <t>Skipped: the page does not state it</t>
        </is>
      </c>
      <c r="AD82" t="n">
        <v>0</v>
      </c>
      <c r="AE82" t="inlineStr"/>
      <c r="AF82" t="inlineStr"/>
      <c r="AG82" t="inlineStr"/>
      <c r="AH82" t="inlineStr"/>
      <c r="AI82" t="inlineStr"/>
      <c r="AJ82" t="inlineStr"/>
      <c r="AK82" t="inlineStr"/>
      <c r="AL82" t="inlineStr"/>
      <c r="AM82" t="inlineStr"/>
    </row>
    <row r="83">
      <c r="A83" t="inlineStr">
        <is>
          <t>021499E</t>
        </is>
      </c>
      <c r="B83" t="inlineStr">
        <is>
          <t>Bachelor of Education (Early Childhood Education) (Birth to 12)</t>
        </is>
      </c>
      <c r="C83" t="inlineStr">
        <is>
          <t>Bachelor</t>
        </is>
      </c>
      <c r="D83" t="inlineStr">
        <is>
          <t>Undergraduate</t>
        </is>
      </c>
      <c r="E83" t="inlineStr">
        <is>
          <t>Advertised: official page in place</t>
        </is>
      </c>
      <c r="F83" t="inlineStr">
        <is>
          <t>https://handbook.mq.edu.au/2017/DegreesDiplomas/Degree/Bachelor+of+Education+%28Early+Childhood+Education%29+%28Birth+to+12%29</t>
        </is>
      </c>
      <c r="G83" t="inlineStr">
        <is>
          <t>https://handbook.mq.edu.au/2017/DegreesDiplomas/Degree/Bachelor+of+Education+%28Early+Childhood+Education%29+%28Birth+to+12%29</t>
        </is>
      </c>
      <c r="H83" t="inlineStr">
        <is>
          <t>Read</t>
        </is>
      </c>
      <c r="I83" t="inlineStr">
        <is>
          <t>CRICOS code on page</t>
        </is>
      </c>
      <c r="J83" t="inlineStr"/>
      <c r="K83" t="inlineStr">
        <is>
          <t>Not sent to re-link</t>
        </is>
      </c>
      <c r="L83" t="inlineStr">
        <is>
          <t>Filled</t>
        </is>
      </c>
      <c r="M83" t="inlineStr">
        <is>
          <t>Not stated on course page</t>
        </is>
      </c>
      <c r="N83" t="inlineStr"/>
      <c r="O83" t="n">
        <v>0</v>
      </c>
      <c r="P83" t="inlineStr"/>
      <c r="Q83" t="inlineStr">
        <is>
          <t>Filled</t>
        </is>
      </c>
      <c r="R83" t="n">
        <v>7.5</v>
      </c>
      <c r="S83" t="inlineStr">
        <is>
          <t>Other</t>
        </is>
      </c>
      <c r="T83" t="inlineStr">
        <is>
          <t>Central rule applies (course value differs)</t>
        </is>
      </c>
      <c r="U83" t="inlineStr">
        <is>
          <t>Yes: course has IELTS 7.50, central rule says 6.5</t>
        </is>
      </c>
      <c r="V83" t="inlineStr">
        <is>
          <t>Filled</t>
        </is>
      </c>
      <c r="W83" t="inlineStr">
        <is>
          <t>February</t>
        </is>
      </c>
      <c r="X83" t="inlineStr">
        <is>
          <t>Other</t>
        </is>
      </c>
      <c r="Y83" t="n">
        <v>0</v>
      </c>
      <c r="Z83" t="inlineStr">
        <is>
          <t>Yes</t>
        </is>
      </c>
      <c r="AA83" t="inlineStr">
        <is>
          <t>Filled</t>
        </is>
      </c>
      <c r="AB83" t="inlineStr">
        <is>
          <t>blended</t>
        </is>
      </c>
      <c r="AC83" t="inlineStr">
        <is>
          <t>Filled</t>
        </is>
      </c>
      <c r="AD83" t="n">
        <v>0</v>
      </c>
      <c r="AE83" t="inlineStr"/>
      <c r="AF83" t="inlineStr"/>
      <c r="AG83" t="inlineStr"/>
      <c r="AH83" t="inlineStr"/>
      <c r="AI83" t="inlineStr"/>
      <c r="AJ83" t="inlineStr"/>
      <c r="AK83" t="inlineStr"/>
      <c r="AL83" t="inlineStr"/>
      <c r="AM83" t="inlineStr"/>
    </row>
    <row r="84">
      <c r="A84" t="inlineStr">
        <is>
          <t>116113E</t>
        </is>
      </c>
      <c r="B84" t="inlineStr">
        <is>
          <t>Bachelor of Education (Early Childhood)</t>
        </is>
      </c>
      <c r="C84" t="inlineStr">
        <is>
          <t>Bachelor</t>
        </is>
      </c>
      <c r="D84" t="inlineStr">
        <is>
          <t>Undergraduate</t>
        </is>
      </c>
      <c r="E84" t="inlineStr">
        <is>
          <t>Advertised: official page in place</t>
        </is>
      </c>
      <c r="F84" t="inlineStr">
        <is>
          <t>https://coursehandbook.mq.edu.au/2026/courses/C000425</t>
        </is>
      </c>
      <c r="G84" t="inlineStr">
        <is>
          <t>https://coursehandbook.mq.edu.au/2026/courses/C000425</t>
        </is>
      </c>
      <c r="H84" t="inlineStr">
        <is>
          <t>Read</t>
        </is>
      </c>
      <c r="I84" t="inlineStr">
        <is>
          <t>Exact title match</t>
        </is>
      </c>
      <c r="J84" t="inlineStr"/>
      <c r="K84" t="inlineStr">
        <is>
          <t>Not sent to re-link</t>
        </is>
      </c>
      <c r="L84" t="inlineStr">
        <is>
          <t>Filled</t>
        </is>
      </c>
      <c r="M84" t="inlineStr">
        <is>
          <t>Not stated on course page</t>
        </is>
      </c>
      <c r="N84" t="inlineStr"/>
      <c r="O84" t="n">
        <v>0</v>
      </c>
      <c r="P84" t="inlineStr"/>
      <c r="Q84" t="inlineStr">
        <is>
          <t>Filled</t>
        </is>
      </c>
      <c r="R84" t="n">
        <v>7.5</v>
      </c>
      <c r="S84" t="inlineStr">
        <is>
          <t>University adapter</t>
        </is>
      </c>
      <c r="T84" t="inlineStr">
        <is>
          <t>Central rule applies (course value differs)</t>
        </is>
      </c>
      <c r="U84" t="inlineStr">
        <is>
          <t>Yes: course has IELTS 7.50, central rule says 6.5</t>
        </is>
      </c>
      <c r="V84" t="inlineStr">
        <is>
          <t>Not stated on course page</t>
        </is>
      </c>
      <c r="W84" t="inlineStr"/>
      <c r="X84" t="inlineStr"/>
      <c r="Y84" t="n">
        <v>0</v>
      </c>
      <c r="Z84" t="inlineStr">
        <is>
          <t>Yes</t>
        </is>
      </c>
      <c r="AA84" t="inlineStr">
        <is>
          <t>Not stated on course page</t>
        </is>
      </c>
      <c r="AB84" t="inlineStr"/>
      <c r="AC84" t="inlineStr">
        <is>
          <t>Skipped: the page does not state it</t>
        </is>
      </c>
      <c r="AD84" t="n">
        <v>0</v>
      </c>
      <c r="AE84" t="inlineStr"/>
      <c r="AF84" t="inlineStr"/>
      <c r="AG84" t="inlineStr"/>
      <c r="AH84" t="inlineStr"/>
      <c r="AI84" t="inlineStr"/>
      <c r="AJ84" t="inlineStr"/>
      <c r="AK84" t="inlineStr"/>
      <c r="AL84" t="inlineStr"/>
      <c r="AM84" t="inlineStr"/>
    </row>
    <row r="85">
      <c r="A85" t="inlineStr">
        <is>
          <t>047324C</t>
        </is>
      </c>
      <c r="B85" t="inlineStr">
        <is>
          <t>Bachelor of Education (Primary)</t>
        </is>
      </c>
      <c r="C85" t="inlineStr">
        <is>
          <t>Bachelor</t>
        </is>
      </c>
      <c r="D85" t="inlineStr">
        <is>
          <t>Undergraduate</t>
        </is>
      </c>
      <c r="E85" t="inlineStr">
        <is>
          <t>Advertised: official page in place</t>
        </is>
      </c>
      <c r="F85" t="inlineStr">
        <is>
          <t>https://www.mq.edu.au/study/find-a-course/courses/bachelor-of-education-primary</t>
        </is>
      </c>
      <c r="G85" t="inlineStr">
        <is>
          <t>https://www.mq.edu.au/study/find-a-course/courses/bachelor-of-education-primary</t>
        </is>
      </c>
      <c r="H85" t="inlineStr">
        <is>
          <t>Read</t>
        </is>
      </c>
      <c r="I85" t="inlineStr">
        <is>
          <t>Exact title match</t>
        </is>
      </c>
      <c r="J85" t="inlineStr"/>
      <c r="K85" t="inlineStr">
        <is>
          <t>Not sent to re-link</t>
        </is>
      </c>
      <c r="L85" t="inlineStr">
        <is>
          <t>Filled</t>
        </is>
      </c>
      <c r="M85" t="inlineStr">
        <is>
          <t>Not stated on course page</t>
        </is>
      </c>
      <c r="N85" t="inlineStr"/>
      <c r="O85" t="n">
        <v>0</v>
      </c>
      <c r="P85" t="inlineStr"/>
      <c r="Q85" t="inlineStr">
        <is>
          <t>Filled</t>
        </is>
      </c>
      <c r="R85" t="n">
        <v>7.5</v>
      </c>
      <c r="S85" t="inlineStr">
        <is>
          <t>Other</t>
        </is>
      </c>
      <c r="T85" t="inlineStr">
        <is>
          <t>Central rule applies (course value differs)</t>
        </is>
      </c>
      <c r="U85" t="inlineStr">
        <is>
          <t>Yes: course has IELTS 7.50, central rule says 6.5</t>
        </is>
      </c>
      <c r="V85" t="inlineStr">
        <is>
          <t>Filled</t>
        </is>
      </c>
      <c r="W85" t="inlineStr">
        <is>
          <t>February</t>
        </is>
      </c>
      <c r="X85" t="inlineStr">
        <is>
          <t>Other</t>
        </is>
      </c>
      <c r="Y85" t="n">
        <v>0</v>
      </c>
      <c r="Z85" t="inlineStr">
        <is>
          <t>Yes</t>
        </is>
      </c>
      <c r="AA85" t="inlineStr">
        <is>
          <t>Filled</t>
        </is>
      </c>
      <c r="AB85" t="inlineStr">
        <is>
          <t>on campus</t>
        </is>
      </c>
      <c r="AC85" t="inlineStr">
        <is>
          <t>Filled</t>
        </is>
      </c>
      <c r="AD85" t="n">
        <v>0</v>
      </c>
      <c r="AE85" t="inlineStr"/>
      <c r="AF85" t="inlineStr"/>
      <c r="AG85" t="inlineStr"/>
      <c r="AH85" t="inlineStr"/>
      <c r="AI85" t="inlineStr"/>
      <c r="AJ85" t="inlineStr"/>
      <c r="AK85" t="inlineStr"/>
      <c r="AL85" t="inlineStr"/>
      <c r="AM85" t="inlineStr"/>
    </row>
    <row r="86">
      <c r="A86" t="inlineStr">
        <is>
          <t>116111G</t>
        </is>
      </c>
      <c r="B86" t="inlineStr">
        <is>
          <t>Bachelor of Education (Primary)</t>
        </is>
      </c>
      <c r="C86" t="inlineStr">
        <is>
          <t>Bachelor</t>
        </is>
      </c>
      <c r="D86" t="inlineStr">
        <is>
          <t>Undergraduate</t>
        </is>
      </c>
      <c r="E86" t="inlineStr">
        <is>
          <t>Advertised: official page in place</t>
        </is>
      </c>
      <c r="F86" t="inlineStr">
        <is>
          <t>https://coursehandbook.mq.edu.au/2026/courses/C000423</t>
        </is>
      </c>
      <c r="G86" t="inlineStr">
        <is>
          <t>https://coursehandbook.mq.edu.au/2026/courses/C000423</t>
        </is>
      </c>
      <c r="H86" t="inlineStr">
        <is>
          <t>Read</t>
        </is>
      </c>
      <c r="I86" t="inlineStr">
        <is>
          <t>Exact title match</t>
        </is>
      </c>
      <c r="J86" t="inlineStr"/>
      <c r="K86" t="inlineStr">
        <is>
          <t>Not sent to re-link</t>
        </is>
      </c>
      <c r="L86" t="inlineStr">
        <is>
          <t>Filled</t>
        </is>
      </c>
      <c r="M86" t="inlineStr">
        <is>
          <t>Not stated on course page</t>
        </is>
      </c>
      <c r="N86" t="inlineStr"/>
      <c r="O86" t="n">
        <v>0</v>
      </c>
      <c r="P86" t="inlineStr"/>
      <c r="Q86" t="inlineStr">
        <is>
          <t>Filled</t>
        </is>
      </c>
      <c r="R86" t="n">
        <v>7.5</v>
      </c>
      <c r="S86" t="inlineStr">
        <is>
          <t>University adapter</t>
        </is>
      </c>
      <c r="T86" t="inlineStr">
        <is>
          <t>Central rule applies (course value differs)</t>
        </is>
      </c>
      <c r="U86" t="inlineStr">
        <is>
          <t>Yes: course has IELTS 7.50, central rule says 6.5</t>
        </is>
      </c>
      <c r="V86" t="inlineStr">
        <is>
          <t>Not stated on course page</t>
        </is>
      </c>
      <c r="W86" t="inlineStr"/>
      <c r="X86" t="inlineStr"/>
      <c r="Y86" t="n">
        <v>0</v>
      </c>
      <c r="Z86" t="inlineStr">
        <is>
          <t>Yes</t>
        </is>
      </c>
      <c r="AA86" t="inlineStr">
        <is>
          <t>Not stated on course page</t>
        </is>
      </c>
      <c r="AB86" t="inlineStr"/>
      <c r="AC86" t="inlineStr">
        <is>
          <t>Skipped: the page does not state it</t>
        </is>
      </c>
      <c r="AD86" t="n">
        <v>0</v>
      </c>
      <c r="AE86" t="inlineStr"/>
      <c r="AF86" t="inlineStr"/>
      <c r="AG86" t="inlineStr"/>
      <c r="AH86" t="inlineStr"/>
      <c r="AI86" t="inlineStr"/>
      <c r="AJ86" t="inlineStr"/>
      <c r="AK86" t="inlineStr"/>
      <c r="AL86" t="inlineStr"/>
      <c r="AM86" t="inlineStr"/>
    </row>
    <row r="87">
      <c r="A87" t="inlineStr">
        <is>
          <t>116112F</t>
        </is>
      </c>
      <c r="B87" t="inlineStr">
        <is>
          <t>Bachelor of Education (Secondary)</t>
        </is>
      </c>
      <c r="C87" t="inlineStr">
        <is>
          <t>Bachelor</t>
        </is>
      </c>
      <c r="D87" t="inlineStr">
        <is>
          <t>Undergraduate</t>
        </is>
      </c>
      <c r="E87" t="inlineStr">
        <is>
          <t>Advertised: official page in place</t>
        </is>
      </c>
      <c r="F87" t="inlineStr">
        <is>
          <t>https://coursehandbook.mq.edu.au/2026/courses/C000424</t>
        </is>
      </c>
      <c r="G87" t="inlineStr">
        <is>
          <t>https://coursehandbook.mq.edu.au/2026/courses/C000424</t>
        </is>
      </c>
      <c r="H87" t="inlineStr">
        <is>
          <t>Read</t>
        </is>
      </c>
      <c r="I87" t="inlineStr">
        <is>
          <t>Exact title match</t>
        </is>
      </c>
      <c r="J87" t="inlineStr"/>
      <c r="K87" t="inlineStr">
        <is>
          <t>Not sent to re-link</t>
        </is>
      </c>
      <c r="L87" t="inlineStr">
        <is>
          <t>Filled</t>
        </is>
      </c>
      <c r="M87" t="inlineStr">
        <is>
          <t>Not stated on course page</t>
        </is>
      </c>
      <c r="N87" t="inlineStr"/>
      <c r="O87" t="n">
        <v>0</v>
      </c>
      <c r="P87" t="inlineStr"/>
      <c r="Q87" t="inlineStr">
        <is>
          <t>Filled</t>
        </is>
      </c>
      <c r="R87" t="n">
        <v>7.5</v>
      </c>
      <c r="S87" t="inlineStr">
        <is>
          <t>University adapter</t>
        </is>
      </c>
      <c r="T87" t="inlineStr">
        <is>
          <t>Central rule applies (course value differs)</t>
        </is>
      </c>
      <c r="U87" t="inlineStr">
        <is>
          <t>Yes: course has IELTS 7.50, central rule says 6.5</t>
        </is>
      </c>
      <c r="V87" t="inlineStr">
        <is>
          <t>Not stated on course page</t>
        </is>
      </c>
      <c r="W87" t="inlineStr"/>
      <c r="X87" t="inlineStr"/>
      <c r="Y87" t="n">
        <v>0</v>
      </c>
      <c r="Z87" t="inlineStr">
        <is>
          <t>Yes</t>
        </is>
      </c>
      <c r="AA87" t="inlineStr">
        <is>
          <t>Not stated on course page</t>
        </is>
      </c>
      <c r="AB87" t="inlineStr"/>
      <c r="AC87" t="inlineStr">
        <is>
          <t>Skipped: the page does not state it</t>
        </is>
      </c>
      <c r="AD87" t="n">
        <v>0</v>
      </c>
      <c r="AE87" t="inlineStr"/>
      <c r="AF87" t="inlineStr"/>
      <c r="AG87" t="inlineStr"/>
      <c r="AH87" t="inlineStr"/>
      <c r="AI87" t="inlineStr"/>
      <c r="AJ87" t="inlineStr"/>
      <c r="AK87" t="inlineStr"/>
      <c r="AL87" t="inlineStr"/>
      <c r="AM87" t="inlineStr"/>
    </row>
    <row r="88">
      <c r="A88" t="inlineStr">
        <is>
          <t>080287F</t>
        </is>
      </c>
      <c r="B88" t="inlineStr">
        <is>
          <t>Bachelor of Education (Secondary)</t>
        </is>
      </c>
      <c r="C88" t="inlineStr">
        <is>
          <t>Bachelor</t>
        </is>
      </c>
      <c r="D88" t="inlineStr">
        <is>
          <t>Undergraduate</t>
        </is>
      </c>
      <c r="E88" t="inlineStr">
        <is>
          <t>Advertised: official page in place</t>
        </is>
      </c>
      <c r="F88" t="inlineStr">
        <is>
          <t>https://www.mq.edu.au/study/find-a-course/courses/bachelor-of-education-secondary</t>
        </is>
      </c>
      <c r="G88" t="inlineStr">
        <is>
          <t>https://www.mq.edu.au/study/find-a-course/courses/bachelor-of-education-secondary</t>
        </is>
      </c>
      <c r="H88" t="inlineStr">
        <is>
          <t>Read</t>
        </is>
      </c>
      <c r="I88" t="inlineStr">
        <is>
          <t>Exact title match</t>
        </is>
      </c>
      <c r="J88" t="inlineStr"/>
      <c r="K88" t="inlineStr">
        <is>
          <t>Not sent to re-link</t>
        </is>
      </c>
      <c r="L88" t="inlineStr">
        <is>
          <t>Filled</t>
        </is>
      </c>
      <c r="M88" t="inlineStr">
        <is>
          <t>Not stated on course page</t>
        </is>
      </c>
      <c r="N88" t="inlineStr"/>
      <c r="O88" t="n">
        <v>0</v>
      </c>
      <c r="P88" t="inlineStr"/>
      <c r="Q88" t="inlineStr">
        <is>
          <t>Filled</t>
        </is>
      </c>
      <c r="R88" t="n">
        <v>7.5</v>
      </c>
      <c r="S88" t="inlineStr">
        <is>
          <t>Other</t>
        </is>
      </c>
      <c r="T88" t="inlineStr">
        <is>
          <t>Central rule applies (course value differs)</t>
        </is>
      </c>
      <c r="U88" t="inlineStr">
        <is>
          <t>Yes: course has IELTS 7.50, central rule says 6.5</t>
        </is>
      </c>
      <c r="V88" t="inlineStr">
        <is>
          <t>Filled</t>
        </is>
      </c>
      <c r="W88" t="inlineStr">
        <is>
          <t>February</t>
        </is>
      </c>
      <c r="X88" t="inlineStr">
        <is>
          <t>Other</t>
        </is>
      </c>
      <c r="Y88" t="n">
        <v>0</v>
      </c>
      <c r="Z88" t="inlineStr">
        <is>
          <t>Yes</t>
        </is>
      </c>
      <c r="AA88" t="inlineStr">
        <is>
          <t>Filled</t>
        </is>
      </c>
      <c r="AB88" t="inlineStr">
        <is>
          <t>on campus</t>
        </is>
      </c>
      <c r="AC88" t="inlineStr">
        <is>
          <t>Filled</t>
        </is>
      </c>
      <c r="AD88" t="n">
        <v>0</v>
      </c>
      <c r="AE88" t="inlineStr"/>
      <c r="AF88" t="inlineStr"/>
      <c r="AG88" t="inlineStr"/>
      <c r="AH88" t="inlineStr"/>
      <c r="AI88" t="inlineStr"/>
      <c r="AJ88" t="inlineStr"/>
      <c r="AK88" t="inlineStr"/>
      <c r="AL88" t="inlineStr"/>
      <c r="AM88" t="inlineStr"/>
    </row>
    <row r="89">
      <c r="A89" t="inlineStr">
        <is>
          <t>047326A</t>
        </is>
      </c>
      <c r="B89" t="inlineStr">
        <is>
          <t>Bachelor of Engineering</t>
        </is>
      </c>
      <c r="C89" t="inlineStr">
        <is>
          <t>Bachelor</t>
        </is>
      </c>
      <c r="D89" t="inlineStr">
        <is>
          <t>Undergraduate</t>
        </is>
      </c>
      <c r="E89" t="inlineStr">
        <is>
          <t>Advertised: official page in place</t>
        </is>
      </c>
      <c r="F89" t="inlineStr">
        <is>
          <t>https://coursehandbook.mq.edu.au/2026/courses/C000133</t>
        </is>
      </c>
      <c r="G89" t="inlineStr">
        <is>
          <t>https://coursehandbook.mq.edu.au/2026/courses/C000133</t>
        </is>
      </c>
      <c r="H89" t="inlineStr">
        <is>
          <t>Read</t>
        </is>
      </c>
      <c r="I89" t="inlineStr">
        <is>
          <t>Exact title match</t>
        </is>
      </c>
      <c r="J89" t="inlineStr"/>
      <c r="K89" t="inlineStr">
        <is>
          <t>Not sent to re-link</t>
        </is>
      </c>
      <c r="L89" t="inlineStr">
        <is>
          <t>Filled</t>
        </is>
      </c>
      <c r="M89" t="inlineStr">
        <is>
          <t>Not stated on course page</t>
        </is>
      </c>
      <c r="N89" t="inlineStr"/>
      <c r="O89" t="n">
        <v>0</v>
      </c>
      <c r="P89" t="inlineStr"/>
      <c r="Q89" t="inlineStr">
        <is>
          <t>Filled</t>
        </is>
      </c>
      <c r="R89" t="n">
        <v>6.5</v>
      </c>
      <c r="S89" t="inlineStr">
        <is>
          <t>Other</t>
        </is>
      </c>
      <c r="T89" t="inlineStr">
        <is>
          <t>Central rule applies (value agrees)</t>
        </is>
      </c>
      <c r="U89" t="inlineStr"/>
      <c r="V89" t="inlineStr">
        <is>
          <t>Not stated on course page</t>
        </is>
      </c>
      <c r="W89" t="inlineStr"/>
      <c r="X89" t="inlineStr"/>
      <c r="Y89" t="n">
        <v>0</v>
      </c>
      <c r="Z89" t="inlineStr">
        <is>
          <t>Yes</t>
        </is>
      </c>
      <c r="AA89" t="inlineStr">
        <is>
          <t>Not stated on course page</t>
        </is>
      </c>
      <c r="AB89" t="inlineStr"/>
      <c r="AC89" t="inlineStr">
        <is>
          <t>Skipped: the page does not state it</t>
        </is>
      </c>
      <c r="AD89" t="n">
        <v>0</v>
      </c>
      <c r="AE89" t="inlineStr"/>
      <c r="AF89" t="inlineStr"/>
      <c r="AG89" t="inlineStr"/>
      <c r="AH89" t="inlineStr"/>
      <c r="AI89" t="inlineStr"/>
      <c r="AJ89" t="inlineStr"/>
      <c r="AK89" t="inlineStr"/>
      <c r="AL89" t="inlineStr"/>
      <c r="AM89" t="inlineStr"/>
    </row>
    <row r="90">
      <c r="A90" t="inlineStr">
        <is>
          <t>087876F</t>
        </is>
      </c>
      <c r="B90" t="inlineStr">
        <is>
          <t>Bachelor of Engineering (Honours)</t>
        </is>
      </c>
      <c r="C90" t="inlineStr">
        <is>
          <t>Bachelor Honours Degree</t>
        </is>
      </c>
      <c r="D90" t="inlineStr">
        <is>
          <t>Undergraduate</t>
        </is>
      </c>
      <c r="E90" t="inlineStr">
        <is>
          <t>Advertised: official page in place</t>
        </is>
      </c>
      <c r="F90" t="inlineStr">
        <is>
          <t>https://coursehandbook.mq.edu.au/2026/courses/C000133</t>
        </is>
      </c>
      <c r="G90" t="inlineStr">
        <is>
          <t>https://coursehandbook.mq.edu.au/2026/courses/C000133</t>
        </is>
      </c>
      <c r="H90" t="inlineStr">
        <is>
          <t>Read</t>
        </is>
      </c>
      <c r="I90" t="inlineStr">
        <is>
          <t>Exact title match</t>
        </is>
      </c>
      <c r="J90" t="inlineStr"/>
      <c r="K90" t="inlineStr">
        <is>
          <t>Not sent to re-link</t>
        </is>
      </c>
      <c r="L90" t="inlineStr">
        <is>
          <t>Filled</t>
        </is>
      </c>
      <c r="M90" t="inlineStr">
        <is>
          <t>Not stated on course page</t>
        </is>
      </c>
      <c r="N90" t="inlineStr"/>
      <c r="O90" t="n">
        <v>0</v>
      </c>
      <c r="P90" t="inlineStr"/>
      <c r="Q90" t="inlineStr">
        <is>
          <t>Filled</t>
        </is>
      </c>
      <c r="R90" t="n">
        <v>6.5</v>
      </c>
      <c r="S90" t="inlineStr">
        <is>
          <t>University adapter</t>
        </is>
      </c>
      <c r="T90" t="inlineStr">
        <is>
          <t>Central rule applies (value agrees)</t>
        </is>
      </c>
      <c r="U90" t="inlineStr"/>
      <c r="V90" t="inlineStr">
        <is>
          <t>Not stated on course page</t>
        </is>
      </c>
      <c r="W90" t="inlineStr"/>
      <c r="X90" t="inlineStr"/>
      <c r="Y90" t="n">
        <v>0</v>
      </c>
      <c r="Z90" t="inlineStr">
        <is>
          <t>Yes</t>
        </is>
      </c>
      <c r="AA90" t="inlineStr">
        <is>
          <t>Not stated on course page</t>
        </is>
      </c>
      <c r="AB90" t="inlineStr"/>
      <c r="AC90" t="inlineStr">
        <is>
          <t>Skipped: the page does not state it</t>
        </is>
      </c>
      <c r="AD90" t="n">
        <v>0</v>
      </c>
      <c r="AE90" t="inlineStr"/>
      <c r="AF90" t="inlineStr"/>
      <c r="AG90" t="inlineStr"/>
      <c r="AH90" t="inlineStr"/>
      <c r="AI90" t="inlineStr"/>
      <c r="AJ90" t="inlineStr"/>
      <c r="AK90" t="inlineStr"/>
      <c r="AL90" t="inlineStr"/>
      <c r="AM90" t="inlineStr"/>
    </row>
    <row r="91">
      <c r="A91" t="inlineStr">
        <is>
          <t>087877E</t>
        </is>
      </c>
      <c r="B91" t="inlineStr">
        <is>
          <t>Bachelor of Engineering (Honours) with the degree of Bachelor of Arts</t>
        </is>
      </c>
      <c r="C91" t="inlineStr">
        <is>
          <t>Bachelor Honours Degree</t>
        </is>
      </c>
      <c r="D91" t="inlineStr">
        <is>
          <t>Undergraduate</t>
        </is>
      </c>
      <c r="E91" t="inlineStr">
        <is>
          <t>Advertised: official page in place</t>
        </is>
      </c>
      <c r="F91" t="inlineStr">
        <is>
          <t>https://handbook.mq.edu.au/2019/DegreesDiplomas/Degree/Bachelor+of+Engineering+%28Honours%29+with+the+degree+of+Bachelor+of+Arts</t>
        </is>
      </c>
      <c r="G91" t="inlineStr">
        <is>
          <t>https://handbook.mq.edu.au/2019/DegreesDiplomas/Degree/Bachelor+of+Engineering+%28Honours%29+with+the+degree+of+Bachelor+of+Arts</t>
        </is>
      </c>
      <c r="H91" t="inlineStr">
        <is>
          <t>Read</t>
        </is>
      </c>
      <c r="I91" t="inlineStr">
        <is>
          <t>CRICOS code on page</t>
        </is>
      </c>
      <c r="J91" t="inlineStr"/>
      <c r="K91" t="inlineStr">
        <is>
          <t>Not sent to re-link</t>
        </is>
      </c>
      <c r="L91" t="inlineStr">
        <is>
          <t>Filled</t>
        </is>
      </c>
      <c r="M91" t="inlineStr">
        <is>
          <t>Not stated on course page</t>
        </is>
      </c>
      <c r="N91" t="inlineStr"/>
      <c r="O91" t="n">
        <v>0</v>
      </c>
      <c r="P91" t="inlineStr"/>
      <c r="Q91" t="inlineStr">
        <is>
          <t>Filled</t>
        </is>
      </c>
      <c r="R91" t="n">
        <v>6.5</v>
      </c>
      <c r="S91" t="inlineStr">
        <is>
          <t>Other</t>
        </is>
      </c>
      <c r="T91" t="inlineStr">
        <is>
          <t>Central rule applies (value agrees)</t>
        </is>
      </c>
      <c r="U91" t="inlineStr"/>
      <c r="V91" t="inlineStr">
        <is>
          <t>Filled</t>
        </is>
      </c>
      <c r="W91" t="inlineStr">
        <is>
          <t>February, July</t>
        </is>
      </c>
      <c r="X91" t="inlineStr">
        <is>
          <t>Other</t>
        </is>
      </c>
      <c r="Y91" t="n">
        <v>0</v>
      </c>
      <c r="Z91" t="inlineStr">
        <is>
          <t>Yes</t>
        </is>
      </c>
      <c r="AA91" t="inlineStr">
        <is>
          <t>Filled</t>
        </is>
      </c>
      <c r="AB91" t="inlineStr">
        <is>
          <t>on campus</t>
        </is>
      </c>
      <c r="AC91" t="inlineStr">
        <is>
          <t>Filled</t>
        </is>
      </c>
      <c r="AD91" t="n">
        <v>0</v>
      </c>
      <c r="AE91" t="inlineStr"/>
      <c r="AF91" t="inlineStr"/>
      <c r="AG91" t="inlineStr"/>
      <c r="AH91" t="inlineStr"/>
      <c r="AI91" t="inlineStr"/>
      <c r="AJ91" t="inlineStr"/>
      <c r="AK91" t="inlineStr"/>
      <c r="AL91" t="inlineStr"/>
      <c r="AM91" t="inlineStr"/>
    </row>
    <row r="92">
      <c r="A92" t="inlineStr">
        <is>
          <t>087878D</t>
        </is>
      </c>
      <c r="B92" t="inlineStr">
        <is>
          <t>Bachelor of Engineering (Honours) with the degree of Bachelor of Commerce</t>
        </is>
      </c>
      <c r="C92" t="inlineStr">
        <is>
          <t>Bachelor Honours Degree</t>
        </is>
      </c>
      <c r="D92" t="inlineStr">
        <is>
          <t>Undergraduate</t>
        </is>
      </c>
      <c r="E92" t="inlineStr">
        <is>
          <t>Advertised: official page in place</t>
        </is>
      </c>
      <c r="F92" t="inlineStr">
        <is>
          <t>https://handbook.mq.edu.au/2019/DegreesDiplomas/Degree/Bachelor+of+Engineering+%28Honours%29+with+the+degree+of+Bachelor+of+Commerce</t>
        </is>
      </c>
      <c r="G92" t="inlineStr">
        <is>
          <t>https://handbook.mq.edu.au/2019/DegreesDiplomas/Degree/Bachelor+of+Engineering+%28Honours%29+with+the+degree+of+Bachelor+of+Commerce</t>
        </is>
      </c>
      <c r="H92" t="inlineStr">
        <is>
          <t>Read</t>
        </is>
      </c>
      <c r="I92" t="inlineStr">
        <is>
          <t>CRICOS code on page</t>
        </is>
      </c>
      <c r="J92" t="inlineStr"/>
      <c r="K92" t="inlineStr">
        <is>
          <t>Not sent to re-link</t>
        </is>
      </c>
      <c r="L92" t="inlineStr">
        <is>
          <t>Filled</t>
        </is>
      </c>
      <c r="M92" t="inlineStr">
        <is>
          <t>Not stated on course page</t>
        </is>
      </c>
      <c r="N92" t="inlineStr"/>
      <c r="O92" t="n">
        <v>0</v>
      </c>
      <c r="P92" t="inlineStr"/>
      <c r="Q92" t="inlineStr">
        <is>
          <t>Filled</t>
        </is>
      </c>
      <c r="R92" t="n">
        <v>6.5</v>
      </c>
      <c r="S92" t="inlineStr">
        <is>
          <t>Other</t>
        </is>
      </c>
      <c r="T92" t="inlineStr">
        <is>
          <t>Central rule applies (value agrees)</t>
        </is>
      </c>
      <c r="U92" t="inlineStr"/>
      <c r="V92" t="inlineStr">
        <is>
          <t>Filled</t>
        </is>
      </c>
      <c r="W92" t="inlineStr">
        <is>
          <t>February, July</t>
        </is>
      </c>
      <c r="X92" t="inlineStr">
        <is>
          <t>Other</t>
        </is>
      </c>
      <c r="Y92" t="n">
        <v>0</v>
      </c>
      <c r="Z92" t="inlineStr">
        <is>
          <t>Yes</t>
        </is>
      </c>
      <c r="AA92" t="inlineStr">
        <is>
          <t>Filled</t>
        </is>
      </c>
      <c r="AB92" t="inlineStr">
        <is>
          <t>on campus</t>
        </is>
      </c>
      <c r="AC92" t="inlineStr">
        <is>
          <t>Filled</t>
        </is>
      </c>
      <c r="AD92" t="n">
        <v>0</v>
      </c>
      <c r="AE92" t="inlineStr"/>
      <c r="AF92" t="inlineStr"/>
      <c r="AG92" t="inlineStr"/>
      <c r="AH92" t="inlineStr"/>
      <c r="AI92" t="inlineStr"/>
      <c r="AJ92" t="inlineStr"/>
      <c r="AK92" t="inlineStr"/>
      <c r="AL92" t="inlineStr"/>
      <c r="AM92" t="inlineStr"/>
    </row>
    <row r="93">
      <c r="A93" t="inlineStr">
        <is>
          <t>087879C</t>
        </is>
      </c>
      <c r="B93" t="inlineStr">
        <is>
          <t>Bachelor of Engineering (Honours) with the degree of Bachelor of Science</t>
        </is>
      </c>
      <c r="C93" t="inlineStr">
        <is>
          <t>Bachelor Honours Degree</t>
        </is>
      </c>
      <c r="D93" t="inlineStr">
        <is>
          <t>Undergraduate</t>
        </is>
      </c>
      <c r="E93" t="inlineStr">
        <is>
          <t>Advertised: official page in place</t>
        </is>
      </c>
      <c r="F93" t="inlineStr">
        <is>
          <t>https://handbook.mq.edu.au/2018/DegreesDiplomas/Degree/Bachelor+of+Engineering+%28Honours%29+with+the+degree+of+Bachelor+of+Science</t>
        </is>
      </c>
      <c r="G93" t="inlineStr">
        <is>
          <t>https://handbook.mq.edu.au/2018/DegreesDiplomas/Degree/Bachelor+of+Engineering+%28Honours%29+with+the+degree+of+Bachelor+of+Science</t>
        </is>
      </c>
      <c r="H93" t="inlineStr">
        <is>
          <t>Read</t>
        </is>
      </c>
      <c r="I93" t="inlineStr">
        <is>
          <t>CRICOS code on page</t>
        </is>
      </c>
      <c r="J93" t="inlineStr"/>
      <c r="K93" t="inlineStr">
        <is>
          <t>Not sent to re-link</t>
        </is>
      </c>
      <c r="L93" t="inlineStr">
        <is>
          <t>Filled</t>
        </is>
      </c>
      <c r="M93" t="inlineStr">
        <is>
          <t>Not stated on course page</t>
        </is>
      </c>
      <c r="N93" t="inlineStr"/>
      <c r="O93" t="n">
        <v>0</v>
      </c>
      <c r="P93" t="inlineStr"/>
      <c r="Q93" t="inlineStr">
        <is>
          <t>Filled</t>
        </is>
      </c>
      <c r="R93" t="n">
        <v>6.5</v>
      </c>
      <c r="S93" t="inlineStr">
        <is>
          <t>Other</t>
        </is>
      </c>
      <c r="T93" t="inlineStr">
        <is>
          <t>Central rule applies (value agrees)</t>
        </is>
      </c>
      <c r="U93" t="inlineStr"/>
      <c r="V93" t="inlineStr">
        <is>
          <t>Filled</t>
        </is>
      </c>
      <c r="W93" t="inlineStr">
        <is>
          <t>February, July</t>
        </is>
      </c>
      <c r="X93" t="inlineStr">
        <is>
          <t>Other</t>
        </is>
      </c>
      <c r="Y93" t="n">
        <v>0</v>
      </c>
      <c r="Z93" t="inlineStr">
        <is>
          <t>Yes</t>
        </is>
      </c>
      <c r="AA93" t="inlineStr">
        <is>
          <t>Filled</t>
        </is>
      </c>
      <c r="AB93" t="inlineStr">
        <is>
          <t>on campus</t>
        </is>
      </c>
      <c r="AC93" t="inlineStr">
        <is>
          <t>Filled</t>
        </is>
      </c>
      <c r="AD93" t="n">
        <v>0</v>
      </c>
      <c r="AE93" t="inlineStr"/>
      <c r="AF93" t="inlineStr"/>
      <c r="AG93" t="inlineStr"/>
      <c r="AH93" t="inlineStr"/>
      <c r="AI93" t="inlineStr"/>
      <c r="AJ93" t="inlineStr"/>
      <c r="AK93" t="inlineStr"/>
      <c r="AL93" t="inlineStr"/>
      <c r="AM93" t="inlineStr"/>
    </row>
    <row r="94">
      <c r="A94" t="inlineStr">
        <is>
          <t>060726J</t>
        </is>
      </c>
      <c r="B94" t="inlineStr">
        <is>
          <t>Bachelor of Engineering with the degree of Bachelor of Commerce</t>
        </is>
      </c>
      <c r="C94" t="inlineStr">
        <is>
          <t>Bachelor</t>
        </is>
      </c>
      <c r="D94" t="inlineStr">
        <is>
          <t>Undergraduate</t>
        </is>
      </c>
      <c r="E94" t="inlineStr">
        <is>
          <t>Advertised: official page in place</t>
        </is>
      </c>
      <c r="F94" t="inlineStr">
        <is>
          <t>https://handbook.mq.edu.au/2014/DegreesDiplomas/Degree/Bachelor+of+Engineering+with+the+degree+of+Bachelor+of+Commerce</t>
        </is>
      </c>
      <c r="G94" t="inlineStr">
        <is>
          <t>https://handbook.mq.edu.au/2014/DegreesDiplomas/Degree/Bachelor+of+Engineering+with+the+degree+of+Bachelor+of+Commerce</t>
        </is>
      </c>
      <c r="H94" t="inlineStr">
        <is>
          <t>Read</t>
        </is>
      </c>
      <c r="I94" t="inlineStr">
        <is>
          <t>Exact title match</t>
        </is>
      </c>
      <c r="J94" t="inlineStr"/>
      <c r="K94" t="inlineStr">
        <is>
          <t>Not sent to re-link</t>
        </is>
      </c>
      <c r="L94" t="inlineStr">
        <is>
          <t>Filled</t>
        </is>
      </c>
      <c r="M94" t="inlineStr">
        <is>
          <t>Not stated on course page</t>
        </is>
      </c>
      <c r="N94" t="inlineStr"/>
      <c r="O94" t="n">
        <v>0</v>
      </c>
      <c r="P94" t="inlineStr"/>
      <c r="Q94" t="inlineStr">
        <is>
          <t>Filled</t>
        </is>
      </c>
      <c r="R94" t="n">
        <v>6.5</v>
      </c>
      <c r="S94" t="inlineStr">
        <is>
          <t>Central English policy</t>
        </is>
      </c>
      <c r="T94" t="inlineStr">
        <is>
          <t>Central rule applies (value agrees)</t>
        </is>
      </c>
      <c r="U94" t="inlineStr"/>
      <c r="V94" t="inlineStr">
        <is>
          <t>Filled</t>
        </is>
      </c>
      <c r="W94" t="inlineStr">
        <is>
          <t>March, August</t>
        </is>
      </c>
      <c r="X94" t="inlineStr">
        <is>
          <t>Page reader</t>
        </is>
      </c>
      <c r="Y94" t="n">
        <v>0</v>
      </c>
      <c r="Z94" t="inlineStr">
        <is>
          <t>Yes</t>
        </is>
      </c>
      <c r="AA94" t="inlineStr">
        <is>
          <t>Filled</t>
        </is>
      </c>
      <c r="AB94" t="inlineStr">
        <is>
          <t>on campus</t>
        </is>
      </c>
      <c r="AC94" t="inlineStr">
        <is>
          <t>Filled</t>
        </is>
      </c>
      <c r="AD94" t="n">
        <v>0</v>
      </c>
      <c r="AE94" t="inlineStr"/>
      <c r="AF94" t="inlineStr"/>
      <c r="AG94" t="inlineStr"/>
      <c r="AH94" t="inlineStr"/>
      <c r="AI94" t="inlineStr"/>
      <c r="AJ94" t="inlineStr"/>
      <c r="AK94" t="inlineStr"/>
      <c r="AL94" t="inlineStr"/>
      <c r="AM94" t="inlineStr"/>
    </row>
    <row r="95">
      <c r="A95" t="inlineStr">
        <is>
          <t>060727G</t>
        </is>
      </c>
      <c r="B95" t="inlineStr">
        <is>
          <t>Bachelor of Engineering with the degree of Bachelor of Science</t>
        </is>
      </c>
      <c r="C95" t="inlineStr">
        <is>
          <t>Bachelor</t>
        </is>
      </c>
      <c r="D95" t="inlineStr">
        <is>
          <t>Undergraduate</t>
        </is>
      </c>
      <c r="E95" t="inlineStr">
        <is>
          <t>Advertised: official page in place</t>
        </is>
      </c>
      <c r="F95" t="inlineStr">
        <is>
          <t>https://handbook.mq.edu.au/2014/DegreesDiplomas/Degree/Bachelor+of+Engineering+with+the+degree+of+Bachelor+of+Science</t>
        </is>
      </c>
      <c r="G95" t="inlineStr">
        <is>
          <t>https://handbook.mq.edu.au/2014/DegreesDiplomas/Degree/Bachelor+of+Engineering+with+the+degree+of+Bachelor+of+Science</t>
        </is>
      </c>
      <c r="H95" t="inlineStr">
        <is>
          <t>Read</t>
        </is>
      </c>
      <c r="I95" t="inlineStr">
        <is>
          <t>Exact title match</t>
        </is>
      </c>
      <c r="J95" t="inlineStr"/>
      <c r="K95" t="inlineStr">
        <is>
          <t>Not sent to re-link</t>
        </is>
      </c>
      <c r="L95" t="inlineStr">
        <is>
          <t>Filled</t>
        </is>
      </c>
      <c r="M95" t="inlineStr">
        <is>
          <t>Not stated on course page</t>
        </is>
      </c>
      <c r="N95" t="inlineStr"/>
      <c r="O95" t="n">
        <v>0</v>
      </c>
      <c r="P95" t="inlineStr"/>
      <c r="Q95" t="inlineStr">
        <is>
          <t>Filled</t>
        </is>
      </c>
      <c r="R95" t="n">
        <v>6.5</v>
      </c>
      <c r="S95" t="inlineStr">
        <is>
          <t>Central English policy</t>
        </is>
      </c>
      <c r="T95" t="inlineStr">
        <is>
          <t>Central rule applies (value agrees)</t>
        </is>
      </c>
      <c r="U95" t="inlineStr"/>
      <c r="V95" t="inlineStr">
        <is>
          <t>Filled</t>
        </is>
      </c>
      <c r="W95" t="inlineStr">
        <is>
          <t>March, August</t>
        </is>
      </c>
      <c r="X95" t="inlineStr">
        <is>
          <t>Page reader</t>
        </is>
      </c>
      <c r="Y95" t="n">
        <v>0</v>
      </c>
      <c r="Z95" t="inlineStr">
        <is>
          <t>Yes</t>
        </is>
      </c>
      <c r="AA95" t="inlineStr">
        <is>
          <t>Filled</t>
        </is>
      </c>
      <c r="AB95" t="inlineStr">
        <is>
          <t>on campus</t>
        </is>
      </c>
      <c r="AC95" t="inlineStr">
        <is>
          <t>Filled</t>
        </is>
      </c>
      <c r="AD95" t="n">
        <v>0</v>
      </c>
      <c r="AE95" t="inlineStr"/>
      <c r="AF95" t="inlineStr"/>
      <c r="AG95" t="inlineStr"/>
      <c r="AH95" t="inlineStr"/>
      <c r="AI95" t="inlineStr"/>
      <c r="AJ95" t="inlineStr"/>
      <c r="AK95" t="inlineStr"/>
      <c r="AL95" t="inlineStr"/>
      <c r="AM95" t="inlineStr"/>
    </row>
    <row r="96">
      <c r="A96" t="inlineStr">
        <is>
          <t>067858G</t>
        </is>
      </c>
      <c r="B96" t="inlineStr">
        <is>
          <t>Bachelor of Environment</t>
        </is>
      </c>
      <c r="C96" t="inlineStr">
        <is>
          <t>Bachelor</t>
        </is>
      </c>
      <c r="D96" t="inlineStr">
        <is>
          <t>Undergraduate</t>
        </is>
      </c>
      <c r="E96" t="inlineStr">
        <is>
          <t>Advertised: official page in place</t>
        </is>
      </c>
      <c r="F96" t="inlineStr">
        <is>
          <t>https://www.mq.edu.au/study/find-a-course/courses/2026/bachelor-of-environment</t>
        </is>
      </c>
      <c r="G96" t="inlineStr">
        <is>
          <t>https://www.mq.edu.au/study/find-a-course/courses/2026/bachelor-of-environment</t>
        </is>
      </c>
      <c r="H96" t="inlineStr">
        <is>
          <t>Read</t>
        </is>
      </c>
      <c r="I96" t="inlineStr">
        <is>
          <t>Exact title match</t>
        </is>
      </c>
      <c r="J96" t="inlineStr"/>
      <c r="K96" t="inlineStr">
        <is>
          <t>Not sent to re-link</t>
        </is>
      </c>
      <c r="L96" t="inlineStr">
        <is>
          <t>Filled</t>
        </is>
      </c>
      <c r="M96" t="inlineStr">
        <is>
          <t>Not stated on course page</t>
        </is>
      </c>
      <c r="N96" t="inlineStr"/>
      <c r="O96" t="n">
        <v>0</v>
      </c>
      <c r="P96" t="inlineStr"/>
      <c r="Q96" t="inlineStr">
        <is>
          <t>Filled</t>
        </is>
      </c>
      <c r="R96" t="n">
        <v>6.5</v>
      </c>
      <c r="S96" t="inlineStr">
        <is>
          <t>Other</t>
        </is>
      </c>
      <c r="T96" t="inlineStr">
        <is>
          <t>Central rule applies (value agrees)</t>
        </is>
      </c>
      <c r="U96" t="inlineStr"/>
      <c r="V96" t="inlineStr">
        <is>
          <t>Filled</t>
        </is>
      </c>
      <c r="W96" t="inlineStr">
        <is>
          <t>February, July</t>
        </is>
      </c>
      <c r="X96" t="inlineStr">
        <is>
          <t>University adapter</t>
        </is>
      </c>
      <c r="Y96" t="n">
        <v>0</v>
      </c>
      <c r="Z96" t="inlineStr">
        <is>
          <t>Yes</t>
        </is>
      </c>
      <c r="AA96" t="inlineStr">
        <is>
          <t>Filled</t>
        </is>
      </c>
      <c r="AB96" t="inlineStr">
        <is>
          <t>on campus</t>
        </is>
      </c>
      <c r="AC96" t="inlineStr">
        <is>
          <t>Filled</t>
        </is>
      </c>
      <c r="AD96" t="n">
        <v>0</v>
      </c>
      <c r="AE96" t="inlineStr"/>
      <c r="AF96" t="inlineStr"/>
      <c r="AG96" t="inlineStr"/>
      <c r="AH96" t="inlineStr"/>
      <c r="AI96" t="inlineStr"/>
      <c r="AJ96" t="inlineStr"/>
      <c r="AK96" t="inlineStr"/>
      <c r="AL96" t="inlineStr"/>
      <c r="AM96" t="inlineStr"/>
    </row>
    <row r="97">
      <c r="A97" t="inlineStr">
        <is>
          <t>120161G</t>
        </is>
      </c>
      <c r="B97" t="inlineStr">
        <is>
          <t>Bachelor of Environment and Conservation</t>
        </is>
      </c>
      <c r="C97" t="inlineStr">
        <is>
          <t>Bachelor</t>
        </is>
      </c>
      <c r="D97" t="inlineStr">
        <is>
          <t>Undergraduate</t>
        </is>
      </c>
      <c r="E97" t="inlineStr">
        <is>
          <t>Advertised: official page in place</t>
        </is>
      </c>
      <c r="F97" t="inlineStr">
        <is>
          <t>https://www.mq.edu.au/study/find-a-course/courses/bachelor-of-environment-and-conservation</t>
        </is>
      </c>
      <c r="G97" t="inlineStr">
        <is>
          <t>https://www.mq.edu.au/study/find-a-course/courses/bachelor-of-environment-and-conservation</t>
        </is>
      </c>
      <c r="H97" t="inlineStr">
        <is>
          <t>Read</t>
        </is>
      </c>
      <c r="I97" t="inlineStr">
        <is>
          <t>Exact title match</t>
        </is>
      </c>
      <c r="J97" t="inlineStr"/>
      <c r="K97" t="inlineStr">
        <is>
          <t>Not sent to re-link</t>
        </is>
      </c>
      <c r="L97" t="inlineStr">
        <is>
          <t>Filled</t>
        </is>
      </c>
      <c r="M97" t="inlineStr">
        <is>
          <t>Not stated on course page</t>
        </is>
      </c>
      <c r="N97" t="inlineStr"/>
      <c r="O97" t="n">
        <v>0</v>
      </c>
      <c r="P97" t="inlineStr"/>
      <c r="Q97" t="inlineStr">
        <is>
          <t>Filled</t>
        </is>
      </c>
      <c r="R97" t="n">
        <v>6.5</v>
      </c>
      <c r="S97" t="inlineStr">
        <is>
          <t>Other</t>
        </is>
      </c>
      <c r="T97" t="inlineStr">
        <is>
          <t>Central rule applies (value agrees)</t>
        </is>
      </c>
      <c r="U97" t="inlineStr"/>
      <c r="V97" t="inlineStr">
        <is>
          <t>Filled</t>
        </is>
      </c>
      <c r="W97" t="inlineStr">
        <is>
          <t>February, July</t>
        </is>
      </c>
      <c r="X97" t="inlineStr">
        <is>
          <t>Other</t>
        </is>
      </c>
      <c r="Y97" t="n">
        <v>0</v>
      </c>
      <c r="Z97" t="inlineStr">
        <is>
          <t>Yes</t>
        </is>
      </c>
      <c r="AA97" t="inlineStr">
        <is>
          <t>Filled</t>
        </is>
      </c>
      <c r="AB97" t="inlineStr">
        <is>
          <t>on campus</t>
        </is>
      </c>
      <c r="AC97" t="inlineStr">
        <is>
          <t>Filled</t>
        </is>
      </c>
      <c r="AD97" t="n">
        <v>0</v>
      </c>
      <c r="AE97" t="inlineStr"/>
      <c r="AF97" t="inlineStr"/>
      <c r="AG97" t="inlineStr"/>
      <c r="AH97" t="inlineStr"/>
      <c r="AI97" t="inlineStr"/>
      <c r="AJ97" t="inlineStr"/>
      <c r="AK97" t="inlineStr"/>
      <c r="AL97" t="inlineStr"/>
      <c r="AM97" t="inlineStr"/>
    </row>
    <row r="98">
      <c r="A98" t="inlineStr">
        <is>
          <t>108721C</t>
        </is>
      </c>
      <c r="B98" t="inlineStr">
        <is>
          <t>Bachelor of Exercise and Sports Science</t>
        </is>
      </c>
      <c r="C98" t="inlineStr">
        <is>
          <t>Bachelor</t>
        </is>
      </c>
      <c r="D98" t="inlineStr">
        <is>
          <t>Undergraduate</t>
        </is>
      </c>
      <c r="E98" t="inlineStr">
        <is>
          <t>Advertised: official page in place</t>
        </is>
      </c>
      <c r="F98" t="inlineStr">
        <is>
          <t>https://coursehandbook.mq.edu.au/2026/courses/C000371</t>
        </is>
      </c>
      <c r="G98" t="inlineStr">
        <is>
          <t>https://coursehandbook.mq.edu.au/2026/courses/C000371</t>
        </is>
      </c>
      <c r="H98" t="inlineStr">
        <is>
          <t>Read</t>
        </is>
      </c>
      <c r="I98" t="inlineStr">
        <is>
          <t>Exact title match</t>
        </is>
      </c>
      <c r="J98" t="inlineStr"/>
      <c r="K98" t="inlineStr">
        <is>
          <t>Not sent to re-link</t>
        </is>
      </c>
      <c r="L98" t="inlineStr">
        <is>
          <t>Filled</t>
        </is>
      </c>
      <c r="M98" t="inlineStr">
        <is>
          <t>Not stated on course page</t>
        </is>
      </c>
      <c r="N98" t="inlineStr"/>
      <c r="O98" t="n">
        <v>0</v>
      </c>
      <c r="P98" t="inlineStr"/>
      <c r="Q98" t="inlineStr">
        <is>
          <t>Filled</t>
        </is>
      </c>
      <c r="R98" t="n">
        <v>7</v>
      </c>
      <c r="S98" t="inlineStr">
        <is>
          <t>University adapter</t>
        </is>
      </c>
      <c r="T98" t="inlineStr">
        <is>
          <t>Central rule applies (course value differs)</t>
        </is>
      </c>
      <c r="U98" t="inlineStr">
        <is>
          <t>Yes: course has IELTS 7.00, central rule says 6.5</t>
        </is>
      </c>
      <c r="V98" t="inlineStr">
        <is>
          <t>Not stated on course page</t>
        </is>
      </c>
      <c r="W98" t="inlineStr"/>
      <c r="X98" t="inlineStr"/>
      <c r="Y98" t="n">
        <v>0</v>
      </c>
      <c r="Z98" t="inlineStr">
        <is>
          <t>Yes</t>
        </is>
      </c>
      <c r="AA98" t="inlineStr">
        <is>
          <t>Not stated on course page</t>
        </is>
      </c>
      <c r="AB98" t="inlineStr"/>
      <c r="AC98" t="inlineStr">
        <is>
          <t>Skipped: the page does not state it</t>
        </is>
      </c>
      <c r="AD98" t="n">
        <v>0</v>
      </c>
      <c r="AE98" t="inlineStr"/>
      <c r="AF98" t="inlineStr"/>
      <c r="AG98" t="inlineStr"/>
      <c r="AH98" t="inlineStr"/>
      <c r="AI98" t="inlineStr"/>
      <c r="AJ98" t="inlineStr"/>
      <c r="AK98" t="inlineStr"/>
      <c r="AL98" t="inlineStr"/>
      <c r="AM98" t="inlineStr"/>
    </row>
    <row r="99">
      <c r="A99" t="inlineStr">
        <is>
          <t>099144K</t>
        </is>
      </c>
      <c r="B99" t="inlineStr">
        <is>
          <t>Bachelor of Game Design and Development</t>
        </is>
      </c>
      <c r="C99" t="inlineStr">
        <is>
          <t>Bachelor</t>
        </is>
      </c>
      <c r="D99" t="inlineStr">
        <is>
          <t>Undergraduate</t>
        </is>
      </c>
      <c r="E99" t="inlineStr">
        <is>
          <t>Advertised: official page in place</t>
        </is>
      </c>
      <c r="F99" t="inlineStr">
        <is>
          <t>https://coursehandbook.mq.edu.au/2026/courses/C000006</t>
        </is>
      </c>
      <c r="G99" t="inlineStr">
        <is>
          <t>https://coursehandbook.mq.edu.au/2026/courses/C000006</t>
        </is>
      </c>
      <c r="H99" t="inlineStr">
        <is>
          <t>Read</t>
        </is>
      </c>
      <c r="I99" t="inlineStr">
        <is>
          <t>Exact title match</t>
        </is>
      </c>
      <c r="J99" t="inlineStr"/>
      <c r="K99" t="inlineStr">
        <is>
          <t>Not sent to re-link</t>
        </is>
      </c>
      <c r="L99" t="inlineStr">
        <is>
          <t>Filled</t>
        </is>
      </c>
      <c r="M99" t="inlineStr">
        <is>
          <t>Not stated on course page</t>
        </is>
      </c>
      <c r="N99" t="inlineStr"/>
      <c r="O99" t="n">
        <v>0</v>
      </c>
      <c r="P99" t="inlineStr"/>
      <c r="Q99" t="inlineStr">
        <is>
          <t>Filled</t>
        </is>
      </c>
      <c r="R99" t="n">
        <v>6.5</v>
      </c>
      <c r="S99" t="inlineStr">
        <is>
          <t>University adapter</t>
        </is>
      </c>
      <c r="T99" t="inlineStr">
        <is>
          <t>Central rule applies (value agrees)</t>
        </is>
      </c>
      <c r="U99" t="inlineStr"/>
      <c r="V99" t="inlineStr">
        <is>
          <t>Not stated on course page</t>
        </is>
      </c>
      <c r="W99" t="inlineStr"/>
      <c r="X99" t="inlineStr"/>
      <c r="Y99" t="n">
        <v>0</v>
      </c>
      <c r="Z99" t="inlineStr">
        <is>
          <t>Yes</t>
        </is>
      </c>
      <c r="AA99" t="inlineStr">
        <is>
          <t>Not stated on course page</t>
        </is>
      </c>
      <c r="AB99" t="inlineStr"/>
      <c r="AC99" t="inlineStr">
        <is>
          <t>Skipped: the page does not state it</t>
        </is>
      </c>
      <c r="AD99" t="n">
        <v>0</v>
      </c>
      <c r="AE99" t="inlineStr"/>
      <c r="AF99" t="inlineStr"/>
      <c r="AG99" t="inlineStr"/>
      <c r="AH99" t="inlineStr"/>
      <c r="AI99" t="inlineStr"/>
      <c r="AJ99" t="inlineStr"/>
      <c r="AK99" t="inlineStr"/>
      <c r="AL99" t="inlineStr"/>
      <c r="AM99" t="inlineStr"/>
    </row>
    <row r="100">
      <c r="A100" t="inlineStr">
        <is>
          <t>080286G</t>
        </is>
      </c>
      <c r="B100" t="inlineStr">
        <is>
          <t>Bachelor of Global Business</t>
        </is>
      </c>
      <c r="C100" t="inlineStr">
        <is>
          <t>Bachelor</t>
        </is>
      </c>
      <c r="D100" t="inlineStr">
        <is>
          <t>Undergraduate</t>
        </is>
      </c>
      <c r="E100" t="inlineStr">
        <is>
          <t>Advertised: official page in place</t>
        </is>
      </c>
      <c r="F100" t="inlineStr">
        <is>
          <t>https://handbook.mq.edu.au/2019/DegreesDiplomas/Degree/Bachelor+of+Global+Business</t>
        </is>
      </c>
      <c r="G100" t="inlineStr">
        <is>
          <t>https://handbook.mq.edu.au/2019/DegreesDiplomas/Degree/Bachelor+of+Global+Business</t>
        </is>
      </c>
      <c r="H100" t="inlineStr">
        <is>
          <t>Read</t>
        </is>
      </c>
      <c r="I100" t="inlineStr">
        <is>
          <t>CRICOS code on page</t>
        </is>
      </c>
      <c r="J100" t="inlineStr"/>
      <c r="K100" t="inlineStr">
        <is>
          <t>Not sent to re-link</t>
        </is>
      </c>
      <c r="L100" t="inlineStr">
        <is>
          <t>Filled</t>
        </is>
      </c>
      <c r="M100" t="inlineStr">
        <is>
          <t>Not stated on course page</t>
        </is>
      </c>
      <c r="N100" t="inlineStr"/>
      <c r="O100" t="n">
        <v>0</v>
      </c>
      <c r="P100" t="inlineStr"/>
      <c r="Q100" t="inlineStr">
        <is>
          <t>Filled</t>
        </is>
      </c>
      <c r="R100" t="n">
        <v>6.5</v>
      </c>
      <c r="S100" t="inlineStr">
        <is>
          <t>Other</t>
        </is>
      </c>
      <c r="T100" t="inlineStr">
        <is>
          <t>Central rule applies (value agrees)</t>
        </is>
      </c>
      <c r="U100" t="inlineStr"/>
      <c r="V100" t="inlineStr">
        <is>
          <t>Filled</t>
        </is>
      </c>
      <c r="W100" t="inlineStr">
        <is>
          <t>February</t>
        </is>
      </c>
      <c r="X100" t="inlineStr">
        <is>
          <t>Other</t>
        </is>
      </c>
      <c r="Y100" t="n">
        <v>0</v>
      </c>
      <c r="Z100" t="inlineStr">
        <is>
          <t>Yes</t>
        </is>
      </c>
      <c r="AA100" t="inlineStr">
        <is>
          <t>Filled</t>
        </is>
      </c>
      <c r="AB100" t="inlineStr">
        <is>
          <t>on campus</t>
        </is>
      </c>
      <c r="AC100" t="inlineStr">
        <is>
          <t>Filled</t>
        </is>
      </c>
      <c r="AD100" t="n">
        <v>0</v>
      </c>
      <c r="AE100" t="inlineStr"/>
      <c r="AF100" t="inlineStr"/>
      <c r="AG100" t="inlineStr"/>
      <c r="AH100" t="inlineStr"/>
      <c r="AI100" t="inlineStr"/>
      <c r="AJ100" t="inlineStr"/>
      <c r="AK100" t="inlineStr"/>
      <c r="AL100" t="inlineStr"/>
      <c r="AM100" t="inlineStr"/>
    </row>
    <row r="101">
      <c r="A101" t="inlineStr">
        <is>
          <t>117556C</t>
        </is>
      </c>
      <c r="B101" t="inlineStr">
        <is>
          <t>Bachelor of Health Sciences</t>
        </is>
      </c>
      <c r="C101" t="inlineStr">
        <is>
          <t>Bachelor</t>
        </is>
      </c>
      <c r="D101" t="inlineStr">
        <is>
          <t>Undergraduate</t>
        </is>
      </c>
      <c r="E101" t="inlineStr">
        <is>
          <t>Advertised: official page in place</t>
        </is>
      </c>
      <c r="F101" t="inlineStr">
        <is>
          <t>https://coursehandbook.mq.edu.au/2026/courses/c000432</t>
        </is>
      </c>
      <c r="G101" t="inlineStr">
        <is>
          <t>https://coursehandbook.mq.edu.au/2026/courses/c000432</t>
        </is>
      </c>
      <c r="H101" t="inlineStr">
        <is>
          <t>Read</t>
        </is>
      </c>
      <c r="I101" t="inlineStr">
        <is>
          <t>Exact title match</t>
        </is>
      </c>
      <c r="J101" t="inlineStr"/>
      <c r="K101" t="inlineStr">
        <is>
          <t>Not sent to re-link</t>
        </is>
      </c>
      <c r="L101" t="inlineStr">
        <is>
          <t>Filled</t>
        </is>
      </c>
      <c r="M101" t="inlineStr">
        <is>
          <t>Not stated on course page</t>
        </is>
      </c>
      <c r="N101" t="inlineStr"/>
      <c r="O101" t="n">
        <v>0</v>
      </c>
      <c r="P101" t="inlineStr"/>
      <c r="Q101" t="inlineStr">
        <is>
          <t>Filled</t>
        </is>
      </c>
      <c r="R101" t="n">
        <v>6.5</v>
      </c>
      <c r="S101" t="inlineStr">
        <is>
          <t>University adapter</t>
        </is>
      </c>
      <c r="T101" t="inlineStr">
        <is>
          <t>Central rule applies (value agrees)</t>
        </is>
      </c>
      <c r="U101" t="inlineStr"/>
      <c r="V101" t="inlineStr">
        <is>
          <t>Not stated on course page</t>
        </is>
      </c>
      <c r="W101" t="inlineStr"/>
      <c r="X101" t="inlineStr"/>
      <c r="Y101" t="n">
        <v>0</v>
      </c>
      <c r="Z101" t="inlineStr">
        <is>
          <t>Yes</t>
        </is>
      </c>
      <c r="AA101" t="inlineStr">
        <is>
          <t>Not stated on course page</t>
        </is>
      </c>
      <c r="AB101" t="inlineStr"/>
      <c r="AC101" t="inlineStr">
        <is>
          <t>Skipped: the page does not state it</t>
        </is>
      </c>
      <c r="AD101" t="n">
        <v>0</v>
      </c>
      <c r="AE101" t="inlineStr"/>
      <c r="AF101" t="inlineStr"/>
      <c r="AG101" t="inlineStr"/>
      <c r="AH101" t="inlineStr"/>
      <c r="AI101" t="inlineStr"/>
      <c r="AJ101" t="inlineStr"/>
      <c r="AK101" t="inlineStr"/>
      <c r="AL101" t="inlineStr"/>
      <c r="AM101" t="inlineStr"/>
    </row>
    <row r="102">
      <c r="A102" t="inlineStr">
        <is>
          <t>083742G</t>
        </is>
      </c>
      <c r="B102" t="inlineStr">
        <is>
          <t>Bachelor of Hellenic Studies</t>
        </is>
      </c>
      <c r="C102" t="inlineStr">
        <is>
          <t>Bachelor</t>
        </is>
      </c>
      <c r="D102" t="inlineStr">
        <is>
          <t>Undergraduate</t>
        </is>
      </c>
      <c r="E102" t="inlineStr">
        <is>
          <t>Advertised: official page in place</t>
        </is>
      </c>
      <c r="F102" t="inlineStr">
        <is>
          <t>https://handbook.mq.edu.au/2019/DegreesDiplomas/Degree/Bachelor+of+Hellenic+Studies</t>
        </is>
      </c>
      <c r="G102" t="inlineStr">
        <is>
          <t>https://handbook.mq.edu.au/2019/DegreesDiplomas/Degree/Bachelor+of+Hellenic+Studies</t>
        </is>
      </c>
      <c r="H102" t="inlineStr">
        <is>
          <t>Read</t>
        </is>
      </c>
      <c r="I102" t="inlineStr">
        <is>
          <t>CRICOS code on page</t>
        </is>
      </c>
      <c r="J102" t="inlineStr"/>
      <c r="K102" t="inlineStr">
        <is>
          <t>Not sent to re-link</t>
        </is>
      </c>
      <c r="L102" t="inlineStr">
        <is>
          <t>Filled</t>
        </is>
      </c>
      <c r="M102" t="inlineStr">
        <is>
          <t>Not stated on course page</t>
        </is>
      </c>
      <c r="N102" t="inlineStr"/>
      <c r="O102" t="n">
        <v>0</v>
      </c>
      <c r="P102" t="inlineStr"/>
      <c r="Q102" t="inlineStr">
        <is>
          <t>Filled</t>
        </is>
      </c>
      <c r="R102" t="n">
        <v>6.5</v>
      </c>
      <c r="S102" t="inlineStr">
        <is>
          <t>Other</t>
        </is>
      </c>
      <c r="T102" t="inlineStr">
        <is>
          <t>Central rule applies (value agrees)</t>
        </is>
      </c>
      <c r="U102" t="inlineStr"/>
      <c r="V102" t="inlineStr">
        <is>
          <t>Filled</t>
        </is>
      </c>
      <c r="W102" t="inlineStr">
        <is>
          <t>February</t>
        </is>
      </c>
      <c r="X102" t="inlineStr">
        <is>
          <t>Other</t>
        </is>
      </c>
      <c r="Y102" t="n">
        <v>0</v>
      </c>
      <c r="Z102" t="inlineStr">
        <is>
          <t>Yes</t>
        </is>
      </c>
      <c r="AA102" t="inlineStr">
        <is>
          <t>Filled</t>
        </is>
      </c>
      <c r="AB102" t="inlineStr">
        <is>
          <t>blended</t>
        </is>
      </c>
      <c r="AC102" t="inlineStr">
        <is>
          <t>Filled</t>
        </is>
      </c>
      <c r="AD102" t="n">
        <v>0</v>
      </c>
      <c r="AE102" t="inlineStr"/>
      <c r="AF102" t="inlineStr"/>
      <c r="AG102" t="inlineStr"/>
      <c r="AH102" t="inlineStr"/>
      <c r="AI102" t="inlineStr"/>
      <c r="AJ102" t="inlineStr"/>
      <c r="AK102" t="inlineStr"/>
      <c r="AL102" t="inlineStr"/>
      <c r="AM102" t="inlineStr"/>
    </row>
    <row r="103">
      <c r="A103" t="inlineStr">
        <is>
          <t>118456K</t>
        </is>
      </c>
      <c r="B103" t="inlineStr">
        <is>
          <t>Bachelor of History</t>
        </is>
      </c>
      <c r="C103" t="inlineStr">
        <is>
          <t>Bachelor</t>
        </is>
      </c>
      <c r="D103" t="inlineStr">
        <is>
          <t>Undergraduate</t>
        </is>
      </c>
      <c r="E103" t="inlineStr">
        <is>
          <t>Advertised: official page in place</t>
        </is>
      </c>
      <c r="F103" t="inlineStr">
        <is>
          <t>https://coursehandbook.mq.edu.au/2026/courses/C000454</t>
        </is>
      </c>
      <c r="G103" t="inlineStr">
        <is>
          <t>https://coursehandbook.mq.edu.au/2026/courses/C000454</t>
        </is>
      </c>
      <c r="H103" t="inlineStr">
        <is>
          <t>Read</t>
        </is>
      </c>
      <c r="I103" t="inlineStr">
        <is>
          <t>Exact title match</t>
        </is>
      </c>
      <c r="J103" t="inlineStr"/>
      <c r="K103" t="inlineStr">
        <is>
          <t>Not sent to re-link</t>
        </is>
      </c>
      <c r="L103" t="inlineStr">
        <is>
          <t>Filled</t>
        </is>
      </c>
      <c r="M103" t="inlineStr">
        <is>
          <t>Not stated on course page</t>
        </is>
      </c>
      <c r="N103" t="inlineStr"/>
      <c r="O103" t="n">
        <v>0</v>
      </c>
      <c r="P103" t="inlineStr"/>
      <c r="Q103" t="inlineStr">
        <is>
          <t>Filled</t>
        </is>
      </c>
      <c r="R103" t="n">
        <v>6.5</v>
      </c>
      <c r="S103" t="inlineStr">
        <is>
          <t>University adapter</t>
        </is>
      </c>
      <c r="T103" t="inlineStr">
        <is>
          <t>Central rule applies (value agrees)</t>
        </is>
      </c>
      <c r="U103" t="inlineStr"/>
      <c r="V103" t="inlineStr">
        <is>
          <t>Not stated on course page</t>
        </is>
      </c>
      <c r="W103" t="inlineStr"/>
      <c r="X103" t="inlineStr"/>
      <c r="Y103" t="n">
        <v>0</v>
      </c>
      <c r="Z103" t="inlineStr">
        <is>
          <t>Yes</t>
        </is>
      </c>
      <c r="AA103" t="inlineStr">
        <is>
          <t>Not stated on course page</t>
        </is>
      </c>
      <c r="AB103" t="inlineStr"/>
      <c r="AC103" t="inlineStr">
        <is>
          <t>Skipped: the page does not state it</t>
        </is>
      </c>
      <c r="AD103" t="n">
        <v>0</v>
      </c>
      <c r="AE103" t="inlineStr"/>
      <c r="AF103" t="inlineStr"/>
      <c r="AG103" t="inlineStr"/>
      <c r="AH103" t="inlineStr"/>
      <c r="AI103" t="inlineStr"/>
      <c r="AJ103" t="inlineStr"/>
      <c r="AK103" t="inlineStr"/>
      <c r="AL103" t="inlineStr"/>
      <c r="AM103" t="inlineStr"/>
    </row>
    <row r="104">
      <c r="A104" t="inlineStr">
        <is>
          <t>080285G</t>
        </is>
      </c>
      <c r="B104" t="inlineStr">
        <is>
          <t>Bachelor of Human Sciences</t>
        </is>
      </c>
      <c r="C104" t="inlineStr">
        <is>
          <t>Bachelor</t>
        </is>
      </c>
      <c r="D104" t="inlineStr">
        <is>
          <t>Undergraduate</t>
        </is>
      </c>
      <c r="E104" t="inlineStr">
        <is>
          <t>Page address no longer works</t>
        </is>
      </c>
      <c r="F104" t="inlineStr"/>
      <c r="G104" t="inlineStr">
        <is>
          <t>https://coursehandbook.mq.edu.au/2026/doubledegree/d000078</t>
        </is>
      </c>
      <c r="H104" t="inlineStr">
        <is>
          <t>Address no longer works</t>
        </is>
      </c>
      <c r="I104" t="inlineStr"/>
      <c r="J104" t="inlineStr"/>
      <c r="K104" t="inlineStr">
        <is>
          <t>Not sent to re-link</t>
        </is>
      </c>
      <c r="L104" t="inlineStr">
        <is>
          <t>Page found, being read</t>
        </is>
      </c>
      <c r="M104" t="inlineStr">
        <is>
          <t>Page found, being read</t>
        </is>
      </c>
      <c r="N104" t="inlineStr"/>
      <c r="O104" t="n">
        <v>0</v>
      </c>
      <c r="P104" t="inlineStr"/>
      <c r="Q104" t="inlineStr">
        <is>
          <t>Filled</t>
        </is>
      </c>
      <c r="R104" t="n">
        <v>6.5</v>
      </c>
      <c r="S104" t="inlineStr">
        <is>
          <t>Central English policy</t>
        </is>
      </c>
      <c r="T104" t="inlineStr">
        <is>
          <t>Central rule applies (value agrees)</t>
        </is>
      </c>
      <c r="U104" t="inlineStr"/>
      <c r="V104" t="inlineStr">
        <is>
          <t>Page found, being read</t>
        </is>
      </c>
      <c r="W104" t="inlineStr"/>
      <c r="X104" t="inlineStr"/>
      <c r="Y104" t="n">
        <v>0</v>
      </c>
      <c r="Z104" t="inlineStr">
        <is>
          <t>Yes</t>
        </is>
      </c>
      <c r="AA104" t="inlineStr">
        <is>
          <t>Not stated on course page</t>
        </is>
      </c>
      <c r="AB104" t="inlineStr"/>
      <c r="AC104" t="inlineStr">
        <is>
          <t>Skipped: no allowed source had a value</t>
        </is>
      </c>
      <c r="AD104" t="n">
        <v>0</v>
      </c>
      <c r="AE104" t="inlineStr"/>
      <c r="AF104" t="inlineStr"/>
      <c r="AG104" t="inlineStr"/>
      <c r="AH104" t="inlineStr"/>
      <c r="AI104" t="inlineStr"/>
      <c r="AJ104" t="inlineStr"/>
      <c r="AK104" t="inlineStr"/>
      <c r="AL104" t="inlineStr"/>
      <c r="AM104" t="inlineStr"/>
    </row>
    <row r="105">
      <c r="A105" t="inlineStr">
        <is>
          <t>047327M</t>
        </is>
      </c>
      <c r="B105" t="inlineStr">
        <is>
          <t>Bachelor of Information Technology</t>
        </is>
      </c>
      <c r="C105" t="inlineStr">
        <is>
          <t>Bachelor</t>
        </is>
      </c>
      <c r="D105" t="inlineStr">
        <is>
          <t>Undergraduate</t>
        </is>
      </c>
      <c r="E105" t="inlineStr">
        <is>
          <t>Advertised: official page in place</t>
        </is>
      </c>
      <c r="F105" t="inlineStr">
        <is>
          <t>https://coursehandbook.mq.edu.au/2026/courses/C000105</t>
        </is>
      </c>
      <c r="G105" t="inlineStr">
        <is>
          <t>https://coursehandbook.mq.edu.au/2026/courses/C000105</t>
        </is>
      </c>
      <c r="H105" t="inlineStr">
        <is>
          <t>Read</t>
        </is>
      </c>
      <c r="I105" t="inlineStr">
        <is>
          <t>Exact title match</t>
        </is>
      </c>
      <c r="J105" t="inlineStr"/>
      <c r="K105" t="inlineStr">
        <is>
          <t>Not sent to re-link</t>
        </is>
      </c>
      <c r="L105" t="inlineStr">
        <is>
          <t>Filled</t>
        </is>
      </c>
      <c r="M105" t="inlineStr">
        <is>
          <t>Not stated on course page</t>
        </is>
      </c>
      <c r="N105" t="inlineStr"/>
      <c r="O105" t="n">
        <v>0</v>
      </c>
      <c r="P105" t="inlineStr"/>
      <c r="Q105" t="inlineStr">
        <is>
          <t>Filled</t>
        </is>
      </c>
      <c r="R105" t="n">
        <v>6.5</v>
      </c>
      <c r="S105" t="inlineStr">
        <is>
          <t>University adapter</t>
        </is>
      </c>
      <c r="T105" t="inlineStr">
        <is>
          <t>Central rule applies (value agrees)</t>
        </is>
      </c>
      <c r="U105" t="inlineStr"/>
      <c r="V105" t="inlineStr">
        <is>
          <t>Not stated on course page</t>
        </is>
      </c>
      <c r="W105" t="inlineStr"/>
      <c r="X105" t="inlineStr"/>
      <c r="Y105" t="n">
        <v>0</v>
      </c>
      <c r="Z105" t="inlineStr">
        <is>
          <t>Yes</t>
        </is>
      </c>
      <c r="AA105" t="inlineStr">
        <is>
          <t>Not stated on course page</t>
        </is>
      </c>
      <c r="AB105" t="inlineStr"/>
      <c r="AC105" t="inlineStr">
        <is>
          <t>Skipped: the page does not state it</t>
        </is>
      </c>
      <c r="AD105" t="n">
        <v>0</v>
      </c>
      <c r="AE105" t="inlineStr"/>
      <c r="AF105" t="inlineStr"/>
      <c r="AG105" t="inlineStr"/>
      <c r="AH105" t="inlineStr"/>
      <c r="AI105" t="inlineStr"/>
      <c r="AJ105" t="inlineStr"/>
      <c r="AK105" t="inlineStr"/>
      <c r="AL105" t="inlineStr"/>
      <c r="AM105" t="inlineStr"/>
    </row>
    <row r="106">
      <c r="A106" t="inlineStr">
        <is>
          <t>118457J</t>
        </is>
      </c>
      <c r="B106" t="inlineStr">
        <is>
          <t>Bachelor of International Studies</t>
        </is>
      </c>
      <c r="C106" t="inlineStr">
        <is>
          <t>Bachelor</t>
        </is>
      </c>
      <c r="D106" t="inlineStr">
        <is>
          <t>Undergraduate</t>
        </is>
      </c>
      <c r="E106" t="inlineStr">
        <is>
          <t>Advertised: official page in place</t>
        </is>
      </c>
      <c r="F106" t="inlineStr">
        <is>
          <t>https://coursehandbook.mq.edu.au/2026/courses/C000458</t>
        </is>
      </c>
      <c r="G106" t="inlineStr">
        <is>
          <t>https://coursehandbook.mq.edu.au/2026/courses/C000458</t>
        </is>
      </c>
      <c r="H106" t="inlineStr">
        <is>
          <t>Read</t>
        </is>
      </c>
      <c r="I106" t="inlineStr">
        <is>
          <t>Exact title match</t>
        </is>
      </c>
      <c r="J106" t="inlineStr"/>
      <c r="K106" t="inlineStr">
        <is>
          <t>Not sent to re-link</t>
        </is>
      </c>
      <c r="L106" t="inlineStr">
        <is>
          <t>Filled</t>
        </is>
      </c>
      <c r="M106" t="inlineStr">
        <is>
          <t>Not stated on course page</t>
        </is>
      </c>
      <c r="N106" t="inlineStr"/>
      <c r="O106" t="n">
        <v>0</v>
      </c>
      <c r="P106" t="inlineStr"/>
      <c r="Q106" t="inlineStr">
        <is>
          <t>Filled</t>
        </is>
      </c>
      <c r="R106" t="n">
        <v>6.5</v>
      </c>
      <c r="S106" t="inlineStr">
        <is>
          <t>University adapter</t>
        </is>
      </c>
      <c r="T106" t="inlineStr">
        <is>
          <t>Central rule applies (value agrees)</t>
        </is>
      </c>
      <c r="U106" t="inlineStr"/>
      <c r="V106" t="inlineStr">
        <is>
          <t>Not stated on course page</t>
        </is>
      </c>
      <c r="W106" t="inlineStr"/>
      <c r="X106" t="inlineStr"/>
      <c r="Y106" t="n">
        <v>0</v>
      </c>
      <c r="Z106" t="inlineStr">
        <is>
          <t>Yes</t>
        </is>
      </c>
      <c r="AA106" t="inlineStr">
        <is>
          <t>Not stated on course page</t>
        </is>
      </c>
      <c r="AB106" t="inlineStr"/>
      <c r="AC106" t="inlineStr">
        <is>
          <t>Skipped: the page does not state it</t>
        </is>
      </c>
      <c r="AD106" t="n">
        <v>0</v>
      </c>
      <c r="AE106" t="inlineStr"/>
      <c r="AF106" t="inlineStr"/>
      <c r="AG106" t="inlineStr"/>
      <c r="AH106" t="inlineStr"/>
      <c r="AI106" t="inlineStr"/>
      <c r="AJ106" t="inlineStr"/>
      <c r="AK106" t="inlineStr"/>
      <c r="AL106" t="inlineStr"/>
      <c r="AM106" t="inlineStr"/>
    </row>
    <row r="107">
      <c r="A107" t="inlineStr">
        <is>
          <t>054336G</t>
        </is>
      </c>
      <c r="B107" t="inlineStr">
        <is>
          <t>Bachelor of International Studies</t>
        </is>
      </c>
      <c r="C107" t="inlineStr">
        <is>
          <t>Bachelor</t>
        </is>
      </c>
      <c r="D107" t="inlineStr">
        <is>
          <t>Undergraduate</t>
        </is>
      </c>
      <c r="E107" t="inlineStr">
        <is>
          <t>Advertised: official page in place</t>
        </is>
      </c>
      <c r="F107" t="inlineStr">
        <is>
          <t>https://www.mq.edu.au/study/find-a-course/courses/bachelor-of-international-studies</t>
        </is>
      </c>
      <c r="G107" t="inlineStr">
        <is>
          <t>https://www.mq.edu.au/study/find-a-course/courses/bachelor-of-international-studies</t>
        </is>
      </c>
      <c r="H107" t="inlineStr">
        <is>
          <t>Read</t>
        </is>
      </c>
      <c r="I107" t="inlineStr">
        <is>
          <t>Exact title match</t>
        </is>
      </c>
      <c r="J107" t="inlineStr"/>
      <c r="K107" t="inlineStr">
        <is>
          <t>Not sent to re-link</t>
        </is>
      </c>
      <c r="L107" t="inlineStr">
        <is>
          <t>Filled</t>
        </is>
      </c>
      <c r="M107" t="inlineStr">
        <is>
          <t>Not stated on course page</t>
        </is>
      </c>
      <c r="N107" t="inlineStr"/>
      <c r="O107" t="n">
        <v>0</v>
      </c>
      <c r="P107" t="inlineStr"/>
      <c r="Q107" t="inlineStr">
        <is>
          <t>Filled</t>
        </is>
      </c>
      <c r="R107" t="n">
        <v>6.5</v>
      </c>
      <c r="S107" t="inlineStr">
        <is>
          <t>Other</t>
        </is>
      </c>
      <c r="T107" t="inlineStr">
        <is>
          <t>Central rule applies (value agrees)</t>
        </is>
      </c>
      <c r="U107" t="inlineStr"/>
      <c r="V107" t="inlineStr">
        <is>
          <t>Filled</t>
        </is>
      </c>
      <c r="W107" t="inlineStr">
        <is>
          <t>February, July</t>
        </is>
      </c>
      <c r="X107" t="inlineStr">
        <is>
          <t>Other</t>
        </is>
      </c>
      <c r="Y107" t="n">
        <v>0</v>
      </c>
      <c r="Z107" t="inlineStr">
        <is>
          <t>Yes</t>
        </is>
      </c>
      <c r="AA107" t="inlineStr">
        <is>
          <t>Not stated on course page</t>
        </is>
      </c>
      <c r="AB107" t="inlineStr"/>
      <c r="AC107" t="inlineStr">
        <is>
          <t>Skipped: the page does not state it</t>
        </is>
      </c>
      <c r="AD107" t="n">
        <v>0</v>
      </c>
      <c r="AE107" t="inlineStr"/>
      <c r="AF107" t="inlineStr"/>
      <c r="AG107" t="inlineStr"/>
      <c r="AH107" t="inlineStr"/>
      <c r="AI107" t="inlineStr"/>
      <c r="AJ107" t="inlineStr"/>
      <c r="AK107" t="inlineStr"/>
      <c r="AL107" t="inlineStr"/>
      <c r="AM107" t="inlineStr"/>
    </row>
    <row r="108">
      <c r="A108" t="inlineStr">
        <is>
          <t>080288E</t>
        </is>
      </c>
      <c r="B108" t="inlineStr">
        <is>
          <t>Bachelor of Laws</t>
        </is>
      </c>
      <c r="C108" t="inlineStr">
        <is>
          <t>Bachelor</t>
        </is>
      </c>
      <c r="D108" t="inlineStr">
        <is>
          <t>Undergraduate</t>
        </is>
      </c>
      <c r="E108" t="inlineStr">
        <is>
          <t>Advertised: official page in place</t>
        </is>
      </c>
      <c r="F108" t="inlineStr">
        <is>
          <t>https://coursehandbook.mq.edu.au/2026/courses/C000132</t>
        </is>
      </c>
      <c r="G108" t="inlineStr">
        <is>
          <t>https://coursehandbook.mq.edu.au/2026/courses/C000132</t>
        </is>
      </c>
      <c r="H108" t="inlineStr">
        <is>
          <t>Read</t>
        </is>
      </c>
      <c r="I108" t="inlineStr">
        <is>
          <t>Exact title match</t>
        </is>
      </c>
      <c r="J108" t="inlineStr"/>
      <c r="K108" t="inlineStr">
        <is>
          <t>Not sent to re-link</t>
        </is>
      </c>
      <c r="L108" t="inlineStr">
        <is>
          <t>Filled</t>
        </is>
      </c>
      <c r="M108" t="inlineStr">
        <is>
          <t>Not stated on course page</t>
        </is>
      </c>
      <c r="N108" t="inlineStr"/>
      <c r="O108" t="n">
        <v>0</v>
      </c>
      <c r="P108" t="inlineStr"/>
      <c r="Q108" t="inlineStr">
        <is>
          <t>Filled</t>
        </is>
      </c>
      <c r="R108" t="n">
        <v>7</v>
      </c>
      <c r="S108" t="inlineStr">
        <is>
          <t>University adapter</t>
        </is>
      </c>
      <c r="T108" t="inlineStr">
        <is>
          <t>Central rule applies (course value differs)</t>
        </is>
      </c>
      <c r="U108" t="inlineStr">
        <is>
          <t>Yes: course has IELTS 7.00, central rule says 6.5</t>
        </is>
      </c>
      <c r="V108" t="inlineStr">
        <is>
          <t>Not stated on course page</t>
        </is>
      </c>
      <c r="W108" t="inlineStr"/>
      <c r="X108" t="inlineStr"/>
      <c r="Y108" t="n">
        <v>0</v>
      </c>
      <c r="Z108" t="inlineStr">
        <is>
          <t>Yes</t>
        </is>
      </c>
      <c r="AA108" t="inlineStr">
        <is>
          <t>Not stated on course page</t>
        </is>
      </c>
      <c r="AB108" t="inlineStr"/>
      <c r="AC108" t="inlineStr">
        <is>
          <t>Skipped: the page does not state it</t>
        </is>
      </c>
      <c r="AD108" t="n">
        <v>0</v>
      </c>
      <c r="AE108" t="inlineStr"/>
      <c r="AF108" t="inlineStr"/>
      <c r="AG108" t="inlineStr"/>
      <c r="AH108" t="inlineStr"/>
      <c r="AI108" t="inlineStr"/>
      <c r="AJ108" t="inlineStr"/>
      <c r="AK108" t="inlineStr"/>
      <c r="AL108" t="inlineStr"/>
      <c r="AM108" t="inlineStr"/>
    </row>
    <row r="109">
      <c r="A109" t="inlineStr">
        <is>
          <t>0101874</t>
        </is>
      </c>
      <c r="B109" t="inlineStr">
        <is>
          <t>Bachelor of Laws (Honours)</t>
        </is>
      </c>
      <c r="C109" t="inlineStr">
        <is>
          <t>Bachelor Honours Degree</t>
        </is>
      </c>
      <c r="D109" t="inlineStr">
        <is>
          <t>Undergraduate</t>
        </is>
      </c>
      <c r="E109" t="inlineStr">
        <is>
          <t>Advertised: official page in place</t>
        </is>
      </c>
      <c r="F109" t="inlineStr">
        <is>
          <t>https://coursehandbook.mq.edu.au/2026/courses/c000195</t>
        </is>
      </c>
      <c r="G109" t="inlineStr">
        <is>
          <t>https://coursehandbook.mq.edu.au/2026/courses/c000195</t>
        </is>
      </c>
      <c r="H109" t="inlineStr">
        <is>
          <t>Read</t>
        </is>
      </c>
      <c r="I109" t="inlineStr">
        <is>
          <t>Exact title match</t>
        </is>
      </c>
      <c r="J109" t="inlineStr"/>
      <c r="K109" t="inlineStr">
        <is>
          <t>Not sent to re-link</t>
        </is>
      </c>
      <c r="L109" t="inlineStr">
        <is>
          <t>Filled</t>
        </is>
      </c>
      <c r="M109" t="inlineStr">
        <is>
          <t>Not stated on course page</t>
        </is>
      </c>
      <c r="N109" t="inlineStr"/>
      <c r="O109" t="n">
        <v>0</v>
      </c>
      <c r="P109" t="inlineStr"/>
      <c r="Q109" t="inlineStr">
        <is>
          <t>Filled</t>
        </is>
      </c>
      <c r="R109" t="n">
        <v>7</v>
      </c>
      <c r="S109" t="inlineStr">
        <is>
          <t>University adapter</t>
        </is>
      </c>
      <c r="T109" t="inlineStr">
        <is>
          <t>Central rule applies (course value differs)</t>
        </is>
      </c>
      <c r="U109" t="inlineStr">
        <is>
          <t>Yes: course has IELTS 7.00, central rule says 6.5</t>
        </is>
      </c>
      <c r="V109" t="inlineStr">
        <is>
          <t>Not stated on course page</t>
        </is>
      </c>
      <c r="W109" t="inlineStr"/>
      <c r="X109" t="inlineStr"/>
      <c r="Y109" t="n">
        <v>0</v>
      </c>
      <c r="Z109" t="inlineStr">
        <is>
          <t>Yes</t>
        </is>
      </c>
      <c r="AA109" t="inlineStr">
        <is>
          <t>Not stated on course page</t>
        </is>
      </c>
      <c r="AB109" t="inlineStr"/>
      <c r="AC109" t="inlineStr">
        <is>
          <t>Skipped: the page does not state it</t>
        </is>
      </c>
      <c r="AD109" t="n">
        <v>0</v>
      </c>
      <c r="AE109" t="inlineStr"/>
      <c r="AF109" t="inlineStr"/>
      <c r="AG109" t="inlineStr"/>
      <c r="AH109" t="inlineStr"/>
      <c r="AI109" t="inlineStr"/>
      <c r="AJ109" t="inlineStr"/>
      <c r="AK109" t="inlineStr"/>
      <c r="AL109" t="inlineStr"/>
      <c r="AM109" t="inlineStr"/>
    </row>
    <row r="110">
      <c r="A110" t="inlineStr">
        <is>
          <t>099145J</t>
        </is>
      </c>
      <c r="B110" t="inlineStr">
        <is>
          <t>Bachelor of Linguistics and Language Sciences</t>
        </is>
      </c>
      <c r="C110" t="inlineStr">
        <is>
          <t>Bachelor</t>
        </is>
      </c>
      <c r="D110" t="inlineStr">
        <is>
          <t>Undergraduate</t>
        </is>
      </c>
      <c r="E110" t="inlineStr">
        <is>
          <t>Page address no longer works</t>
        </is>
      </c>
      <c r="F110" t="inlineStr"/>
      <c r="G110" t="inlineStr">
        <is>
          <t>https://coursehandbook.mq.edu.au/2026/doubledegree/d006336</t>
        </is>
      </c>
      <c r="H110" t="inlineStr">
        <is>
          <t>Address no longer works</t>
        </is>
      </c>
      <c r="I110" t="inlineStr"/>
      <c r="J110" t="inlineStr"/>
      <c r="K110" t="inlineStr">
        <is>
          <t>Not sent to re-link</t>
        </is>
      </c>
      <c r="L110" t="inlineStr">
        <is>
          <t>Page found, being read</t>
        </is>
      </c>
      <c r="M110" t="inlineStr">
        <is>
          <t>Page found, being read</t>
        </is>
      </c>
      <c r="N110" t="inlineStr"/>
      <c r="O110" t="n">
        <v>0</v>
      </c>
      <c r="P110" t="inlineStr"/>
      <c r="Q110" t="inlineStr">
        <is>
          <t>Filled</t>
        </is>
      </c>
      <c r="R110" t="n">
        <v>6.5</v>
      </c>
      <c r="S110" t="inlineStr">
        <is>
          <t>Central English policy</t>
        </is>
      </c>
      <c r="T110" t="inlineStr">
        <is>
          <t>Central rule applies (value agrees)</t>
        </is>
      </c>
      <c r="U110" t="inlineStr"/>
      <c r="V110" t="inlineStr">
        <is>
          <t>Page found, being read</t>
        </is>
      </c>
      <c r="W110" t="inlineStr"/>
      <c r="X110" t="inlineStr"/>
      <c r="Y110" t="n">
        <v>0</v>
      </c>
      <c r="Z110" t="inlineStr">
        <is>
          <t>Yes</t>
        </is>
      </c>
      <c r="AA110" t="inlineStr">
        <is>
          <t>Not stated on course page</t>
        </is>
      </c>
      <c r="AB110" t="inlineStr"/>
      <c r="AC110" t="inlineStr">
        <is>
          <t>Skipped: no allowed source had a value</t>
        </is>
      </c>
      <c r="AD110" t="n">
        <v>0</v>
      </c>
      <c r="AE110" t="inlineStr"/>
      <c r="AF110" t="inlineStr"/>
      <c r="AG110" t="inlineStr"/>
      <c r="AH110" t="inlineStr"/>
      <c r="AI110" t="inlineStr"/>
      <c r="AJ110" t="inlineStr"/>
      <c r="AK110" t="inlineStr"/>
      <c r="AL110" t="inlineStr"/>
      <c r="AM110" t="inlineStr"/>
    </row>
    <row r="111">
      <c r="A111" t="inlineStr">
        <is>
          <t>037278J</t>
        </is>
      </c>
      <c r="B111" t="inlineStr">
        <is>
          <t>Bachelor of Marine Science</t>
        </is>
      </c>
      <c r="C111" t="inlineStr">
        <is>
          <t>Bachelor</t>
        </is>
      </c>
      <c r="D111" t="inlineStr">
        <is>
          <t>Undergraduate</t>
        </is>
      </c>
      <c r="E111" t="inlineStr">
        <is>
          <t>Page address no longer works</t>
        </is>
      </c>
      <c r="F111" t="inlineStr"/>
      <c r="G111" t="inlineStr">
        <is>
          <t>https://coursehandbook.mq.edu.au/2026/courses/c000202</t>
        </is>
      </c>
      <c r="H111" t="inlineStr">
        <is>
          <t>Address no longer works</t>
        </is>
      </c>
      <c r="I111" t="inlineStr"/>
      <c r="J111" t="inlineStr"/>
      <c r="K111" t="inlineStr">
        <is>
          <t>Not sent to re-link</t>
        </is>
      </c>
      <c r="L111" t="inlineStr">
        <is>
          <t>Page found, being read</t>
        </is>
      </c>
      <c r="M111" t="inlineStr">
        <is>
          <t>Page found, being read</t>
        </is>
      </c>
      <c r="N111" t="inlineStr"/>
      <c r="O111" t="n">
        <v>0</v>
      </c>
      <c r="P111" t="inlineStr"/>
      <c r="Q111" t="inlineStr">
        <is>
          <t>Filled</t>
        </is>
      </c>
      <c r="R111" t="n">
        <v>6.5</v>
      </c>
      <c r="S111" t="inlineStr">
        <is>
          <t>Central English policy</t>
        </is>
      </c>
      <c r="T111" t="inlineStr">
        <is>
          <t>Central rule applies (value agrees)</t>
        </is>
      </c>
      <c r="U111" t="inlineStr"/>
      <c r="V111" t="inlineStr">
        <is>
          <t>Page found, being read</t>
        </is>
      </c>
      <c r="W111" t="inlineStr"/>
      <c r="X111" t="inlineStr"/>
      <c r="Y111" t="n">
        <v>0</v>
      </c>
      <c r="Z111" t="inlineStr">
        <is>
          <t>Yes</t>
        </is>
      </c>
      <c r="AA111" t="inlineStr">
        <is>
          <t>Not stated on course page</t>
        </is>
      </c>
      <c r="AB111" t="inlineStr"/>
      <c r="AC111" t="inlineStr">
        <is>
          <t>Skipped: no allowed source had a value</t>
        </is>
      </c>
      <c r="AD111" t="n">
        <v>0</v>
      </c>
      <c r="AE111" t="inlineStr"/>
      <c r="AF111" t="inlineStr"/>
      <c r="AG111" t="inlineStr"/>
      <c r="AH111" t="inlineStr"/>
      <c r="AI111" t="inlineStr"/>
      <c r="AJ111" t="inlineStr"/>
      <c r="AK111" t="inlineStr"/>
      <c r="AL111" t="inlineStr"/>
      <c r="AM111" t="inlineStr"/>
    </row>
    <row r="112">
      <c r="A112" t="inlineStr">
        <is>
          <t>074754A</t>
        </is>
      </c>
      <c r="B112" t="inlineStr">
        <is>
          <t>Bachelor of Marketing and Media</t>
        </is>
      </c>
      <c r="C112" t="inlineStr">
        <is>
          <t>Bachelor</t>
        </is>
      </c>
      <c r="D112" t="inlineStr">
        <is>
          <t>Undergraduate</t>
        </is>
      </c>
      <c r="E112" t="inlineStr">
        <is>
          <t>Advertised: official page in place</t>
        </is>
      </c>
      <c r="F112" t="inlineStr">
        <is>
          <t>https://coursehandbook.mq.edu.au/2026/courses/C000021</t>
        </is>
      </c>
      <c r="G112" t="inlineStr">
        <is>
          <t>https://coursehandbook.mq.edu.au/2026/courses/C000021</t>
        </is>
      </c>
      <c r="H112" t="inlineStr">
        <is>
          <t>Read</t>
        </is>
      </c>
      <c r="I112" t="inlineStr">
        <is>
          <t>Exact title match</t>
        </is>
      </c>
      <c r="J112" t="inlineStr"/>
      <c r="K112" t="inlineStr">
        <is>
          <t>Not sent to re-link</t>
        </is>
      </c>
      <c r="L112" t="inlineStr">
        <is>
          <t>Filled</t>
        </is>
      </c>
      <c r="M112" t="inlineStr">
        <is>
          <t>Not stated on course page</t>
        </is>
      </c>
      <c r="N112" t="inlineStr"/>
      <c r="O112" t="n">
        <v>0</v>
      </c>
      <c r="P112" t="inlineStr"/>
      <c r="Q112" t="inlineStr">
        <is>
          <t>Filled</t>
        </is>
      </c>
      <c r="R112" t="n">
        <v>6.5</v>
      </c>
      <c r="S112" t="inlineStr">
        <is>
          <t>University adapter</t>
        </is>
      </c>
      <c r="T112" t="inlineStr">
        <is>
          <t>Central rule applies (value agrees)</t>
        </is>
      </c>
      <c r="U112" t="inlineStr"/>
      <c r="V112" t="inlineStr">
        <is>
          <t>Not stated on course page</t>
        </is>
      </c>
      <c r="W112" t="inlineStr"/>
      <c r="X112" t="inlineStr"/>
      <c r="Y112" t="n">
        <v>0</v>
      </c>
      <c r="Z112" t="inlineStr">
        <is>
          <t>Yes</t>
        </is>
      </c>
      <c r="AA112" t="inlineStr">
        <is>
          <t>Not stated on course page</t>
        </is>
      </c>
      <c r="AB112" t="inlineStr"/>
      <c r="AC112" t="inlineStr">
        <is>
          <t>Skipped: the page does not state it</t>
        </is>
      </c>
      <c r="AD112" t="n">
        <v>0</v>
      </c>
      <c r="AE112" t="inlineStr"/>
      <c r="AF112" t="inlineStr"/>
      <c r="AG112" t="inlineStr"/>
      <c r="AH112" t="inlineStr"/>
      <c r="AI112" t="inlineStr"/>
      <c r="AJ112" t="inlineStr"/>
      <c r="AK112" t="inlineStr"/>
      <c r="AL112" t="inlineStr"/>
      <c r="AM112" t="inlineStr"/>
    </row>
    <row r="113">
      <c r="A113" t="inlineStr">
        <is>
          <t>099146G</t>
        </is>
      </c>
      <c r="B113" t="inlineStr">
        <is>
          <t>Bachelor of Mathematical Sciences</t>
        </is>
      </c>
      <c r="C113" t="inlineStr">
        <is>
          <t>Bachelor</t>
        </is>
      </c>
      <c r="D113" t="inlineStr">
        <is>
          <t>Undergraduate</t>
        </is>
      </c>
      <c r="E113" t="inlineStr">
        <is>
          <t>Page address no longer works</t>
        </is>
      </c>
      <c r="F113" t="inlineStr"/>
      <c r="G113" t="inlineStr">
        <is>
          <t>https://coursehandbook.mq.edu.au/2026/courses/c000203</t>
        </is>
      </c>
      <c r="H113" t="inlineStr">
        <is>
          <t>Address no longer works</t>
        </is>
      </c>
      <c r="I113" t="inlineStr"/>
      <c r="J113" t="inlineStr"/>
      <c r="K113" t="inlineStr">
        <is>
          <t>Not sent to re-link</t>
        </is>
      </c>
      <c r="L113" t="inlineStr">
        <is>
          <t>Page found, being read</t>
        </is>
      </c>
      <c r="M113" t="inlineStr">
        <is>
          <t>Page found, being read</t>
        </is>
      </c>
      <c r="N113" t="inlineStr"/>
      <c r="O113" t="n">
        <v>0</v>
      </c>
      <c r="P113" t="inlineStr"/>
      <c r="Q113" t="inlineStr">
        <is>
          <t>Filled</t>
        </is>
      </c>
      <c r="R113" t="n">
        <v>6.5</v>
      </c>
      <c r="S113" t="inlineStr">
        <is>
          <t>Central English policy</t>
        </is>
      </c>
      <c r="T113" t="inlineStr">
        <is>
          <t>Central rule applies (value agrees)</t>
        </is>
      </c>
      <c r="U113" t="inlineStr"/>
      <c r="V113" t="inlineStr">
        <is>
          <t>Page found, being read</t>
        </is>
      </c>
      <c r="W113" t="inlineStr"/>
      <c r="X113" t="inlineStr"/>
      <c r="Y113" t="n">
        <v>0</v>
      </c>
      <c r="Z113" t="inlineStr">
        <is>
          <t>Yes</t>
        </is>
      </c>
      <c r="AA113" t="inlineStr">
        <is>
          <t>Not stated on course page</t>
        </is>
      </c>
      <c r="AB113" t="inlineStr"/>
      <c r="AC113" t="inlineStr">
        <is>
          <t>Skipped: no allowed source had a value</t>
        </is>
      </c>
      <c r="AD113" t="n">
        <v>0</v>
      </c>
      <c r="AE113" t="inlineStr"/>
      <c r="AF113" t="inlineStr"/>
      <c r="AG113" t="inlineStr"/>
      <c r="AH113" t="inlineStr"/>
      <c r="AI113" t="inlineStr"/>
      <c r="AJ113" t="inlineStr"/>
      <c r="AK113" t="inlineStr"/>
      <c r="AL113" t="inlineStr"/>
      <c r="AM113" t="inlineStr"/>
    </row>
    <row r="114">
      <c r="A114" t="inlineStr">
        <is>
          <t>092008G</t>
        </is>
      </c>
      <c r="B114" t="inlineStr">
        <is>
          <t>Bachelor of Media</t>
        </is>
      </c>
      <c r="C114" t="inlineStr">
        <is>
          <t>Bachelor</t>
        </is>
      </c>
      <c r="D114" t="inlineStr">
        <is>
          <t>Undergraduate</t>
        </is>
      </c>
      <c r="E114" t="inlineStr">
        <is>
          <t>Advertised: official page in place</t>
        </is>
      </c>
      <c r="F114" t="inlineStr">
        <is>
          <t>https://coursehandbook.mq.edu.au/2026/courses/C000030</t>
        </is>
      </c>
      <c r="G114" t="inlineStr">
        <is>
          <t>https://coursehandbook.mq.edu.au/2026/courses/C000030</t>
        </is>
      </c>
      <c r="H114" t="inlineStr">
        <is>
          <t>Read</t>
        </is>
      </c>
      <c r="I114" t="inlineStr">
        <is>
          <t>Exact title match</t>
        </is>
      </c>
      <c r="J114" t="inlineStr"/>
      <c r="K114" t="inlineStr">
        <is>
          <t>Not sent to re-link</t>
        </is>
      </c>
      <c r="L114" t="inlineStr">
        <is>
          <t>Filled</t>
        </is>
      </c>
      <c r="M114" t="inlineStr">
        <is>
          <t>Not stated on course page</t>
        </is>
      </c>
      <c r="N114" t="inlineStr"/>
      <c r="O114" t="n">
        <v>0</v>
      </c>
      <c r="P114" t="inlineStr"/>
      <c r="Q114" t="inlineStr">
        <is>
          <t>Filled</t>
        </is>
      </c>
      <c r="R114" t="n">
        <v>6.5</v>
      </c>
      <c r="S114" t="inlineStr">
        <is>
          <t>University adapter</t>
        </is>
      </c>
      <c r="T114" t="inlineStr">
        <is>
          <t>Central rule applies (value agrees)</t>
        </is>
      </c>
      <c r="U114" t="inlineStr"/>
      <c r="V114" t="inlineStr">
        <is>
          <t>Not stated on course page</t>
        </is>
      </c>
      <c r="W114" t="inlineStr"/>
      <c r="X114" t="inlineStr"/>
      <c r="Y114" t="n">
        <v>0</v>
      </c>
      <c r="Z114" t="inlineStr">
        <is>
          <t>Yes</t>
        </is>
      </c>
      <c r="AA114" t="inlineStr">
        <is>
          <t>Not stated on course page</t>
        </is>
      </c>
      <c r="AB114" t="inlineStr"/>
      <c r="AC114" t="inlineStr">
        <is>
          <t>Skipped: the page does not state it</t>
        </is>
      </c>
      <c r="AD114" t="n">
        <v>0</v>
      </c>
      <c r="AE114" t="inlineStr"/>
      <c r="AF114" t="inlineStr"/>
      <c r="AG114" t="inlineStr"/>
      <c r="AH114" t="inlineStr"/>
      <c r="AI114" t="inlineStr"/>
      <c r="AJ114" t="inlineStr"/>
      <c r="AK114" t="inlineStr"/>
      <c r="AL114" t="inlineStr"/>
      <c r="AM114" t="inlineStr"/>
    </row>
    <row r="115">
      <c r="A115" t="inlineStr">
        <is>
          <t>099147G</t>
        </is>
      </c>
      <c r="B115" t="inlineStr">
        <is>
          <t>Bachelor of Media and Communications</t>
        </is>
      </c>
      <c r="C115" t="inlineStr">
        <is>
          <t>Bachelor</t>
        </is>
      </c>
      <c r="D115" t="inlineStr">
        <is>
          <t>Undergraduate</t>
        </is>
      </c>
      <c r="E115" t="inlineStr">
        <is>
          <t>Advertised: official page in place</t>
        </is>
      </c>
      <c r="F115" t="inlineStr">
        <is>
          <t>https://coursehandbook.mq.edu.au/2026/courses/C000030</t>
        </is>
      </c>
      <c r="G115" t="inlineStr">
        <is>
          <t>https://coursehandbook.mq.edu.au/2026/courses/C000030</t>
        </is>
      </c>
      <c r="H115" t="inlineStr">
        <is>
          <t>Read</t>
        </is>
      </c>
      <c r="I115" t="inlineStr">
        <is>
          <t>Exact title match</t>
        </is>
      </c>
      <c r="J115" t="inlineStr"/>
      <c r="K115" t="inlineStr">
        <is>
          <t>Not sent to re-link</t>
        </is>
      </c>
      <c r="L115" t="inlineStr">
        <is>
          <t>Filled</t>
        </is>
      </c>
      <c r="M115" t="inlineStr">
        <is>
          <t>Not stated on course page</t>
        </is>
      </c>
      <c r="N115" t="inlineStr"/>
      <c r="O115" t="n">
        <v>0</v>
      </c>
      <c r="P115" t="inlineStr"/>
      <c r="Q115" t="inlineStr">
        <is>
          <t>Filled</t>
        </is>
      </c>
      <c r="R115" t="n">
        <v>6.5</v>
      </c>
      <c r="S115" t="inlineStr">
        <is>
          <t>University adapter</t>
        </is>
      </c>
      <c r="T115" t="inlineStr">
        <is>
          <t>Central rule applies (value agrees)</t>
        </is>
      </c>
      <c r="U115" t="inlineStr"/>
      <c r="V115" t="inlineStr">
        <is>
          <t>Not stated on course page</t>
        </is>
      </c>
      <c r="W115" t="inlineStr"/>
      <c r="X115" t="inlineStr"/>
      <c r="Y115" t="n">
        <v>0</v>
      </c>
      <c r="Z115" t="inlineStr">
        <is>
          <t>Yes</t>
        </is>
      </c>
      <c r="AA115" t="inlineStr">
        <is>
          <t>Not stated on course page</t>
        </is>
      </c>
      <c r="AB115" t="inlineStr"/>
      <c r="AC115" t="inlineStr">
        <is>
          <t>Skipped: the page does not state it</t>
        </is>
      </c>
      <c r="AD115" t="n">
        <v>0</v>
      </c>
      <c r="AE115" t="inlineStr"/>
      <c r="AF115" t="inlineStr"/>
      <c r="AG115" t="inlineStr"/>
      <c r="AH115" t="inlineStr"/>
      <c r="AI115" t="inlineStr"/>
      <c r="AJ115" t="inlineStr"/>
      <c r="AK115" t="inlineStr"/>
      <c r="AL115" t="inlineStr"/>
      <c r="AM115" t="inlineStr"/>
    </row>
    <row r="116">
      <c r="A116" t="inlineStr">
        <is>
          <t>092007J</t>
        </is>
      </c>
      <c r="B116" t="inlineStr">
        <is>
          <t>Bachelor of Media with the degree of Bachelor of Laws</t>
        </is>
      </c>
      <c r="C116" t="inlineStr">
        <is>
          <t>Bachelor</t>
        </is>
      </c>
      <c r="D116" t="inlineStr">
        <is>
          <t>Undergraduate</t>
        </is>
      </c>
      <c r="E116" t="inlineStr">
        <is>
          <t>Held: page found is for another course</t>
        </is>
      </c>
      <c r="F116" t="inlineStr"/>
      <c r="G116" t="inlineStr">
        <is>
          <t>https://coursehandbook.mq.edu.au/2023/doubledegree/d000684</t>
        </is>
      </c>
      <c r="H116" t="inlineStr">
        <is>
          <t>Page is for another course</t>
        </is>
      </c>
      <c r="I116" t="inlineStr"/>
      <c r="J116" t="inlineStr"/>
      <c r="K116" t="inlineStr">
        <is>
          <t>Finished, no page: no address from the university's address forms or stored lis</t>
        </is>
      </c>
      <c r="L116" t="inlineStr">
        <is>
          <t>Searching for course page</t>
        </is>
      </c>
      <c r="M116" t="inlineStr">
        <is>
          <t>Searching for course page</t>
        </is>
      </c>
      <c r="N116" t="inlineStr"/>
      <c r="O116" t="n">
        <v>0</v>
      </c>
      <c r="P116" t="inlineStr"/>
      <c r="Q116" t="inlineStr">
        <is>
          <t>Filled</t>
        </is>
      </c>
      <c r="R116" t="n">
        <v>6.5</v>
      </c>
      <c r="S116" t="inlineStr">
        <is>
          <t>Central English policy</t>
        </is>
      </c>
      <c r="T116" t="inlineStr">
        <is>
          <t>Central rule applies (value agrees)</t>
        </is>
      </c>
      <c r="U116" t="inlineStr"/>
      <c r="V116" t="inlineStr">
        <is>
          <t>Searching for course page</t>
        </is>
      </c>
      <c r="W116" t="inlineStr"/>
      <c r="X116" t="inlineStr"/>
      <c r="Y116" t="n">
        <v>0</v>
      </c>
      <c r="Z116" t="inlineStr">
        <is>
          <t>Yes</t>
        </is>
      </c>
      <c r="AA116" t="inlineStr">
        <is>
          <t>Not stated on course page</t>
        </is>
      </c>
      <c r="AB116" t="inlineStr"/>
      <c r="AC116" t="inlineStr">
        <is>
          <t>Skipped: the page does not state it</t>
        </is>
      </c>
      <c r="AD116" t="n">
        <v>0</v>
      </c>
      <c r="AE116" t="inlineStr"/>
      <c r="AF116" t="inlineStr"/>
      <c r="AG116" t="inlineStr"/>
      <c r="AH116" t="inlineStr"/>
      <c r="AI116" t="inlineStr"/>
      <c r="AJ116" t="inlineStr"/>
      <c r="AK116" t="inlineStr"/>
      <c r="AL116" t="inlineStr"/>
      <c r="AM116" t="inlineStr"/>
    </row>
    <row r="117">
      <c r="A117" t="inlineStr">
        <is>
          <t>020161F</t>
        </is>
      </c>
      <c r="B117" t="inlineStr">
        <is>
          <t>Bachelor of Medical Sciences</t>
        </is>
      </c>
      <c r="C117" t="inlineStr">
        <is>
          <t>Bachelor</t>
        </is>
      </c>
      <c r="D117" t="inlineStr">
        <is>
          <t>Undergraduate</t>
        </is>
      </c>
      <c r="E117" t="inlineStr">
        <is>
          <t>Advertised: official page in place</t>
        </is>
      </c>
      <c r="F117" t="inlineStr">
        <is>
          <t>https://coursehandbook.mq.edu.au/2026/courses/C000131</t>
        </is>
      </c>
      <c r="G117" t="inlineStr">
        <is>
          <t>https://coursehandbook.mq.edu.au/2026/courses/C000131</t>
        </is>
      </c>
      <c r="H117" t="inlineStr">
        <is>
          <t>Read</t>
        </is>
      </c>
      <c r="I117" t="inlineStr">
        <is>
          <t>Exact title match</t>
        </is>
      </c>
      <c r="J117" t="inlineStr"/>
      <c r="K117" t="inlineStr">
        <is>
          <t>Not sent to re-link</t>
        </is>
      </c>
      <c r="L117" t="inlineStr">
        <is>
          <t>Filled</t>
        </is>
      </c>
      <c r="M117" t="inlineStr">
        <is>
          <t>Not stated on course page</t>
        </is>
      </c>
      <c r="N117" t="inlineStr"/>
      <c r="O117" t="n">
        <v>0</v>
      </c>
      <c r="P117" t="inlineStr"/>
      <c r="Q117" t="inlineStr">
        <is>
          <t>Filled</t>
        </is>
      </c>
      <c r="R117" t="n">
        <v>6.5</v>
      </c>
      <c r="S117" t="inlineStr">
        <is>
          <t>University adapter</t>
        </is>
      </c>
      <c r="T117" t="inlineStr">
        <is>
          <t>Central rule applies (value agrees)</t>
        </is>
      </c>
      <c r="U117" t="inlineStr"/>
      <c r="V117" t="inlineStr">
        <is>
          <t>Not stated on course page</t>
        </is>
      </c>
      <c r="W117" t="inlineStr"/>
      <c r="X117" t="inlineStr"/>
      <c r="Y117" t="n">
        <v>0</v>
      </c>
      <c r="Z117" t="inlineStr">
        <is>
          <t>Yes</t>
        </is>
      </c>
      <c r="AA117" t="inlineStr">
        <is>
          <t>Not stated on course page</t>
        </is>
      </c>
      <c r="AB117" t="inlineStr"/>
      <c r="AC117" t="inlineStr">
        <is>
          <t>Skipped: the page does not state it</t>
        </is>
      </c>
      <c r="AD117" t="n">
        <v>0</v>
      </c>
      <c r="AE117" t="inlineStr"/>
      <c r="AF117" t="inlineStr"/>
      <c r="AG117" t="inlineStr"/>
      <c r="AH117" t="inlineStr"/>
      <c r="AI117" t="inlineStr"/>
      <c r="AJ117" t="inlineStr"/>
      <c r="AK117" t="inlineStr"/>
      <c r="AL117" t="inlineStr"/>
      <c r="AM117" t="inlineStr"/>
    </row>
    <row r="118">
      <c r="A118" t="inlineStr">
        <is>
          <t>099148F</t>
        </is>
      </c>
      <c r="B118" t="inlineStr">
        <is>
          <t>Bachelor of Music</t>
        </is>
      </c>
      <c r="C118" t="inlineStr">
        <is>
          <t>Bachelor</t>
        </is>
      </c>
      <c r="D118" t="inlineStr">
        <is>
          <t>Undergraduate</t>
        </is>
      </c>
      <c r="E118" t="inlineStr">
        <is>
          <t>Page address no longer works</t>
        </is>
      </c>
      <c r="F118" t="inlineStr"/>
      <c r="G118" t="inlineStr">
        <is>
          <t>https://coursehandbook.mq.edu.au/2026/doubledegree/d000685</t>
        </is>
      </c>
      <c r="H118" t="inlineStr">
        <is>
          <t>Address no longer works</t>
        </is>
      </c>
      <c r="I118" t="inlineStr"/>
      <c r="J118" t="inlineStr"/>
      <c r="K118" t="inlineStr">
        <is>
          <t>Not sent to re-link</t>
        </is>
      </c>
      <c r="L118" t="inlineStr">
        <is>
          <t>Page found, being read</t>
        </is>
      </c>
      <c r="M118" t="inlineStr">
        <is>
          <t>Page found, being read</t>
        </is>
      </c>
      <c r="N118" t="inlineStr"/>
      <c r="O118" t="n">
        <v>0</v>
      </c>
      <c r="P118" t="inlineStr"/>
      <c r="Q118" t="inlineStr">
        <is>
          <t>Filled</t>
        </is>
      </c>
      <c r="R118" t="n">
        <v>6.5</v>
      </c>
      <c r="S118" t="inlineStr">
        <is>
          <t>Central English policy</t>
        </is>
      </c>
      <c r="T118" t="inlineStr">
        <is>
          <t>Central rule applies (value agrees)</t>
        </is>
      </c>
      <c r="U118" t="inlineStr"/>
      <c r="V118" t="inlineStr">
        <is>
          <t>Page found, being read</t>
        </is>
      </c>
      <c r="W118" t="inlineStr"/>
      <c r="X118" t="inlineStr"/>
      <c r="Y118" t="n">
        <v>0</v>
      </c>
      <c r="Z118" t="inlineStr">
        <is>
          <t>Yes</t>
        </is>
      </c>
      <c r="AA118" t="inlineStr">
        <is>
          <t>Not stated on course page</t>
        </is>
      </c>
      <c r="AB118" t="inlineStr"/>
      <c r="AC118" t="inlineStr">
        <is>
          <t>Skipped: no allowed source had a value</t>
        </is>
      </c>
      <c r="AD118" t="n">
        <v>0</v>
      </c>
      <c r="AE118" t="inlineStr"/>
      <c r="AF118" t="inlineStr"/>
      <c r="AG118" t="inlineStr"/>
      <c r="AH118" t="inlineStr"/>
      <c r="AI118" t="inlineStr"/>
      <c r="AJ118" t="inlineStr"/>
      <c r="AK118" t="inlineStr"/>
      <c r="AL118" t="inlineStr"/>
      <c r="AM118" t="inlineStr"/>
    </row>
    <row r="119">
      <c r="A119" t="inlineStr">
        <is>
          <t>060724M</t>
        </is>
      </c>
      <c r="B119" t="inlineStr">
        <is>
          <t>Bachelor of Planning</t>
        </is>
      </c>
      <c r="C119" t="inlineStr">
        <is>
          <t>Bachelor</t>
        </is>
      </c>
      <c r="D119" t="inlineStr">
        <is>
          <t>Undergraduate</t>
        </is>
      </c>
      <c r="E119" t="inlineStr">
        <is>
          <t>Advertised: official page in place</t>
        </is>
      </c>
      <c r="F119" t="inlineStr">
        <is>
          <t>https://coursehandbook.mq.edu.au/2026/courses/c000008</t>
        </is>
      </c>
      <c r="G119" t="inlineStr">
        <is>
          <t>https://coursehandbook.mq.edu.au/2026/courses/c000008</t>
        </is>
      </c>
      <c r="H119" t="inlineStr">
        <is>
          <t>Read</t>
        </is>
      </c>
      <c r="I119" t="inlineStr">
        <is>
          <t>Exact title match</t>
        </is>
      </c>
      <c r="J119" t="inlineStr"/>
      <c r="K119" t="inlineStr">
        <is>
          <t>Not sent to re-link</t>
        </is>
      </c>
      <c r="L119" t="inlineStr">
        <is>
          <t>Filled</t>
        </is>
      </c>
      <c r="M119" t="inlineStr">
        <is>
          <t>Not stated on course page</t>
        </is>
      </c>
      <c r="N119" t="inlineStr"/>
      <c r="O119" t="n">
        <v>0</v>
      </c>
      <c r="P119" t="inlineStr"/>
      <c r="Q119" t="inlineStr">
        <is>
          <t>Filled</t>
        </is>
      </c>
      <c r="R119" t="n">
        <v>6.5</v>
      </c>
      <c r="S119" t="inlineStr">
        <is>
          <t>University adapter</t>
        </is>
      </c>
      <c r="T119" t="inlineStr">
        <is>
          <t>Central rule applies (value agrees)</t>
        </is>
      </c>
      <c r="U119" t="inlineStr"/>
      <c r="V119" t="inlineStr">
        <is>
          <t>Not stated on course page</t>
        </is>
      </c>
      <c r="W119" t="inlineStr"/>
      <c r="X119" t="inlineStr"/>
      <c r="Y119" t="n">
        <v>0</v>
      </c>
      <c r="Z119" t="inlineStr">
        <is>
          <t>Yes</t>
        </is>
      </c>
      <c r="AA119" t="inlineStr">
        <is>
          <t>Not stated on course page</t>
        </is>
      </c>
      <c r="AB119" t="inlineStr"/>
      <c r="AC119" t="inlineStr">
        <is>
          <t>Skipped: the page does not state it</t>
        </is>
      </c>
      <c r="AD119" t="n">
        <v>0</v>
      </c>
      <c r="AE119" t="inlineStr"/>
      <c r="AF119" t="inlineStr"/>
      <c r="AG119" t="inlineStr"/>
      <c r="AH119" t="inlineStr"/>
      <c r="AI119" t="inlineStr"/>
      <c r="AJ119" t="inlineStr"/>
      <c r="AK119" t="inlineStr"/>
      <c r="AL119" t="inlineStr"/>
      <c r="AM119" t="inlineStr"/>
    </row>
    <row r="120">
      <c r="A120" t="inlineStr">
        <is>
          <t>099149E</t>
        </is>
      </c>
      <c r="B120" t="inlineStr">
        <is>
          <t>Bachelor of Professional Accounting</t>
        </is>
      </c>
      <c r="C120" t="inlineStr">
        <is>
          <t>Bachelor</t>
        </is>
      </c>
      <c r="D120" t="inlineStr">
        <is>
          <t>Undergraduate</t>
        </is>
      </c>
      <c r="E120" t="inlineStr">
        <is>
          <t>Advertised: official page in place</t>
        </is>
      </c>
      <c r="F120" t="inlineStr">
        <is>
          <t>https://coursehandbook.mq.edu.au/2026/courses/C000014</t>
        </is>
      </c>
      <c r="G120" t="inlineStr">
        <is>
          <t>https://coursehandbook.mq.edu.au/2026/courses/C000014</t>
        </is>
      </c>
      <c r="H120" t="inlineStr">
        <is>
          <t>Read</t>
        </is>
      </c>
      <c r="I120" t="inlineStr">
        <is>
          <t>Exact title match</t>
        </is>
      </c>
      <c r="J120" t="inlineStr"/>
      <c r="K120" t="inlineStr">
        <is>
          <t>Not sent to re-link</t>
        </is>
      </c>
      <c r="L120" t="inlineStr">
        <is>
          <t>Filled</t>
        </is>
      </c>
      <c r="M120" t="inlineStr">
        <is>
          <t>Not stated on course page</t>
        </is>
      </c>
      <c r="N120" t="inlineStr"/>
      <c r="O120" t="n">
        <v>0</v>
      </c>
      <c r="P120" t="inlineStr"/>
      <c r="Q120" t="inlineStr">
        <is>
          <t>Filled</t>
        </is>
      </c>
      <c r="R120" t="n">
        <v>6.5</v>
      </c>
      <c r="S120" t="inlineStr">
        <is>
          <t>University adapter</t>
        </is>
      </c>
      <c r="T120" t="inlineStr">
        <is>
          <t>Central rule applies (value agrees)</t>
        </is>
      </c>
      <c r="U120" t="inlineStr"/>
      <c r="V120" t="inlineStr">
        <is>
          <t>Not stated on course page</t>
        </is>
      </c>
      <c r="W120" t="inlineStr"/>
      <c r="X120" t="inlineStr"/>
      <c r="Y120" t="n">
        <v>0</v>
      </c>
      <c r="Z120" t="inlineStr">
        <is>
          <t>Yes</t>
        </is>
      </c>
      <c r="AA120" t="inlineStr">
        <is>
          <t>Not stated on course page</t>
        </is>
      </c>
      <c r="AB120" t="inlineStr"/>
      <c r="AC120" t="inlineStr">
        <is>
          <t>Skipped: the page does not state it</t>
        </is>
      </c>
      <c r="AD120" t="n">
        <v>0</v>
      </c>
      <c r="AE120" t="inlineStr"/>
      <c r="AF120" t="inlineStr"/>
      <c r="AG120" t="inlineStr"/>
      <c r="AH120" t="inlineStr"/>
      <c r="AI120" t="inlineStr"/>
      <c r="AJ120" t="inlineStr"/>
      <c r="AK120" t="inlineStr"/>
      <c r="AL120" t="inlineStr"/>
      <c r="AM120" t="inlineStr"/>
    </row>
    <row r="121">
      <c r="A121" t="inlineStr">
        <is>
          <t>113700K</t>
        </is>
      </c>
      <c r="B121" t="inlineStr">
        <is>
          <t>Bachelor of Psychological Sciences (Honours)</t>
        </is>
      </c>
      <c r="C121" t="inlineStr">
        <is>
          <t>Bachelor Honours Degree</t>
        </is>
      </c>
      <c r="D121" t="inlineStr">
        <is>
          <t>Undergraduate</t>
        </is>
      </c>
      <c r="E121" t="inlineStr">
        <is>
          <t>Advertised: official page in place</t>
        </is>
      </c>
      <c r="F121" t="inlineStr">
        <is>
          <t>https://www.mq.edu.au/study/find-a-course/courses/bachelor-of-psychological-sciences-honours</t>
        </is>
      </c>
      <c r="G121" t="inlineStr">
        <is>
          <t>https://www.mq.edu.au/study/find-a-course/courses/bachelor-of-psychological-sciences-honours</t>
        </is>
      </c>
      <c r="H121" t="inlineStr">
        <is>
          <t>Read</t>
        </is>
      </c>
      <c r="I121" t="inlineStr">
        <is>
          <t>Exact title match</t>
        </is>
      </c>
      <c r="J121" t="inlineStr"/>
      <c r="K121" t="inlineStr">
        <is>
          <t>Not sent to re-link</t>
        </is>
      </c>
      <c r="L121" t="inlineStr">
        <is>
          <t>Filled</t>
        </is>
      </c>
      <c r="M121" t="inlineStr">
        <is>
          <t>Not stated on course page</t>
        </is>
      </c>
      <c r="N121" t="inlineStr"/>
      <c r="O121" t="n">
        <v>0</v>
      </c>
      <c r="P121" t="inlineStr"/>
      <c r="Q121" t="inlineStr">
        <is>
          <t>Filled</t>
        </is>
      </c>
      <c r="R121" t="n">
        <v>6.5</v>
      </c>
      <c r="S121" t="inlineStr">
        <is>
          <t>Other</t>
        </is>
      </c>
      <c r="T121" t="inlineStr">
        <is>
          <t>Central rule applies (value agrees)</t>
        </is>
      </c>
      <c r="U121" t="inlineStr"/>
      <c r="V121" t="inlineStr">
        <is>
          <t>Filled</t>
        </is>
      </c>
      <c r="W121" t="inlineStr">
        <is>
          <t>February</t>
        </is>
      </c>
      <c r="X121" t="inlineStr">
        <is>
          <t>Other</t>
        </is>
      </c>
      <c r="Y121" t="n">
        <v>0</v>
      </c>
      <c r="Z121" t="inlineStr">
        <is>
          <t>Yes</t>
        </is>
      </c>
      <c r="AA121" t="inlineStr">
        <is>
          <t>Filled</t>
        </is>
      </c>
      <c r="AB121" t="inlineStr">
        <is>
          <t>on campus</t>
        </is>
      </c>
      <c r="AC121" t="inlineStr">
        <is>
          <t>Filled</t>
        </is>
      </c>
      <c r="AD121" t="n">
        <v>0</v>
      </c>
      <c r="AE121" t="inlineStr"/>
      <c r="AF121" t="inlineStr"/>
      <c r="AG121" t="inlineStr"/>
      <c r="AH121" t="inlineStr"/>
      <c r="AI121" t="inlineStr"/>
      <c r="AJ121" t="inlineStr"/>
      <c r="AK121" t="inlineStr"/>
      <c r="AL121" t="inlineStr"/>
      <c r="AM121" t="inlineStr"/>
    </row>
    <row r="122">
      <c r="A122" t="inlineStr">
        <is>
          <t>099150A</t>
        </is>
      </c>
      <c r="B122" t="inlineStr">
        <is>
          <t>Bachelor of Psychology</t>
        </is>
      </c>
      <c r="C122" t="inlineStr">
        <is>
          <t>Bachelor</t>
        </is>
      </c>
      <c r="D122" t="inlineStr">
        <is>
          <t>Undergraduate</t>
        </is>
      </c>
      <c r="E122" t="inlineStr">
        <is>
          <t>Advertised: official page in place</t>
        </is>
      </c>
      <c r="F122" t="inlineStr">
        <is>
          <t>https://www.mq.edu.au/study/find-a-course/courses/bachelor-of-psychology</t>
        </is>
      </c>
      <c r="G122" t="inlineStr">
        <is>
          <t>https://www.mq.edu.au/study/find-a-course/courses/bachelor-of-psychology</t>
        </is>
      </c>
      <c r="H122" t="inlineStr">
        <is>
          <t>Read</t>
        </is>
      </c>
      <c r="I122" t="inlineStr">
        <is>
          <t>Exact title match</t>
        </is>
      </c>
      <c r="J122" t="inlineStr"/>
      <c r="K122" t="inlineStr">
        <is>
          <t>Not sent to re-link</t>
        </is>
      </c>
      <c r="L122" t="inlineStr">
        <is>
          <t>Filled</t>
        </is>
      </c>
      <c r="M122" t="inlineStr">
        <is>
          <t>Not stated on course page</t>
        </is>
      </c>
      <c r="N122" t="inlineStr"/>
      <c r="O122" t="n">
        <v>0</v>
      </c>
      <c r="P122" t="inlineStr"/>
      <c r="Q122" t="inlineStr">
        <is>
          <t>Filled</t>
        </is>
      </c>
      <c r="R122" t="n">
        <v>6.5</v>
      </c>
      <c r="S122" t="inlineStr">
        <is>
          <t>Other</t>
        </is>
      </c>
      <c r="T122" t="inlineStr">
        <is>
          <t>Central rule applies (value agrees)</t>
        </is>
      </c>
      <c r="U122" t="inlineStr"/>
      <c r="V122" t="inlineStr">
        <is>
          <t>Filled</t>
        </is>
      </c>
      <c r="W122" t="inlineStr">
        <is>
          <t>February, July</t>
        </is>
      </c>
      <c r="X122" t="inlineStr">
        <is>
          <t>Other</t>
        </is>
      </c>
      <c r="Y122" t="n">
        <v>0</v>
      </c>
      <c r="Z122" t="inlineStr">
        <is>
          <t>Yes</t>
        </is>
      </c>
      <c r="AA122" t="inlineStr">
        <is>
          <t>Filled</t>
        </is>
      </c>
      <c r="AB122" t="inlineStr">
        <is>
          <t>on campus</t>
        </is>
      </c>
      <c r="AC122" t="inlineStr">
        <is>
          <t>Filled</t>
        </is>
      </c>
      <c r="AD122" t="n">
        <v>0</v>
      </c>
      <c r="AE122" t="inlineStr"/>
      <c r="AF122" t="inlineStr"/>
      <c r="AG122" t="inlineStr"/>
      <c r="AH122" t="inlineStr"/>
      <c r="AI122" t="inlineStr"/>
      <c r="AJ122" t="inlineStr"/>
      <c r="AK122" t="inlineStr"/>
      <c r="AL122" t="inlineStr"/>
      <c r="AM122" t="inlineStr"/>
    </row>
    <row r="123">
      <c r="A123" t="inlineStr">
        <is>
          <t>021498F</t>
        </is>
      </c>
      <c r="B123" t="inlineStr">
        <is>
          <t>Bachelor of Psychology (Honours)</t>
        </is>
      </c>
      <c r="C123" t="inlineStr">
        <is>
          <t>Bachelor Honours Degree</t>
        </is>
      </c>
      <c r="D123" t="inlineStr">
        <is>
          <t>Undergraduate</t>
        </is>
      </c>
      <c r="E123" t="inlineStr">
        <is>
          <t>Page address no longer works</t>
        </is>
      </c>
      <c r="F123" t="inlineStr"/>
      <c r="G123" t="inlineStr">
        <is>
          <t>https://coursehandbook.mq.edu.au/2026/doubledegree/d006444</t>
        </is>
      </c>
      <c r="H123" t="inlineStr">
        <is>
          <t>Address no longer works</t>
        </is>
      </c>
      <c r="I123" t="inlineStr"/>
      <c r="J123" t="inlineStr"/>
      <c r="K123" t="inlineStr">
        <is>
          <t>Not sent to re-link</t>
        </is>
      </c>
      <c r="L123" t="inlineStr">
        <is>
          <t>Page found, being read</t>
        </is>
      </c>
      <c r="M123" t="inlineStr">
        <is>
          <t>Page found, being read</t>
        </is>
      </c>
      <c r="N123" t="inlineStr"/>
      <c r="O123" t="n">
        <v>0</v>
      </c>
      <c r="P123" t="inlineStr"/>
      <c r="Q123" t="inlineStr">
        <is>
          <t>Filled</t>
        </is>
      </c>
      <c r="R123" t="n">
        <v>6.5</v>
      </c>
      <c r="S123" t="inlineStr">
        <is>
          <t>Central English policy</t>
        </is>
      </c>
      <c r="T123" t="inlineStr">
        <is>
          <t>Central rule applies (value agrees)</t>
        </is>
      </c>
      <c r="U123" t="inlineStr"/>
      <c r="V123" t="inlineStr">
        <is>
          <t>Page found, being read</t>
        </is>
      </c>
      <c r="W123" t="inlineStr"/>
      <c r="X123" t="inlineStr"/>
      <c r="Y123" t="n">
        <v>0</v>
      </c>
      <c r="Z123" t="inlineStr">
        <is>
          <t>Yes</t>
        </is>
      </c>
      <c r="AA123" t="inlineStr">
        <is>
          <t>Not stated on course page</t>
        </is>
      </c>
      <c r="AB123" t="inlineStr"/>
      <c r="AC123" t="inlineStr">
        <is>
          <t>Skipped: no allowed source had a value</t>
        </is>
      </c>
      <c r="AD123" t="n">
        <v>0</v>
      </c>
      <c r="AE123" t="inlineStr"/>
      <c r="AF123" t="inlineStr"/>
      <c r="AG123" t="inlineStr"/>
      <c r="AH123" t="inlineStr"/>
      <c r="AI123" t="inlineStr"/>
      <c r="AJ123" t="inlineStr"/>
      <c r="AK123" t="inlineStr"/>
      <c r="AL123" t="inlineStr"/>
      <c r="AM123" t="inlineStr"/>
    </row>
    <row r="124">
      <c r="A124" t="inlineStr">
        <is>
          <t>083743G</t>
        </is>
      </c>
      <c r="B124" t="inlineStr">
        <is>
          <t>Bachelor of Psychology (Honours) with the degree of Bachelor of Human Sciences</t>
        </is>
      </c>
      <c r="C124" t="inlineStr">
        <is>
          <t>Bachelor Honours Degree</t>
        </is>
      </c>
      <c r="D124" t="inlineStr">
        <is>
          <t>Undergraduate</t>
        </is>
      </c>
      <c r="E124" t="inlineStr">
        <is>
          <t>Advertised: official page in place</t>
        </is>
      </c>
      <c r="F124" t="inlineStr">
        <is>
          <t>https://handbook.mq.edu.au/2019/DegreesDiplomas/Degree/Bachelor+of+Psychology+%28Honours%29+with+the+degree+of+Bachelor+of+Human+Sciences</t>
        </is>
      </c>
      <c r="G124" t="inlineStr">
        <is>
          <t>https://handbook.mq.edu.au/2019/DegreesDiplomas/Degree/Bachelor+of+Psychology+%28Honours%29+with+the+degree+of+Bachelor+of+Human+Sciences</t>
        </is>
      </c>
      <c r="H124" t="inlineStr">
        <is>
          <t>Read</t>
        </is>
      </c>
      <c r="I124" t="inlineStr">
        <is>
          <t>CRICOS code on page</t>
        </is>
      </c>
      <c r="J124" t="inlineStr"/>
      <c r="K124" t="inlineStr">
        <is>
          <t>Not sent to re-link</t>
        </is>
      </c>
      <c r="L124" t="inlineStr">
        <is>
          <t>Filled</t>
        </is>
      </c>
      <c r="M124" t="inlineStr">
        <is>
          <t>Not stated on course page</t>
        </is>
      </c>
      <c r="N124" t="inlineStr"/>
      <c r="O124" t="n">
        <v>0</v>
      </c>
      <c r="P124" t="inlineStr"/>
      <c r="Q124" t="inlineStr">
        <is>
          <t>Filled</t>
        </is>
      </c>
      <c r="R124" t="n">
        <v>6.5</v>
      </c>
      <c r="S124" t="inlineStr">
        <is>
          <t>Other</t>
        </is>
      </c>
      <c r="T124" t="inlineStr">
        <is>
          <t>Central rule applies (value agrees)</t>
        </is>
      </c>
      <c r="U124" t="inlineStr"/>
      <c r="V124" t="inlineStr">
        <is>
          <t>Filled</t>
        </is>
      </c>
      <c r="W124" t="inlineStr">
        <is>
          <t>February, July</t>
        </is>
      </c>
      <c r="X124" t="inlineStr">
        <is>
          <t>Other</t>
        </is>
      </c>
      <c r="Y124" t="n">
        <v>0</v>
      </c>
      <c r="Z124" t="inlineStr">
        <is>
          <t>Yes</t>
        </is>
      </c>
      <c r="AA124" t="inlineStr">
        <is>
          <t>Filled</t>
        </is>
      </c>
      <c r="AB124" t="inlineStr">
        <is>
          <t>on campus</t>
        </is>
      </c>
      <c r="AC124" t="inlineStr">
        <is>
          <t>Filled</t>
        </is>
      </c>
      <c r="AD124" t="n">
        <v>0</v>
      </c>
      <c r="AE124" t="inlineStr"/>
      <c r="AF124" t="inlineStr"/>
      <c r="AG124" t="inlineStr"/>
      <c r="AH124" t="inlineStr"/>
      <c r="AI124" t="inlineStr"/>
      <c r="AJ124" t="inlineStr"/>
      <c r="AK124" t="inlineStr"/>
      <c r="AL124" t="inlineStr"/>
      <c r="AM124" t="inlineStr"/>
    </row>
    <row r="125">
      <c r="A125" t="inlineStr">
        <is>
          <t>079890G</t>
        </is>
      </c>
      <c r="B125" t="inlineStr">
        <is>
          <t>Bachelor of Psychology (Honours) with the degree of Bachelor of Laws</t>
        </is>
      </c>
      <c r="C125" t="inlineStr">
        <is>
          <t>Bachelor Honours Degree</t>
        </is>
      </c>
      <c r="D125" t="inlineStr">
        <is>
          <t>Undergraduate</t>
        </is>
      </c>
      <c r="E125" t="inlineStr">
        <is>
          <t>Advertised: official page in place</t>
        </is>
      </c>
      <c r="F125" t="inlineStr">
        <is>
          <t>https://handbook.mq.edu.au/2019/DegreesDiplomas/Degree/Bachelor+of+Psychology+%28Honours%29+with+the+degree+of+Bachelor+of+Laws</t>
        </is>
      </c>
      <c r="G125" t="inlineStr">
        <is>
          <t>https://handbook.mq.edu.au/2019/DegreesDiplomas/Degree/Bachelor+of+Psychology+%28Honours%29+with+the+degree+of+Bachelor+of+Laws</t>
        </is>
      </c>
      <c r="H125" t="inlineStr">
        <is>
          <t>Read</t>
        </is>
      </c>
      <c r="I125" t="inlineStr">
        <is>
          <t>CRICOS code on page</t>
        </is>
      </c>
      <c r="J125" t="inlineStr"/>
      <c r="K125" t="inlineStr">
        <is>
          <t>Not sent to re-link</t>
        </is>
      </c>
      <c r="L125" t="inlineStr">
        <is>
          <t>Filled</t>
        </is>
      </c>
      <c r="M125" t="inlineStr">
        <is>
          <t>Not stated on course page</t>
        </is>
      </c>
      <c r="N125" t="inlineStr"/>
      <c r="O125" t="n">
        <v>0</v>
      </c>
      <c r="P125" t="inlineStr"/>
      <c r="Q125" t="inlineStr">
        <is>
          <t>Filled</t>
        </is>
      </c>
      <c r="R125" t="n">
        <v>7</v>
      </c>
      <c r="S125" t="inlineStr">
        <is>
          <t>Other</t>
        </is>
      </c>
      <c r="T125" t="inlineStr">
        <is>
          <t>Central rule applies (course value differs)</t>
        </is>
      </c>
      <c r="U125" t="inlineStr">
        <is>
          <t>Yes: course has IELTS 7.00, central rule says 6.5</t>
        </is>
      </c>
      <c r="V125" t="inlineStr">
        <is>
          <t>Filled</t>
        </is>
      </c>
      <c r="W125" t="inlineStr">
        <is>
          <t>February, July</t>
        </is>
      </c>
      <c r="X125" t="inlineStr">
        <is>
          <t>Other</t>
        </is>
      </c>
      <c r="Y125" t="n">
        <v>0</v>
      </c>
      <c r="Z125" t="inlineStr">
        <is>
          <t>Yes</t>
        </is>
      </c>
      <c r="AA125" t="inlineStr">
        <is>
          <t>Filled</t>
        </is>
      </c>
      <c r="AB125" t="inlineStr">
        <is>
          <t>on campus</t>
        </is>
      </c>
      <c r="AC125" t="inlineStr">
        <is>
          <t>Filled</t>
        </is>
      </c>
      <c r="AD125" t="n">
        <v>0</v>
      </c>
      <c r="AE125" t="inlineStr"/>
      <c r="AF125" t="inlineStr"/>
      <c r="AG125" t="inlineStr"/>
      <c r="AH125" t="inlineStr"/>
      <c r="AI125" t="inlineStr"/>
      <c r="AJ125" t="inlineStr"/>
      <c r="AK125" t="inlineStr"/>
      <c r="AL125" t="inlineStr"/>
      <c r="AM125" t="inlineStr"/>
    </row>
    <row r="126">
      <c r="A126" t="inlineStr">
        <is>
          <t>096861E</t>
        </is>
      </c>
      <c r="B126" t="inlineStr">
        <is>
          <t>Bachelor of Psychology (Honours) with the degree of Bachelor of Speech, Hearing and Language Sciences</t>
        </is>
      </c>
      <c r="C126" t="inlineStr">
        <is>
          <t>Bachelor Honours Degree</t>
        </is>
      </c>
      <c r="D126" t="inlineStr">
        <is>
          <t>Undergraduate</t>
        </is>
      </c>
      <c r="E126" t="inlineStr">
        <is>
          <t>Held: page found is for another course</t>
        </is>
      </c>
      <c r="F126" t="inlineStr"/>
      <c r="G126" t="inlineStr">
        <is>
          <t>https://coursehandbook.mq.edu.au/2021/doubledegree/D000026</t>
        </is>
      </c>
      <c r="H126" t="inlineStr">
        <is>
          <t>Page is for another course</t>
        </is>
      </c>
      <c r="I126" t="inlineStr"/>
      <c r="J126" t="inlineStr"/>
      <c r="K126" t="inlineStr">
        <is>
          <t>Finished, no page: no address from the university's address forms or stored lis</t>
        </is>
      </c>
      <c r="L126" t="inlineStr">
        <is>
          <t>Searching for course page</t>
        </is>
      </c>
      <c r="M126" t="inlineStr">
        <is>
          <t>Searching for course page</t>
        </is>
      </c>
      <c r="N126" t="inlineStr"/>
      <c r="O126" t="n">
        <v>0</v>
      </c>
      <c r="P126" t="inlineStr"/>
      <c r="Q126" t="inlineStr">
        <is>
          <t>Filled</t>
        </is>
      </c>
      <c r="R126" t="n">
        <v>6.5</v>
      </c>
      <c r="S126" t="inlineStr">
        <is>
          <t>Central English policy</t>
        </is>
      </c>
      <c r="T126" t="inlineStr">
        <is>
          <t>Central rule applies (value agrees)</t>
        </is>
      </c>
      <c r="U126" t="inlineStr"/>
      <c r="V126" t="inlineStr">
        <is>
          <t>Searching for course page</t>
        </is>
      </c>
      <c r="W126" t="inlineStr"/>
      <c r="X126" t="inlineStr"/>
      <c r="Y126" t="n">
        <v>0</v>
      </c>
      <c r="Z126" t="inlineStr">
        <is>
          <t>Yes</t>
        </is>
      </c>
      <c r="AA126" t="inlineStr">
        <is>
          <t>Not stated on course page</t>
        </is>
      </c>
      <c r="AB126" t="inlineStr"/>
      <c r="AC126" t="inlineStr">
        <is>
          <t>Skipped: the page does not state it</t>
        </is>
      </c>
      <c r="AD126" t="n">
        <v>0</v>
      </c>
      <c r="AE126" t="inlineStr"/>
      <c r="AF126" t="inlineStr"/>
      <c r="AG126" t="inlineStr"/>
      <c r="AH126" t="inlineStr"/>
      <c r="AI126" t="inlineStr"/>
      <c r="AJ126" t="inlineStr"/>
      <c r="AK126" t="inlineStr"/>
      <c r="AL126" t="inlineStr"/>
      <c r="AM126" t="inlineStr"/>
    </row>
    <row r="127">
      <c r="A127" t="inlineStr">
        <is>
          <t>001365G</t>
        </is>
      </c>
      <c r="B127" t="inlineStr">
        <is>
          <t>Bachelor of Science</t>
        </is>
      </c>
      <c r="C127" t="inlineStr">
        <is>
          <t>Bachelor</t>
        </is>
      </c>
      <c r="D127" t="inlineStr">
        <is>
          <t>Undergraduate</t>
        </is>
      </c>
      <c r="E127" t="inlineStr">
        <is>
          <t>Advertised: official page in place</t>
        </is>
      </c>
      <c r="F127" t="inlineStr">
        <is>
          <t>https://coursehandbook.mq.edu.au/2026/courses/C000352</t>
        </is>
      </c>
      <c r="G127" t="inlineStr">
        <is>
          <t>https://coursehandbook.mq.edu.au/2026/courses/C000352</t>
        </is>
      </c>
      <c r="H127" t="inlineStr">
        <is>
          <t>Read</t>
        </is>
      </c>
      <c r="I127" t="inlineStr">
        <is>
          <t>Exact title match</t>
        </is>
      </c>
      <c r="J127" t="inlineStr"/>
      <c r="K127" t="inlineStr">
        <is>
          <t>Not sent to re-link</t>
        </is>
      </c>
      <c r="L127" t="inlineStr">
        <is>
          <t>Filled</t>
        </is>
      </c>
      <c r="M127" t="inlineStr">
        <is>
          <t>Not stated on course page</t>
        </is>
      </c>
      <c r="N127" t="inlineStr"/>
      <c r="O127" t="n">
        <v>0</v>
      </c>
      <c r="P127" t="inlineStr"/>
      <c r="Q127" t="inlineStr">
        <is>
          <t>Filled</t>
        </is>
      </c>
      <c r="R127" t="n">
        <v>6.5</v>
      </c>
      <c r="S127" t="inlineStr">
        <is>
          <t>University adapter</t>
        </is>
      </c>
      <c r="T127" t="inlineStr">
        <is>
          <t>Central rule applies (value agrees)</t>
        </is>
      </c>
      <c r="U127" t="inlineStr"/>
      <c r="V127" t="inlineStr">
        <is>
          <t>Not stated on course page</t>
        </is>
      </c>
      <c r="W127" t="inlineStr"/>
      <c r="X127" t="inlineStr"/>
      <c r="Y127" t="n">
        <v>0</v>
      </c>
      <c r="Z127" t="inlineStr">
        <is>
          <t>Yes</t>
        </is>
      </c>
      <c r="AA127" t="inlineStr">
        <is>
          <t>Not stated on course page</t>
        </is>
      </c>
      <c r="AB127" t="inlineStr"/>
      <c r="AC127" t="inlineStr">
        <is>
          <t>Skipped: the page does not state it</t>
        </is>
      </c>
      <c r="AD127" t="n">
        <v>0</v>
      </c>
      <c r="AE127" t="inlineStr"/>
      <c r="AF127" t="inlineStr"/>
      <c r="AG127" t="inlineStr"/>
      <c r="AH127" t="inlineStr"/>
      <c r="AI127" t="inlineStr"/>
      <c r="AJ127" t="inlineStr"/>
      <c r="AK127" t="inlineStr"/>
      <c r="AL127" t="inlineStr"/>
      <c r="AM127" t="inlineStr"/>
    </row>
    <row r="128">
      <c r="A128" t="inlineStr">
        <is>
          <t>095108B</t>
        </is>
      </c>
      <c r="B128" t="inlineStr">
        <is>
          <t>Bachelor of Science - Global Challenges</t>
        </is>
      </c>
      <c r="C128" t="inlineStr">
        <is>
          <t>Bachelor</t>
        </is>
      </c>
      <c r="D128" t="inlineStr">
        <is>
          <t>Undergraduate</t>
        </is>
      </c>
      <c r="E128" t="inlineStr">
        <is>
          <t>Advertised: official page in place</t>
        </is>
      </c>
      <c r="F128" t="inlineStr">
        <is>
          <t>https://handbook.mq.edu.au/2019/DegreesDiplomas/Degree/Bachelor+of+Science+-+Global+Challenges</t>
        </is>
      </c>
      <c r="G128" t="inlineStr">
        <is>
          <t>https://handbook.mq.edu.au/2019/DegreesDiplomas/Degree/Bachelor+of+Science+-+Global+Challenges</t>
        </is>
      </c>
      <c r="H128" t="inlineStr">
        <is>
          <t>Read</t>
        </is>
      </c>
      <c r="I128" t="inlineStr">
        <is>
          <t>CRICOS code on page</t>
        </is>
      </c>
      <c r="J128" t="inlineStr"/>
      <c r="K128" t="inlineStr">
        <is>
          <t>Not sent to re-link</t>
        </is>
      </c>
      <c r="L128" t="inlineStr">
        <is>
          <t>Filled</t>
        </is>
      </c>
      <c r="M128" t="inlineStr">
        <is>
          <t>Not stated on course page</t>
        </is>
      </c>
      <c r="N128" t="inlineStr"/>
      <c r="O128" t="n">
        <v>0</v>
      </c>
      <c r="P128" t="inlineStr"/>
      <c r="Q128" t="inlineStr">
        <is>
          <t>Filled</t>
        </is>
      </c>
      <c r="R128" t="n">
        <v>6.5</v>
      </c>
      <c r="S128" t="inlineStr">
        <is>
          <t>Other</t>
        </is>
      </c>
      <c r="T128" t="inlineStr">
        <is>
          <t>Central rule applies (value agrees)</t>
        </is>
      </c>
      <c r="U128" t="inlineStr"/>
      <c r="V128" t="inlineStr">
        <is>
          <t>Filled</t>
        </is>
      </c>
      <c r="W128" t="inlineStr">
        <is>
          <t>February</t>
        </is>
      </c>
      <c r="X128" t="inlineStr">
        <is>
          <t>Other</t>
        </is>
      </c>
      <c r="Y128" t="n">
        <v>0</v>
      </c>
      <c r="Z128" t="inlineStr">
        <is>
          <t>Yes</t>
        </is>
      </c>
      <c r="AA128" t="inlineStr">
        <is>
          <t>Filled</t>
        </is>
      </c>
      <c r="AB128" t="inlineStr">
        <is>
          <t>on campus</t>
        </is>
      </c>
      <c r="AC128" t="inlineStr">
        <is>
          <t>Filled</t>
        </is>
      </c>
      <c r="AD128" t="n">
        <v>0</v>
      </c>
      <c r="AE128" t="inlineStr"/>
      <c r="AF128" t="inlineStr"/>
      <c r="AG128" t="inlineStr"/>
      <c r="AH128" t="inlineStr"/>
      <c r="AI128" t="inlineStr"/>
      <c r="AJ128" t="inlineStr"/>
      <c r="AK128" t="inlineStr"/>
      <c r="AL128" t="inlineStr"/>
      <c r="AM128" t="inlineStr"/>
    </row>
    <row r="129">
      <c r="A129" t="inlineStr">
        <is>
          <t>031331B</t>
        </is>
      </c>
      <c r="B129" t="inlineStr">
        <is>
          <t>Bachelor of Science - Psychology</t>
        </is>
      </c>
      <c r="C129" t="inlineStr">
        <is>
          <t>Bachelor</t>
        </is>
      </c>
      <c r="D129" t="inlineStr">
        <is>
          <t>Undergraduate</t>
        </is>
      </c>
      <c r="E129" t="inlineStr">
        <is>
          <t>Held: page found is for another course</t>
        </is>
      </c>
      <c r="F129" t="inlineStr"/>
      <c r="G129" t="inlineStr">
        <is>
          <t>https://www.mq.edu.au/study/find-a-course/psychology-and-cognitive-science</t>
        </is>
      </c>
      <c r="H129" t="inlineStr">
        <is>
          <t>Page is for another course</t>
        </is>
      </c>
      <c r="I129" t="inlineStr"/>
      <c r="J129" t="inlineStr"/>
      <c r="K129" t="inlineStr">
        <is>
          <t>Finished, no page: no address from the university's address forms or stored lis</t>
        </is>
      </c>
      <c r="L129" t="inlineStr">
        <is>
          <t>Searching for course page</t>
        </is>
      </c>
      <c r="M129" t="inlineStr">
        <is>
          <t>Searching for course page</t>
        </is>
      </c>
      <c r="N129" t="inlineStr"/>
      <c r="O129" t="n">
        <v>0</v>
      </c>
      <c r="P129" t="inlineStr"/>
      <c r="Q129" t="inlineStr">
        <is>
          <t>Filled</t>
        </is>
      </c>
      <c r="R129" t="n">
        <v>6.5</v>
      </c>
      <c r="S129" t="inlineStr">
        <is>
          <t>Central English policy</t>
        </is>
      </c>
      <c r="T129" t="inlineStr">
        <is>
          <t>Central rule applies (value agrees)</t>
        </is>
      </c>
      <c r="U129" t="inlineStr"/>
      <c r="V129" t="inlineStr">
        <is>
          <t>Searching for course page</t>
        </is>
      </c>
      <c r="W129" t="inlineStr"/>
      <c r="X129" t="inlineStr"/>
      <c r="Y129" t="n">
        <v>0</v>
      </c>
      <c r="Z129" t="inlineStr">
        <is>
          <t>Yes</t>
        </is>
      </c>
      <c r="AA129" t="inlineStr">
        <is>
          <t>Not stated on course page</t>
        </is>
      </c>
      <c r="AB129" t="inlineStr"/>
      <c r="AC129" t="inlineStr">
        <is>
          <t>Skipped: the page does not state it</t>
        </is>
      </c>
      <c r="AD129" t="n">
        <v>0</v>
      </c>
      <c r="AE129" t="inlineStr"/>
      <c r="AF129" t="inlineStr"/>
      <c r="AG129" t="inlineStr"/>
      <c r="AH129" t="inlineStr"/>
      <c r="AI129" t="inlineStr"/>
      <c r="AJ129" t="inlineStr"/>
      <c r="AK129" t="inlineStr"/>
      <c r="AL129" t="inlineStr"/>
      <c r="AM129" t="inlineStr"/>
    </row>
    <row r="130">
      <c r="A130" t="inlineStr">
        <is>
          <t>081340J</t>
        </is>
      </c>
      <c r="B130" t="inlineStr">
        <is>
          <t>Bachelor of Science with the degree of Bachelor of Education (Secondary)</t>
        </is>
      </c>
      <c r="C130" t="inlineStr">
        <is>
          <t>Bachelor</t>
        </is>
      </c>
      <c r="D130" t="inlineStr">
        <is>
          <t>Undergraduate</t>
        </is>
      </c>
      <c r="E130" t="inlineStr">
        <is>
          <t>Advertised: official page in place</t>
        </is>
      </c>
      <c r="F130" t="inlineStr">
        <is>
          <t>https://handbook.mq.edu.au/2019/DegreesDiplomas/Degree/Bachelor+of+Science+with+the+degree+of+Bachelor+of+Education+%28Secondary%29</t>
        </is>
      </c>
      <c r="G130" t="inlineStr">
        <is>
          <t>https://handbook.mq.edu.au/2019/DegreesDiplomas/Degree/Bachelor+of+Science+with+the+degree+of+Bachelor+of+Education+%28Secondary%29</t>
        </is>
      </c>
      <c r="H130" t="inlineStr">
        <is>
          <t>Read</t>
        </is>
      </c>
      <c r="I130" t="inlineStr">
        <is>
          <t>CRICOS code on page</t>
        </is>
      </c>
      <c r="J130" t="inlineStr"/>
      <c r="K130" t="inlineStr">
        <is>
          <t>Not sent to re-link</t>
        </is>
      </c>
      <c r="L130" t="inlineStr">
        <is>
          <t>Filled</t>
        </is>
      </c>
      <c r="M130" t="inlineStr">
        <is>
          <t>Not stated on course page</t>
        </is>
      </c>
      <c r="N130" t="inlineStr"/>
      <c r="O130" t="n">
        <v>0</v>
      </c>
      <c r="P130" t="inlineStr"/>
      <c r="Q130" t="inlineStr">
        <is>
          <t>Filled</t>
        </is>
      </c>
      <c r="R130" t="n">
        <v>7.5</v>
      </c>
      <c r="S130" t="inlineStr">
        <is>
          <t>Other</t>
        </is>
      </c>
      <c r="T130" t="inlineStr">
        <is>
          <t>Central rule applies (course value differs)</t>
        </is>
      </c>
      <c r="U130" t="inlineStr">
        <is>
          <t>Yes: course has IELTS 7.50, central rule says 6.5</t>
        </is>
      </c>
      <c r="V130" t="inlineStr">
        <is>
          <t>Filled</t>
        </is>
      </c>
      <c r="W130" t="inlineStr">
        <is>
          <t>February</t>
        </is>
      </c>
      <c r="X130" t="inlineStr">
        <is>
          <t>Other</t>
        </is>
      </c>
      <c r="Y130" t="n">
        <v>0</v>
      </c>
      <c r="Z130" t="inlineStr">
        <is>
          <t>Yes</t>
        </is>
      </c>
      <c r="AA130" t="inlineStr">
        <is>
          <t>Filled</t>
        </is>
      </c>
      <c r="AB130" t="inlineStr">
        <is>
          <t>on campus</t>
        </is>
      </c>
      <c r="AC130" t="inlineStr">
        <is>
          <t>Filled</t>
        </is>
      </c>
      <c r="AD130" t="n">
        <v>0</v>
      </c>
      <c r="AE130" t="inlineStr"/>
      <c r="AF130" t="inlineStr"/>
      <c r="AG130" t="inlineStr"/>
      <c r="AH130" t="inlineStr"/>
      <c r="AI130" t="inlineStr"/>
      <c r="AJ130" t="inlineStr"/>
      <c r="AK130" t="inlineStr"/>
      <c r="AL130" t="inlineStr"/>
      <c r="AM130" t="inlineStr"/>
    </row>
    <row r="131">
      <c r="A131" t="inlineStr">
        <is>
          <t>083744F</t>
        </is>
      </c>
      <c r="B131" t="inlineStr">
        <is>
          <t>Bachelor of Security Studies</t>
        </is>
      </c>
      <c r="C131" t="inlineStr">
        <is>
          <t>Bachelor</t>
        </is>
      </c>
      <c r="D131" t="inlineStr">
        <is>
          <t>Undergraduate</t>
        </is>
      </c>
      <c r="E131" t="inlineStr">
        <is>
          <t>Advertised: official page in place</t>
        </is>
      </c>
      <c r="F131" t="inlineStr">
        <is>
          <t>https://coursehandbook.mq.edu.au/2026/courses/C000015</t>
        </is>
      </c>
      <c r="G131" t="inlineStr">
        <is>
          <t>https://coursehandbook.mq.edu.au/2026/courses/C000015</t>
        </is>
      </c>
      <c r="H131" t="inlineStr">
        <is>
          <t>Read</t>
        </is>
      </c>
      <c r="I131" t="inlineStr">
        <is>
          <t>Exact title match</t>
        </is>
      </c>
      <c r="J131" t="inlineStr"/>
      <c r="K131" t="inlineStr">
        <is>
          <t>Not sent to re-link</t>
        </is>
      </c>
      <c r="L131" t="inlineStr">
        <is>
          <t>Filled</t>
        </is>
      </c>
      <c r="M131" t="inlineStr">
        <is>
          <t>Not stated on course page</t>
        </is>
      </c>
      <c r="N131" t="inlineStr"/>
      <c r="O131" t="n">
        <v>0</v>
      </c>
      <c r="P131" t="inlineStr"/>
      <c r="Q131" t="inlineStr">
        <is>
          <t>Filled</t>
        </is>
      </c>
      <c r="R131" t="n">
        <v>6.5</v>
      </c>
      <c r="S131" t="inlineStr">
        <is>
          <t>University adapter</t>
        </is>
      </c>
      <c r="T131" t="inlineStr">
        <is>
          <t>Central rule applies (value agrees)</t>
        </is>
      </c>
      <c r="U131" t="inlineStr"/>
      <c r="V131" t="inlineStr">
        <is>
          <t>Not stated on course page</t>
        </is>
      </c>
      <c r="W131" t="inlineStr"/>
      <c r="X131" t="inlineStr"/>
      <c r="Y131" t="n">
        <v>0</v>
      </c>
      <c r="Z131" t="inlineStr">
        <is>
          <t>Yes</t>
        </is>
      </c>
      <c r="AA131" t="inlineStr">
        <is>
          <t>Not stated on course page</t>
        </is>
      </c>
      <c r="AB131" t="inlineStr"/>
      <c r="AC131" t="inlineStr">
        <is>
          <t>Skipped: the page does not state it</t>
        </is>
      </c>
      <c r="AD131" t="n">
        <v>0</v>
      </c>
      <c r="AE131" t="inlineStr"/>
      <c r="AF131" t="inlineStr"/>
      <c r="AG131" t="inlineStr"/>
      <c r="AH131" t="inlineStr"/>
      <c r="AI131" t="inlineStr"/>
      <c r="AJ131" t="inlineStr"/>
      <c r="AK131" t="inlineStr"/>
      <c r="AL131" t="inlineStr"/>
      <c r="AM131" t="inlineStr"/>
    </row>
    <row r="132">
      <c r="A132" t="inlineStr">
        <is>
          <t>027337G</t>
        </is>
      </c>
      <c r="B132" t="inlineStr">
        <is>
          <t>Bachelor of Social Science</t>
        </is>
      </c>
      <c r="C132" t="inlineStr">
        <is>
          <t>Bachelor</t>
        </is>
      </c>
      <c r="D132" t="inlineStr">
        <is>
          <t>Undergraduate</t>
        </is>
      </c>
      <c r="E132" t="inlineStr">
        <is>
          <t>Page address no longer works</t>
        </is>
      </c>
      <c r="F132" t="inlineStr"/>
      <c r="G132" t="inlineStr">
        <is>
          <t>https://coursehandbook.mq.edu.au/2026/doubledegree/d006315</t>
        </is>
      </c>
      <c r="H132" t="inlineStr">
        <is>
          <t>Address no longer works</t>
        </is>
      </c>
      <c r="I132" t="inlineStr"/>
      <c r="J132" t="inlineStr"/>
      <c r="K132" t="inlineStr">
        <is>
          <t>Not sent to re-link</t>
        </is>
      </c>
      <c r="L132" t="inlineStr">
        <is>
          <t>Page found, being read</t>
        </is>
      </c>
      <c r="M132" t="inlineStr">
        <is>
          <t>Page found, being read</t>
        </is>
      </c>
      <c r="N132" t="inlineStr"/>
      <c r="O132" t="n">
        <v>0</v>
      </c>
      <c r="P132" t="inlineStr"/>
      <c r="Q132" t="inlineStr">
        <is>
          <t>Filled</t>
        </is>
      </c>
      <c r="R132" t="n">
        <v>6.5</v>
      </c>
      <c r="S132" t="inlineStr">
        <is>
          <t>Central English policy</t>
        </is>
      </c>
      <c r="T132" t="inlineStr">
        <is>
          <t>Central rule applies (value agrees)</t>
        </is>
      </c>
      <c r="U132" t="inlineStr"/>
      <c r="V132" t="inlineStr">
        <is>
          <t>Page found, being read</t>
        </is>
      </c>
      <c r="W132" t="inlineStr"/>
      <c r="X132" t="inlineStr"/>
      <c r="Y132" t="n">
        <v>0</v>
      </c>
      <c r="Z132" t="inlineStr">
        <is>
          <t>Yes</t>
        </is>
      </c>
      <c r="AA132" t="inlineStr">
        <is>
          <t>Not stated on course page</t>
        </is>
      </c>
      <c r="AB132" t="inlineStr"/>
      <c r="AC132" t="inlineStr">
        <is>
          <t>Skipped: no allowed source had a value</t>
        </is>
      </c>
      <c r="AD132" t="n">
        <v>0</v>
      </c>
      <c r="AE132" t="inlineStr"/>
      <c r="AF132" t="inlineStr"/>
      <c r="AG132" t="inlineStr"/>
      <c r="AH132" t="inlineStr"/>
      <c r="AI132" t="inlineStr"/>
      <c r="AJ132" t="inlineStr"/>
      <c r="AK132" t="inlineStr"/>
      <c r="AL132" t="inlineStr"/>
      <c r="AM132" t="inlineStr"/>
    </row>
    <row r="133">
      <c r="A133" t="inlineStr">
        <is>
          <t>115580H</t>
        </is>
      </c>
      <c r="B133" t="inlineStr">
        <is>
          <t>Bachelor of Social Sciences</t>
        </is>
      </c>
      <c r="C133" t="inlineStr">
        <is>
          <t>Bachelor</t>
        </is>
      </c>
      <c r="D133" t="inlineStr">
        <is>
          <t>Undergraduate</t>
        </is>
      </c>
      <c r="E133" t="inlineStr">
        <is>
          <t>Advertised: official page in place</t>
        </is>
      </c>
      <c r="F133" t="inlineStr">
        <is>
          <t>https://coursehandbook.mq.edu.au/2026/courses/C000422</t>
        </is>
      </c>
      <c r="G133" t="inlineStr">
        <is>
          <t>https://coursehandbook.mq.edu.au/2026/courses/C000422</t>
        </is>
      </c>
      <c r="H133" t="inlineStr">
        <is>
          <t>Read</t>
        </is>
      </c>
      <c r="I133" t="inlineStr">
        <is>
          <t>Exact title match</t>
        </is>
      </c>
      <c r="J133" t="inlineStr"/>
      <c r="K133" t="inlineStr">
        <is>
          <t>Not sent to re-link</t>
        </is>
      </c>
      <c r="L133" t="inlineStr">
        <is>
          <t>Filled</t>
        </is>
      </c>
      <c r="M133" t="inlineStr">
        <is>
          <t>Not stated on course page</t>
        </is>
      </c>
      <c r="N133" t="inlineStr"/>
      <c r="O133" t="n">
        <v>0</v>
      </c>
      <c r="P133" t="inlineStr"/>
      <c r="Q133" t="inlineStr">
        <is>
          <t>Filled</t>
        </is>
      </c>
      <c r="R133" t="n">
        <v>6.5</v>
      </c>
      <c r="S133" t="inlineStr">
        <is>
          <t>University adapter</t>
        </is>
      </c>
      <c r="T133" t="inlineStr">
        <is>
          <t>Central rule applies (value agrees)</t>
        </is>
      </c>
      <c r="U133" t="inlineStr"/>
      <c r="V133" t="inlineStr">
        <is>
          <t>Not stated on course page</t>
        </is>
      </c>
      <c r="W133" t="inlineStr"/>
      <c r="X133" t="inlineStr"/>
      <c r="Y133" t="n">
        <v>0</v>
      </c>
      <c r="Z133" t="inlineStr">
        <is>
          <t>Yes</t>
        </is>
      </c>
      <c r="AA133" t="inlineStr">
        <is>
          <t>Not stated on course page</t>
        </is>
      </c>
      <c r="AB133" t="inlineStr"/>
      <c r="AC133" t="inlineStr">
        <is>
          <t>Skipped: the page does not state it</t>
        </is>
      </c>
      <c r="AD133" t="n">
        <v>0</v>
      </c>
      <c r="AE133" t="inlineStr"/>
      <c r="AF133" t="inlineStr"/>
      <c r="AG133" t="inlineStr"/>
      <c r="AH133" t="inlineStr"/>
      <c r="AI133" t="inlineStr"/>
      <c r="AJ133" t="inlineStr"/>
      <c r="AK133" t="inlineStr"/>
      <c r="AL133" t="inlineStr"/>
      <c r="AM133" t="inlineStr"/>
    </row>
    <row r="134">
      <c r="A134" t="inlineStr">
        <is>
          <t>099151M</t>
        </is>
      </c>
      <c r="B134" t="inlineStr">
        <is>
          <t>Bachelor of Speech and Hearing Sciences</t>
        </is>
      </c>
      <c r="C134" t="inlineStr">
        <is>
          <t>Bachelor</t>
        </is>
      </c>
      <c r="D134" t="inlineStr">
        <is>
          <t>Undergraduate</t>
        </is>
      </c>
      <c r="E134" t="inlineStr">
        <is>
          <t>Advertised: official page in place</t>
        </is>
      </c>
      <c r="F134" t="inlineStr">
        <is>
          <t>https://coursehandbook.mq.edu.au/2026/courses/c000103</t>
        </is>
      </c>
      <c r="G134" t="inlineStr">
        <is>
          <t>https://coursehandbook.mq.edu.au/2026/courses/c000103</t>
        </is>
      </c>
      <c r="H134" t="inlineStr">
        <is>
          <t>Read</t>
        </is>
      </c>
      <c r="I134" t="inlineStr">
        <is>
          <t>Exact title match</t>
        </is>
      </c>
      <c r="J134" t="inlineStr"/>
      <c r="K134" t="inlineStr">
        <is>
          <t>Not sent to re-link</t>
        </is>
      </c>
      <c r="L134" t="inlineStr">
        <is>
          <t>Filled</t>
        </is>
      </c>
      <c r="M134" t="inlineStr">
        <is>
          <t>Not stated on course page</t>
        </is>
      </c>
      <c r="N134" t="inlineStr"/>
      <c r="O134" t="n">
        <v>0</v>
      </c>
      <c r="P134" t="inlineStr"/>
      <c r="Q134" t="inlineStr">
        <is>
          <t>Filled</t>
        </is>
      </c>
      <c r="R134" t="n">
        <v>6.5</v>
      </c>
      <c r="S134" t="inlineStr">
        <is>
          <t>University adapter</t>
        </is>
      </c>
      <c r="T134" t="inlineStr">
        <is>
          <t>Central rule applies (value agrees)</t>
        </is>
      </c>
      <c r="U134" t="inlineStr"/>
      <c r="V134" t="inlineStr">
        <is>
          <t>Not stated on course page</t>
        </is>
      </c>
      <c r="W134" t="inlineStr"/>
      <c r="X134" t="inlineStr"/>
      <c r="Y134" t="n">
        <v>0</v>
      </c>
      <c r="Z134" t="inlineStr">
        <is>
          <t>Yes</t>
        </is>
      </c>
      <c r="AA134" t="inlineStr">
        <is>
          <t>Not stated on course page</t>
        </is>
      </c>
      <c r="AB134" t="inlineStr"/>
      <c r="AC134" t="inlineStr">
        <is>
          <t>Skipped: the page does not state it</t>
        </is>
      </c>
      <c r="AD134" t="n">
        <v>0</v>
      </c>
      <c r="AE134" t="inlineStr"/>
      <c r="AF134" t="inlineStr"/>
      <c r="AG134" t="inlineStr"/>
      <c r="AH134" t="inlineStr"/>
      <c r="AI134" t="inlineStr"/>
      <c r="AJ134" t="inlineStr"/>
      <c r="AK134" t="inlineStr"/>
      <c r="AL134" t="inlineStr"/>
      <c r="AM134" t="inlineStr"/>
    </row>
    <row r="135">
      <c r="A135" t="inlineStr">
        <is>
          <t>096862D</t>
        </is>
      </c>
      <c r="B135" t="inlineStr">
        <is>
          <t>Bachelor of Speech, Hearing and Language Sciences with the degree of Bachelor of Human Sciences</t>
        </is>
      </c>
      <c r="C135" t="inlineStr">
        <is>
          <t>Bachelor</t>
        </is>
      </c>
      <c r="D135" t="inlineStr">
        <is>
          <t>Undergraduate</t>
        </is>
      </c>
      <c r="E135" t="inlineStr">
        <is>
          <t>Advertised: official page in place</t>
        </is>
      </c>
      <c r="F135" t="inlineStr">
        <is>
          <t>https://handbook.mq.edu.au/2019/DegreesDiplomas/Degree/Bachelor+of+Speech%2C+Hearing+and+Language+Sciences+with+the+degree+of+Bachelor+of+Human+Sciences</t>
        </is>
      </c>
      <c r="G135" t="inlineStr">
        <is>
          <t>https://handbook.mq.edu.au/2019/DegreesDiplomas/Degree/Bachelor+of+Speech%2C+Hearing+and+Language+Sciences+with+the+degree+of+Bachelor+of+Human+Sciences</t>
        </is>
      </c>
      <c r="H135" t="inlineStr">
        <is>
          <t>Read</t>
        </is>
      </c>
      <c r="I135" t="inlineStr">
        <is>
          <t>CRICOS code on page</t>
        </is>
      </c>
      <c r="J135" t="inlineStr"/>
      <c r="K135" t="inlineStr">
        <is>
          <t>Not sent to re-link</t>
        </is>
      </c>
      <c r="L135" t="inlineStr">
        <is>
          <t>Filled</t>
        </is>
      </c>
      <c r="M135" t="inlineStr">
        <is>
          <t>Not stated on course page</t>
        </is>
      </c>
      <c r="N135" t="inlineStr"/>
      <c r="O135" t="n">
        <v>0</v>
      </c>
      <c r="P135" t="inlineStr"/>
      <c r="Q135" t="inlineStr">
        <is>
          <t>Filled</t>
        </is>
      </c>
      <c r="R135" t="n">
        <v>6.5</v>
      </c>
      <c r="S135" t="inlineStr">
        <is>
          <t>Other</t>
        </is>
      </c>
      <c r="T135" t="inlineStr">
        <is>
          <t>Central rule applies (value agrees)</t>
        </is>
      </c>
      <c r="U135" t="inlineStr"/>
      <c r="V135" t="inlineStr">
        <is>
          <t>Filled</t>
        </is>
      </c>
      <c r="W135" t="inlineStr">
        <is>
          <t>February, July</t>
        </is>
      </c>
      <c r="X135" t="inlineStr">
        <is>
          <t>Other</t>
        </is>
      </c>
      <c r="Y135" t="n">
        <v>0</v>
      </c>
      <c r="Z135" t="inlineStr">
        <is>
          <t>Yes</t>
        </is>
      </c>
      <c r="AA135" t="inlineStr">
        <is>
          <t>Filled</t>
        </is>
      </c>
      <c r="AB135" t="inlineStr">
        <is>
          <t>on campus</t>
        </is>
      </c>
      <c r="AC135" t="inlineStr">
        <is>
          <t>Filled</t>
        </is>
      </c>
      <c r="AD135" t="n">
        <v>0</v>
      </c>
      <c r="AE135" t="inlineStr"/>
      <c r="AF135" t="inlineStr"/>
      <c r="AG135" t="inlineStr"/>
      <c r="AH135" t="inlineStr"/>
      <c r="AI135" t="inlineStr"/>
      <c r="AJ135" t="inlineStr"/>
      <c r="AK135" t="inlineStr"/>
      <c r="AL135" t="inlineStr"/>
      <c r="AM135" t="inlineStr"/>
    </row>
    <row r="136">
      <c r="A136" t="inlineStr">
        <is>
          <t>083745E</t>
        </is>
      </c>
      <c r="B136" t="inlineStr">
        <is>
          <t>Bachelor of Teaching (Early Childhood Education)</t>
        </is>
      </c>
      <c r="C136" t="inlineStr">
        <is>
          <t>Bachelor</t>
        </is>
      </c>
      <c r="D136" t="inlineStr">
        <is>
          <t>Undergraduate</t>
        </is>
      </c>
      <c r="E136" t="inlineStr">
        <is>
          <t>Page address no longer works</t>
        </is>
      </c>
      <c r="F136" t="inlineStr"/>
      <c r="G136" t="inlineStr">
        <is>
          <t>https://coursehandbook.mq.edu.au/2026/courses/C000012</t>
        </is>
      </c>
      <c r="H136" t="inlineStr">
        <is>
          <t>Address no longer works</t>
        </is>
      </c>
      <c r="I136" t="inlineStr"/>
      <c r="J136" t="inlineStr"/>
      <c r="K136" t="inlineStr">
        <is>
          <t>Not sent to re-link</t>
        </is>
      </c>
      <c r="L136" t="inlineStr">
        <is>
          <t>Page found, being read</t>
        </is>
      </c>
      <c r="M136" t="inlineStr">
        <is>
          <t>Page found, being read</t>
        </is>
      </c>
      <c r="N136" t="inlineStr"/>
      <c r="O136" t="n">
        <v>0</v>
      </c>
      <c r="P136" t="inlineStr"/>
      <c r="Q136" t="inlineStr">
        <is>
          <t>Filled</t>
        </is>
      </c>
      <c r="R136" t="n">
        <v>6.5</v>
      </c>
      <c r="S136" t="inlineStr">
        <is>
          <t>Central English policy</t>
        </is>
      </c>
      <c r="T136" t="inlineStr">
        <is>
          <t>Central rule applies (value agrees)</t>
        </is>
      </c>
      <c r="U136" t="inlineStr"/>
      <c r="V136" t="inlineStr">
        <is>
          <t>Page found, being read</t>
        </is>
      </c>
      <c r="W136" t="inlineStr"/>
      <c r="X136" t="inlineStr"/>
      <c r="Y136" t="n">
        <v>0</v>
      </c>
      <c r="Z136" t="inlineStr">
        <is>
          <t>Yes</t>
        </is>
      </c>
      <c r="AA136" t="inlineStr">
        <is>
          <t>Not stated on course page</t>
        </is>
      </c>
      <c r="AB136" t="inlineStr"/>
      <c r="AC136" t="inlineStr">
        <is>
          <t>Skipped: no allowed source had a value</t>
        </is>
      </c>
      <c r="AD136" t="n">
        <v>0</v>
      </c>
      <c r="AE136" t="inlineStr"/>
      <c r="AF136" t="inlineStr"/>
      <c r="AG136" t="inlineStr"/>
      <c r="AH136" t="inlineStr"/>
      <c r="AI136" t="inlineStr"/>
      <c r="AJ136" t="inlineStr"/>
      <c r="AK136" t="inlineStr"/>
      <c r="AL136" t="inlineStr"/>
      <c r="AM136" t="inlineStr"/>
    </row>
    <row r="137">
      <c r="A137" t="inlineStr">
        <is>
          <t>120529B</t>
        </is>
      </c>
      <c r="B137" t="inlineStr">
        <is>
          <t>Bachelor of Urban and Regional Planning</t>
        </is>
      </c>
      <c r="C137" t="inlineStr">
        <is>
          <t>Bachelor</t>
        </is>
      </c>
      <c r="D137" t="inlineStr">
        <is>
          <t>Undergraduate</t>
        </is>
      </c>
      <c r="E137" t="inlineStr">
        <is>
          <t>Advertised: official page in place</t>
        </is>
      </c>
      <c r="F137" t="inlineStr">
        <is>
          <t>https://www.mq.edu.au/study/find-a-course/courses/bachelor-of-urban-and-regional-planning</t>
        </is>
      </c>
      <c r="G137" t="inlineStr">
        <is>
          <t>https://www.mq.edu.au/study/find-a-course/courses/bachelor-of-urban-and-regional-planning</t>
        </is>
      </c>
      <c r="H137" t="inlineStr">
        <is>
          <t>Read</t>
        </is>
      </c>
      <c r="I137" t="inlineStr">
        <is>
          <t>Exact title match</t>
        </is>
      </c>
      <c r="J137" t="inlineStr"/>
      <c r="K137" t="inlineStr">
        <is>
          <t>Not sent to re-link</t>
        </is>
      </c>
      <c r="L137" t="inlineStr">
        <is>
          <t>Filled</t>
        </is>
      </c>
      <c r="M137" t="inlineStr">
        <is>
          <t>Not stated on course page</t>
        </is>
      </c>
      <c r="N137" t="inlineStr"/>
      <c r="O137" t="n">
        <v>0</v>
      </c>
      <c r="P137" t="inlineStr"/>
      <c r="Q137" t="inlineStr">
        <is>
          <t>Filled</t>
        </is>
      </c>
      <c r="R137" t="n">
        <v>6.5</v>
      </c>
      <c r="S137" t="inlineStr">
        <is>
          <t>Other</t>
        </is>
      </c>
      <c r="T137" t="inlineStr">
        <is>
          <t>Central rule applies (value agrees)</t>
        </is>
      </c>
      <c r="U137" t="inlineStr"/>
      <c r="V137" t="inlineStr">
        <is>
          <t>Filled</t>
        </is>
      </c>
      <c r="W137" t="inlineStr">
        <is>
          <t>February</t>
        </is>
      </c>
      <c r="X137" t="inlineStr">
        <is>
          <t>Other</t>
        </is>
      </c>
      <c r="Y137" t="n">
        <v>0</v>
      </c>
      <c r="Z137" t="inlineStr">
        <is>
          <t>Yes</t>
        </is>
      </c>
      <c r="AA137" t="inlineStr">
        <is>
          <t>Filled</t>
        </is>
      </c>
      <c r="AB137" t="inlineStr">
        <is>
          <t>on campus and online</t>
        </is>
      </c>
      <c r="AC137" t="inlineStr">
        <is>
          <t>Filled</t>
        </is>
      </c>
      <c r="AD137" t="n">
        <v>0</v>
      </c>
      <c r="AE137" t="inlineStr"/>
      <c r="AF137" t="inlineStr"/>
      <c r="AG137" t="inlineStr"/>
      <c r="AH137" t="inlineStr"/>
      <c r="AI137" t="inlineStr"/>
      <c r="AJ137" t="inlineStr"/>
      <c r="AK137" t="inlineStr"/>
      <c r="AL137" t="inlineStr"/>
      <c r="AM137" t="inlineStr"/>
    </row>
    <row r="138">
      <c r="A138" t="inlineStr">
        <is>
          <t>027361G</t>
        </is>
      </c>
      <c r="B138" t="inlineStr">
        <is>
          <t>Combined PHD/Masters in Clinical Psychology</t>
        </is>
      </c>
      <c r="C138" t="inlineStr">
        <is>
          <t>Doctorate / PhD</t>
        </is>
      </c>
      <c r="D138" t="inlineStr">
        <is>
          <t>Research degree</t>
        </is>
      </c>
      <c r="E138" t="inlineStr">
        <is>
          <t>No-page record (conjoint), awaiting review</t>
        </is>
      </c>
      <c r="F138" t="inlineStr"/>
      <c r="G138" t="inlineStr">
        <is>
          <t>https://coursehandbook.mq.edu.au/2026/courses/C000031</t>
        </is>
      </c>
      <c r="H138" t="inlineStr">
        <is>
          <t>Page is for another course</t>
        </is>
      </c>
      <c r="I138" t="inlineStr"/>
      <c r="J138" t="inlineStr">
        <is>
          <t>Conjoint (proposed)</t>
        </is>
      </c>
      <c r="K138" t="inlineStr">
        <is>
          <t>Finished, no page: no address from the university's address forms or stored lis</t>
        </is>
      </c>
      <c r="L138" t="inlineStr">
        <is>
          <t>Searching for course page</t>
        </is>
      </c>
      <c r="M138" t="inlineStr">
        <is>
          <t>Searching for course page</t>
        </is>
      </c>
      <c r="N138" t="inlineStr"/>
      <c r="O138" t="n">
        <v>0</v>
      </c>
      <c r="P138" t="inlineStr"/>
      <c r="Q138" t="inlineStr">
        <is>
          <t>Searching for course page</t>
        </is>
      </c>
      <c r="S138" t="inlineStr"/>
      <c r="T138" t="inlineStr">
        <is>
          <t>Held: double degree (its parts are at different levels); research degree (the policy states no research requirement)</t>
        </is>
      </c>
      <c r="U138" t="inlineStr"/>
      <c r="V138" t="inlineStr">
        <is>
          <t>Searching for course page</t>
        </is>
      </c>
      <c r="W138" t="inlineStr"/>
      <c r="X138" t="inlineStr"/>
      <c r="Y138" t="n">
        <v>0</v>
      </c>
      <c r="Z138" t="inlineStr">
        <is>
          <t>No</t>
        </is>
      </c>
      <c r="AA138" t="inlineStr">
        <is>
          <t>Not stated on course page</t>
        </is>
      </c>
      <c r="AB138" t="inlineStr"/>
      <c r="AC138" t="inlineStr">
        <is>
          <t>Skipped: no correct course page: the page found is for another course</t>
        </is>
      </c>
      <c r="AD138" t="n">
        <v>1</v>
      </c>
      <c r="AE138" t="inlineStr"/>
      <c r="AF138" t="inlineStr"/>
      <c r="AG138" t="inlineStr"/>
      <c r="AH138" t="inlineStr"/>
      <c r="AI138" t="inlineStr"/>
      <c r="AJ138" t="inlineStr">
        <is>
          <t>Yes</t>
        </is>
      </c>
      <c r="AK138" t="inlineStr"/>
      <c r="AL138" t="inlineStr"/>
      <c r="AM138" t="inlineStr">
        <is>
          <t>Yes</t>
        </is>
      </c>
    </row>
    <row r="139">
      <c r="A139" t="inlineStr">
        <is>
          <t>099295F</t>
        </is>
      </c>
      <c r="B139" t="inlineStr">
        <is>
          <t>Diploma of Arts Media and Communications</t>
        </is>
      </c>
      <c r="C139" t="inlineStr">
        <is>
          <t>Diploma</t>
        </is>
      </c>
      <c r="D139" t="inlineStr">
        <is>
          <t>Diploma</t>
        </is>
      </c>
      <c r="E139" t="inlineStr">
        <is>
          <t>Advertised: official page in place</t>
        </is>
      </c>
      <c r="F139" t="inlineStr">
        <is>
          <t>https://coursehandbook.mq.edu.au/2026/courses/C000128</t>
        </is>
      </c>
      <c r="G139" t="inlineStr">
        <is>
          <t>https://coursehandbook.mq.edu.au/2026/courses/C000128</t>
        </is>
      </c>
      <c r="H139" t="inlineStr">
        <is>
          <t>Read</t>
        </is>
      </c>
      <c r="I139" t="inlineStr">
        <is>
          <t>Exact title match</t>
        </is>
      </c>
      <c r="J139" t="inlineStr"/>
      <c r="K139" t="inlineStr">
        <is>
          <t>Not sent to re-link</t>
        </is>
      </c>
      <c r="L139" t="inlineStr">
        <is>
          <t>Filled</t>
        </is>
      </c>
      <c r="M139" t="inlineStr">
        <is>
          <t>Not stated on course page</t>
        </is>
      </c>
      <c r="N139" t="inlineStr"/>
      <c r="O139" t="n">
        <v>0</v>
      </c>
      <c r="P139" t="inlineStr"/>
      <c r="Q139" t="inlineStr">
        <is>
          <t>Filled</t>
        </is>
      </c>
      <c r="R139" t="n">
        <v>6</v>
      </c>
      <c r="S139" t="inlineStr">
        <is>
          <t>University adapter</t>
        </is>
      </c>
      <c r="T139" t="inlineStr">
        <is>
          <t>Held: level not covered by the policy default</t>
        </is>
      </c>
      <c r="U139" t="inlineStr"/>
      <c r="V139" t="inlineStr">
        <is>
          <t>Not stated on course page</t>
        </is>
      </c>
      <c r="W139" t="inlineStr"/>
      <c r="X139" t="inlineStr"/>
      <c r="Y139" t="n">
        <v>0</v>
      </c>
      <c r="Z139" t="inlineStr">
        <is>
          <t>Yes</t>
        </is>
      </c>
      <c r="AA139" t="inlineStr">
        <is>
          <t>Not stated on course page</t>
        </is>
      </c>
      <c r="AB139" t="inlineStr"/>
      <c r="AC139" t="inlineStr">
        <is>
          <t>Skipped: the page does not state it</t>
        </is>
      </c>
      <c r="AD139" t="n">
        <v>0</v>
      </c>
      <c r="AE139" t="inlineStr"/>
      <c r="AF139" t="inlineStr"/>
      <c r="AG139" t="inlineStr"/>
      <c r="AH139" t="inlineStr"/>
      <c r="AI139" t="inlineStr"/>
      <c r="AJ139" t="inlineStr"/>
      <c r="AK139" t="inlineStr"/>
      <c r="AL139" t="inlineStr"/>
      <c r="AM139" t="inlineStr"/>
    </row>
    <row r="140">
      <c r="A140" t="inlineStr">
        <is>
          <t>108687M</t>
        </is>
      </c>
      <c r="B140" t="inlineStr">
        <is>
          <t>Diploma of Business</t>
        </is>
      </c>
      <c r="C140" t="inlineStr">
        <is>
          <t>Diploma</t>
        </is>
      </c>
      <c r="D140" t="inlineStr">
        <is>
          <t>Diploma</t>
        </is>
      </c>
      <c r="E140" t="inlineStr">
        <is>
          <t>Advertised: official page in place</t>
        </is>
      </c>
      <c r="F140" t="inlineStr">
        <is>
          <t>https://coursehandbook.mq.edu.au/2026/courses/C000375</t>
        </is>
      </c>
      <c r="G140" t="inlineStr">
        <is>
          <t>https://coursehandbook.mq.edu.au/2026/courses/C000375</t>
        </is>
      </c>
      <c r="H140" t="inlineStr">
        <is>
          <t>Read</t>
        </is>
      </c>
      <c r="I140" t="inlineStr">
        <is>
          <t>Exact title match</t>
        </is>
      </c>
      <c r="J140" t="inlineStr"/>
      <c r="K140" t="inlineStr">
        <is>
          <t>Not sent to re-link</t>
        </is>
      </c>
      <c r="L140" t="inlineStr">
        <is>
          <t>Filled</t>
        </is>
      </c>
      <c r="M140" t="inlineStr">
        <is>
          <t>Not stated on course page</t>
        </is>
      </c>
      <c r="N140" t="inlineStr"/>
      <c r="O140" t="n">
        <v>0</v>
      </c>
      <c r="P140" t="inlineStr"/>
      <c r="Q140" t="inlineStr">
        <is>
          <t>Filled</t>
        </is>
      </c>
      <c r="R140" t="n">
        <v>6</v>
      </c>
      <c r="S140" t="inlineStr">
        <is>
          <t>University adapter</t>
        </is>
      </c>
      <c r="T140" t="inlineStr">
        <is>
          <t>Held: level not covered by the policy default</t>
        </is>
      </c>
      <c r="U140" t="inlineStr"/>
      <c r="V140" t="inlineStr">
        <is>
          <t>Not stated on course page</t>
        </is>
      </c>
      <c r="W140" t="inlineStr"/>
      <c r="X140" t="inlineStr"/>
      <c r="Y140" t="n">
        <v>0</v>
      </c>
      <c r="Z140" t="inlineStr">
        <is>
          <t>Yes</t>
        </is>
      </c>
      <c r="AA140" t="inlineStr">
        <is>
          <t>Not stated on course page</t>
        </is>
      </c>
      <c r="AB140" t="inlineStr"/>
      <c r="AC140" t="inlineStr">
        <is>
          <t>Skipped: the page does not state it</t>
        </is>
      </c>
      <c r="AD140" t="n">
        <v>0</v>
      </c>
      <c r="AE140" t="inlineStr"/>
      <c r="AF140" t="inlineStr"/>
      <c r="AG140" t="inlineStr"/>
      <c r="AH140" t="inlineStr"/>
      <c r="AI140" t="inlineStr"/>
      <c r="AJ140" t="inlineStr"/>
      <c r="AK140" t="inlineStr"/>
      <c r="AL140" t="inlineStr"/>
      <c r="AM140" t="inlineStr"/>
    </row>
    <row r="141">
      <c r="A141" t="inlineStr">
        <is>
          <t>106809M</t>
        </is>
      </c>
      <c r="B141" t="inlineStr">
        <is>
          <t>Diploma of Business Analytics</t>
        </is>
      </c>
      <c r="C141" t="inlineStr">
        <is>
          <t>Diploma</t>
        </is>
      </c>
      <c r="D141" t="inlineStr">
        <is>
          <t>Diploma</t>
        </is>
      </c>
      <c r="E141" t="inlineStr">
        <is>
          <t>Advertised: official page in place</t>
        </is>
      </c>
      <c r="F141" t="inlineStr">
        <is>
          <t>https://coursehandbook.mq.edu.au/2026/courses/C000369</t>
        </is>
      </c>
      <c r="G141" t="inlineStr">
        <is>
          <t>https://coursehandbook.mq.edu.au/2026/courses/C000369</t>
        </is>
      </c>
      <c r="H141" t="inlineStr">
        <is>
          <t>Read</t>
        </is>
      </c>
      <c r="I141" t="inlineStr">
        <is>
          <t>Exact title match</t>
        </is>
      </c>
      <c r="J141" t="inlineStr"/>
      <c r="K141" t="inlineStr">
        <is>
          <t>Not sent to re-link</t>
        </is>
      </c>
      <c r="L141" t="inlineStr">
        <is>
          <t>Filled</t>
        </is>
      </c>
      <c r="M141" t="inlineStr">
        <is>
          <t>Not stated on course page</t>
        </is>
      </c>
      <c r="N141" t="inlineStr"/>
      <c r="O141" t="n">
        <v>0</v>
      </c>
      <c r="P141" t="inlineStr"/>
      <c r="Q141" t="inlineStr">
        <is>
          <t>Filled</t>
        </is>
      </c>
      <c r="R141" t="n">
        <v>6</v>
      </c>
      <c r="S141" t="inlineStr">
        <is>
          <t>University adapter</t>
        </is>
      </c>
      <c r="T141" t="inlineStr">
        <is>
          <t>Held: level not covered by the policy default</t>
        </is>
      </c>
      <c r="U141" t="inlineStr"/>
      <c r="V141" t="inlineStr">
        <is>
          <t>Not stated on course page</t>
        </is>
      </c>
      <c r="W141" t="inlineStr"/>
      <c r="X141" t="inlineStr"/>
      <c r="Y141" t="n">
        <v>0</v>
      </c>
      <c r="Z141" t="inlineStr">
        <is>
          <t>Yes</t>
        </is>
      </c>
      <c r="AA141" t="inlineStr">
        <is>
          <t>Not stated on course page</t>
        </is>
      </c>
      <c r="AB141" t="inlineStr"/>
      <c r="AC141" t="inlineStr">
        <is>
          <t>Skipped: the page does not state it</t>
        </is>
      </c>
      <c r="AD141" t="n">
        <v>0</v>
      </c>
      <c r="AE141" t="inlineStr"/>
      <c r="AF141" t="inlineStr"/>
      <c r="AG141" t="inlineStr"/>
      <c r="AH141" t="inlineStr"/>
      <c r="AI141" t="inlineStr"/>
      <c r="AJ141" t="inlineStr"/>
      <c r="AK141" t="inlineStr"/>
      <c r="AL141" t="inlineStr"/>
      <c r="AM141" t="inlineStr"/>
    </row>
    <row r="142">
      <c r="A142" t="inlineStr">
        <is>
          <t>099296E</t>
        </is>
      </c>
      <c r="B142" t="inlineStr">
        <is>
          <t>Diploma of Commerce</t>
        </is>
      </c>
      <c r="C142" t="inlineStr">
        <is>
          <t>Diploma</t>
        </is>
      </c>
      <c r="D142" t="inlineStr">
        <is>
          <t>Diploma</t>
        </is>
      </c>
      <c r="E142" t="inlineStr">
        <is>
          <t>Advertised: official page in place</t>
        </is>
      </c>
      <c r="F142" t="inlineStr">
        <is>
          <t>https://coursehandbook.mq.edu.au/2026/courses/C000135</t>
        </is>
      </c>
      <c r="G142" t="inlineStr">
        <is>
          <t>https://coursehandbook.mq.edu.au/2026/courses/C000135</t>
        </is>
      </c>
      <c r="H142" t="inlineStr">
        <is>
          <t>Read</t>
        </is>
      </c>
      <c r="I142" t="inlineStr">
        <is>
          <t>Exact title match</t>
        </is>
      </c>
      <c r="J142" t="inlineStr"/>
      <c r="K142" t="inlineStr">
        <is>
          <t>Not sent to re-link</t>
        </is>
      </c>
      <c r="L142" t="inlineStr">
        <is>
          <t>Filled</t>
        </is>
      </c>
      <c r="M142" t="inlineStr">
        <is>
          <t>Not stated on course page</t>
        </is>
      </c>
      <c r="N142" t="inlineStr"/>
      <c r="O142" t="n">
        <v>0</v>
      </c>
      <c r="P142" t="inlineStr"/>
      <c r="Q142" t="inlineStr">
        <is>
          <t>Filled</t>
        </is>
      </c>
      <c r="R142" t="n">
        <v>6</v>
      </c>
      <c r="S142" t="inlineStr">
        <is>
          <t>University adapter</t>
        </is>
      </c>
      <c r="T142" t="inlineStr">
        <is>
          <t>Held: level not covered by the policy default</t>
        </is>
      </c>
      <c r="U142" t="inlineStr"/>
      <c r="V142" t="inlineStr">
        <is>
          <t>Not stated on course page</t>
        </is>
      </c>
      <c r="W142" t="inlineStr"/>
      <c r="X142" t="inlineStr"/>
      <c r="Y142" t="n">
        <v>0</v>
      </c>
      <c r="Z142" t="inlineStr">
        <is>
          <t>Yes</t>
        </is>
      </c>
      <c r="AA142" t="inlineStr">
        <is>
          <t>Not stated on course page</t>
        </is>
      </c>
      <c r="AB142" t="inlineStr"/>
      <c r="AC142" t="inlineStr">
        <is>
          <t>Skipped: the page does not state it</t>
        </is>
      </c>
      <c r="AD142" t="n">
        <v>0</v>
      </c>
      <c r="AE142" t="inlineStr"/>
      <c r="AF142" t="inlineStr"/>
      <c r="AG142" t="inlineStr"/>
      <c r="AH142" t="inlineStr"/>
      <c r="AI142" t="inlineStr"/>
      <c r="AJ142" t="inlineStr"/>
      <c r="AK142" t="inlineStr"/>
      <c r="AL142" t="inlineStr"/>
      <c r="AM142" t="inlineStr"/>
    </row>
    <row r="143">
      <c r="A143" t="inlineStr">
        <is>
          <t>095020K</t>
        </is>
      </c>
      <c r="B143" t="inlineStr">
        <is>
          <t>Diploma of Engineering</t>
        </is>
      </c>
      <c r="C143" t="inlineStr">
        <is>
          <t>Diploma</t>
        </is>
      </c>
      <c r="D143" t="inlineStr">
        <is>
          <t>Diploma</t>
        </is>
      </c>
      <c r="E143" t="inlineStr">
        <is>
          <t>Advertised: official page in place</t>
        </is>
      </c>
      <c r="F143" t="inlineStr">
        <is>
          <t>https://coursehandbook.mq.edu.au/2026/courses/C000146</t>
        </is>
      </c>
      <c r="G143" t="inlineStr">
        <is>
          <t>https://coursehandbook.mq.edu.au/2026/courses/C000146</t>
        </is>
      </c>
      <c r="H143" t="inlineStr">
        <is>
          <t>Read</t>
        </is>
      </c>
      <c r="I143" t="inlineStr">
        <is>
          <t>Exact title match</t>
        </is>
      </c>
      <c r="J143" t="inlineStr"/>
      <c r="K143" t="inlineStr">
        <is>
          <t>Not sent to re-link</t>
        </is>
      </c>
      <c r="L143" t="inlineStr">
        <is>
          <t>Filled</t>
        </is>
      </c>
      <c r="M143" t="inlineStr">
        <is>
          <t>Not stated on course page</t>
        </is>
      </c>
      <c r="N143" t="inlineStr"/>
      <c r="O143" t="n">
        <v>0</v>
      </c>
      <c r="P143" t="inlineStr"/>
      <c r="Q143" t="inlineStr">
        <is>
          <t>Filled</t>
        </is>
      </c>
      <c r="R143" t="n">
        <v>6</v>
      </c>
      <c r="S143" t="inlineStr">
        <is>
          <t>University adapter</t>
        </is>
      </c>
      <c r="T143" t="inlineStr">
        <is>
          <t>Held: level not covered by the policy default</t>
        </is>
      </c>
      <c r="U143" t="inlineStr"/>
      <c r="V143" t="inlineStr">
        <is>
          <t>Not stated on course page</t>
        </is>
      </c>
      <c r="W143" t="inlineStr"/>
      <c r="X143" t="inlineStr"/>
      <c r="Y143" t="n">
        <v>0</v>
      </c>
      <c r="Z143" t="inlineStr">
        <is>
          <t>Yes</t>
        </is>
      </c>
      <c r="AA143" t="inlineStr">
        <is>
          <t>Not stated on course page</t>
        </is>
      </c>
      <c r="AB143" t="inlineStr"/>
      <c r="AC143" t="inlineStr">
        <is>
          <t>Skipped: the page does not state it</t>
        </is>
      </c>
      <c r="AD143" t="n">
        <v>0</v>
      </c>
      <c r="AE143" t="inlineStr"/>
      <c r="AF143" t="inlineStr"/>
      <c r="AG143" t="inlineStr"/>
      <c r="AH143" t="inlineStr"/>
      <c r="AI143" t="inlineStr"/>
      <c r="AJ143" t="inlineStr"/>
      <c r="AK143" t="inlineStr"/>
      <c r="AL143" t="inlineStr"/>
      <c r="AM143" t="inlineStr"/>
    </row>
    <row r="144">
      <c r="A144" t="inlineStr">
        <is>
          <t>110739H</t>
        </is>
      </c>
      <c r="B144" t="inlineStr">
        <is>
          <t>Diploma of Game Design and Development</t>
        </is>
      </c>
      <c r="C144" t="inlineStr">
        <is>
          <t>Diploma</t>
        </is>
      </c>
      <c r="D144" t="inlineStr">
        <is>
          <t>Diploma</t>
        </is>
      </c>
      <c r="E144" t="inlineStr">
        <is>
          <t>Page address no longer works</t>
        </is>
      </c>
      <c r="F144" t="inlineStr"/>
      <c r="G144" t="inlineStr">
        <is>
          <t>https://coursehandbook.mq.edu.au/2026/courses/c000360</t>
        </is>
      </c>
      <c r="H144" t="inlineStr">
        <is>
          <t>Address no longer works</t>
        </is>
      </c>
      <c r="I144" t="inlineStr"/>
      <c r="J144" t="inlineStr"/>
      <c r="K144" t="inlineStr">
        <is>
          <t>Not sent to re-link</t>
        </is>
      </c>
      <c r="L144" t="inlineStr">
        <is>
          <t>Page found, being read</t>
        </is>
      </c>
      <c r="M144" t="inlineStr">
        <is>
          <t>Page found, being read</t>
        </is>
      </c>
      <c r="N144" t="inlineStr"/>
      <c r="O144" t="n">
        <v>0</v>
      </c>
      <c r="P144" t="inlineStr"/>
      <c r="Q144" t="inlineStr">
        <is>
          <t>Page found, being read</t>
        </is>
      </c>
      <c r="S144" t="inlineStr"/>
      <c r="T144" t="inlineStr">
        <is>
          <t>Held: level not covered by the policy default</t>
        </is>
      </c>
      <c r="U144" t="inlineStr"/>
      <c r="V144" t="inlineStr">
        <is>
          <t>Page found, being read</t>
        </is>
      </c>
      <c r="W144" t="inlineStr"/>
      <c r="X144" t="inlineStr"/>
      <c r="Y144" t="n">
        <v>0</v>
      </c>
      <c r="Z144" t="inlineStr">
        <is>
          <t>Yes</t>
        </is>
      </c>
      <c r="AA144" t="inlineStr">
        <is>
          <t>Not stated on course page</t>
        </is>
      </c>
      <c r="AB144" t="inlineStr"/>
      <c r="AC144" t="inlineStr">
        <is>
          <t>Skipped: no allowed source had a value</t>
        </is>
      </c>
      <c r="AD144" t="n">
        <v>0</v>
      </c>
      <c r="AE144" t="inlineStr"/>
      <c r="AF144" t="inlineStr"/>
      <c r="AG144" t="inlineStr"/>
      <c r="AH144" t="inlineStr"/>
      <c r="AI144" t="inlineStr"/>
      <c r="AJ144" t="inlineStr">
        <is>
          <t>Yes</t>
        </is>
      </c>
      <c r="AK144" t="inlineStr"/>
      <c r="AL144" t="inlineStr"/>
      <c r="AM144" t="inlineStr"/>
    </row>
    <row r="145">
      <c r="A145" t="inlineStr">
        <is>
          <t>117670A</t>
        </is>
      </c>
      <c r="B145" t="inlineStr">
        <is>
          <t>Diploma of Health Sciences</t>
        </is>
      </c>
      <c r="C145" t="inlineStr">
        <is>
          <t>Diploma</t>
        </is>
      </c>
      <c r="D145" t="inlineStr">
        <is>
          <t>Diploma</t>
        </is>
      </c>
      <c r="E145" t="inlineStr">
        <is>
          <t>Advertised: official page in place</t>
        </is>
      </c>
      <c r="F145" t="inlineStr">
        <is>
          <t>https://coursehandbook.mq.edu.au/2026/courses/C000445</t>
        </is>
      </c>
      <c r="G145" t="inlineStr">
        <is>
          <t>https://coursehandbook.mq.edu.au/2026/courses/C000445</t>
        </is>
      </c>
      <c r="H145" t="inlineStr">
        <is>
          <t>Read</t>
        </is>
      </c>
      <c r="I145" t="inlineStr">
        <is>
          <t>Exact title match</t>
        </is>
      </c>
      <c r="J145" t="inlineStr"/>
      <c r="K145" t="inlineStr">
        <is>
          <t>Not sent to re-link</t>
        </is>
      </c>
      <c r="L145" t="inlineStr">
        <is>
          <t>Filled</t>
        </is>
      </c>
      <c r="M145" t="inlineStr">
        <is>
          <t>Not stated on course page</t>
        </is>
      </c>
      <c r="N145" t="inlineStr"/>
      <c r="O145" t="n">
        <v>0</v>
      </c>
      <c r="P145" t="inlineStr"/>
      <c r="Q145" t="inlineStr">
        <is>
          <t>Filled</t>
        </is>
      </c>
      <c r="R145" t="n">
        <v>6</v>
      </c>
      <c r="S145" t="inlineStr">
        <is>
          <t>University adapter</t>
        </is>
      </c>
      <c r="T145" t="inlineStr">
        <is>
          <t>Held: level not covered by the policy default</t>
        </is>
      </c>
      <c r="U145" t="inlineStr"/>
      <c r="V145" t="inlineStr">
        <is>
          <t>Not stated on course page</t>
        </is>
      </c>
      <c r="W145" t="inlineStr"/>
      <c r="X145" t="inlineStr"/>
      <c r="Y145" t="n">
        <v>0</v>
      </c>
      <c r="Z145" t="inlineStr">
        <is>
          <t>Yes</t>
        </is>
      </c>
      <c r="AA145" t="inlineStr">
        <is>
          <t>Not stated on course page</t>
        </is>
      </c>
      <c r="AB145" t="inlineStr"/>
      <c r="AC145" t="inlineStr">
        <is>
          <t>Skipped: the page does not state it</t>
        </is>
      </c>
      <c r="AD145" t="n">
        <v>0</v>
      </c>
      <c r="AE145" t="inlineStr"/>
      <c r="AF145" t="inlineStr"/>
      <c r="AG145" t="inlineStr"/>
      <c r="AH145" t="inlineStr"/>
      <c r="AI145" t="inlineStr"/>
      <c r="AJ145" t="inlineStr"/>
      <c r="AK145" t="inlineStr"/>
      <c r="AL145" t="inlineStr"/>
      <c r="AM145" t="inlineStr"/>
    </row>
    <row r="146">
      <c r="A146" t="inlineStr">
        <is>
          <t>095021J</t>
        </is>
      </c>
      <c r="B146" t="inlineStr">
        <is>
          <t>Diploma of Information Technology</t>
        </is>
      </c>
      <c r="C146" t="inlineStr">
        <is>
          <t>Diploma</t>
        </is>
      </c>
      <c r="D146" t="inlineStr">
        <is>
          <t>Diploma</t>
        </is>
      </c>
      <c r="E146" t="inlineStr">
        <is>
          <t>Advertised: official page in place</t>
        </is>
      </c>
      <c r="F146" t="inlineStr">
        <is>
          <t>https://coursehandbook.mq.edu.au/2026/courses/C000136</t>
        </is>
      </c>
      <c r="G146" t="inlineStr">
        <is>
          <t>https://coursehandbook.mq.edu.au/2026/courses/C000136</t>
        </is>
      </c>
      <c r="H146" t="inlineStr">
        <is>
          <t>Read</t>
        </is>
      </c>
      <c r="I146" t="inlineStr">
        <is>
          <t>Exact title match</t>
        </is>
      </c>
      <c r="J146" t="inlineStr"/>
      <c r="K146" t="inlineStr">
        <is>
          <t>Not sent to re-link</t>
        </is>
      </c>
      <c r="L146" t="inlineStr">
        <is>
          <t>Filled</t>
        </is>
      </c>
      <c r="M146" t="inlineStr">
        <is>
          <t>Not stated on course page</t>
        </is>
      </c>
      <c r="N146" t="inlineStr"/>
      <c r="O146" t="n">
        <v>0</v>
      </c>
      <c r="P146" t="inlineStr"/>
      <c r="Q146" t="inlineStr">
        <is>
          <t>Filled</t>
        </is>
      </c>
      <c r="R146" t="n">
        <v>6</v>
      </c>
      <c r="S146" t="inlineStr">
        <is>
          <t>University adapter</t>
        </is>
      </c>
      <c r="T146" t="inlineStr">
        <is>
          <t>Held: level not covered by the policy default</t>
        </is>
      </c>
      <c r="U146" t="inlineStr"/>
      <c r="V146" t="inlineStr">
        <is>
          <t>Not stated on course page</t>
        </is>
      </c>
      <c r="W146" t="inlineStr"/>
      <c r="X146" t="inlineStr"/>
      <c r="Y146" t="n">
        <v>0</v>
      </c>
      <c r="Z146" t="inlineStr">
        <is>
          <t>Yes</t>
        </is>
      </c>
      <c r="AA146" t="inlineStr">
        <is>
          <t>Not stated on course page</t>
        </is>
      </c>
      <c r="AB146" t="inlineStr"/>
      <c r="AC146" t="inlineStr">
        <is>
          <t>Skipped: the page does not state it</t>
        </is>
      </c>
      <c r="AD146" t="n">
        <v>0</v>
      </c>
      <c r="AE146" t="inlineStr"/>
      <c r="AF146" t="inlineStr"/>
      <c r="AG146" t="inlineStr"/>
      <c r="AH146" t="inlineStr"/>
      <c r="AI146" t="inlineStr"/>
      <c r="AJ146" t="inlineStr"/>
      <c r="AK146" t="inlineStr"/>
      <c r="AL146" t="inlineStr"/>
      <c r="AM146" t="inlineStr"/>
    </row>
    <row r="147">
      <c r="A147" t="inlineStr">
        <is>
          <t>106810G</t>
        </is>
      </c>
      <c r="B147" t="inlineStr">
        <is>
          <t>Diploma of Marketing and Media</t>
        </is>
      </c>
      <c r="C147" t="inlineStr">
        <is>
          <t>Diploma</t>
        </is>
      </c>
      <c r="D147" t="inlineStr">
        <is>
          <t>Diploma</t>
        </is>
      </c>
      <c r="E147" t="inlineStr">
        <is>
          <t>Advertised: official page in place</t>
        </is>
      </c>
      <c r="F147" t="inlineStr">
        <is>
          <t>https://coursehandbook.mq.edu.au/2026/courses/c000370</t>
        </is>
      </c>
      <c r="G147" t="inlineStr">
        <is>
          <t>https://coursehandbook.mq.edu.au/2026/courses/c000370</t>
        </is>
      </c>
      <c r="H147" t="inlineStr">
        <is>
          <t>Read</t>
        </is>
      </c>
      <c r="I147" t="inlineStr">
        <is>
          <t>Exact title match</t>
        </is>
      </c>
      <c r="J147" t="inlineStr"/>
      <c r="K147" t="inlineStr">
        <is>
          <t>Not sent to re-link</t>
        </is>
      </c>
      <c r="L147" t="inlineStr">
        <is>
          <t>Filled</t>
        </is>
      </c>
      <c r="M147" t="inlineStr">
        <is>
          <t>Not stated on course page</t>
        </is>
      </c>
      <c r="N147" t="inlineStr"/>
      <c r="O147" t="n">
        <v>0</v>
      </c>
      <c r="P147" t="inlineStr"/>
      <c r="Q147" t="inlineStr">
        <is>
          <t>Filled</t>
        </is>
      </c>
      <c r="R147" t="n">
        <v>6</v>
      </c>
      <c r="S147" t="inlineStr">
        <is>
          <t>University adapter</t>
        </is>
      </c>
      <c r="T147" t="inlineStr">
        <is>
          <t>Held: level not covered by the policy default</t>
        </is>
      </c>
      <c r="U147" t="inlineStr"/>
      <c r="V147" t="inlineStr">
        <is>
          <t>Not stated on course page</t>
        </is>
      </c>
      <c r="W147" t="inlineStr"/>
      <c r="X147" t="inlineStr"/>
      <c r="Y147" t="n">
        <v>0</v>
      </c>
      <c r="Z147" t="inlineStr">
        <is>
          <t>Yes</t>
        </is>
      </c>
      <c r="AA147" t="inlineStr">
        <is>
          <t>Not stated on course page</t>
        </is>
      </c>
      <c r="AB147" t="inlineStr"/>
      <c r="AC147" t="inlineStr">
        <is>
          <t>Skipped: the page does not state it</t>
        </is>
      </c>
      <c r="AD147" t="n">
        <v>0</v>
      </c>
      <c r="AE147" t="inlineStr"/>
      <c r="AF147" t="inlineStr"/>
      <c r="AG147" t="inlineStr"/>
      <c r="AH147" t="inlineStr"/>
      <c r="AI147" t="inlineStr"/>
      <c r="AJ147" t="inlineStr"/>
      <c r="AK147" t="inlineStr"/>
      <c r="AL147" t="inlineStr"/>
      <c r="AM147" t="inlineStr"/>
    </row>
    <row r="148">
      <c r="A148" t="inlineStr">
        <is>
          <t>110740D</t>
        </is>
      </c>
      <c r="B148" t="inlineStr">
        <is>
          <t>Diploma of Software Engineering</t>
        </is>
      </c>
      <c r="C148" t="inlineStr">
        <is>
          <t>Diploma</t>
        </is>
      </c>
      <c r="D148" t="inlineStr">
        <is>
          <t>Diploma</t>
        </is>
      </c>
      <c r="E148" t="inlineStr">
        <is>
          <t>Page address no longer works</t>
        </is>
      </c>
      <c r="F148" t="inlineStr"/>
      <c r="G148" t="inlineStr">
        <is>
          <t>https://coursehandbook.mq.edu.au/2026/courses/c000377</t>
        </is>
      </c>
      <c r="H148" t="inlineStr">
        <is>
          <t>Address no longer works</t>
        </is>
      </c>
      <c r="I148" t="inlineStr"/>
      <c r="J148" t="inlineStr"/>
      <c r="K148" t="inlineStr">
        <is>
          <t>Not sent to re-link</t>
        </is>
      </c>
      <c r="L148" t="inlineStr">
        <is>
          <t>Page found, being read</t>
        </is>
      </c>
      <c r="M148" t="inlineStr">
        <is>
          <t>Page found, being read</t>
        </is>
      </c>
      <c r="N148" t="inlineStr"/>
      <c r="O148" t="n">
        <v>0</v>
      </c>
      <c r="P148" t="inlineStr"/>
      <c r="Q148" t="inlineStr">
        <is>
          <t>Page found, being read</t>
        </is>
      </c>
      <c r="S148" t="inlineStr"/>
      <c r="T148" t="inlineStr">
        <is>
          <t>Held: level not covered by the policy default</t>
        </is>
      </c>
      <c r="U148" t="inlineStr"/>
      <c r="V148" t="inlineStr">
        <is>
          <t>Page found, being read</t>
        </is>
      </c>
      <c r="W148" t="inlineStr"/>
      <c r="X148" t="inlineStr"/>
      <c r="Y148" t="n">
        <v>0</v>
      </c>
      <c r="Z148" t="inlineStr">
        <is>
          <t>Yes</t>
        </is>
      </c>
      <c r="AA148" t="inlineStr">
        <is>
          <t>Not stated on course page</t>
        </is>
      </c>
      <c r="AB148" t="inlineStr"/>
      <c r="AC148" t="inlineStr">
        <is>
          <t>Skipped: no allowed source had a value</t>
        </is>
      </c>
      <c r="AD148" t="n">
        <v>0</v>
      </c>
      <c r="AE148" t="inlineStr"/>
      <c r="AF148" t="inlineStr"/>
      <c r="AG148" t="inlineStr"/>
      <c r="AH148" t="inlineStr"/>
      <c r="AI148" t="inlineStr"/>
      <c r="AJ148" t="inlineStr">
        <is>
          <t>Yes</t>
        </is>
      </c>
      <c r="AK148" t="inlineStr"/>
      <c r="AL148" t="inlineStr"/>
      <c r="AM148" t="inlineStr"/>
    </row>
    <row r="149">
      <c r="A149" t="inlineStr">
        <is>
          <t>081724D</t>
        </is>
      </c>
      <c r="B149" t="inlineStr">
        <is>
          <t>Doctor of Advanced Medicine</t>
        </is>
      </c>
      <c r="C149" t="inlineStr">
        <is>
          <t>Doctorate / PhD</t>
        </is>
      </c>
      <c r="D149" t="inlineStr">
        <is>
          <t>Research degree</t>
        </is>
      </c>
      <c r="E149" t="inlineStr">
        <is>
          <t>Advertised: official page in place</t>
        </is>
      </c>
      <c r="F149" t="inlineStr">
        <is>
          <t>https://handbook.mq.edu.au/2015/DegreesDiplomas/PGDoctorate/Doctor+of+Advanced+Medicine</t>
        </is>
      </c>
      <c r="G149" t="inlineStr">
        <is>
          <t>https://handbook.mq.edu.au/2015/DegreesDiplomas/PGDoctorate/Doctor+of+Advanced+Medicine</t>
        </is>
      </c>
      <c r="H149" t="inlineStr">
        <is>
          <t>Read</t>
        </is>
      </c>
      <c r="I149" t="inlineStr">
        <is>
          <t>CRICOS code on page</t>
        </is>
      </c>
      <c r="J149" t="inlineStr"/>
      <c r="K149" t="inlineStr">
        <is>
          <t>Not sent to re-link</t>
        </is>
      </c>
      <c r="L149" t="inlineStr">
        <is>
          <t>Filled</t>
        </is>
      </c>
      <c r="M149" t="inlineStr">
        <is>
          <t>Not stated on course page</t>
        </is>
      </c>
      <c r="N149" t="inlineStr"/>
      <c r="O149" t="n">
        <v>0</v>
      </c>
      <c r="P149" t="inlineStr"/>
      <c r="Q149" t="inlineStr">
        <is>
          <t>Filled</t>
        </is>
      </c>
      <c r="R149" t="n">
        <v>7</v>
      </c>
      <c r="S149" t="inlineStr">
        <is>
          <t>Other</t>
        </is>
      </c>
      <c r="T149" t="inlineStr">
        <is>
          <t>Central rule applies (course value differs)</t>
        </is>
      </c>
      <c r="U149" t="inlineStr">
        <is>
          <t>Yes: course has IELTS 7.00, central rule says 6.5</t>
        </is>
      </c>
      <c r="V149" t="inlineStr">
        <is>
          <t>Not stated on course page</t>
        </is>
      </c>
      <c r="W149" t="inlineStr"/>
      <c r="X149" t="inlineStr"/>
      <c r="Y149" t="n">
        <v>0</v>
      </c>
      <c r="Z149" t="inlineStr">
        <is>
          <t>No</t>
        </is>
      </c>
      <c r="AA149" t="inlineStr">
        <is>
          <t>Filled</t>
        </is>
      </c>
      <c r="AB149" t="inlineStr">
        <is>
          <t>blended</t>
        </is>
      </c>
      <c r="AC149" t="inlineStr">
        <is>
          <t>Filled</t>
        </is>
      </c>
      <c r="AD149" t="n">
        <v>0</v>
      </c>
      <c r="AE149" t="inlineStr"/>
      <c r="AF149" t="inlineStr"/>
      <c r="AG149" t="inlineStr"/>
      <c r="AH149" t="inlineStr"/>
      <c r="AI149" t="inlineStr"/>
      <c r="AJ149" t="inlineStr"/>
      <c r="AK149" t="inlineStr"/>
      <c r="AL149" t="inlineStr"/>
      <c r="AM149" t="inlineStr"/>
    </row>
    <row r="150">
      <c r="A150" t="inlineStr">
        <is>
          <t>077336F</t>
        </is>
      </c>
      <c r="B150" t="inlineStr">
        <is>
          <t>Doctor of Advanced Surgery</t>
        </is>
      </c>
      <c r="C150" t="inlineStr">
        <is>
          <t>Doctorate / PhD</t>
        </is>
      </c>
      <c r="D150" t="inlineStr">
        <is>
          <t>Research degree</t>
        </is>
      </c>
      <c r="E150" t="inlineStr">
        <is>
          <t>Advertised: official page in place</t>
        </is>
      </c>
      <c r="F150" t="inlineStr">
        <is>
          <t>https://handbook.mq.edu.au/2016/DegreesDiplomas/PGDoctorate/Doctor+of+Advanced+Surgery</t>
        </is>
      </c>
      <c r="G150" t="inlineStr">
        <is>
          <t>https://handbook.mq.edu.au/2016/DegreesDiplomas/PGDoctorate/Doctor+of+Advanced+Surgery</t>
        </is>
      </c>
      <c r="H150" t="inlineStr">
        <is>
          <t>Read</t>
        </is>
      </c>
      <c r="I150" t="inlineStr">
        <is>
          <t>CRICOS code on page</t>
        </is>
      </c>
      <c r="J150" t="inlineStr"/>
      <c r="K150" t="inlineStr">
        <is>
          <t>Not sent to re-link</t>
        </is>
      </c>
      <c r="L150" t="inlineStr">
        <is>
          <t>Filled</t>
        </is>
      </c>
      <c r="M150" t="inlineStr">
        <is>
          <t>Not stated on course page</t>
        </is>
      </c>
      <c r="N150" t="inlineStr"/>
      <c r="O150" t="n">
        <v>0</v>
      </c>
      <c r="P150" t="inlineStr"/>
      <c r="Q150" t="inlineStr">
        <is>
          <t>Filled</t>
        </is>
      </c>
      <c r="R150" t="n">
        <v>7</v>
      </c>
      <c r="S150" t="inlineStr">
        <is>
          <t>Other</t>
        </is>
      </c>
      <c r="T150" t="inlineStr">
        <is>
          <t>Central rule applies (course value differs)</t>
        </is>
      </c>
      <c r="U150" t="inlineStr">
        <is>
          <t>Yes: course has IELTS 7.00, central rule says 6.5</t>
        </is>
      </c>
      <c r="V150" t="inlineStr">
        <is>
          <t>Waiting for Layer 4 review</t>
        </is>
      </c>
      <c r="W150" t="inlineStr"/>
      <c r="X150" t="inlineStr"/>
      <c r="Y150" t="n">
        <v>0</v>
      </c>
      <c r="Z150" t="inlineStr">
        <is>
          <t>No</t>
        </is>
      </c>
      <c r="AA150" t="inlineStr">
        <is>
          <t>Filled</t>
        </is>
      </c>
      <c r="AB150" t="inlineStr">
        <is>
          <t>blended</t>
        </is>
      </c>
      <c r="AC150" t="inlineStr">
        <is>
          <t>Filled</t>
        </is>
      </c>
      <c r="AD150" t="n">
        <v>0</v>
      </c>
      <c r="AE150" t="inlineStr"/>
      <c r="AF150" t="inlineStr">
        <is>
          <t>Yes</t>
        </is>
      </c>
      <c r="AG150" t="inlineStr"/>
      <c r="AH150" t="inlineStr"/>
      <c r="AI150" t="inlineStr"/>
      <c r="AJ150" t="inlineStr"/>
      <c r="AK150" t="inlineStr"/>
      <c r="AL150" t="inlineStr"/>
      <c r="AM150" t="inlineStr"/>
    </row>
    <row r="151">
      <c r="A151" t="inlineStr">
        <is>
          <t>078628G</t>
        </is>
      </c>
      <c r="B151" t="inlineStr">
        <is>
          <t>Doctor of Clinical Practice</t>
        </is>
      </c>
      <c r="C151" t="inlineStr">
        <is>
          <t>Masters Degree (Coursework)</t>
        </is>
      </c>
      <c r="D151" t="inlineStr">
        <is>
          <t>Postgraduate coursework</t>
        </is>
      </c>
      <c r="E151" t="inlineStr">
        <is>
          <t>Advertised: official page in place</t>
        </is>
      </c>
      <c r="F151" t="inlineStr">
        <is>
          <t>https://handbook.mq.edu.au/2015/DegreesDiplomas/PGDegree/Doctor+of+Clinical+Practice</t>
        </is>
      </c>
      <c r="G151" t="inlineStr">
        <is>
          <t>https://handbook.mq.edu.au/2015/DegreesDiplomas/PGDegree/Doctor+of+Clinical+Practice</t>
        </is>
      </c>
      <c r="H151" t="inlineStr">
        <is>
          <t>Read</t>
        </is>
      </c>
      <c r="I151" t="inlineStr">
        <is>
          <t>CRICOS code on page</t>
        </is>
      </c>
      <c r="J151" t="inlineStr"/>
      <c r="K151" t="inlineStr">
        <is>
          <t>Not sent to re-link</t>
        </is>
      </c>
      <c r="L151" t="inlineStr">
        <is>
          <t>Filled</t>
        </is>
      </c>
      <c r="M151" t="inlineStr">
        <is>
          <t>Not stated on course page</t>
        </is>
      </c>
      <c r="N151" t="inlineStr"/>
      <c r="O151" t="n">
        <v>0</v>
      </c>
      <c r="P151" t="inlineStr"/>
      <c r="Q151" t="inlineStr">
        <is>
          <t>Filled</t>
        </is>
      </c>
      <c r="R151" t="n">
        <v>7</v>
      </c>
      <c r="S151" t="inlineStr">
        <is>
          <t>Other</t>
        </is>
      </c>
      <c r="T151" t="inlineStr">
        <is>
          <t>Central rule applies (course value differs)</t>
        </is>
      </c>
      <c r="U151" t="inlineStr">
        <is>
          <t>Yes: course has IELTS 7.00, central rule says 6.5</t>
        </is>
      </c>
      <c r="V151" t="inlineStr">
        <is>
          <t>Not stated on course page</t>
        </is>
      </c>
      <c r="W151" t="inlineStr"/>
      <c r="X151" t="inlineStr"/>
      <c r="Y151" t="n">
        <v>0</v>
      </c>
      <c r="Z151" t="inlineStr">
        <is>
          <t>No</t>
        </is>
      </c>
      <c r="AA151" t="inlineStr">
        <is>
          <t>Filled</t>
        </is>
      </c>
      <c r="AB151" t="inlineStr">
        <is>
          <t>on campus</t>
        </is>
      </c>
      <c r="AC151" t="inlineStr">
        <is>
          <t>Filled</t>
        </is>
      </c>
      <c r="AD151" t="n">
        <v>0</v>
      </c>
      <c r="AE151" t="inlineStr"/>
      <c r="AF151" t="inlineStr"/>
      <c r="AG151" t="inlineStr"/>
      <c r="AH151" t="inlineStr"/>
      <c r="AI151" t="inlineStr"/>
      <c r="AJ151" t="inlineStr"/>
      <c r="AK151" t="inlineStr"/>
      <c r="AL151" t="inlineStr"/>
      <c r="AM151" t="inlineStr"/>
    </row>
    <row r="152">
      <c r="A152" t="inlineStr">
        <is>
          <t>083746D</t>
        </is>
      </c>
      <c r="B152" t="inlineStr">
        <is>
          <t>Doctor of Medical Science</t>
        </is>
      </c>
      <c r="C152" t="inlineStr">
        <is>
          <t>Masters Degree (Coursework)</t>
        </is>
      </c>
      <c r="D152" t="inlineStr">
        <is>
          <t>Postgraduate coursework</t>
        </is>
      </c>
      <c r="E152" t="inlineStr">
        <is>
          <t>Advertised: official page in place</t>
        </is>
      </c>
      <c r="F152" t="inlineStr">
        <is>
          <t>https://handbook.mq.edu.au/2015/DegreesDiplomas/PGDegree/Doctor+of+Medical+Science</t>
        </is>
      </c>
      <c r="G152" t="inlineStr">
        <is>
          <t>https://handbook.mq.edu.au/2015/DegreesDiplomas/PGDegree/Doctor+of+Medical+Science</t>
        </is>
      </c>
      <c r="H152" t="inlineStr">
        <is>
          <t>Read</t>
        </is>
      </c>
      <c r="I152" t="inlineStr">
        <is>
          <t>CRICOS code on page</t>
        </is>
      </c>
      <c r="J152" t="inlineStr"/>
      <c r="K152" t="inlineStr">
        <is>
          <t>Not sent to re-link</t>
        </is>
      </c>
      <c r="L152" t="inlineStr">
        <is>
          <t>Filled</t>
        </is>
      </c>
      <c r="M152" t="inlineStr">
        <is>
          <t>Not stated on course page</t>
        </is>
      </c>
      <c r="N152" t="inlineStr"/>
      <c r="O152" t="n">
        <v>0</v>
      </c>
      <c r="P152" t="inlineStr"/>
      <c r="Q152" t="inlineStr">
        <is>
          <t>Filled</t>
        </is>
      </c>
      <c r="R152" t="n">
        <v>6.5</v>
      </c>
      <c r="S152" t="inlineStr">
        <is>
          <t>Other</t>
        </is>
      </c>
      <c r="T152" t="inlineStr">
        <is>
          <t>Central rule applies (value agrees)</t>
        </is>
      </c>
      <c r="U152" t="inlineStr"/>
      <c r="V152" t="inlineStr">
        <is>
          <t>Not stated on course page</t>
        </is>
      </c>
      <c r="W152" t="inlineStr"/>
      <c r="X152" t="inlineStr"/>
      <c r="Y152" t="n">
        <v>0</v>
      </c>
      <c r="Z152" t="inlineStr">
        <is>
          <t>No</t>
        </is>
      </c>
      <c r="AA152" t="inlineStr">
        <is>
          <t>Filled</t>
        </is>
      </c>
      <c r="AB152" t="inlineStr">
        <is>
          <t>on campus</t>
        </is>
      </c>
      <c r="AC152" t="inlineStr">
        <is>
          <t>Filled</t>
        </is>
      </c>
      <c r="AD152" t="n">
        <v>0</v>
      </c>
      <c r="AE152" t="inlineStr"/>
      <c r="AF152" t="inlineStr"/>
      <c r="AG152" t="inlineStr"/>
      <c r="AH152" t="inlineStr"/>
      <c r="AI152" t="inlineStr"/>
      <c r="AJ152" t="inlineStr"/>
      <c r="AK152" t="inlineStr"/>
      <c r="AL152" t="inlineStr"/>
      <c r="AM152" t="inlineStr"/>
    </row>
    <row r="153">
      <c r="A153" t="inlineStr">
        <is>
          <t>095798D</t>
        </is>
      </c>
      <c r="B153" t="inlineStr">
        <is>
          <t>Doctor of Medicine</t>
        </is>
      </c>
      <c r="C153" t="inlineStr">
        <is>
          <t>Masters Degree (Extended)</t>
        </is>
      </c>
      <c r="D153" t="inlineStr">
        <is>
          <t>Postgraduate coursework</t>
        </is>
      </c>
      <c r="E153" t="inlineStr">
        <is>
          <t>Advertised: official page in place</t>
        </is>
      </c>
      <c r="F153" t="inlineStr">
        <is>
          <t>https://coursehandbook.mq.edu.au/2026/courses/C000076</t>
        </is>
      </c>
      <c r="G153" t="inlineStr">
        <is>
          <t>https://coursehandbook.mq.edu.au/2026/courses/C000076</t>
        </is>
      </c>
      <c r="H153" t="inlineStr">
        <is>
          <t>Read</t>
        </is>
      </c>
      <c r="I153" t="inlineStr">
        <is>
          <t>Exact title match</t>
        </is>
      </c>
      <c r="J153" t="inlineStr"/>
      <c r="K153" t="inlineStr">
        <is>
          <t>Not sent to re-link</t>
        </is>
      </c>
      <c r="L153" t="inlineStr">
        <is>
          <t>Filled</t>
        </is>
      </c>
      <c r="M153" t="inlineStr">
        <is>
          <t>Not stated on course page</t>
        </is>
      </c>
      <c r="N153" t="inlineStr"/>
      <c r="O153" t="n">
        <v>0</v>
      </c>
      <c r="P153" t="inlineStr"/>
      <c r="Q153" t="inlineStr">
        <is>
          <t>Filled</t>
        </is>
      </c>
      <c r="R153" t="n">
        <v>7</v>
      </c>
      <c r="S153" t="inlineStr">
        <is>
          <t>University adapter</t>
        </is>
      </c>
      <c r="T153" t="inlineStr">
        <is>
          <t>Central rule applies (course value differs)</t>
        </is>
      </c>
      <c r="U153" t="inlineStr">
        <is>
          <t>Yes: course has IELTS 7.00, central rule says 6.5</t>
        </is>
      </c>
      <c r="V153" t="inlineStr">
        <is>
          <t>Not stated on course page</t>
        </is>
      </c>
      <c r="W153" t="inlineStr"/>
      <c r="X153" t="inlineStr"/>
      <c r="Y153" t="n">
        <v>0</v>
      </c>
      <c r="Z153" t="inlineStr">
        <is>
          <t>No</t>
        </is>
      </c>
      <c r="AA153" t="inlineStr">
        <is>
          <t>Not stated on course page</t>
        </is>
      </c>
      <c r="AB153" t="inlineStr"/>
      <c r="AC153" t="inlineStr">
        <is>
          <t>Skipped: the page does not state it</t>
        </is>
      </c>
      <c r="AD153" t="n">
        <v>0</v>
      </c>
      <c r="AE153" t="inlineStr"/>
      <c r="AF153" t="inlineStr"/>
      <c r="AG153" t="inlineStr"/>
      <c r="AH153" t="inlineStr"/>
      <c r="AI153" t="inlineStr"/>
      <c r="AJ153" t="inlineStr"/>
      <c r="AK153" t="inlineStr"/>
      <c r="AL153" t="inlineStr"/>
      <c r="AM153" t="inlineStr"/>
    </row>
    <row r="154">
      <c r="A154" t="inlineStr">
        <is>
          <t>001403F</t>
        </is>
      </c>
      <c r="B154" t="inlineStr">
        <is>
          <t>Doctor of Philosophy (Arts)</t>
        </is>
      </c>
      <c r="C154" t="inlineStr">
        <is>
          <t>Doctorate / PhD</t>
        </is>
      </c>
      <c r="D154" t="inlineStr">
        <is>
          <t>Research degree</t>
        </is>
      </c>
      <c r="E154" t="inlineStr">
        <is>
          <t>Held: page found is for another course</t>
        </is>
      </c>
      <c r="F154" t="inlineStr"/>
      <c r="G154" t="inlineStr">
        <is>
          <t>https://www.mq.edu.au/research/phd-and-research-degrees/explore-research-degrees/doctor-of-philosophy</t>
        </is>
      </c>
      <c r="H154" t="inlineStr">
        <is>
          <t>Page is for another course</t>
        </is>
      </c>
      <c r="I154" t="inlineStr"/>
      <c r="J154" t="inlineStr"/>
      <c r="K154" t="inlineStr">
        <is>
          <t>Finished, no page: no address from the university's address forms or stored lis</t>
        </is>
      </c>
      <c r="L154" t="inlineStr">
        <is>
          <t>Searching for course page</t>
        </is>
      </c>
      <c r="M154" t="inlineStr">
        <is>
          <t>Searching for course page</t>
        </is>
      </c>
      <c r="N154" t="inlineStr"/>
      <c r="O154" t="n">
        <v>0</v>
      </c>
      <c r="P154" t="inlineStr"/>
      <c r="Q154" t="inlineStr">
        <is>
          <t>Filled</t>
        </is>
      </c>
      <c r="R154" t="n">
        <v>6.5</v>
      </c>
      <c r="S154" t="inlineStr">
        <is>
          <t>Central English policy</t>
        </is>
      </c>
      <c r="T154" t="inlineStr">
        <is>
          <t>Central rule applies (value agrees)</t>
        </is>
      </c>
      <c r="U154" t="inlineStr"/>
      <c r="V154" t="inlineStr">
        <is>
          <t>Searching for course page</t>
        </is>
      </c>
      <c r="W154" t="inlineStr"/>
      <c r="X154" t="inlineStr"/>
      <c r="Y154" t="n">
        <v>0</v>
      </c>
      <c r="Z154" t="inlineStr">
        <is>
          <t>No</t>
        </is>
      </c>
      <c r="AA154" t="inlineStr">
        <is>
          <t>Not stated on course page</t>
        </is>
      </c>
      <c r="AB154" t="inlineStr"/>
      <c r="AC154" t="inlineStr">
        <is>
          <t>Skipped: taken back: the page read was another course's page</t>
        </is>
      </c>
      <c r="AD154" t="n">
        <v>1</v>
      </c>
      <c r="AE154" t="inlineStr"/>
      <c r="AF154" t="inlineStr"/>
      <c r="AG154" t="inlineStr"/>
      <c r="AH154" t="inlineStr"/>
      <c r="AI154" t="inlineStr"/>
      <c r="AJ154" t="inlineStr"/>
      <c r="AK154" t="inlineStr"/>
      <c r="AL154" t="inlineStr"/>
      <c r="AM154" t="inlineStr"/>
    </row>
    <row r="155">
      <c r="A155" t="inlineStr">
        <is>
          <t>021502D</t>
        </is>
      </c>
      <c r="B155" t="inlineStr">
        <is>
          <t>Doctor of Philosophy (Business and Economics)</t>
        </is>
      </c>
      <c r="C155" t="inlineStr">
        <is>
          <t>Doctorate / PhD</t>
        </is>
      </c>
      <c r="D155" t="inlineStr">
        <is>
          <t>Research degree</t>
        </is>
      </c>
      <c r="E155" t="inlineStr">
        <is>
          <t>Held: page found is for another course</t>
        </is>
      </c>
      <c r="F155" t="inlineStr"/>
      <c r="G155" t="inlineStr">
        <is>
          <t>https://www.mq.edu.au/research/phd-and-research-degrees/explore-research-degrees/doctor-of-philosophy</t>
        </is>
      </c>
      <c r="H155" t="inlineStr">
        <is>
          <t>Page is for another course</t>
        </is>
      </c>
      <c r="I155" t="inlineStr"/>
      <c r="J155" t="inlineStr"/>
      <c r="K155" t="inlineStr">
        <is>
          <t>Finished, no page: no address from the university's address forms or stored lis</t>
        </is>
      </c>
      <c r="L155" t="inlineStr">
        <is>
          <t>Searching for course page</t>
        </is>
      </c>
      <c r="M155" t="inlineStr">
        <is>
          <t>Searching for course page</t>
        </is>
      </c>
      <c r="N155" t="inlineStr"/>
      <c r="O155" t="n">
        <v>0</v>
      </c>
      <c r="P155" t="inlineStr"/>
      <c r="Q155" t="inlineStr">
        <is>
          <t>Filled</t>
        </is>
      </c>
      <c r="R155" t="n">
        <v>6.5</v>
      </c>
      <c r="S155" t="inlineStr">
        <is>
          <t>Central English policy</t>
        </is>
      </c>
      <c r="T155" t="inlineStr">
        <is>
          <t>Central rule applies (value agrees)</t>
        </is>
      </c>
      <c r="U155" t="inlineStr"/>
      <c r="V155" t="inlineStr">
        <is>
          <t>Searching for course page</t>
        </is>
      </c>
      <c r="W155" t="inlineStr"/>
      <c r="X155" t="inlineStr"/>
      <c r="Y155" t="n">
        <v>0</v>
      </c>
      <c r="Z155" t="inlineStr">
        <is>
          <t>No</t>
        </is>
      </c>
      <c r="AA155" t="inlineStr">
        <is>
          <t>Not stated on course page</t>
        </is>
      </c>
      <c r="AB155" t="inlineStr"/>
      <c r="AC155" t="inlineStr">
        <is>
          <t>Skipped: taken back: the page read was another course's page</t>
        </is>
      </c>
      <c r="AD155" t="n">
        <v>1</v>
      </c>
      <c r="AE155" t="inlineStr"/>
      <c r="AF155" t="inlineStr"/>
      <c r="AG155" t="inlineStr"/>
      <c r="AH155" t="inlineStr"/>
      <c r="AI155" t="inlineStr"/>
      <c r="AJ155" t="inlineStr"/>
      <c r="AK155" t="inlineStr"/>
      <c r="AL155" t="inlineStr"/>
      <c r="AM155" t="inlineStr"/>
    </row>
    <row r="156">
      <c r="A156" t="inlineStr">
        <is>
          <t>064239C</t>
        </is>
      </c>
      <c r="B156" t="inlineStr">
        <is>
          <t>Doctor of Philosophy (Human Sciences - High Cost)</t>
        </is>
      </c>
      <c r="C156" t="inlineStr">
        <is>
          <t>Doctorate / PhD</t>
        </is>
      </c>
      <c r="D156" t="inlineStr">
        <is>
          <t>Research degree</t>
        </is>
      </c>
      <c r="E156" t="inlineStr">
        <is>
          <t>No-page record (no page), awaiting review</t>
        </is>
      </c>
      <c r="F156" t="inlineStr"/>
      <c r="G156" t="inlineStr">
        <is>
          <t>https://www.mq.edu.au/study/find-a-course/courses/master-of-research-in-medicine-health-and-human-sciences</t>
        </is>
      </c>
      <c r="H156" t="inlineStr">
        <is>
          <t>Page is for another course</t>
        </is>
      </c>
      <c r="I156" t="inlineStr"/>
      <c r="J156" t="inlineStr">
        <is>
          <t>No page (proposed)</t>
        </is>
      </c>
      <c r="K156" t="inlineStr">
        <is>
          <t>Finished, no page: no address from the university's address forms or stored lis</t>
        </is>
      </c>
      <c r="L156" t="inlineStr">
        <is>
          <t>Searching for course page</t>
        </is>
      </c>
      <c r="M156" t="inlineStr">
        <is>
          <t>Searching for course page</t>
        </is>
      </c>
      <c r="N156" t="inlineStr"/>
      <c r="O156" t="n">
        <v>0</v>
      </c>
      <c r="P156" t="inlineStr"/>
      <c r="Q156" t="inlineStr">
        <is>
          <t>Filled</t>
        </is>
      </c>
      <c r="R156" t="n">
        <v>6.5</v>
      </c>
      <c r="S156" t="inlineStr">
        <is>
          <t>Central English policy</t>
        </is>
      </c>
      <c r="T156" t="inlineStr">
        <is>
          <t>Central rule applies (value agrees)</t>
        </is>
      </c>
      <c r="U156" t="inlineStr"/>
      <c r="V156" t="inlineStr">
        <is>
          <t>Searching for course page</t>
        </is>
      </c>
      <c r="W156" t="inlineStr"/>
      <c r="X156" t="inlineStr"/>
      <c r="Y156" t="n">
        <v>0</v>
      </c>
      <c r="Z156" t="inlineStr">
        <is>
          <t>No</t>
        </is>
      </c>
      <c r="AA156" t="inlineStr">
        <is>
          <t>Not stated on course page</t>
        </is>
      </c>
      <c r="AB156" t="inlineStr"/>
      <c r="AC156" t="inlineStr">
        <is>
          <t>Skipped: no correct course page: the page found is for another course</t>
        </is>
      </c>
      <c r="AD156" t="n">
        <v>0</v>
      </c>
      <c r="AE156" t="inlineStr"/>
      <c r="AF156" t="inlineStr"/>
      <c r="AG156" t="inlineStr"/>
      <c r="AH156" t="inlineStr"/>
      <c r="AI156" t="inlineStr"/>
      <c r="AJ156" t="inlineStr"/>
      <c r="AK156" t="inlineStr"/>
      <c r="AL156" t="inlineStr"/>
      <c r="AM156" t="inlineStr">
        <is>
          <t>Yes</t>
        </is>
      </c>
    </row>
    <row r="157">
      <c r="A157" t="inlineStr">
        <is>
          <t>064238D</t>
        </is>
      </c>
      <c r="B157" t="inlineStr">
        <is>
          <t>Doctor of Philosophy (Human Sciences - Low Cost)</t>
        </is>
      </c>
      <c r="C157" t="inlineStr">
        <is>
          <t>Doctorate / PhD</t>
        </is>
      </c>
      <c r="D157" t="inlineStr">
        <is>
          <t>Research degree</t>
        </is>
      </c>
      <c r="E157" t="inlineStr">
        <is>
          <t>Held: page found is for another course</t>
        </is>
      </c>
      <c r="F157" t="inlineStr"/>
      <c r="G157" t="inlineStr">
        <is>
          <t>https://www.mq.edu.au/research/phd-and-research-degrees/explore-research-degrees/doctor-of-philosophy</t>
        </is>
      </c>
      <c r="H157" t="inlineStr">
        <is>
          <t>Page is for another course</t>
        </is>
      </c>
      <c r="I157" t="inlineStr"/>
      <c r="J157" t="inlineStr"/>
      <c r="K157" t="inlineStr">
        <is>
          <t>Finished, no page: no address from the university's address forms or stored lis</t>
        </is>
      </c>
      <c r="L157" t="inlineStr">
        <is>
          <t>Searching for course page</t>
        </is>
      </c>
      <c r="M157" t="inlineStr">
        <is>
          <t>Searching for course page</t>
        </is>
      </c>
      <c r="N157" t="inlineStr"/>
      <c r="O157" t="n">
        <v>0</v>
      </c>
      <c r="P157" t="inlineStr"/>
      <c r="Q157" t="inlineStr">
        <is>
          <t>Filled</t>
        </is>
      </c>
      <c r="R157" t="n">
        <v>6.5</v>
      </c>
      <c r="S157" t="inlineStr">
        <is>
          <t>Central English policy</t>
        </is>
      </c>
      <c r="T157" t="inlineStr">
        <is>
          <t>Central rule applies (value agrees)</t>
        </is>
      </c>
      <c r="U157" t="inlineStr"/>
      <c r="V157" t="inlineStr">
        <is>
          <t>Searching for course page</t>
        </is>
      </c>
      <c r="W157" t="inlineStr"/>
      <c r="X157" t="inlineStr"/>
      <c r="Y157" t="n">
        <v>0</v>
      </c>
      <c r="Z157" t="inlineStr">
        <is>
          <t>No</t>
        </is>
      </c>
      <c r="AA157" t="inlineStr">
        <is>
          <t>Not stated on course page</t>
        </is>
      </c>
      <c r="AB157" t="inlineStr"/>
      <c r="AC157" t="inlineStr">
        <is>
          <t>Skipped: taken back: the page read was another course's page</t>
        </is>
      </c>
      <c r="AD157" t="n">
        <v>1</v>
      </c>
      <c r="AE157" t="inlineStr"/>
      <c r="AF157" t="inlineStr"/>
      <c r="AG157" t="inlineStr"/>
      <c r="AH157" t="inlineStr"/>
      <c r="AI157" t="inlineStr"/>
      <c r="AJ157" t="inlineStr"/>
      <c r="AK157" t="inlineStr"/>
      <c r="AL157" t="inlineStr"/>
      <c r="AM157" t="inlineStr"/>
    </row>
    <row r="158">
      <c r="A158" t="inlineStr">
        <is>
          <t>070063E</t>
        </is>
      </c>
      <c r="B158" t="inlineStr">
        <is>
          <t>Doctor of Philosophy (Human Sciences - Mid Cost)</t>
        </is>
      </c>
      <c r="C158" t="inlineStr">
        <is>
          <t>Doctorate / PhD</t>
        </is>
      </c>
      <c r="D158" t="inlineStr">
        <is>
          <t>Research degree</t>
        </is>
      </c>
      <c r="E158" t="inlineStr">
        <is>
          <t>No-page record (no page), awaiting review</t>
        </is>
      </c>
      <c r="F158" t="inlineStr"/>
      <c r="G158" t="inlineStr">
        <is>
          <t>https://www.mq.edu.au/research/phd-and-research-degrees/explore-research-degrees/doctor-of-philosophy</t>
        </is>
      </c>
      <c r="H158" t="inlineStr">
        <is>
          <t>Page is for another course</t>
        </is>
      </c>
      <c r="I158" t="inlineStr"/>
      <c r="J158" t="inlineStr">
        <is>
          <t>No page (proposed)</t>
        </is>
      </c>
      <c r="K158" t="inlineStr">
        <is>
          <t>Finished, no page: no address from the university's address forms or stored lis</t>
        </is>
      </c>
      <c r="L158" t="inlineStr">
        <is>
          <t>Searching for course page</t>
        </is>
      </c>
      <c r="M158" t="inlineStr">
        <is>
          <t>Searching for course page</t>
        </is>
      </c>
      <c r="N158" t="inlineStr"/>
      <c r="O158" t="n">
        <v>0</v>
      </c>
      <c r="P158" t="inlineStr"/>
      <c r="Q158" t="inlineStr">
        <is>
          <t>Filled</t>
        </is>
      </c>
      <c r="R158" t="n">
        <v>6.5</v>
      </c>
      <c r="S158" t="inlineStr">
        <is>
          <t>Central English policy</t>
        </is>
      </c>
      <c r="T158" t="inlineStr">
        <is>
          <t>Central rule applies (value agrees)</t>
        </is>
      </c>
      <c r="U158" t="inlineStr"/>
      <c r="V158" t="inlineStr">
        <is>
          <t>Searching for course page</t>
        </is>
      </c>
      <c r="W158" t="inlineStr"/>
      <c r="X158" t="inlineStr"/>
      <c r="Y158" t="n">
        <v>0</v>
      </c>
      <c r="Z158" t="inlineStr">
        <is>
          <t>No</t>
        </is>
      </c>
      <c r="AA158" t="inlineStr">
        <is>
          <t>Not stated on course page</t>
        </is>
      </c>
      <c r="AB158" t="inlineStr"/>
      <c r="AC158" t="inlineStr">
        <is>
          <t>Skipped: the page does not state it</t>
        </is>
      </c>
      <c r="AD158" t="n">
        <v>0</v>
      </c>
      <c r="AE158" t="inlineStr"/>
      <c r="AF158" t="inlineStr"/>
      <c r="AG158" t="inlineStr"/>
      <c r="AH158" t="inlineStr"/>
      <c r="AI158" t="inlineStr"/>
      <c r="AJ158" t="inlineStr"/>
      <c r="AK158" t="inlineStr"/>
      <c r="AL158" t="inlineStr"/>
      <c r="AM158" t="inlineStr">
        <is>
          <t>Yes</t>
        </is>
      </c>
    </row>
    <row r="159">
      <c r="A159" t="inlineStr">
        <is>
          <t>085032M</t>
        </is>
      </c>
      <c r="B159" t="inlineStr">
        <is>
          <t>Doctor of Philosophy (Medicine and Health Sciences)</t>
        </is>
      </c>
      <c r="C159" t="inlineStr">
        <is>
          <t>Doctorate / PhD</t>
        </is>
      </c>
      <c r="D159" t="inlineStr">
        <is>
          <t>Research degree</t>
        </is>
      </c>
      <c r="E159" t="inlineStr">
        <is>
          <t>Held: page found is for another course</t>
        </is>
      </c>
      <c r="F159" t="inlineStr"/>
      <c r="G159" t="inlineStr">
        <is>
          <t>https://www.mq.edu.au/research/phd-and-research-degrees/explore-research-degrees/doctor-of-philosophy</t>
        </is>
      </c>
      <c r="H159" t="inlineStr">
        <is>
          <t>Page is for another course</t>
        </is>
      </c>
      <c r="I159" t="inlineStr"/>
      <c r="J159" t="inlineStr"/>
      <c r="K159" t="inlineStr">
        <is>
          <t>Finished, no page: no address from the university's address forms or stored lis</t>
        </is>
      </c>
      <c r="L159" t="inlineStr">
        <is>
          <t>Searching for course page</t>
        </is>
      </c>
      <c r="M159" t="inlineStr">
        <is>
          <t>Searching for course page</t>
        </is>
      </c>
      <c r="N159" t="inlineStr"/>
      <c r="O159" t="n">
        <v>0</v>
      </c>
      <c r="P159" t="inlineStr"/>
      <c r="Q159" t="inlineStr">
        <is>
          <t>Filled</t>
        </is>
      </c>
      <c r="R159" t="n">
        <v>6.5</v>
      </c>
      <c r="S159" t="inlineStr">
        <is>
          <t>Central English policy</t>
        </is>
      </c>
      <c r="T159" t="inlineStr">
        <is>
          <t>Central rule applies (value agrees)</t>
        </is>
      </c>
      <c r="U159" t="inlineStr"/>
      <c r="V159" t="inlineStr">
        <is>
          <t>Searching for course page</t>
        </is>
      </c>
      <c r="W159" t="inlineStr"/>
      <c r="X159" t="inlineStr"/>
      <c r="Y159" t="n">
        <v>0</v>
      </c>
      <c r="Z159" t="inlineStr">
        <is>
          <t>No</t>
        </is>
      </c>
      <c r="AA159" t="inlineStr">
        <is>
          <t>Not stated on course page</t>
        </is>
      </c>
      <c r="AB159" t="inlineStr"/>
      <c r="AC159" t="inlineStr">
        <is>
          <t>Skipped: taken back: the page read was another course's page</t>
        </is>
      </c>
      <c r="AD159" t="n">
        <v>1</v>
      </c>
      <c r="AE159" t="inlineStr"/>
      <c r="AF159" t="inlineStr"/>
      <c r="AG159" t="inlineStr"/>
      <c r="AH159" t="inlineStr"/>
      <c r="AI159" t="inlineStr"/>
      <c r="AJ159" t="inlineStr"/>
      <c r="AK159" t="inlineStr"/>
      <c r="AL159" t="inlineStr"/>
      <c r="AM159" t="inlineStr"/>
    </row>
    <row r="160">
      <c r="A160" t="inlineStr">
        <is>
          <t>001404E</t>
        </is>
      </c>
      <c r="B160" t="inlineStr">
        <is>
          <t>Doctor of Philosophy (Science and Engineering)</t>
        </is>
      </c>
      <c r="C160" t="inlineStr">
        <is>
          <t>Doctorate / PhD</t>
        </is>
      </c>
      <c r="D160" t="inlineStr">
        <is>
          <t>Research degree</t>
        </is>
      </c>
      <c r="E160" t="inlineStr">
        <is>
          <t>Held: page found is for another course</t>
        </is>
      </c>
      <c r="F160" t="inlineStr"/>
      <c r="G160" t="inlineStr">
        <is>
          <t>https://www.mq.edu.au/research/phd-and-research-degrees/explore-research-degrees/doctor-of-philosophy</t>
        </is>
      </c>
      <c r="H160" t="inlineStr">
        <is>
          <t>Page is for another course</t>
        </is>
      </c>
      <c r="I160" t="inlineStr"/>
      <c r="J160" t="inlineStr"/>
      <c r="K160" t="inlineStr">
        <is>
          <t>Finished, no page: no address from the university's address forms or stored lis</t>
        </is>
      </c>
      <c r="L160" t="inlineStr">
        <is>
          <t>Searching for course page</t>
        </is>
      </c>
      <c r="M160" t="inlineStr">
        <is>
          <t>Searching for course page</t>
        </is>
      </c>
      <c r="N160" t="inlineStr"/>
      <c r="O160" t="n">
        <v>0</v>
      </c>
      <c r="P160" t="inlineStr"/>
      <c r="Q160" t="inlineStr">
        <is>
          <t>Filled</t>
        </is>
      </c>
      <c r="R160" t="n">
        <v>6.5</v>
      </c>
      <c r="S160" t="inlineStr">
        <is>
          <t>Central English policy</t>
        </is>
      </c>
      <c r="T160" t="inlineStr">
        <is>
          <t>Central rule applies (value agrees)</t>
        </is>
      </c>
      <c r="U160" t="inlineStr"/>
      <c r="V160" t="inlineStr">
        <is>
          <t>Searching for course page</t>
        </is>
      </c>
      <c r="W160" t="inlineStr"/>
      <c r="X160" t="inlineStr"/>
      <c r="Y160" t="n">
        <v>0</v>
      </c>
      <c r="Z160" t="inlineStr">
        <is>
          <t>No</t>
        </is>
      </c>
      <c r="AA160" t="inlineStr">
        <is>
          <t>Not stated on course page</t>
        </is>
      </c>
      <c r="AB160" t="inlineStr"/>
      <c r="AC160" t="inlineStr">
        <is>
          <t>Skipped: taken back: the page read was another course's page</t>
        </is>
      </c>
      <c r="AD160" t="n">
        <v>1</v>
      </c>
      <c r="AE160" t="inlineStr"/>
      <c r="AF160" t="inlineStr"/>
      <c r="AG160" t="inlineStr"/>
      <c r="AH160" t="inlineStr"/>
      <c r="AI160" t="inlineStr"/>
      <c r="AJ160" t="inlineStr"/>
      <c r="AK160" t="inlineStr"/>
      <c r="AL160" t="inlineStr"/>
      <c r="AM160" t="inlineStr"/>
    </row>
    <row r="161">
      <c r="A161" t="inlineStr">
        <is>
          <t>075265K</t>
        </is>
      </c>
      <c r="B161" t="inlineStr">
        <is>
          <t>Doctor of Physiotherapy</t>
        </is>
      </c>
      <c r="C161" t="inlineStr">
        <is>
          <t>Masters Degree (Extended)</t>
        </is>
      </c>
      <c r="D161" t="inlineStr">
        <is>
          <t>Postgraduate coursework</t>
        </is>
      </c>
      <c r="E161" t="inlineStr">
        <is>
          <t>Advertised: official page in place</t>
        </is>
      </c>
      <c r="F161" t="inlineStr">
        <is>
          <t>https://www.mq.edu.au/study/admissions-and-entry/accept-and-enrol/doctor-of-physiotherapy</t>
        </is>
      </c>
      <c r="G161" t="inlineStr">
        <is>
          <t>https://www.mq.edu.au/study/admissions-and-entry/accept-and-enrol/doctor-of-physiotherapy</t>
        </is>
      </c>
      <c r="H161" t="inlineStr">
        <is>
          <t>Read</t>
        </is>
      </c>
      <c r="I161" t="inlineStr">
        <is>
          <t>Exact title match</t>
        </is>
      </c>
      <c r="J161" t="inlineStr"/>
      <c r="K161" t="inlineStr">
        <is>
          <t>Not sent to re-link</t>
        </is>
      </c>
      <c r="L161" t="inlineStr">
        <is>
          <t>Filled</t>
        </is>
      </c>
      <c r="M161" t="inlineStr">
        <is>
          <t>Not stated on course page</t>
        </is>
      </c>
      <c r="N161" t="inlineStr"/>
      <c r="O161" t="n">
        <v>0</v>
      </c>
      <c r="P161" t="inlineStr"/>
      <c r="Q161" t="inlineStr">
        <is>
          <t>Filled</t>
        </is>
      </c>
      <c r="R161" t="n">
        <v>6.5</v>
      </c>
      <c r="S161" t="inlineStr">
        <is>
          <t>Central English policy</t>
        </is>
      </c>
      <c r="T161" t="inlineStr">
        <is>
          <t>Central rule applies (value agrees)</t>
        </is>
      </c>
      <c r="U161" t="inlineStr"/>
      <c r="V161" t="inlineStr">
        <is>
          <t>Not stated on course page</t>
        </is>
      </c>
      <c r="W161" t="inlineStr"/>
      <c r="X161" t="inlineStr"/>
      <c r="Y161" t="n">
        <v>0</v>
      </c>
      <c r="Z161" t="inlineStr">
        <is>
          <t>No</t>
        </is>
      </c>
      <c r="AA161" t="inlineStr">
        <is>
          <t>Not stated on course page</t>
        </is>
      </c>
      <c r="AB161" t="inlineStr"/>
      <c r="AC161" t="inlineStr">
        <is>
          <t>Skipped: the page does not state it</t>
        </is>
      </c>
      <c r="AD161" t="n">
        <v>0</v>
      </c>
      <c r="AE161" t="inlineStr"/>
      <c r="AF161" t="inlineStr"/>
      <c r="AG161" t="inlineStr"/>
      <c r="AH161" t="inlineStr"/>
      <c r="AI161" t="inlineStr"/>
      <c r="AJ161" t="inlineStr"/>
      <c r="AK161" t="inlineStr"/>
      <c r="AL161" t="inlineStr"/>
      <c r="AM161" t="inlineStr"/>
    </row>
    <row r="162">
      <c r="A162" t="inlineStr">
        <is>
          <t>097293B</t>
        </is>
      </c>
      <c r="B162" t="inlineStr">
        <is>
          <t>English Language Program</t>
        </is>
      </c>
      <c r="C162" t="inlineStr">
        <is>
          <t>Non AQF Award</t>
        </is>
      </c>
      <c r="D162" t="inlineStr">
        <is>
          <t>Non-award</t>
        </is>
      </c>
      <c r="E162" t="inlineStr">
        <is>
          <t>Advertised: official page in place</t>
        </is>
      </c>
      <c r="F162" t="inlineStr">
        <is>
          <t>https://www.mq.edu.au/study/find-a-course/pathway-programs/english-language</t>
        </is>
      </c>
      <c r="G162" t="inlineStr">
        <is>
          <t>https://www.mq.edu.au/study/find-a-course/pathway-programs/english-language</t>
        </is>
      </c>
      <c r="H162" t="inlineStr">
        <is>
          <t>Read</t>
        </is>
      </c>
      <c r="I162" t="inlineStr">
        <is>
          <t>CRICOS code on page</t>
        </is>
      </c>
      <c r="J162" t="inlineStr"/>
      <c r="K162" t="inlineStr">
        <is>
          <t>Not sent to re-link</t>
        </is>
      </c>
      <c r="L162" t="inlineStr">
        <is>
          <t>Filled</t>
        </is>
      </c>
      <c r="M162" t="inlineStr">
        <is>
          <t>Not stated on course page</t>
        </is>
      </c>
      <c r="N162" t="inlineStr"/>
      <c r="O162" t="n">
        <v>0</v>
      </c>
      <c r="P162" t="inlineStr"/>
      <c r="Q162" t="inlineStr">
        <is>
          <t>Not stated on course page</t>
        </is>
      </c>
      <c r="S162" t="inlineStr"/>
      <c r="T162" t="inlineStr">
        <is>
          <t>Held: level not covered by the policy default</t>
        </is>
      </c>
      <c r="U162" t="inlineStr"/>
      <c r="V162" t="inlineStr">
        <is>
          <t>Not stated on course page</t>
        </is>
      </c>
      <c r="W162" t="inlineStr"/>
      <c r="X162" t="inlineStr"/>
      <c r="Y162" t="n">
        <v>0</v>
      </c>
      <c r="Z162" t="inlineStr">
        <is>
          <t>No</t>
        </is>
      </c>
      <c r="AA162" t="inlineStr">
        <is>
          <t>Filled</t>
        </is>
      </c>
      <c r="AB162" t="inlineStr">
        <is>
          <t>on campus</t>
        </is>
      </c>
      <c r="AC162" t="inlineStr">
        <is>
          <t>Filled</t>
        </is>
      </c>
      <c r="AD162" t="n">
        <v>0</v>
      </c>
      <c r="AE162" t="inlineStr"/>
      <c r="AF162" t="inlineStr"/>
      <c r="AG162" t="inlineStr"/>
      <c r="AH162" t="inlineStr"/>
      <c r="AI162" t="inlineStr"/>
      <c r="AJ162" t="inlineStr">
        <is>
          <t>Yes</t>
        </is>
      </c>
      <c r="AK162" t="inlineStr"/>
      <c r="AL162" t="inlineStr"/>
      <c r="AM162" t="inlineStr"/>
    </row>
    <row r="163">
      <c r="A163" t="inlineStr">
        <is>
          <t>037297F</t>
        </is>
      </c>
      <c r="B163" t="inlineStr">
        <is>
          <t>Exchange Program</t>
        </is>
      </c>
      <c r="C163" t="inlineStr">
        <is>
          <t>Non AQF Award</t>
        </is>
      </c>
      <c r="D163" t="inlineStr">
        <is>
          <t>Non-award</t>
        </is>
      </c>
      <c r="E163" t="inlineStr">
        <is>
          <t>Held: page found is for another course</t>
        </is>
      </c>
      <c r="F163" t="inlineStr"/>
      <c r="G163" t="inlineStr">
        <is>
          <t>https://www.mq.edu.au/study/information-for/international/study-abroad-exchange-and-study-tours/understanding-enrolment/open-access-units</t>
        </is>
      </c>
      <c r="H163" t="inlineStr">
        <is>
          <t>Page is for another course</t>
        </is>
      </c>
      <c r="I163" t="inlineStr"/>
      <c r="J163" t="inlineStr"/>
      <c r="K163" t="inlineStr">
        <is>
          <t>Finished, no page: no address from the university's address forms or stored lis</t>
        </is>
      </c>
      <c r="L163" t="inlineStr">
        <is>
          <t>Searching for course page</t>
        </is>
      </c>
      <c r="M163" t="inlineStr">
        <is>
          <t>Searching for course page</t>
        </is>
      </c>
      <c r="N163" t="inlineStr"/>
      <c r="O163" t="n">
        <v>0</v>
      </c>
      <c r="P163" t="inlineStr"/>
      <c r="Q163" t="inlineStr">
        <is>
          <t>Searching for course page</t>
        </is>
      </c>
      <c r="S163" t="inlineStr"/>
      <c r="T163" t="inlineStr">
        <is>
          <t>Held: level not covered by the policy default</t>
        </is>
      </c>
      <c r="U163" t="inlineStr"/>
      <c r="V163" t="inlineStr">
        <is>
          <t>Searching for course page</t>
        </is>
      </c>
      <c r="W163" t="inlineStr"/>
      <c r="X163" t="inlineStr"/>
      <c r="Y163" t="n">
        <v>0</v>
      </c>
      <c r="Z163" t="inlineStr">
        <is>
          <t>No</t>
        </is>
      </c>
      <c r="AA163" t="inlineStr">
        <is>
          <t>Not stated on course page</t>
        </is>
      </c>
      <c r="AB163" t="inlineStr"/>
      <c r="AC163" t="inlineStr">
        <is>
          <t>Skipped: taken back: the page read was another course's page</t>
        </is>
      </c>
      <c r="AD163" t="n">
        <v>1</v>
      </c>
      <c r="AE163" t="inlineStr"/>
      <c r="AF163" t="inlineStr"/>
      <c r="AG163" t="inlineStr"/>
      <c r="AH163" t="inlineStr"/>
      <c r="AI163" t="inlineStr"/>
      <c r="AJ163" t="inlineStr">
        <is>
          <t>Yes</t>
        </is>
      </c>
      <c r="AK163" t="inlineStr"/>
      <c r="AL163" t="inlineStr"/>
      <c r="AM163" t="inlineStr"/>
    </row>
    <row r="164">
      <c r="A164" t="inlineStr">
        <is>
          <t>037296G</t>
        </is>
      </c>
      <c r="B164" t="inlineStr">
        <is>
          <t>Exchange Program</t>
        </is>
      </c>
      <c r="C164" t="inlineStr">
        <is>
          <t>Non AQF Award</t>
        </is>
      </c>
      <c r="D164" t="inlineStr">
        <is>
          <t>Non-award</t>
        </is>
      </c>
      <c r="E164" t="inlineStr">
        <is>
          <t>Held: page found is for another course</t>
        </is>
      </c>
      <c r="F164" t="inlineStr"/>
      <c r="G164" t="inlineStr">
        <is>
          <t>https://www.mq.edu.au/study/information-for/international/study-abroad-exchange-and-study-tours/understanding-enrolment/open-access-units</t>
        </is>
      </c>
      <c r="H164" t="inlineStr">
        <is>
          <t>Page is for another course</t>
        </is>
      </c>
      <c r="I164" t="inlineStr"/>
      <c r="J164" t="inlineStr"/>
      <c r="K164" t="inlineStr">
        <is>
          <t>Finished, no page: no address from the university's address forms or stored lis</t>
        </is>
      </c>
      <c r="L164" t="inlineStr">
        <is>
          <t>Searching for course page</t>
        </is>
      </c>
      <c r="M164" t="inlineStr">
        <is>
          <t>Searching for course page</t>
        </is>
      </c>
      <c r="N164" t="inlineStr"/>
      <c r="O164" t="n">
        <v>0</v>
      </c>
      <c r="P164" t="inlineStr"/>
      <c r="Q164" t="inlineStr">
        <is>
          <t>Searching for course page</t>
        </is>
      </c>
      <c r="S164" t="inlineStr"/>
      <c r="T164" t="inlineStr">
        <is>
          <t>Held: level not covered by the policy default</t>
        </is>
      </c>
      <c r="U164" t="inlineStr"/>
      <c r="V164" t="inlineStr">
        <is>
          <t>Searching for course page</t>
        </is>
      </c>
      <c r="W164" t="inlineStr"/>
      <c r="X164" t="inlineStr"/>
      <c r="Y164" t="n">
        <v>0</v>
      </c>
      <c r="Z164" t="inlineStr">
        <is>
          <t>No</t>
        </is>
      </c>
      <c r="AA164" t="inlineStr">
        <is>
          <t>Not stated on course page</t>
        </is>
      </c>
      <c r="AB164" t="inlineStr"/>
      <c r="AC164" t="inlineStr">
        <is>
          <t>Skipped: taken back: the page read was another course's page</t>
        </is>
      </c>
      <c r="AD164" t="n">
        <v>1</v>
      </c>
      <c r="AE164" t="inlineStr"/>
      <c r="AF164" t="inlineStr"/>
      <c r="AG164" t="inlineStr"/>
      <c r="AH164" t="inlineStr"/>
      <c r="AI164" t="inlineStr"/>
      <c r="AJ164" t="inlineStr">
        <is>
          <t>Yes</t>
        </is>
      </c>
      <c r="AK164" t="inlineStr"/>
      <c r="AL164" t="inlineStr"/>
      <c r="AM164" t="inlineStr"/>
    </row>
    <row r="165">
      <c r="A165" t="inlineStr">
        <is>
          <t>088047B</t>
        </is>
      </c>
      <c r="B165" t="inlineStr">
        <is>
          <t>Exchange Program</t>
        </is>
      </c>
      <c r="C165" t="inlineStr">
        <is>
          <t>Non AQF Award</t>
        </is>
      </c>
      <c r="D165" t="inlineStr">
        <is>
          <t>Non-award</t>
        </is>
      </c>
      <c r="E165" t="inlineStr">
        <is>
          <t>Held: page found is for another course</t>
        </is>
      </c>
      <c r="F165" t="inlineStr"/>
      <c r="G165" t="inlineStr">
        <is>
          <t>https://www.mq.edu.au/study/information-for/international/study-abroad-exchange-and-study-tours/understanding-enrolment/open-access-units</t>
        </is>
      </c>
      <c r="H165" t="inlineStr">
        <is>
          <t>Page is for another course</t>
        </is>
      </c>
      <c r="I165" t="inlineStr"/>
      <c r="J165" t="inlineStr"/>
      <c r="K165" t="inlineStr">
        <is>
          <t>Finished, no page: no address from the university's address forms or stored lis</t>
        </is>
      </c>
      <c r="L165" t="inlineStr">
        <is>
          <t>Searching for course page</t>
        </is>
      </c>
      <c r="M165" t="inlineStr">
        <is>
          <t>Searching for course page</t>
        </is>
      </c>
      <c r="N165" t="inlineStr"/>
      <c r="O165" t="n">
        <v>0</v>
      </c>
      <c r="P165" t="inlineStr"/>
      <c r="Q165" t="inlineStr">
        <is>
          <t>Searching for course page</t>
        </is>
      </c>
      <c r="S165" t="inlineStr"/>
      <c r="T165" t="inlineStr">
        <is>
          <t>Held: level not covered by the policy default</t>
        </is>
      </c>
      <c r="U165" t="inlineStr"/>
      <c r="V165" t="inlineStr">
        <is>
          <t>Searching for course page</t>
        </is>
      </c>
      <c r="W165" t="inlineStr"/>
      <c r="X165" t="inlineStr"/>
      <c r="Y165" t="n">
        <v>0</v>
      </c>
      <c r="Z165" t="inlineStr">
        <is>
          <t>No</t>
        </is>
      </c>
      <c r="AA165" t="inlineStr">
        <is>
          <t>Not stated on course page</t>
        </is>
      </c>
      <c r="AB165" t="inlineStr"/>
      <c r="AC165" t="inlineStr">
        <is>
          <t>Skipped: taken back: the page read was another course's page</t>
        </is>
      </c>
      <c r="AD165" t="n">
        <v>1</v>
      </c>
      <c r="AE165" t="inlineStr"/>
      <c r="AF165" t="inlineStr"/>
      <c r="AG165" t="inlineStr"/>
      <c r="AH165" t="inlineStr"/>
      <c r="AI165" t="inlineStr"/>
      <c r="AJ165" t="inlineStr">
        <is>
          <t>Yes</t>
        </is>
      </c>
      <c r="AK165" t="inlineStr"/>
      <c r="AL165" t="inlineStr"/>
      <c r="AM165" t="inlineStr"/>
    </row>
    <row r="166">
      <c r="A166" t="inlineStr">
        <is>
          <t>092514A</t>
        </is>
      </c>
      <c r="B166" t="inlineStr">
        <is>
          <t>Exchange Program</t>
        </is>
      </c>
      <c r="C166" t="inlineStr">
        <is>
          <t>Non AQF Award</t>
        </is>
      </c>
      <c r="D166" t="inlineStr">
        <is>
          <t>Non-award</t>
        </is>
      </c>
      <c r="E166" t="inlineStr">
        <is>
          <t>Held: page found is for another course</t>
        </is>
      </c>
      <c r="F166" t="inlineStr"/>
      <c r="G166" t="inlineStr">
        <is>
          <t>https://www.mq.edu.au/study/information-for/international/study-abroad-exchange-and-study-tours/understanding-enrolment/open-access-units</t>
        </is>
      </c>
      <c r="H166" t="inlineStr">
        <is>
          <t>Page is for another course</t>
        </is>
      </c>
      <c r="I166" t="inlineStr"/>
      <c r="J166" t="inlineStr"/>
      <c r="K166" t="inlineStr">
        <is>
          <t>Finished, no page: no address from the university's address forms or stored lis</t>
        </is>
      </c>
      <c r="L166" t="inlineStr">
        <is>
          <t>Searching for course page</t>
        </is>
      </c>
      <c r="M166" t="inlineStr">
        <is>
          <t>Searching for course page</t>
        </is>
      </c>
      <c r="N166" t="inlineStr"/>
      <c r="O166" t="n">
        <v>0</v>
      </c>
      <c r="P166" t="inlineStr"/>
      <c r="Q166" t="inlineStr">
        <is>
          <t>Searching for course page</t>
        </is>
      </c>
      <c r="S166" t="inlineStr"/>
      <c r="T166" t="inlineStr">
        <is>
          <t>Held: level not covered by the policy default</t>
        </is>
      </c>
      <c r="U166" t="inlineStr"/>
      <c r="V166" t="inlineStr">
        <is>
          <t>Searching for course page</t>
        </is>
      </c>
      <c r="W166" t="inlineStr"/>
      <c r="X166" t="inlineStr"/>
      <c r="Y166" t="n">
        <v>0</v>
      </c>
      <c r="Z166" t="inlineStr">
        <is>
          <t>No</t>
        </is>
      </c>
      <c r="AA166" t="inlineStr">
        <is>
          <t>Not stated on course page</t>
        </is>
      </c>
      <c r="AB166" t="inlineStr"/>
      <c r="AC166" t="inlineStr">
        <is>
          <t>Skipped: taken back: the page read was another course's page</t>
        </is>
      </c>
      <c r="AD166" t="n">
        <v>1</v>
      </c>
      <c r="AE166" t="inlineStr"/>
      <c r="AF166" t="inlineStr"/>
      <c r="AG166" t="inlineStr"/>
      <c r="AH166" t="inlineStr"/>
      <c r="AI166" t="inlineStr"/>
      <c r="AJ166" t="inlineStr">
        <is>
          <t>Yes</t>
        </is>
      </c>
      <c r="AK166" t="inlineStr"/>
      <c r="AL166" t="inlineStr"/>
      <c r="AM166" t="inlineStr"/>
    </row>
    <row r="167">
      <c r="A167" t="inlineStr">
        <is>
          <t>094224F</t>
        </is>
      </c>
      <c r="B167" t="inlineStr">
        <is>
          <t>Exchange Program</t>
        </is>
      </c>
      <c r="C167" t="inlineStr">
        <is>
          <t>Non AQF Award</t>
        </is>
      </c>
      <c r="D167" t="inlineStr">
        <is>
          <t>Non-award</t>
        </is>
      </c>
      <c r="E167" t="inlineStr">
        <is>
          <t>No-page record (no page), awaiting review</t>
        </is>
      </c>
      <c r="F167" t="inlineStr"/>
      <c r="G167" t="inlineStr">
        <is>
          <t>https://www.mq.edu.au/study/information-for/international/study-abroad-exchange-and-study-tours/understanding-enrolment/open-access-units</t>
        </is>
      </c>
      <c r="H167" t="inlineStr">
        <is>
          <t>Page is for another course</t>
        </is>
      </c>
      <c r="I167" t="inlineStr"/>
      <c r="J167" t="inlineStr">
        <is>
          <t>No page (proposed)</t>
        </is>
      </c>
      <c r="K167" t="inlineStr">
        <is>
          <t>Finished, no page: no address from the university's address forms or stored lis</t>
        </is>
      </c>
      <c r="L167" t="inlineStr">
        <is>
          <t>Searching for course page</t>
        </is>
      </c>
      <c r="M167" t="inlineStr">
        <is>
          <t>Searching for course page</t>
        </is>
      </c>
      <c r="N167" t="inlineStr"/>
      <c r="O167" t="n">
        <v>0</v>
      </c>
      <c r="P167" t="inlineStr"/>
      <c r="Q167" t="inlineStr">
        <is>
          <t>Searching for course page</t>
        </is>
      </c>
      <c r="S167" t="inlineStr"/>
      <c r="T167" t="inlineStr">
        <is>
          <t>Held: level not covered by the policy default</t>
        </is>
      </c>
      <c r="U167" t="inlineStr"/>
      <c r="V167" t="inlineStr">
        <is>
          <t>Searching for course page</t>
        </is>
      </c>
      <c r="W167" t="inlineStr"/>
      <c r="X167" t="inlineStr"/>
      <c r="Y167" t="n">
        <v>0</v>
      </c>
      <c r="Z167" t="inlineStr">
        <is>
          <t>No</t>
        </is>
      </c>
      <c r="AA167" t="inlineStr">
        <is>
          <t>Not stated on course page</t>
        </is>
      </c>
      <c r="AB167" t="inlineStr"/>
      <c r="AC167" t="inlineStr">
        <is>
          <t>Skipped: taken back: the page read was another course's page</t>
        </is>
      </c>
      <c r="AD167" t="n">
        <v>1</v>
      </c>
      <c r="AE167" t="inlineStr"/>
      <c r="AF167" t="inlineStr"/>
      <c r="AG167" t="inlineStr"/>
      <c r="AH167" t="inlineStr"/>
      <c r="AI167" t="inlineStr"/>
      <c r="AJ167" t="inlineStr">
        <is>
          <t>Yes</t>
        </is>
      </c>
      <c r="AK167" t="inlineStr"/>
      <c r="AL167" t="inlineStr"/>
      <c r="AM167" t="inlineStr">
        <is>
          <t>Yes</t>
        </is>
      </c>
    </row>
    <row r="168">
      <c r="A168" t="inlineStr">
        <is>
          <t>111135F</t>
        </is>
      </c>
      <c r="B168" t="inlineStr">
        <is>
          <t>Graduate Certificate of Accounting Practice</t>
        </is>
      </c>
      <c r="C168" t="inlineStr">
        <is>
          <t>Graduate Certificate</t>
        </is>
      </c>
      <c r="D168" t="inlineStr">
        <is>
          <t>Postgraduate coursework</t>
        </is>
      </c>
      <c r="E168" t="inlineStr">
        <is>
          <t>Advertised: official page in place</t>
        </is>
      </c>
      <c r="F168" t="inlineStr">
        <is>
          <t>https://coursehandbook.mq.edu.au/2026/courses/C000380</t>
        </is>
      </c>
      <c r="G168" t="inlineStr">
        <is>
          <t>https://coursehandbook.mq.edu.au/2026/courses/C000380</t>
        </is>
      </c>
      <c r="H168" t="inlineStr">
        <is>
          <t>Read</t>
        </is>
      </c>
      <c r="I168" t="inlineStr">
        <is>
          <t>Exact title match</t>
        </is>
      </c>
      <c r="J168" t="inlineStr"/>
      <c r="K168" t="inlineStr">
        <is>
          <t>Not sent to re-link</t>
        </is>
      </c>
      <c r="L168" t="inlineStr">
        <is>
          <t>Filled</t>
        </is>
      </c>
      <c r="M168" t="inlineStr">
        <is>
          <t>Not stated on course page</t>
        </is>
      </c>
      <c r="N168" t="inlineStr"/>
      <c r="O168" t="n">
        <v>0</v>
      </c>
      <c r="P168" t="inlineStr"/>
      <c r="Q168" t="inlineStr">
        <is>
          <t>Filled</t>
        </is>
      </c>
      <c r="R168" t="n">
        <v>6.5</v>
      </c>
      <c r="S168" t="inlineStr">
        <is>
          <t>University adapter</t>
        </is>
      </c>
      <c r="T168" t="inlineStr">
        <is>
          <t>Central rule applies (value agrees)</t>
        </is>
      </c>
      <c r="U168" t="inlineStr"/>
      <c r="V168" t="inlineStr">
        <is>
          <t>Not stated on course page</t>
        </is>
      </c>
      <c r="W168" t="inlineStr"/>
      <c r="X168" t="inlineStr"/>
      <c r="Y168" t="n">
        <v>0</v>
      </c>
      <c r="Z168" t="inlineStr">
        <is>
          <t>No</t>
        </is>
      </c>
      <c r="AA168" t="inlineStr">
        <is>
          <t>Not stated on course page</t>
        </is>
      </c>
      <c r="AB168" t="inlineStr"/>
      <c r="AC168" t="inlineStr">
        <is>
          <t>Skipped: the page does not state it</t>
        </is>
      </c>
      <c r="AD168" t="n">
        <v>0</v>
      </c>
      <c r="AE168" t="inlineStr"/>
      <c r="AF168" t="inlineStr"/>
      <c r="AG168" t="inlineStr"/>
      <c r="AH168" t="inlineStr"/>
      <c r="AI168" t="inlineStr"/>
      <c r="AJ168" t="inlineStr"/>
      <c r="AK168" t="inlineStr"/>
      <c r="AL168" t="inlineStr"/>
      <c r="AM168" t="inlineStr"/>
    </row>
    <row r="169">
      <c r="A169" t="inlineStr">
        <is>
          <t>084522A</t>
        </is>
      </c>
      <c r="B169" t="inlineStr">
        <is>
          <t>Graduate Certificate of Ancient History</t>
        </is>
      </c>
      <c r="C169" t="inlineStr">
        <is>
          <t>Graduate Certificate</t>
        </is>
      </c>
      <c r="D169" t="inlineStr">
        <is>
          <t>Postgraduate coursework</t>
        </is>
      </c>
      <c r="E169" t="inlineStr">
        <is>
          <t>Page address no longer works</t>
        </is>
      </c>
      <c r="F169" t="inlineStr"/>
      <c r="G169" t="inlineStr">
        <is>
          <t>https://coursehandbook.mq.edu.au/2026/courses/C000223</t>
        </is>
      </c>
      <c r="H169" t="inlineStr">
        <is>
          <t>Address no longer works</t>
        </is>
      </c>
      <c r="I169" t="inlineStr"/>
      <c r="J169" t="inlineStr"/>
      <c r="K169" t="inlineStr">
        <is>
          <t>Not sent to re-link</t>
        </is>
      </c>
      <c r="L169" t="inlineStr">
        <is>
          <t>Page found, being read</t>
        </is>
      </c>
      <c r="M169" t="inlineStr">
        <is>
          <t>Page found, being read</t>
        </is>
      </c>
      <c r="N169" t="inlineStr"/>
      <c r="O169" t="n">
        <v>0</v>
      </c>
      <c r="P169" t="inlineStr"/>
      <c r="Q169" t="inlineStr">
        <is>
          <t>Filled</t>
        </is>
      </c>
      <c r="R169" t="n">
        <v>6.5</v>
      </c>
      <c r="S169" t="inlineStr">
        <is>
          <t>Central English policy</t>
        </is>
      </c>
      <c r="T169" t="inlineStr">
        <is>
          <t>Central rule applies (value agrees)</t>
        </is>
      </c>
      <c r="U169" t="inlineStr"/>
      <c r="V169" t="inlineStr">
        <is>
          <t>Page found, being read</t>
        </is>
      </c>
      <c r="W169" t="inlineStr"/>
      <c r="X169" t="inlineStr"/>
      <c r="Y169" t="n">
        <v>0</v>
      </c>
      <c r="Z169" t="inlineStr">
        <is>
          <t>No</t>
        </is>
      </c>
      <c r="AA169" t="inlineStr">
        <is>
          <t>Not stated on course page</t>
        </is>
      </c>
      <c r="AB169" t="inlineStr"/>
      <c r="AC169" t="inlineStr">
        <is>
          <t>Skipped: no allowed source had a value</t>
        </is>
      </c>
      <c r="AD169" t="n">
        <v>0</v>
      </c>
      <c r="AE169" t="inlineStr"/>
      <c r="AF169" t="inlineStr"/>
      <c r="AG169" t="inlineStr"/>
      <c r="AH169" t="inlineStr"/>
      <c r="AI169" t="inlineStr"/>
      <c r="AJ169" t="inlineStr"/>
      <c r="AK169" t="inlineStr"/>
      <c r="AL169" t="inlineStr"/>
      <c r="AM169" t="inlineStr"/>
    </row>
    <row r="170">
      <c r="A170" t="inlineStr">
        <is>
          <t>095110G</t>
        </is>
      </c>
      <c r="B170" t="inlineStr">
        <is>
          <t>Graduate Certificate of Applied Statistics</t>
        </is>
      </c>
      <c r="C170" t="inlineStr">
        <is>
          <t>Graduate Certificate</t>
        </is>
      </c>
      <c r="D170" t="inlineStr">
        <is>
          <t>Postgraduate coursework</t>
        </is>
      </c>
      <c r="E170" t="inlineStr">
        <is>
          <t>Page address no longer works</t>
        </is>
      </c>
      <c r="F170" t="inlineStr"/>
      <c r="G170" t="inlineStr">
        <is>
          <t>https://coursehandbook.mq.edu.au/2026/courses/c000045</t>
        </is>
      </c>
      <c r="H170" t="inlineStr">
        <is>
          <t>Address no longer works</t>
        </is>
      </c>
      <c r="I170" t="inlineStr"/>
      <c r="J170" t="inlineStr"/>
      <c r="K170" t="inlineStr">
        <is>
          <t>Not sent to re-link</t>
        </is>
      </c>
      <c r="L170" t="inlineStr">
        <is>
          <t>Page found, being read</t>
        </is>
      </c>
      <c r="M170" t="inlineStr">
        <is>
          <t>Page found, being read</t>
        </is>
      </c>
      <c r="N170" t="inlineStr"/>
      <c r="O170" t="n">
        <v>0</v>
      </c>
      <c r="P170" t="inlineStr"/>
      <c r="Q170" t="inlineStr">
        <is>
          <t>Filled</t>
        </is>
      </c>
      <c r="R170" t="n">
        <v>6.5</v>
      </c>
      <c r="S170" t="inlineStr">
        <is>
          <t>Central English policy</t>
        </is>
      </c>
      <c r="T170" t="inlineStr">
        <is>
          <t>Central rule applies (value agrees)</t>
        </is>
      </c>
      <c r="U170" t="inlineStr"/>
      <c r="V170" t="inlineStr">
        <is>
          <t>Page found, being read</t>
        </is>
      </c>
      <c r="W170" t="inlineStr"/>
      <c r="X170" t="inlineStr"/>
      <c r="Y170" t="n">
        <v>0</v>
      </c>
      <c r="Z170" t="inlineStr">
        <is>
          <t>No</t>
        </is>
      </c>
      <c r="AA170" t="inlineStr">
        <is>
          <t>Not stated on course page</t>
        </is>
      </c>
      <c r="AB170" t="inlineStr"/>
      <c r="AC170" t="inlineStr">
        <is>
          <t>Skipped: no allowed source had a value</t>
        </is>
      </c>
      <c r="AD170" t="n">
        <v>0</v>
      </c>
      <c r="AE170" t="inlineStr"/>
      <c r="AF170" t="inlineStr"/>
      <c r="AG170" t="inlineStr"/>
      <c r="AH170" t="inlineStr"/>
      <c r="AI170" t="inlineStr"/>
      <c r="AJ170" t="inlineStr"/>
      <c r="AK170" t="inlineStr"/>
      <c r="AL170" t="inlineStr"/>
      <c r="AM170" t="inlineStr"/>
    </row>
    <row r="171">
      <c r="A171" t="inlineStr">
        <is>
          <t>098530G</t>
        </is>
      </c>
      <c r="B171" t="inlineStr">
        <is>
          <t>Graduate Certificate of Biotechnology</t>
        </is>
      </c>
      <c r="C171" t="inlineStr">
        <is>
          <t>Graduate Certificate</t>
        </is>
      </c>
      <c r="D171" t="inlineStr">
        <is>
          <t>Postgraduate coursework</t>
        </is>
      </c>
      <c r="E171" t="inlineStr">
        <is>
          <t>Advertised: official page in place</t>
        </is>
      </c>
      <c r="F171" t="inlineStr">
        <is>
          <t>https://handbook.mq.edu.au/2019/DegreesDiplomas/PGCertificate/Graduate+Certificate+of+Biotechnology</t>
        </is>
      </c>
      <c r="G171" t="inlineStr">
        <is>
          <t>https://handbook.mq.edu.au/2019/DegreesDiplomas/PGCertificate/Graduate+Certificate+of+Biotechnology</t>
        </is>
      </c>
      <c r="H171" t="inlineStr">
        <is>
          <t>Read</t>
        </is>
      </c>
      <c r="I171" t="inlineStr">
        <is>
          <t>CRICOS code on page</t>
        </is>
      </c>
      <c r="J171" t="inlineStr"/>
      <c r="K171" t="inlineStr">
        <is>
          <t>Not sent to re-link</t>
        </is>
      </c>
      <c r="L171" t="inlineStr">
        <is>
          <t>Filled</t>
        </is>
      </c>
      <c r="M171" t="inlineStr">
        <is>
          <t>Not stated on course page</t>
        </is>
      </c>
      <c r="N171" t="inlineStr"/>
      <c r="O171" t="n">
        <v>0</v>
      </c>
      <c r="P171" t="inlineStr"/>
      <c r="Q171" t="inlineStr">
        <is>
          <t>Filled</t>
        </is>
      </c>
      <c r="R171" t="n">
        <v>6.5</v>
      </c>
      <c r="S171" t="inlineStr">
        <is>
          <t>Other</t>
        </is>
      </c>
      <c r="T171" t="inlineStr">
        <is>
          <t>Central rule applies (value agrees)</t>
        </is>
      </c>
      <c r="U171" t="inlineStr"/>
      <c r="V171" t="inlineStr">
        <is>
          <t>Filled</t>
        </is>
      </c>
      <c r="W171" t="inlineStr">
        <is>
          <t>February, July</t>
        </is>
      </c>
      <c r="X171" t="inlineStr">
        <is>
          <t>Other</t>
        </is>
      </c>
      <c r="Y171" t="n">
        <v>0</v>
      </c>
      <c r="Z171" t="inlineStr">
        <is>
          <t>No</t>
        </is>
      </c>
      <c r="AA171" t="inlineStr">
        <is>
          <t>Filled</t>
        </is>
      </c>
      <c r="AB171" t="inlineStr">
        <is>
          <t>on campus</t>
        </is>
      </c>
      <c r="AC171" t="inlineStr">
        <is>
          <t>Filled</t>
        </is>
      </c>
      <c r="AD171" t="n">
        <v>0</v>
      </c>
      <c r="AE171" t="inlineStr"/>
      <c r="AF171" t="inlineStr"/>
      <c r="AG171" t="inlineStr"/>
      <c r="AH171" t="inlineStr"/>
      <c r="AI171" t="inlineStr"/>
      <c r="AJ171" t="inlineStr"/>
      <c r="AK171" t="inlineStr"/>
      <c r="AL171" t="inlineStr"/>
      <c r="AM171" t="inlineStr"/>
    </row>
    <row r="172">
      <c r="A172" t="inlineStr">
        <is>
          <t>111137D</t>
        </is>
      </c>
      <c r="B172" t="inlineStr">
        <is>
          <t>Graduate Certificate of Business Administration</t>
        </is>
      </c>
      <c r="C172" t="inlineStr">
        <is>
          <t>Graduate Certificate</t>
        </is>
      </c>
      <c r="D172" t="inlineStr">
        <is>
          <t>Postgraduate coursework</t>
        </is>
      </c>
      <c r="E172" t="inlineStr">
        <is>
          <t>Advertised: official page in place</t>
        </is>
      </c>
      <c r="F172" t="inlineStr">
        <is>
          <t>https://coursehandbook.mq.edu.au/2026/courses/C000387</t>
        </is>
      </c>
      <c r="G172" t="inlineStr">
        <is>
          <t>https://coursehandbook.mq.edu.au/2026/courses/C000387</t>
        </is>
      </c>
      <c r="H172" t="inlineStr">
        <is>
          <t>Read</t>
        </is>
      </c>
      <c r="I172" t="inlineStr">
        <is>
          <t>Exact title match</t>
        </is>
      </c>
      <c r="J172" t="inlineStr"/>
      <c r="K172" t="inlineStr">
        <is>
          <t>Not sent to re-link</t>
        </is>
      </c>
      <c r="L172" t="inlineStr">
        <is>
          <t>Filled</t>
        </is>
      </c>
      <c r="M172" t="inlineStr">
        <is>
          <t>Not stated on course page</t>
        </is>
      </c>
      <c r="N172" t="inlineStr"/>
      <c r="O172" t="n">
        <v>0</v>
      </c>
      <c r="P172" t="inlineStr"/>
      <c r="Q172" t="inlineStr">
        <is>
          <t>Filled</t>
        </is>
      </c>
      <c r="R172" t="n">
        <v>7</v>
      </c>
      <c r="S172" t="inlineStr">
        <is>
          <t>University adapter</t>
        </is>
      </c>
      <c r="T172" t="inlineStr">
        <is>
          <t>Central rule applies (course value differs)</t>
        </is>
      </c>
      <c r="U172" t="inlineStr">
        <is>
          <t>Yes: course has IELTS 7.00, central rule says 6.5</t>
        </is>
      </c>
      <c r="V172" t="inlineStr">
        <is>
          <t>Not stated on course page</t>
        </is>
      </c>
      <c r="W172" t="inlineStr"/>
      <c r="X172" t="inlineStr"/>
      <c r="Y172" t="n">
        <v>0</v>
      </c>
      <c r="Z172" t="inlineStr">
        <is>
          <t>No</t>
        </is>
      </c>
      <c r="AA172" t="inlineStr">
        <is>
          <t>Not stated on course page</t>
        </is>
      </c>
      <c r="AB172" t="inlineStr"/>
      <c r="AC172" t="inlineStr">
        <is>
          <t>Skipped: the page does not state it</t>
        </is>
      </c>
      <c r="AD172" t="n">
        <v>0</v>
      </c>
      <c r="AE172" t="inlineStr"/>
      <c r="AF172" t="inlineStr"/>
      <c r="AG172" t="inlineStr"/>
      <c r="AH172" t="inlineStr"/>
      <c r="AI172" t="inlineStr"/>
      <c r="AJ172" t="inlineStr"/>
      <c r="AK172" t="inlineStr"/>
      <c r="AL172" t="inlineStr"/>
      <c r="AM172" t="inlineStr"/>
    </row>
    <row r="173">
      <c r="A173" t="inlineStr">
        <is>
          <t>099152K</t>
        </is>
      </c>
      <c r="B173" t="inlineStr">
        <is>
          <t>Graduate Certificate of Conservation Biology</t>
        </is>
      </c>
      <c r="C173" t="inlineStr">
        <is>
          <t>Graduate Certificate</t>
        </is>
      </c>
      <c r="D173" t="inlineStr">
        <is>
          <t>Postgraduate coursework</t>
        </is>
      </c>
      <c r="E173" t="inlineStr">
        <is>
          <t>Advertised: official page in place</t>
        </is>
      </c>
      <c r="F173" t="inlineStr">
        <is>
          <t>https://coursehandbook.mq.edu.au/2026/courses/c000051</t>
        </is>
      </c>
      <c r="G173" t="inlineStr">
        <is>
          <t>https://coursehandbook.mq.edu.au/2026/courses/c000051</t>
        </is>
      </c>
      <c r="H173" t="inlineStr">
        <is>
          <t>Read</t>
        </is>
      </c>
      <c r="I173" t="inlineStr">
        <is>
          <t>Exact title match</t>
        </is>
      </c>
      <c r="J173" t="inlineStr"/>
      <c r="K173" t="inlineStr">
        <is>
          <t>Not sent to re-link</t>
        </is>
      </c>
      <c r="L173" t="inlineStr">
        <is>
          <t>Filled</t>
        </is>
      </c>
      <c r="M173" t="inlineStr">
        <is>
          <t>Not stated on course page</t>
        </is>
      </c>
      <c r="N173" t="inlineStr"/>
      <c r="O173" t="n">
        <v>0</v>
      </c>
      <c r="P173" t="inlineStr"/>
      <c r="Q173" t="inlineStr">
        <is>
          <t>Filled</t>
        </is>
      </c>
      <c r="R173" t="n">
        <v>6.5</v>
      </c>
      <c r="S173" t="inlineStr">
        <is>
          <t>University adapter</t>
        </is>
      </c>
      <c r="T173" t="inlineStr">
        <is>
          <t>Central rule applies (value agrees)</t>
        </is>
      </c>
      <c r="U173" t="inlineStr"/>
      <c r="V173" t="inlineStr">
        <is>
          <t>Not stated on course page</t>
        </is>
      </c>
      <c r="W173" t="inlineStr"/>
      <c r="X173" t="inlineStr"/>
      <c r="Y173" t="n">
        <v>0</v>
      </c>
      <c r="Z173" t="inlineStr">
        <is>
          <t>No</t>
        </is>
      </c>
      <c r="AA173" t="inlineStr">
        <is>
          <t>Not stated on course page</t>
        </is>
      </c>
      <c r="AB173" t="inlineStr"/>
      <c r="AC173" t="inlineStr">
        <is>
          <t>Skipped: the page does not state it</t>
        </is>
      </c>
      <c r="AD173" t="n">
        <v>0</v>
      </c>
      <c r="AE173" t="inlineStr"/>
      <c r="AF173" t="inlineStr"/>
      <c r="AG173" t="inlineStr"/>
      <c r="AH173" t="inlineStr"/>
      <c r="AI173" t="inlineStr"/>
      <c r="AJ173" t="inlineStr"/>
      <c r="AK173" t="inlineStr"/>
      <c r="AL173" t="inlineStr"/>
      <c r="AM173" t="inlineStr"/>
    </row>
    <row r="174">
      <c r="A174" t="inlineStr">
        <is>
          <t>083750G</t>
        </is>
      </c>
      <c r="B174" t="inlineStr">
        <is>
          <t>Graduate Certificate of Development Studies and Global Health</t>
        </is>
      </c>
      <c r="C174" t="inlineStr">
        <is>
          <t>Graduate Certificate</t>
        </is>
      </c>
      <c r="D174" t="inlineStr">
        <is>
          <t>Postgraduate coursework</t>
        </is>
      </c>
      <c r="E174" t="inlineStr">
        <is>
          <t>Advertised: official page in place</t>
        </is>
      </c>
      <c r="F174" t="inlineStr">
        <is>
          <t>https://handbook.mq.edu.au/2018/DegreesDiplomas/PGCertificate/Graduate+Certificate+of+Development+Studies+and+Global+Health</t>
        </is>
      </c>
      <c r="G174" t="inlineStr">
        <is>
          <t>https://handbook.mq.edu.au/2018/DegreesDiplomas/PGCertificate/Graduate+Certificate+of+Development+Studies+and+Global+Health</t>
        </is>
      </c>
      <c r="H174" t="inlineStr">
        <is>
          <t>Read</t>
        </is>
      </c>
      <c r="I174" t="inlineStr">
        <is>
          <t>CRICOS code on page</t>
        </is>
      </c>
      <c r="J174" t="inlineStr"/>
      <c r="K174" t="inlineStr">
        <is>
          <t>Not sent to re-link</t>
        </is>
      </c>
      <c r="L174" t="inlineStr">
        <is>
          <t>Filled</t>
        </is>
      </c>
      <c r="M174" t="inlineStr">
        <is>
          <t>Not stated on course page</t>
        </is>
      </c>
      <c r="N174" t="inlineStr"/>
      <c r="O174" t="n">
        <v>0</v>
      </c>
      <c r="P174" t="inlineStr"/>
      <c r="Q174" t="inlineStr">
        <is>
          <t>Filled</t>
        </is>
      </c>
      <c r="R174" t="n">
        <v>6.5</v>
      </c>
      <c r="S174" t="inlineStr">
        <is>
          <t>Other</t>
        </is>
      </c>
      <c r="T174" t="inlineStr">
        <is>
          <t>Central rule applies (value agrees)</t>
        </is>
      </c>
      <c r="U174" t="inlineStr"/>
      <c r="V174" t="inlineStr">
        <is>
          <t>Filled</t>
        </is>
      </c>
      <c r="W174" t="inlineStr">
        <is>
          <t>February, July</t>
        </is>
      </c>
      <c r="X174" t="inlineStr">
        <is>
          <t>Other</t>
        </is>
      </c>
      <c r="Y174" t="n">
        <v>0</v>
      </c>
      <c r="Z174" t="inlineStr">
        <is>
          <t>No</t>
        </is>
      </c>
      <c r="AA174" t="inlineStr">
        <is>
          <t>Filled</t>
        </is>
      </c>
      <c r="AB174" t="inlineStr">
        <is>
          <t>on campus</t>
        </is>
      </c>
      <c r="AC174" t="inlineStr">
        <is>
          <t>Filled</t>
        </is>
      </c>
      <c r="AD174" t="n">
        <v>0</v>
      </c>
      <c r="AE174" t="inlineStr"/>
      <c r="AF174" t="inlineStr"/>
      <c r="AG174" t="inlineStr"/>
      <c r="AH174" t="inlineStr"/>
      <c r="AI174" t="inlineStr"/>
      <c r="AJ174" t="inlineStr"/>
      <c r="AK174" t="inlineStr"/>
      <c r="AL174" t="inlineStr"/>
      <c r="AM174" t="inlineStr"/>
    </row>
    <row r="175">
      <c r="A175" t="inlineStr">
        <is>
          <t>083747C</t>
        </is>
      </c>
      <c r="B175" t="inlineStr">
        <is>
          <t>Graduate Certificate of Early Childhood</t>
        </is>
      </c>
      <c r="C175" t="inlineStr">
        <is>
          <t>Graduate Certificate</t>
        </is>
      </c>
      <c r="D175" t="inlineStr">
        <is>
          <t>Postgraduate coursework</t>
        </is>
      </c>
      <c r="E175" t="inlineStr">
        <is>
          <t>Page address no longer works</t>
        </is>
      </c>
      <c r="F175" t="inlineStr"/>
      <c r="G175" t="inlineStr">
        <is>
          <t>https://coursehandbook.mq.edu.au/2026/courses/c000139</t>
        </is>
      </c>
      <c r="H175" t="inlineStr">
        <is>
          <t>Address no longer works</t>
        </is>
      </c>
      <c r="I175" t="inlineStr"/>
      <c r="J175" t="inlineStr"/>
      <c r="K175" t="inlineStr">
        <is>
          <t>Not sent to re-link</t>
        </is>
      </c>
      <c r="L175" t="inlineStr">
        <is>
          <t>Page found, being read</t>
        </is>
      </c>
      <c r="M175" t="inlineStr">
        <is>
          <t>Page found, being read</t>
        </is>
      </c>
      <c r="N175" t="inlineStr"/>
      <c r="O175" t="n">
        <v>0</v>
      </c>
      <c r="P175" t="inlineStr"/>
      <c r="Q175" t="inlineStr">
        <is>
          <t>Filled</t>
        </is>
      </c>
      <c r="R175" t="n">
        <v>6.5</v>
      </c>
      <c r="S175" t="inlineStr">
        <is>
          <t>Central English policy</t>
        </is>
      </c>
      <c r="T175" t="inlineStr">
        <is>
          <t>Central rule applies (value agrees)</t>
        </is>
      </c>
      <c r="U175" t="inlineStr"/>
      <c r="V175" t="inlineStr">
        <is>
          <t>Page found, being read</t>
        </is>
      </c>
      <c r="W175" t="inlineStr"/>
      <c r="X175" t="inlineStr"/>
      <c r="Y175" t="n">
        <v>0</v>
      </c>
      <c r="Z175" t="inlineStr">
        <is>
          <t>No</t>
        </is>
      </c>
      <c r="AA175" t="inlineStr">
        <is>
          <t>Not stated on course page</t>
        </is>
      </c>
      <c r="AB175" t="inlineStr"/>
      <c r="AC175" t="inlineStr">
        <is>
          <t>Skipped: no allowed source had a value</t>
        </is>
      </c>
      <c r="AD175" t="n">
        <v>0</v>
      </c>
      <c r="AE175" t="inlineStr"/>
      <c r="AF175" t="inlineStr"/>
      <c r="AG175" t="inlineStr"/>
      <c r="AH175" t="inlineStr"/>
      <c r="AI175" t="inlineStr"/>
      <c r="AJ175" t="inlineStr"/>
      <c r="AK175" t="inlineStr"/>
      <c r="AL175" t="inlineStr"/>
      <c r="AM175" t="inlineStr"/>
    </row>
    <row r="176">
      <c r="A176" t="inlineStr">
        <is>
          <t>0100138</t>
        </is>
      </c>
      <c r="B176" t="inlineStr">
        <is>
          <t>Graduate Certificate of Education</t>
        </is>
      </c>
      <c r="C176" t="inlineStr">
        <is>
          <t>Graduate Certificate</t>
        </is>
      </c>
      <c r="D176" t="inlineStr">
        <is>
          <t>Postgraduate coursework</t>
        </is>
      </c>
      <c r="E176" t="inlineStr">
        <is>
          <t>Page address no longer works</t>
        </is>
      </c>
      <c r="F176" t="inlineStr"/>
      <c r="G176" t="inlineStr">
        <is>
          <t>https://coursehandbook.mq.edu.au/2026/courses/c000140</t>
        </is>
      </c>
      <c r="H176" t="inlineStr">
        <is>
          <t>Address no longer works</t>
        </is>
      </c>
      <c r="I176" t="inlineStr"/>
      <c r="J176" t="inlineStr"/>
      <c r="K176" t="inlineStr">
        <is>
          <t>Not sent to re-link</t>
        </is>
      </c>
      <c r="L176" t="inlineStr">
        <is>
          <t>Page found, being read</t>
        </is>
      </c>
      <c r="M176" t="inlineStr">
        <is>
          <t>Page found, being read</t>
        </is>
      </c>
      <c r="N176" t="inlineStr"/>
      <c r="O176" t="n">
        <v>0</v>
      </c>
      <c r="P176" t="inlineStr"/>
      <c r="Q176" t="inlineStr">
        <is>
          <t>Filled</t>
        </is>
      </c>
      <c r="R176" t="n">
        <v>6.5</v>
      </c>
      <c r="S176" t="inlineStr">
        <is>
          <t>Central English policy</t>
        </is>
      </c>
      <c r="T176" t="inlineStr">
        <is>
          <t>Central rule applies (value agrees)</t>
        </is>
      </c>
      <c r="U176" t="inlineStr"/>
      <c r="V176" t="inlineStr">
        <is>
          <t>Page found, being read</t>
        </is>
      </c>
      <c r="W176" t="inlineStr"/>
      <c r="X176" t="inlineStr"/>
      <c r="Y176" t="n">
        <v>0</v>
      </c>
      <c r="Z176" t="inlineStr">
        <is>
          <t>No</t>
        </is>
      </c>
      <c r="AA176" t="inlineStr">
        <is>
          <t>Not stated on course page</t>
        </is>
      </c>
      <c r="AB176" t="inlineStr"/>
      <c r="AC176" t="inlineStr">
        <is>
          <t>Skipped: no allowed source had a value</t>
        </is>
      </c>
      <c r="AD176" t="n">
        <v>0</v>
      </c>
      <c r="AE176" t="inlineStr"/>
      <c r="AF176" t="inlineStr"/>
      <c r="AG176" t="inlineStr"/>
      <c r="AH176" t="inlineStr"/>
      <c r="AI176" t="inlineStr"/>
      <c r="AJ176" t="inlineStr"/>
      <c r="AK176" t="inlineStr"/>
      <c r="AL176" t="inlineStr"/>
      <c r="AM176" t="inlineStr"/>
    </row>
    <row r="177">
      <c r="A177" t="inlineStr">
        <is>
          <t>099153J</t>
        </is>
      </c>
      <c r="B177" t="inlineStr">
        <is>
          <t>Graduate Certificate of Educational Studies</t>
        </is>
      </c>
      <c r="C177" t="inlineStr">
        <is>
          <t>Graduate Certificate</t>
        </is>
      </c>
      <c r="D177" t="inlineStr">
        <is>
          <t>Postgraduate coursework</t>
        </is>
      </c>
      <c r="E177" t="inlineStr">
        <is>
          <t>Advertised: official page in place</t>
        </is>
      </c>
      <c r="F177" t="inlineStr">
        <is>
          <t>https://coursehandbook.mq.edu.au/2026/courses/C000144</t>
        </is>
      </c>
      <c r="G177" t="inlineStr">
        <is>
          <t>https://coursehandbook.mq.edu.au/2026/courses/C000144</t>
        </is>
      </c>
      <c r="H177" t="inlineStr">
        <is>
          <t>Read</t>
        </is>
      </c>
      <c r="I177" t="inlineStr">
        <is>
          <t>Exact title match</t>
        </is>
      </c>
      <c r="J177" t="inlineStr"/>
      <c r="K177" t="inlineStr">
        <is>
          <t>Not sent to re-link</t>
        </is>
      </c>
      <c r="L177" t="inlineStr">
        <is>
          <t>Filled</t>
        </is>
      </c>
      <c r="M177" t="inlineStr">
        <is>
          <t>Not stated on course page</t>
        </is>
      </c>
      <c r="N177" t="inlineStr"/>
      <c r="O177" t="n">
        <v>0</v>
      </c>
      <c r="P177" t="inlineStr"/>
      <c r="Q177" t="inlineStr">
        <is>
          <t>Filled</t>
        </is>
      </c>
      <c r="R177" t="n">
        <v>6.5</v>
      </c>
      <c r="S177" t="inlineStr">
        <is>
          <t>Central English policy</t>
        </is>
      </c>
      <c r="T177" t="inlineStr">
        <is>
          <t>Central rule applies (value agrees)</t>
        </is>
      </c>
      <c r="U177" t="inlineStr"/>
      <c r="V177" t="inlineStr">
        <is>
          <t>Not stated on course page</t>
        </is>
      </c>
      <c r="W177" t="inlineStr"/>
      <c r="X177" t="inlineStr"/>
      <c r="Y177" t="n">
        <v>0</v>
      </c>
      <c r="Z177" t="inlineStr">
        <is>
          <t>No</t>
        </is>
      </c>
      <c r="AA177" t="inlineStr">
        <is>
          <t>Not stated on course page</t>
        </is>
      </c>
      <c r="AB177" t="inlineStr"/>
      <c r="AC177" t="inlineStr">
        <is>
          <t>Skipped: the page does not state it</t>
        </is>
      </c>
      <c r="AD177" t="n">
        <v>0</v>
      </c>
      <c r="AE177" t="inlineStr"/>
      <c r="AF177" t="inlineStr"/>
      <c r="AG177" t="inlineStr"/>
      <c r="AH177" t="inlineStr"/>
      <c r="AI177" t="inlineStr"/>
      <c r="AJ177" t="inlineStr"/>
      <c r="AK177" t="inlineStr"/>
      <c r="AL177" t="inlineStr"/>
      <c r="AM177" t="inlineStr"/>
    </row>
    <row r="178">
      <c r="A178" t="inlineStr">
        <is>
          <t>083748B</t>
        </is>
      </c>
      <c r="B178" t="inlineStr">
        <is>
          <t>Graduate Certificate of Environment</t>
        </is>
      </c>
      <c r="C178" t="inlineStr">
        <is>
          <t>Graduate Certificate</t>
        </is>
      </c>
      <c r="D178" t="inlineStr">
        <is>
          <t>Postgraduate coursework</t>
        </is>
      </c>
      <c r="E178" t="inlineStr">
        <is>
          <t>Advertised: official page in place</t>
        </is>
      </c>
      <c r="F178" t="inlineStr">
        <is>
          <t>https://coursehandbook.mq.edu.au/2026/courses/c000072</t>
        </is>
      </c>
      <c r="G178" t="inlineStr">
        <is>
          <t>https://coursehandbook.mq.edu.au/2026/courses/c000072</t>
        </is>
      </c>
      <c r="H178" t="inlineStr">
        <is>
          <t>Read</t>
        </is>
      </c>
      <c r="I178" t="inlineStr">
        <is>
          <t>Exact title match</t>
        </is>
      </c>
      <c r="J178" t="inlineStr"/>
      <c r="K178" t="inlineStr">
        <is>
          <t>Not sent to re-link</t>
        </is>
      </c>
      <c r="L178" t="inlineStr">
        <is>
          <t>Filled</t>
        </is>
      </c>
      <c r="M178" t="inlineStr">
        <is>
          <t>Not stated on course page</t>
        </is>
      </c>
      <c r="N178" t="inlineStr"/>
      <c r="O178" t="n">
        <v>0</v>
      </c>
      <c r="P178" t="inlineStr"/>
      <c r="Q178" t="inlineStr">
        <is>
          <t>Filled</t>
        </is>
      </c>
      <c r="R178" t="n">
        <v>6.5</v>
      </c>
      <c r="S178" t="inlineStr">
        <is>
          <t>University adapter</t>
        </is>
      </c>
      <c r="T178" t="inlineStr">
        <is>
          <t>Central rule applies (value agrees)</t>
        </is>
      </c>
      <c r="U178" t="inlineStr"/>
      <c r="V178" t="inlineStr">
        <is>
          <t>Not stated on course page</t>
        </is>
      </c>
      <c r="W178" t="inlineStr"/>
      <c r="X178" t="inlineStr"/>
      <c r="Y178" t="n">
        <v>0</v>
      </c>
      <c r="Z178" t="inlineStr">
        <is>
          <t>No</t>
        </is>
      </c>
      <c r="AA178" t="inlineStr">
        <is>
          <t>Not stated on course page</t>
        </is>
      </c>
      <c r="AB178" t="inlineStr"/>
      <c r="AC178" t="inlineStr">
        <is>
          <t>Skipped: the page does not state it</t>
        </is>
      </c>
      <c r="AD178" t="n">
        <v>0</v>
      </c>
      <c r="AE178" t="inlineStr"/>
      <c r="AF178" t="inlineStr"/>
      <c r="AG178" t="inlineStr"/>
      <c r="AH178" t="inlineStr"/>
      <c r="AI178" t="inlineStr"/>
      <c r="AJ178" t="inlineStr"/>
      <c r="AK178" t="inlineStr"/>
      <c r="AL178" t="inlineStr"/>
      <c r="AM178" t="inlineStr"/>
    </row>
    <row r="179">
      <c r="A179" t="inlineStr">
        <is>
          <t>099618C</t>
        </is>
      </c>
      <c r="B179" t="inlineStr">
        <is>
          <t>Graduate Certificate of Finance</t>
        </is>
      </c>
      <c r="C179" t="inlineStr">
        <is>
          <t>Graduate Certificate</t>
        </is>
      </c>
      <c r="D179" t="inlineStr">
        <is>
          <t>Postgraduate coursework</t>
        </is>
      </c>
      <c r="E179" t="inlineStr">
        <is>
          <t>Advertised: official page in place</t>
        </is>
      </c>
      <c r="F179" t="inlineStr">
        <is>
          <t>https://coursehandbook.mq.edu.au/2026/courses/C000145</t>
        </is>
      </c>
      <c r="G179" t="inlineStr">
        <is>
          <t>https://coursehandbook.mq.edu.au/2026/courses/C000145</t>
        </is>
      </c>
      <c r="H179" t="inlineStr">
        <is>
          <t>Read</t>
        </is>
      </c>
      <c r="I179" t="inlineStr">
        <is>
          <t>Exact title match</t>
        </is>
      </c>
      <c r="J179" t="inlineStr"/>
      <c r="K179" t="inlineStr">
        <is>
          <t>Not sent to re-link</t>
        </is>
      </c>
      <c r="L179" t="inlineStr">
        <is>
          <t>Filled</t>
        </is>
      </c>
      <c r="M179" t="inlineStr">
        <is>
          <t>Not stated on course page</t>
        </is>
      </c>
      <c r="N179" t="inlineStr"/>
      <c r="O179" t="n">
        <v>0</v>
      </c>
      <c r="P179" t="inlineStr"/>
      <c r="Q179" t="inlineStr">
        <is>
          <t>Filled</t>
        </is>
      </c>
      <c r="R179" t="n">
        <v>6.5</v>
      </c>
      <c r="S179" t="inlineStr">
        <is>
          <t>University adapter</t>
        </is>
      </c>
      <c r="T179" t="inlineStr">
        <is>
          <t>Central rule applies (value agrees)</t>
        </is>
      </c>
      <c r="U179" t="inlineStr"/>
      <c r="V179" t="inlineStr">
        <is>
          <t>Not stated on course page</t>
        </is>
      </c>
      <c r="W179" t="inlineStr"/>
      <c r="X179" t="inlineStr"/>
      <c r="Y179" t="n">
        <v>0</v>
      </c>
      <c r="Z179" t="inlineStr">
        <is>
          <t>No</t>
        </is>
      </c>
      <c r="AA179" t="inlineStr">
        <is>
          <t>Not stated on course page</t>
        </is>
      </c>
      <c r="AB179" t="inlineStr"/>
      <c r="AC179" t="inlineStr">
        <is>
          <t>Skipped: the page does not state it</t>
        </is>
      </c>
      <c r="AD179" t="n">
        <v>0</v>
      </c>
      <c r="AE179" t="inlineStr"/>
      <c r="AF179" t="inlineStr"/>
      <c r="AG179" t="inlineStr"/>
      <c r="AH179" t="inlineStr"/>
      <c r="AI179" t="inlineStr"/>
      <c r="AJ179" t="inlineStr"/>
      <c r="AK179" t="inlineStr"/>
      <c r="AL179" t="inlineStr"/>
      <c r="AM179" t="inlineStr"/>
    </row>
    <row r="180">
      <c r="A180" t="inlineStr">
        <is>
          <t>099154G</t>
        </is>
      </c>
      <c r="B180" t="inlineStr">
        <is>
          <t>Graduate Certificate of Forensic Accounting</t>
        </is>
      </c>
      <c r="C180" t="inlineStr">
        <is>
          <t>Graduate Certificate</t>
        </is>
      </c>
      <c r="D180" t="inlineStr">
        <is>
          <t>Postgraduate coursework</t>
        </is>
      </c>
      <c r="E180" t="inlineStr">
        <is>
          <t>Page address no longer works</t>
        </is>
      </c>
      <c r="F180" t="inlineStr"/>
      <c r="G180" t="inlineStr">
        <is>
          <t>https://coursehandbook.mq.edu.au/2026/courses/C000052</t>
        </is>
      </c>
      <c r="H180" t="inlineStr">
        <is>
          <t>Address no longer works</t>
        </is>
      </c>
      <c r="I180" t="inlineStr"/>
      <c r="J180" t="inlineStr"/>
      <c r="K180" t="inlineStr">
        <is>
          <t>Not sent to re-link</t>
        </is>
      </c>
      <c r="L180" t="inlineStr">
        <is>
          <t>Page found, being read</t>
        </is>
      </c>
      <c r="M180" t="inlineStr">
        <is>
          <t>Page found, being read</t>
        </is>
      </c>
      <c r="N180" t="inlineStr"/>
      <c r="O180" t="n">
        <v>0</v>
      </c>
      <c r="P180" t="inlineStr"/>
      <c r="Q180" t="inlineStr">
        <is>
          <t>Filled</t>
        </is>
      </c>
      <c r="R180" t="n">
        <v>6.5</v>
      </c>
      <c r="S180" t="inlineStr">
        <is>
          <t>Central English policy</t>
        </is>
      </c>
      <c r="T180" t="inlineStr">
        <is>
          <t>Central rule applies (value agrees)</t>
        </is>
      </c>
      <c r="U180" t="inlineStr"/>
      <c r="V180" t="inlineStr">
        <is>
          <t>Page found, being read</t>
        </is>
      </c>
      <c r="W180" t="inlineStr"/>
      <c r="X180" t="inlineStr"/>
      <c r="Y180" t="n">
        <v>0</v>
      </c>
      <c r="Z180" t="inlineStr">
        <is>
          <t>No</t>
        </is>
      </c>
      <c r="AA180" t="inlineStr">
        <is>
          <t>Not stated on course page</t>
        </is>
      </c>
      <c r="AB180" t="inlineStr"/>
      <c r="AC180" t="inlineStr">
        <is>
          <t>Skipped: no allowed source had a value</t>
        </is>
      </c>
      <c r="AD180" t="n">
        <v>0</v>
      </c>
      <c r="AE180" t="inlineStr"/>
      <c r="AF180" t="inlineStr"/>
      <c r="AG180" t="inlineStr"/>
      <c r="AH180" t="inlineStr"/>
      <c r="AI180" t="inlineStr"/>
      <c r="AJ180" t="inlineStr"/>
      <c r="AK180" t="inlineStr"/>
      <c r="AL180" t="inlineStr"/>
      <c r="AM180" t="inlineStr"/>
    </row>
    <row r="181">
      <c r="A181" t="inlineStr">
        <is>
          <t>117248D</t>
        </is>
      </c>
      <c r="B181" t="inlineStr">
        <is>
          <t>Graduate Certificate of Health Leadership</t>
        </is>
      </c>
      <c r="C181" t="inlineStr">
        <is>
          <t>Graduate Certificate</t>
        </is>
      </c>
      <c r="D181" t="inlineStr">
        <is>
          <t>Postgraduate coursework</t>
        </is>
      </c>
      <c r="E181" t="inlineStr">
        <is>
          <t>Held: page found is for another course</t>
        </is>
      </c>
      <c r="F181" t="inlineStr"/>
      <c r="G181" t="inlineStr">
        <is>
          <t>https://handbook.mq.edu.au/2015/DegreesDiplomas/PGCertificate/Graduate+Certificate+of+Clinical+Leadership</t>
        </is>
      </c>
      <c r="H181" t="inlineStr">
        <is>
          <t>Page is for another course</t>
        </is>
      </c>
      <c r="I181" t="inlineStr"/>
      <c r="J181" t="inlineStr"/>
      <c r="K181" t="inlineStr">
        <is>
          <t>Finished, no page: no address from the university's address forms or stored lis</t>
        </is>
      </c>
      <c r="L181" t="inlineStr">
        <is>
          <t>Searching for course page</t>
        </is>
      </c>
      <c r="M181" t="inlineStr">
        <is>
          <t>Searching for course page</t>
        </is>
      </c>
      <c r="N181" t="inlineStr"/>
      <c r="O181" t="n">
        <v>0</v>
      </c>
      <c r="P181" t="inlineStr"/>
      <c r="Q181" t="inlineStr">
        <is>
          <t>Filled</t>
        </is>
      </c>
      <c r="R181" t="n">
        <v>6.5</v>
      </c>
      <c r="S181" t="inlineStr">
        <is>
          <t>Central English policy</t>
        </is>
      </c>
      <c r="T181" t="inlineStr">
        <is>
          <t>Central rule applies (value agrees)</t>
        </is>
      </c>
      <c r="U181" t="inlineStr"/>
      <c r="V181" t="inlineStr">
        <is>
          <t>Searching for course page</t>
        </is>
      </c>
      <c r="W181" t="inlineStr"/>
      <c r="X181" t="inlineStr"/>
      <c r="Y181" t="n">
        <v>0</v>
      </c>
      <c r="Z181" t="inlineStr">
        <is>
          <t>No</t>
        </is>
      </c>
      <c r="AA181" t="inlineStr">
        <is>
          <t>Not stated on course page</t>
        </is>
      </c>
      <c r="AB181" t="inlineStr"/>
      <c r="AC181" t="inlineStr">
        <is>
          <t>Skipped: taken back: the page read was another course's page</t>
        </is>
      </c>
      <c r="AD181" t="n">
        <v>1</v>
      </c>
      <c r="AE181" t="inlineStr"/>
      <c r="AF181" t="inlineStr"/>
      <c r="AG181" t="inlineStr"/>
      <c r="AH181" t="inlineStr"/>
      <c r="AI181" t="inlineStr"/>
      <c r="AJ181" t="inlineStr"/>
      <c r="AK181" t="inlineStr"/>
      <c r="AL181" t="inlineStr"/>
      <c r="AM181" t="inlineStr"/>
    </row>
    <row r="182">
      <c r="A182" t="inlineStr">
        <is>
          <t>084524K</t>
        </is>
      </c>
      <c r="B182" t="inlineStr">
        <is>
          <t>Graduate Certificate of International Relations</t>
        </is>
      </c>
      <c r="C182" t="inlineStr">
        <is>
          <t>Graduate Certificate</t>
        </is>
      </c>
      <c r="D182" t="inlineStr">
        <is>
          <t>Postgraduate coursework</t>
        </is>
      </c>
      <c r="E182" t="inlineStr">
        <is>
          <t>Advertised: official page in place</t>
        </is>
      </c>
      <c r="F182" t="inlineStr">
        <is>
          <t>https://handbook.mq.edu.au/2019/DegreesDiplomas/PGCertificate/Graduate+Certificate+of+International+Relations</t>
        </is>
      </c>
      <c r="G182" t="inlineStr">
        <is>
          <t>https://handbook.mq.edu.au/2019/DegreesDiplomas/PGCertificate/Graduate+Certificate+of+International+Relations</t>
        </is>
      </c>
      <c r="H182" t="inlineStr">
        <is>
          <t>Read</t>
        </is>
      </c>
      <c r="I182" t="inlineStr">
        <is>
          <t>CRICOS code on page</t>
        </is>
      </c>
      <c r="J182" t="inlineStr"/>
      <c r="K182" t="inlineStr">
        <is>
          <t>Not sent to re-link</t>
        </is>
      </c>
      <c r="L182" t="inlineStr">
        <is>
          <t>Filled</t>
        </is>
      </c>
      <c r="M182" t="inlineStr">
        <is>
          <t>Not stated on course page</t>
        </is>
      </c>
      <c r="N182" t="inlineStr"/>
      <c r="O182" t="n">
        <v>0</v>
      </c>
      <c r="P182" t="inlineStr"/>
      <c r="Q182" t="inlineStr">
        <is>
          <t>Filled</t>
        </is>
      </c>
      <c r="R182" t="n">
        <v>6.5</v>
      </c>
      <c r="S182" t="inlineStr">
        <is>
          <t>Other</t>
        </is>
      </c>
      <c r="T182" t="inlineStr">
        <is>
          <t>Central rule applies (value agrees)</t>
        </is>
      </c>
      <c r="U182" t="inlineStr"/>
      <c r="V182" t="inlineStr">
        <is>
          <t>Filled</t>
        </is>
      </c>
      <c r="W182" t="inlineStr">
        <is>
          <t>February, July</t>
        </is>
      </c>
      <c r="X182" t="inlineStr">
        <is>
          <t>Other</t>
        </is>
      </c>
      <c r="Y182" t="n">
        <v>0</v>
      </c>
      <c r="Z182" t="inlineStr">
        <is>
          <t>No</t>
        </is>
      </c>
      <c r="AA182" t="inlineStr">
        <is>
          <t>Filled</t>
        </is>
      </c>
      <c r="AB182" t="inlineStr">
        <is>
          <t>blended</t>
        </is>
      </c>
      <c r="AC182" t="inlineStr">
        <is>
          <t>Filled</t>
        </is>
      </c>
      <c r="AD182" t="n">
        <v>0</v>
      </c>
      <c r="AE182" t="inlineStr"/>
      <c r="AF182" t="inlineStr"/>
      <c r="AG182" t="inlineStr"/>
      <c r="AH182" t="inlineStr"/>
      <c r="AI182" t="inlineStr"/>
      <c r="AJ182" t="inlineStr"/>
      <c r="AK182" t="inlineStr"/>
      <c r="AL182" t="inlineStr"/>
      <c r="AM182" t="inlineStr"/>
    </row>
    <row r="183">
      <c r="A183" t="inlineStr">
        <is>
          <t>083754D</t>
        </is>
      </c>
      <c r="B183" t="inlineStr">
        <is>
          <t>Graduate Certificate of Laws</t>
        </is>
      </c>
      <c r="C183" t="inlineStr">
        <is>
          <t>Graduate Certificate</t>
        </is>
      </c>
      <c r="D183" t="inlineStr">
        <is>
          <t>Postgraduate coursework</t>
        </is>
      </c>
      <c r="E183" t="inlineStr">
        <is>
          <t>Advertised: official page in place</t>
        </is>
      </c>
      <c r="F183" t="inlineStr">
        <is>
          <t>https://coursehandbook.mq.edu.au/2026/courses/C000073</t>
        </is>
      </c>
      <c r="G183" t="inlineStr">
        <is>
          <t>https://coursehandbook.mq.edu.au/2026/courses/C000073</t>
        </is>
      </c>
      <c r="H183" t="inlineStr">
        <is>
          <t>Read</t>
        </is>
      </c>
      <c r="I183" t="inlineStr">
        <is>
          <t>Exact title match</t>
        </is>
      </c>
      <c r="J183" t="inlineStr"/>
      <c r="K183" t="inlineStr">
        <is>
          <t>Not sent to re-link</t>
        </is>
      </c>
      <c r="L183" t="inlineStr">
        <is>
          <t>Filled</t>
        </is>
      </c>
      <c r="M183" t="inlineStr">
        <is>
          <t>Not stated on course page</t>
        </is>
      </c>
      <c r="N183" t="inlineStr"/>
      <c r="O183" t="n">
        <v>0</v>
      </c>
      <c r="P183" t="inlineStr"/>
      <c r="Q183" t="inlineStr">
        <is>
          <t>Filled</t>
        </is>
      </c>
      <c r="R183" t="n">
        <v>6.5</v>
      </c>
      <c r="S183" t="inlineStr">
        <is>
          <t>University adapter</t>
        </is>
      </c>
      <c r="T183" t="inlineStr">
        <is>
          <t>Central rule applies (value agrees)</t>
        </is>
      </c>
      <c r="U183" t="inlineStr"/>
      <c r="V183" t="inlineStr">
        <is>
          <t>Not stated on course page</t>
        </is>
      </c>
      <c r="W183" t="inlineStr"/>
      <c r="X183" t="inlineStr"/>
      <c r="Y183" t="n">
        <v>0</v>
      </c>
      <c r="Z183" t="inlineStr">
        <is>
          <t>No</t>
        </is>
      </c>
      <c r="AA183" t="inlineStr">
        <is>
          <t>Not stated on course page</t>
        </is>
      </c>
      <c r="AB183" t="inlineStr"/>
      <c r="AC183" t="inlineStr">
        <is>
          <t>Skipped: the page does not state it</t>
        </is>
      </c>
      <c r="AD183" t="n">
        <v>0</v>
      </c>
      <c r="AE183" t="inlineStr"/>
      <c r="AF183" t="inlineStr"/>
      <c r="AG183" t="inlineStr"/>
      <c r="AH183" t="inlineStr"/>
      <c r="AI183" t="inlineStr"/>
      <c r="AJ183" t="inlineStr"/>
      <c r="AK183" t="inlineStr"/>
      <c r="AL183" t="inlineStr"/>
      <c r="AM183" t="inlineStr"/>
    </row>
    <row r="184">
      <c r="A184" t="inlineStr">
        <is>
          <t>083755C</t>
        </is>
      </c>
      <c r="B184" t="inlineStr">
        <is>
          <t>Graduate Certificate of Management</t>
        </is>
      </c>
      <c r="C184" t="inlineStr">
        <is>
          <t>Graduate Certificate</t>
        </is>
      </c>
      <c r="D184" t="inlineStr">
        <is>
          <t>Postgraduate coursework</t>
        </is>
      </c>
      <c r="E184" t="inlineStr">
        <is>
          <t>Page address no longer works</t>
        </is>
      </c>
      <c r="F184" t="inlineStr"/>
      <c r="G184" t="inlineStr">
        <is>
          <t>https://coursehandbook.mq.edu.au/2026/courses/c000148</t>
        </is>
      </c>
      <c r="H184" t="inlineStr">
        <is>
          <t>Address no longer works</t>
        </is>
      </c>
      <c r="I184" t="inlineStr"/>
      <c r="J184" t="inlineStr"/>
      <c r="K184" t="inlineStr">
        <is>
          <t>Not sent to re-link</t>
        </is>
      </c>
      <c r="L184" t="inlineStr">
        <is>
          <t>Page found, being read</t>
        </is>
      </c>
      <c r="M184" t="inlineStr">
        <is>
          <t>Page found, being read</t>
        </is>
      </c>
      <c r="N184" t="inlineStr"/>
      <c r="O184" t="n">
        <v>0</v>
      </c>
      <c r="P184" t="inlineStr"/>
      <c r="Q184" t="inlineStr">
        <is>
          <t>Filled</t>
        </is>
      </c>
      <c r="R184" t="n">
        <v>6.5</v>
      </c>
      <c r="S184" t="inlineStr">
        <is>
          <t>Central English policy</t>
        </is>
      </c>
      <c r="T184" t="inlineStr">
        <is>
          <t>Central rule applies (value agrees)</t>
        </is>
      </c>
      <c r="U184" t="inlineStr"/>
      <c r="V184" t="inlineStr">
        <is>
          <t>Page found, being read</t>
        </is>
      </c>
      <c r="W184" t="inlineStr"/>
      <c r="X184" t="inlineStr"/>
      <c r="Y184" t="n">
        <v>0</v>
      </c>
      <c r="Z184" t="inlineStr">
        <is>
          <t>No</t>
        </is>
      </c>
      <c r="AA184" t="inlineStr">
        <is>
          <t>Not stated on course page</t>
        </is>
      </c>
      <c r="AB184" t="inlineStr"/>
      <c r="AC184" t="inlineStr">
        <is>
          <t>Skipped: no allowed source had a value</t>
        </is>
      </c>
      <c r="AD184" t="n">
        <v>0</v>
      </c>
      <c r="AE184" t="inlineStr"/>
      <c r="AF184" t="inlineStr"/>
      <c r="AG184" t="inlineStr"/>
      <c r="AH184" t="inlineStr"/>
      <c r="AI184" t="inlineStr"/>
      <c r="AJ184" t="inlineStr"/>
      <c r="AK184" t="inlineStr"/>
      <c r="AL184" t="inlineStr"/>
      <c r="AM184" t="inlineStr"/>
    </row>
    <row r="185">
      <c r="A185" t="inlineStr">
        <is>
          <t>084276K</t>
        </is>
      </c>
      <c r="B185" t="inlineStr">
        <is>
          <t>Graduate Certificate of Management Post-MBA</t>
        </is>
      </c>
      <c r="C185" t="inlineStr">
        <is>
          <t>Graduate Certificate</t>
        </is>
      </c>
      <c r="D185" t="inlineStr">
        <is>
          <t>Postgraduate coursework</t>
        </is>
      </c>
      <c r="E185" t="inlineStr">
        <is>
          <t>Page address no longer works</t>
        </is>
      </c>
      <c r="F185" t="inlineStr"/>
      <c r="G185" t="inlineStr">
        <is>
          <t>https://coursehandbook.mq.edu.au/2026/courses/c000148</t>
        </is>
      </c>
      <c r="H185" t="inlineStr">
        <is>
          <t>Address no longer works</t>
        </is>
      </c>
      <c r="I185" t="inlineStr"/>
      <c r="J185" t="inlineStr"/>
      <c r="K185" t="inlineStr">
        <is>
          <t>Not sent to re-link</t>
        </is>
      </c>
      <c r="L185" t="inlineStr">
        <is>
          <t>Page found, being read</t>
        </is>
      </c>
      <c r="M185" t="inlineStr">
        <is>
          <t>Page found, being read</t>
        </is>
      </c>
      <c r="N185" t="inlineStr"/>
      <c r="O185" t="n">
        <v>0</v>
      </c>
      <c r="P185" t="inlineStr"/>
      <c r="Q185" t="inlineStr">
        <is>
          <t>Filled</t>
        </is>
      </c>
      <c r="R185" t="n">
        <v>6.5</v>
      </c>
      <c r="S185" t="inlineStr">
        <is>
          <t>Central English policy</t>
        </is>
      </c>
      <c r="T185" t="inlineStr">
        <is>
          <t>Central rule applies (value agrees)</t>
        </is>
      </c>
      <c r="U185" t="inlineStr"/>
      <c r="V185" t="inlineStr">
        <is>
          <t>Page found, being read</t>
        </is>
      </c>
      <c r="W185" t="inlineStr"/>
      <c r="X185" t="inlineStr"/>
      <c r="Y185" t="n">
        <v>0</v>
      </c>
      <c r="Z185" t="inlineStr">
        <is>
          <t>No</t>
        </is>
      </c>
      <c r="AA185" t="inlineStr">
        <is>
          <t>Not stated on course page</t>
        </is>
      </c>
      <c r="AB185" t="inlineStr"/>
      <c r="AC185" t="inlineStr">
        <is>
          <t>Skipped: no allowed source had a value</t>
        </is>
      </c>
      <c r="AD185" t="n">
        <v>0</v>
      </c>
      <c r="AE185" t="inlineStr"/>
      <c r="AF185" t="inlineStr"/>
      <c r="AG185" t="inlineStr"/>
      <c r="AH185" t="inlineStr"/>
      <c r="AI185" t="inlineStr"/>
      <c r="AJ185" t="inlineStr"/>
      <c r="AK185" t="inlineStr"/>
      <c r="AL185" t="inlineStr"/>
      <c r="AM185" t="inlineStr"/>
    </row>
    <row r="186">
      <c r="A186" t="inlineStr">
        <is>
          <t>099511C</t>
        </is>
      </c>
      <c r="B186" t="inlineStr">
        <is>
          <t>Graduate Certificate of Marine Science and Management</t>
        </is>
      </c>
      <c r="C186" t="inlineStr">
        <is>
          <t>Graduate Certificate</t>
        </is>
      </c>
      <c r="D186" t="inlineStr">
        <is>
          <t>Postgraduate coursework</t>
        </is>
      </c>
      <c r="E186" t="inlineStr">
        <is>
          <t>Page address no longer works</t>
        </is>
      </c>
      <c r="F186" t="inlineStr"/>
      <c r="G186" t="inlineStr">
        <is>
          <t>https://coursehandbook.mq.edu.au/2026/courses/c000053</t>
        </is>
      </c>
      <c r="H186" t="inlineStr">
        <is>
          <t>Address no longer works</t>
        </is>
      </c>
      <c r="I186" t="inlineStr"/>
      <c r="J186" t="inlineStr"/>
      <c r="K186" t="inlineStr">
        <is>
          <t>Not sent to re-link</t>
        </is>
      </c>
      <c r="L186" t="inlineStr">
        <is>
          <t>Page found, being read</t>
        </is>
      </c>
      <c r="M186" t="inlineStr">
        <is>
          <t>Page found, being read</t>
        </is>
      </c>
      <c r="N186" t="inlineStr"/>
      <c r="O186" t="n">
        <v>0</v>
      </c>
      <c r="P186" t="inlineStr"/>
      <c r="Q186" t="inlineStr">
        <is>
          <t>Filled</t>
        </is>
      </c>
      <c r="R186" t="n">
        <v>6.5</v>
      </c>
      <c r="S186" t="inlineStr">
        <is>
          <t>Central English policy</t>
        </is>
      </c>
      <c r="T186" t="inlineStr">
        <is>
          <t>Central rule applies (value agrees)</t>
        </is>
      </c>
      <c r="U186" t="inlineStr"/>
      <c r="V186" t="inlineStr">
        <is>
          <t>Page found, being read</t>
        </is>
      </c>
      <c r="W186" t="inlineStr"/>
      <c r="X186" t="inlineStr"/>
      <c r="Y186" t="n">
        <v>0</v>
      </c>
      <c r="Z186" t="inlineStr">
        <is>
          <t>No</t>
        </is>
      </c>
      <c r="AA186" t="inlineStr">
        <is>
          <t>Not stated on course page</t>
        </is>
      </c>
      <c r="AB186" t="inlineStr"/>
      <c r="AC186" t="inlineStr">
        <is>
          <t>Skipped: no allowed source had a value</t>
        </is>
      </c>
      <c r="AD186" t="n">
        <v>0</v>
      </c>
      <c r="AE186" t="inlineStr"/>
      <c r="AF186" t="inlineStr"/>
      <c r="AG186" t="inlineStr"/>
      <c r="AH186" t="inlineStr"/>
      <c r="AI186" t="inlineStr"/>
      <c r="AJ186" t="inlineStr"/>
      <c r="AK186" t="inlineStr"/>
      <c r="AL186" t="inlineStr"/>
      <c r="AM186" t="inlineStr"/>
    </row>
    <row r="187">
      <c r="A187" t="inlineStr">
        <is>
          <t>084526G</t>
        </is>
      </c>
      <c r="B187" t="inlineStr">
        <is>
          <t>Graduate Certificate of Policy and Applied Social Research</t>
        </is>
      </c>
      <c r="C187" t="inlineStr">
        <is>
          <t>Graduate Certificate</t>
        </is>
      </c>
      <c r="D187" t="inlineStr">
        <is>
          <t>Postgraduate coursework</t>
        </is>
      </c>
      <c r="E187" t="inlineStr">
        <is>
          <t>Advertised: official page in place</t>
        </is>
      </c>
      <c r="F187" t="inlineStr">
        <is>
          <t>https://handbook.mq.edu.au/2019/DegreesDiplomas/OUAPGDegree/Graduate+Certificate+of+Policy+and+Applied+Social+Research</t>
        </is>
      </c>
      <c r="G187" t="inlineStr">
        <is>
          <t>https://handbook.mq.edu.au/2019/DegreesDiplomas/OUAPGDegree/Graduate+Certificate+of+Policy+and+Applied+Social+Research</t>
        </is>
      </c>
      <c r="H187" t="inlineStr">
        <is>
          <t>Read</t>
        </is>
      </c>
      <c r="I187" t="inlineStr">
        <is>
          <t>Exact title match</t>
        </is>
      </c>
      <c r="J187" t="inlineStr"/>
      <c r="K187" t="inlineStr">
        <is>
          <t>Not sent to re-link</t>
        </is>
      </c>
      <c r="L187" t="inlineStr">
        <is>
          <t>Filled</t>
        </is>
      </c>
      <c r="M187" t="inlineStr">
        <is>
          <t>Not stated on course page</t>
        </is>
      </c>
      <c r="N187" t="inlineStr"/>
      <c r="O187" t="n">
        <v>0</v>
      </c>
      <c r="P187" t="inlineStr"/>
      <c r="Q187" t="inlineStr">
        <is>
          <t>Filled</t>
        </is>
      </c>
      <c r="R187" t="n">
        <v>6.5</v>
      </c>
      <c r="S187" t="inlineStr">
        <is>
          <t>Other</t>
        </is>
      </c>
      <c r="T187" t="inlineStr">
        <is>
          <t>Central rule applies (value agrees)</t>
        </is>
      </c>
      <c r="U187" t="inlineStr"/>
      <c r="V187" t="inlineStr">
        <is>
          <t>Not stated on course page</t>
        </is>
      </c>
      <c r="W187" t="inlineStr"/>
      <c r="X187" t="inlineStr"/>
      <c r="Y187" t="n">
        <v>0</v>
      </c>
      <c r="Z187" t="inlineStr">
        <is>
          <t>No</t>
        </is>
      </c>
      <c r="AA187" t="inlineStr">
        <is>
          <t>Filled</t>
        </is>
      </c>
      <c r="AB187" t="inlineStr">
        <is>
          <t>online</t>
        </is>
      </c>
      <c r="AC187" t="inlineStr">
        <is>
          <t>Filled</t>
        </is>
      </c>
      <c r="AD187" t="n">
        <v>0</v>
      </c>
      <c r="AE187" t="inlineStr"/>
      <c r="AF187" t="inlineStr"/>
      <c r="AG187" t="inlineStr"/>
      <c r="AH187" t="inlineStr"/>
      <c r="AI187" t="inlineStr"/>
      <c r="AJ187" t="inlineStr"/>
      <c r="AK187" t="inlineStr"/>
      <c r="AL187" t="inlineStr"/>
      <c r="AM187" t="inlineStr"/>
    </row>
    <row r="188">
      <c r="A188" t="inlineStr">
        <is>
          <t>083757A</t>
        </is>
      </c>
      <c r="B188" t="inlineStr">
        <is>
          <t>Graduate Certificate of Politics and Public Policy</t>
        </is>
      </c>
      <c r="C188" t="inlineStr">
        <is>
          <t>Graduate Certificate</t>
        </is>
      </c>
      <c r="D188" t="inlineStr">
        <is>
          <t>Postgraduate coursework</t>
        </is>
      </c>
      <c r="E188" t="inlineStr">
        <is>
          <t>Advertised: official page in place</t>
        </is>
      </c>
      <c r="F188" t="inlineStr">
        <is>
          <t>https://handbook.mq.edu.au/2019/DegreesDiplomas/PGCertificate/Graduate+Certificate+of+Politics+and+Public+Policy</t>
        </is>
      </c>
      <c r="G188" t="inlineStr">
        <is>
          <t>https://handbook.mq.edu.au/2019/DegreesDiplomas/PGCertificate/Graduate+Certificate+of+Politics+and+Public+Policy</t>
        </is>
      </c>
      <c r="H188" t="inlineStr">
        <is>
          <t>Read</t>
        </is>
      </c>
      <c r="I188" t="inlineStr">
        <is>
          <t>CRICOS code on page</t>
        </is>
      </c>
      <c r="J188" t="inlineStr"/>
      <c r="K188" t="inlineStr">
        <is>
          <t>Not sent to re-link</t>
        </is>
      </c>
      <c r="L188" t="inlineStr">
        <is>
          <t>Filled</t>
        </is>
      </c>
      <c r="M188" t="inlineStr">
        <is>
          <t>Not stated on course page</t>
        </is>
      </c>
      <c r="N188" t="inlineStr"/>
      <c r="O188" t="n">
        <v>0</v>
      </c>
      <c r="P188" t="inlineStr"/>
      <c r="Q188" t="inlineStr">
        <is>
          <t>Filled</t>
        </is>
      </c>
      <c r="R188" t="n">
        <v>6.5</v>
      </c>
      <c r="S188" t="inlineStr">
        <is>
          <t>Other</t>
        </is>
      </c>
      <c r="T188" t="inlineStr">
        <is>
          <t>Central rule applies (value agrees)</t>
        </is>
      </c>
      <c r="U188" t="inlineStr"/>
      <c r="V188" t="inlineStr">
        <is>
          <t>Filled</t>
        </is>
      </c>
      <c r="W188" t="inlineStr">
        <is>
          <t>February, July</t>
        </is>
      </c>
      <c r="X188" t="inlineStr">
        <is>
          <t>Other</t>
        </is>
      </c>
      <c r="Y188" t="n">
        <v>0</v>
      </c>
      <c r="Z188" t="inlineStr">
        <is>
          <t>No</t>
        </is>
      </c>
      <c r="AA188" t="inlineStr">
        <is>
          <t>Filled</t>
        </is>
      </c>
      <c r="AB188" t="inlineStr">
        <is>
          <t>on campus and online</t>
        </is>
      </c>
      <c r="AC188" t="inlineStr">
        <is>
          <t>Filled</t>
        </is>
      </c>
      <c r="AD188" t="n">
        <v>0</v>
      </c>
      <c r="AE188" t="inlineStr"/>
      <c r="AF188" t="inlineStr"/>
      <c r="AG188" t="inlineStr"/>
      <c r="AH188" t="inlineStr"/>
      <c r="AI188" t="inlineStr"/>
      <c r="AJ188" t="inlineStr"/>
      <c r="AK188" t="inlineStr"/>
      <c r="AL188" t="inlineStr"/>
      <c r="AM188" t="inlineStr"/>
    </row>
    <row r="189">
      <c r="A189" t="inlineStr">
        <is>
          <t>115566F</t>
        </is>
      </c>
      <c r="B189" t="inlineStr">
        <is>
          <t>Graduate Certificate of Research in Business</t>
        </is>
      </c>
      <c r="C189" t="inlineStr">
        <is>
          <t>Graduate Certificate</t>
        </is>
      </c>
      <c r="D189" t="inlineStr">
        <is>
          <t>Postgraduate coursework</t>
        </is>
      </c>
      <c r="E189" t="inlineStr">
        <is>
          <t>Advertised: official page in place</t>
        </is>
      </c>
      <c r="F189" t="inlineStr">
        <is>
          <t>https://coursehandbook.mq.edu.au/2026/courses/C000411</t>
        </is>
      </c>
      <c r="G189" t="inlineStr">
        <is>
          <t>https://coursehandbook.mq.edu.au/2026/courses/C000411</t>
        </is>
      </c>
      <c r="H189" t="inlineStr">
        <is>
          <t>Read</t>
        </is>
      </c>
      <c r="I189" t="inlineStr">
        <is>
          <t>Exact title match</t>
        </is>
      </c>
      <c r="J189" t="inlineStr"/>
      <c r="K189" t="inlineStr">
        <is>
          <t>Not sent to re-link</t>
        </is>
      </c>
      <c r="L189" t="inlineStr">
        <is>
          <t>Filled</t>
        </is>
      </c>
      <c r="M189" t="inlineStr">
        <is>
          <t>Not stated on course page</t>
        </is>
      </c>
      <c r="N189" t="inlineStr"/>
      <c r="O189" t="n">
        <v>0</v>
      </c>
      <c r="P189" t="inlineStr"/>
      <c r="Q189" t="inlineStr">
        <is>
          <t>Filled</t>
        </is>
      </c>
      <c r="R189" t="n">
        <v>6.5</v>
      </c>
      <c r="S189" t="inlineStr">
        <is>
          <t>University adapter</t>
        </is>
      </c>
      <c r="T189" t="inlineStr">
        <is>
          <t>Central rule applies (value agrees)</t>
        </is>
      </c>
      <c r="U189" t="inlineStr"/>
      <c r="V189" t="inlineStr">
        <is>
          <t>Not stated on course page</t>
        </is>
      </c>
      <c r="W189" t="inlineStr"/>
      <c r="X189" t="inlineStr"/>
      <c r="Y189" t="n">
        <v>0</v>
      </c>
      <c r="Z189" t="inlineStr">
        <is>
          <t>No</t>
        </is>
      </c>
      <c r="AA189" t="inlineStr">
        <is>
          <t>Not stated on course page</t>
        </is>
      </c>
      <c r="AB189" t="inlineStr"/>
      <c r="AC189" t="inlineStr">
        <is>
          <t>Skipped: the page does not state it</t>
        </is>
      </c>
      <c r="AD189" t="n">
        <v>0</v>
      </c>
      <c r="AE189" t="inlineStr"/>
      <c r="AF189" t="inlineStr"/>
      <c r="AG189" t="inlineStr"/>
      <c r="AH189" t="inlineStr"/>
      <c r="AI189" t="inlineStr"/>
      <c r="AJ189" t="inlineStr"/>
      <c r="AK189" t="inlineStr"/>
      <c r="AL189" t="inlineStr"/>
      <c r="AM189" t="inlineStr"/>
    </row>
    <row r="190">
      <c r="A190" t="inlineStr">
        <is>
          <t>115573G</t>
        </is>
      </c>
      <c r="B190" t="inlineStr">
        <is>
          <t>Graduate Certificate of Research in Medicine, Health and Human Sciences</t>
        </is>
      </c>
      <c r="C190" t="inlineStr">
        <is>
          <t>Graduate Certificate</t>
        </is>
      </c>
      <c r="D190" t="inlineStr">
        <is>
          <t>Postgraduate coursework</t>
        </is>
      </c>
      <c r="E190" t="inlineStr">
        <is>
          <t>Advertised: official page in place</t>
        </is>
      </c>
      <c r="F190" t="inlineStr">
        <is>
          <t>https://coursehandbook.mq.edu.au/2026/courses/C000414</t>
        </is>
      </c>
      <c r="G190" t="inlineStr">
        <is>
          <t>https://coursehandbook.mq.edu.au/2026/courses/C000414</t>
        </is>
      </c>
      <c r="H190" t="inlineStr">
        <is>
          <t>Read</t>
        </is>
      </c>
      <c r="I190" t="inlineStr">
        <is>
          <t>Exact title match</t>
        </is>
      </c>
      <c r="J190" t="inlineStr"/>
      <c r="K190" t="inlineStr">
        <is>
          <t>Not sent to re-link</t>
        </is>
      </c>
      <c r="L190" t="inlineStr">
        <is>
          <t>Filled</t>
        </is>
      </c>
      <c r="M190" t="inlineStr">
        <is>
          <t>Not stated on course page</t>
        </is>
      </c>
      <c r="N190" t="inlineStr"/>
      <c r="O190" t="n">
        <v>0</v>
      </c>
      <c r="P190" t="inlineStr"/>
      <c r="Q190" t="inlineStr">
        <is>
          <t>Filled</t>
        </is>
      </c>
      <c r="R190" t="n">
        <v>6.5</v>
      </c>
      <c r="S190" t="inlineStr">
        <is>
          <t>University adapter</t>
        </is>
      </c>
      <c r="T190" t="inlineStr">
        <is>
          <t>Central rule applies (value agrees)</t>
        </is>
      </c>
      <c r="U190" t="inlineStr"/>
      <c r="V190" t="inlineStr">
        <is>
          <t>Not stated on course page</t>
        </is>
      </c>
      <c r="W190" t="inlineStr"/>
      <c r="X190" t="inlineStr"/>
      <c r="Y190" t="n">
        <v>0</v>
      </c>
      <c r="Z190" t="inlineStr">
        <is>
          <t>No</t>
        </is>
      </c>
      <c r="AA190" t="inlineStr">
        <is>
          <t>Not stated on course page</t>
        </is>
      </c>
      <c r="AB190" t="inlineStr"/>
      <c r="AC190" t="inlineStr">
        <is>
          <t>Skipped: the page does not state it</t>
        </is>
      </c>
      <c r="AD190" t="n">
        <v>0</v>
      </c>
      <c r="AE190" t="inlineStr"/>
      <c r="AF190" t="inlineStr"/>
      <c r="AG190" t="inlineStr"/>
      <c r="AH190" t="inlineStr"/>
      <c r="AI190" t="inlineStr"/>
      <c r="AJ190" t="inlineStr"/>
      <c r="AK190" t="inlineStr"/>
      <c r="AL190" t="inlineStr"/>
      <c r="AM190" t="inlineStr"/>
    </row>
    <row r="191">
      <c r="A191" t="inlineStr">
        <is>
          <t>095111G</t>
        </is>
      </c>
      <c r="B191" t="inlineStr">
        <is>
          <t>Graduate Certificate of Security Studies and Criminology</t>
        </is>
      </c>
      <c r="C191" t="inlineStr">
        <is>
          <t>Graduate Certificate</t>
        </is>
      </c>
      <c r="D191" t="inlineStr">
        <is>
          <t>Postgraduate coursework</t>
        </is>
      </c>
      <c r="E191" t="inlineStr">
        <is>
          <t>Page address no longer works</t>
        </is>
      </c>
      <c r="F191" t="inlineStr"/>
      <c r="G191" t="inlineStr">
        <is>
          <t>https://coursehandbook.mq.edu.au/2026/courses/C000149</t>
        </is>
      </c>
      <c r="H191" t="inlineStr">
        <is>
          <t>Address no longer works</t>
        </is>
      </c>
      <c r="I191" t="inlineStr"/>
      <c r="J191" t="inlineStr"/>
      <c r="K191" t="inlineStr">
        <is>
          <t>Not sent to re-link</t>
        </is>
      </c>
      <c r="L191" t="inlineStr">
        <is>
          <t>Page found, being read</t>
        </is>
      </c>
      <c r="M191" t="inlineStr">
        <is>
          <t>Page found, being read</t>
        </is>
      </c>
      <c r="N191" t="inlineStr"/>
      <c r="O191" t="n">
        <v>0</v>
      </c>
      <c r="P191" t="inlineStr"/>
      <c r="Q191" t="inlineStr">
        <is>
          <t>Filled</t>
        </is>
      </c>
      <c r="R191" t="n">
        <v>6.5</v>
      </c>
      <c r="S191" t="inlineStr">
        <is>
          <t>Central English policy</t>
        </is>
      </c>
      <c r="T191" t="inlineStr">
        <is>
          <t>Central rule applies (value agrees)</t>
        </is>
      </c>
      <c r="U191" t="inlineStr"/>
      <c r="V191" t="inlineStr">
        <is>
          <t>Page found, being read</t>
        </is>
      </c>
      <c r="W191" t="inlineStr"/>
      <c r="X191" t="inlineStr"/>
      <c r="Y191" t="n">
        <v>0</v>
      </c>
      <c r="Z191" t="inlineStr">
        <is>
          <t>No</t>
        </is>
      </c>
      <c r="AA191" t="inlineStr">
        <is>
          <t>Not stated on course page</t>
        </is>
      </c>
      <c r="AB191" t="inlineStr"/>
      <c r="AC191" t="inlineStr">
        <is>
          <t>Skipped: no allowed source had a value</t>
        </is>
      </c>
      <c r="AD191" t="n">
        <v>0</v>
      </c>
      <c r="AE191" t="inlineStr"/>
      <c r="AF191" t="inlineStr"/>
      <c r="AG191" t="inlineStr"/>
      <c r="AH191" t="inlineStr"/>
      <c r="AI191" t="inlineStr"/>
      <c r="AJ191" t="inlineStr"/>
      <c r="AK191" t="inlineStr"/>
      <c r="AL191" t="inlineStr"/>
      <c r="AM191" t="inlineStr"/>
    </row>
    <row r="192">
      <c r="A192" t="inlineStr">
        <is>
          <t>083758M</t>
        </is>
      </c>
      <c r="B192" t="inlineStr">
        <is>
          <t>Graduate Certificate of Social Entrepreneurship</t>
        </is>
      </c>
      <c r="C192" t="inlineStr">
        <is>
          <t>Graduate Certificate</t>
        </is>
      </c>
      <c r="D192" t="inlineStr">
        <is>
          <t>Postgraduate coursework</t>
        </is>
      </c>
      <c r="E192" t="inlineStr">
        <is>
          <t>Advertised: official page in place</t>
        </is>
      </c>
      <c r="F192" t="inlineStr">
        <is>
          <t>https://handbook.mq.edu.au/2019/DegreesDiplomas/PGCertificate/Graduate+Certificate+of+Social+Entrepreneurship</t>
        </is>
      </c>
      <c r="G192" t="inlineStr">
        <is>
          <t>https://handbook.mq.edu.au/2019/DegreesDiplomas/PGCertificate/Graduate+Certificate+of+Social+Entrepreneurship</t>
        </is>
      </c>
      <c r="H192" t="inlineStr">
        <is>
          <t>Read</t>
        </is>
      </c>
      <c r="I192" t="inlineStr">
        <is>
          <t>CRICOS code on page</t>
        </is>
      </c>
      <c r="J192" t="inlineStr"/>
      <c r="K192" t="inlineStr">
        <is>
          <t>Not sent to re-link</t>
        </is>
      </c>
      <c r="L192" t="inlineStr">
        <is>
          <t>Filled</t>
        </is>
      </c>
      <c r="M192" t="inlineStr">
        <is>
          <t>Not stated on course page</t>
        </is>
      </c>
      <c r="N192" t="inlineStr"/>
      <c r="O192" t="n">
        <v>0</v>
      </c>
      <c r="P192" t="inlineStr"/>
      <c r="Q192" t="inlineStr">
        <is>
          <t>Filled</t>
        </is>
      </c>
      <c r="R192" t="n">
        <v>6.5</v>
      </c>
      <c r="S192" t="inlineStr">
        <is>
          <t>Other</t>
        </is>
      </c>
      <c r="T192" t="inlineStr">
        <is>
          <t>Central rule applies (value agrees)</t>
        </is>
      </c>
      <c r="U192" t="inlineStr"/>
      <c r="V192" t="inlineStr">
        <is>
          <t>Filled</t>
        </is>
      </c>
      <c r="W192" t="inlineStr">
        <is>
          <t>January, March, June, September</t>
        </is>
      </c>
      <c r="X192" t="inlineStr">
        <is>
          <t>Other</t>
        </is>
      </c>
      <c r="Y192" t="n">
        <v>0</v>
      </c>
      <c r="Z192" t="inlineStr">
        <is>
          <t>No</t>
        </is>
      </c>
      <c r="AA192" t="inlineStr">
        <is>
          <t>Filled</t>
        </is>
      </c>
      <c r="AB192" t="inlineStr">
        <is>
          <t>on campus</t>
        </is>
      </c>
      <c r="AC192" t="inlineStr">
        <is>
          <t>Filled</t>
        </is>
      </c>
      <c r="AD192" t="n">
        <v>0</v>
      </c>
      <c r="AE192" t="inlineStr"/>
      <c r="AF192" t="inlineStr"/>
      <c r="AG192" t="inlineStr"/>
      <c r="AH192" t="inlineStr"/>
      <c r="AI192" t="inlineStr"/>
      <c r="AJ192" t="inlineStr"/>
      <c r="AK192" t="inlineStr"/>
      <c r="AL192" t="inlineStr"/>
      <c r="AM192" t="inlineStr"/>
    </row>
    <row r="193">
      <c r="A193" t="inlineStr">
        <is>
          <t>118466H</t>
        </is>
      </c>
      <c r="B193" t="inlineStr">
        <is>
          <t>Graduate Certificate of Strategic Policy</t>
        </is>
      </c>
      <c r="C193" t="inlineStr">
        <is>
          <t>Graduate Certificate</t>
        </is>
      </c>
      <c r="D193" t="inlineStr">
        <is>
          <t>Postgraduate coursework</t>
        </is>
      </c>
      <c r="E193" t="inlineStr">
        <is>
          <t>Advertised: official page in place</t>
        </is>
      </c>
      <c r="F193" t="inlineStr">
        <is>
          <t>https://coursehandbook.mq.edu.au/2026/courses/c000460</t>
        </is>
      </c>
      <c r="G193" t="inlineStr">
        <is>
          <t>https://coursehandbook.mq.edu.au/2026/courses/c000460</t>
        </is>
      </c>
      <c r="H193" t="inlineStr">
        <is>
          <t>Read</t>
        </is>
      </c>
      <c r="I193" t="inlineStr">
        <is>
          <t>Exact title match</t>
        </is>
      </c>
      <c r="J193" t="inlineStr"/>
      <c r="K193" t="inlineStr">
        <is>
          <t>Not sent to re-link</t>
        </is>
      </c>
      <c r="L193" t="inlineStr">
        <is>
          <t>Filled</t>
        </is>
      </c>
      <c r="M193" t="inlineStr">
        <is>
          <t>Not stated on course page</t>
        </is>
      </c>
      <c r="N193" t="inlineStr"/>
      <c r="O193" t="n">
        <v>0</v>
      </c>
      <c r="P193" t="inlineStr"/>
      <c r="Q193" t="inlineStr">
        <is>
          <t>Filled</t>
        </is>
      </c>
      <c r="R193" t="n">
        <v>6.5</v>
      </c>
      <c r="S193" t="inlineStr">
        <is>
          <t>University adapter</t>
        </is>
      </c>
      <c r="T193" t="inlineStr">
        <is>
          <t>Central rule applies (value agrees)</t>
        </is>
      </c>
      <c r="U193" t="inlineStr"/>
      <c r="V193" t="inlineStr">
        <is>
          <t>Not stated on course page</t>
        </is>
      </c>
      <c r="W193" t="inlineStr"/>
      <c r="X193" t="inlineStr"/>
      <c r="Y193" t="n">
        <v>0</v>
      </c>
      <c r="Z193" t="inlineStr">
        <is>
          <t>No</t>
        </is>
      </c>
      <c r="AA193" t="inlineStr">
        <is>
          <t>Not stated on course page</t>
        </is>
      </c>
      <c r="AB193" t="inlineStr"/>
      <c r="AC193" t="inlineStr">
        <is>
          <t>Skipped: the page does not state it</t>
        </is>
      </c>
      <c r="AD193" t="n">
        <v>0</v>
      </c>
      <c r="AE193" t="inlineStr"/>
      <c r="AF193" t="inlineStr"/>
      <c r="AG193" t="inlineStr"/>
      <c r="AH193" t="inlineStr"/>
      <c r="AI193" t="inlineStr"/>
      <c r="AJ193" t="inlineStr"/>
      <c r="AK193" t="inlineStr"/>
      <c r="AL193" t="inlineStr"/>
      <c r="AM193" t="inlineStr"/>
    </row>
    <row r="194">
      <c r="A194" t="inlineStr">
        <is>
          <t>083010M</t>
        </is>
      </c>
      <c r="B194" t="inlineStr">
        <is>
          <t>Graduate Certificate of TESOL</t>
        </is>
      </c>
      <c r="C194" t="inlineStr">
        <is>
          <t>Graduate Certificate</t>
        </is>
      </c>
      <c r="D194" t="inlineStr">
        <is>
          <t>Postgraduate coursework</t>
        </is>
      </c>
      <c r="E194" t="inlineStr">
        <is>
          <t>Advertised: official page in place</t>
        </is>
      </c>
      <c r="F194" t="inlineStr">
        <is>
          <t>https://coursehandbook.mq.edu.au/2026/courses/C000055</t>
        </is>
      </c>
      <c r="G194" t="inlineStr">
        <is>
          <t>https://coursehandbook.mq.edu.au/2026/courses/C000055</t>
        </is>
      </c>
      <c r="H194" t="inlineStr">
        <is>
          <t>Read</t>
        </is>
      </c>
      <c r="I194" t="inlineStr">
        <is>
          <t>Exact title match</t>
        </is>
      </c>
      <c r="J194" t="inlineStr"/>
      <c r="K194" t="inlineStr">
        <is>
          <t>Not sent to re-link</t>
        </is>
      </c>
      <c r="L194" t="inlineStr">
        <is>
          <t>Filled</t>
        </is>
      </c>
      <c r="M194" t="inlineStr">
        <is>
          <t>Not stated on course page</t>
        </is>
      </c>
      <c r="N194" t="inlineStr"/>
      <c r="O194" t="n">
        <v>0</v>
      </c>
      <c r="P194" t="inlineStr"/>
      <c r="Q194" t="inlineStr">
        <is>
          <t>Filled</t>
        </is>
      </c>
      <c r="R194" t="n">
        <v>6.5</v>
      </c>
      <c r="S194" t="inlineStr">
        <is>
          <t>University adapter</t>
        </is>
      </c>
      <c r="T194" t="inlineStr">
        <is>
          <t>Central rule applies (value agrees)</t>
        </is>
      </c>
      <c r="U194" t="inlineStr"/>
      <c r="V194" t="inlineStr">
        <is>
          <t>Not stated on course page</t>
        </is>
      </c>
      <c r="W194" t="inlineStr"/>
      <c r="X194" t="inlineStr"/>
      <c r="Y194" t="n">
        <v>0</v>
      </c>
      <c r="Z194" t="inlineStr">
        <is>
          <t>No</t>
        </is>
      </c>
      <c r="AA194" t="inlineStr">
        <is>
          <t>Not stated on course page</t>
        </is>
      </c>
      <c r="AB194" t="inlineStr"/>
      <c r="AC194" t="inlineStr">
        <is>
          <t>Skipped: the page does not state it</t>
        </is>
      </c>
      <c r="AD194" t="n">
        <v>0</v>
      </c>
      <c r="AE194" t="inlineStr"/>
      <c r="AF194" t="inlineStr"/>
      <c r="AG194" t="inlineStr"/>
      <c r="AH194" t="inlineStr"/>
      <c r="AI194" t="inlineStr"/>
      <c r="AJ194" t="inlineStr"/>
      <c r="AK194" t="inlineStr"/>
      <c r="AL194" t="inlineStr"/>
      <c r="AM194" t="inlineStr"/>
    </row>
    <row r="195">
      <c r="A195" t="inlineStr">
        <is>
          <t>111136E</t>
        </is>
      </c>
      <c r="B195" t="inlineStr">
        <is>
          <t>Graduate Diploma of Accounting Practice</t>
        </is>
      </c>
      <c r="C195" t="inlineStr">
        <is>
          <t>Graduate Diploma</t>
        </is>
      </c>
      <c r="D195" t="inlineStr">
        <is>
          <t>Postgraduate coursework</t>
        </is>
      </c>
      <c r="E195" t="inlineStr">
        <is>
          <t>Advertised: official page in place</t>
        </is>
      </c>
      <c r="F195" t="inlineStr">
        <is>
          <t>https://coursehandbook.mq.edu.au/2026/courses/C000381</t>
        </is>
      </c>
      <c r="G195" t="inlineStr">
        <is>
          <t>https://coursehandbook.mq.edu.au/2026/courses/C000381</t>
        </is>
      </c>
      <c r="H195" t="inlineStr">
        <is>
          <t>Read</t>
        </is>
      </c>
      <c r="I195" t="inlineStr">
        <is>
          <t>Exact title match</t>
        </is>
      </c>
      <c r="J195" t="inlineStr"/>
      <c r="K195" t="inlineStr">
        <is>
          <t>Not sent to re-link</t>
        </is>
      </c>
      <c r="L195" t="inlineStr">
        <is>
          <t>Filled</t>
        </is>
      </c>
      <c r="M195" t="inlineStr">
        <is>
          <t>Not stated on course page</t>
        </is>
      </c>
      <c r="N195" t="inlineStr"/>
      <c r="O195" t="n">
        <v>0</v>
      </c>
      <c r="P195" t="inlineStr"/>
      <c r="Q195" t="inlineStr">
        <is>
          <t>Filled</t>
        </is>
      </c>
      <c r="R195" t="n">
        <v>6.5</v>
      </c>
      <c r="S195" t="inlineStr">
        <is>
          <t>University adapter</t>
        </is>
      </c>
      <c r="T195" t="inlineStr">
        <is>
          <t>Central rule applies (value agrees)</t>
        </is>
      </c>
      <c r="U195" t="inlineStr"/>
      <c r="V195" t="inlineStr">
        <is>
          <t>Not stated on course page</t>
        </is>
      </c>
      <c r="W195" t="inlineStr"/>
      <c r="X195" t="inlineStr"/>
      <c r="Y195" t="n">
        <v>0</v>
      </c>
      <c r="Z195" t="inlineStr">
        <is>
          <t>No</t>
        </is>
      </c>
      <c r="AA195" t="inlineStr">
        <is>
          <t>Not stated on course page</t>
        </is>
      </c>
      <c r="AB195" t="inlineStr"/>
      <c r="AC195" t="inlineStr">
        <is>
          <t>Skipped: the page does not state it</t>
        </is>
      </c>
      <c r="AD195" t="n">
        <v>0</v>
      </c>
      <c r="AE195" t="inlineStr"/>
      <c r="AF195" t="inlineStr"/>
      <c r="AG195" t="inlineStr"/>
      <c r="AH195" t="inlineStr"/>
      <c r="AI195" t="inlineStr"/>
      <c r="AJ195" t="inlineStr"/>
      <c r="AK195" t="inlineStr"/>
      <c r="AL195" t="inlineStr"/>
      <c r="AM195" t="inlineStr"/>
    </row>
    <row r="196">
      <c r="A196" t="inlineStr">
        <is>
          <t>099155G</t>
        </is>
      </c>
      <c r="B196" t="inlineStr">
        <is>
          <t>Graduate Diploma of Applied Finance</t>
        </is>
      </c>
      <c r="C196" t="inlineStr">
        <is>
          <t>Graduate Diploma</t>
        </is>
      </c>
      <c r="D196" t="inlineStr">
        <is>
          <t>Postgraduate coursework</t>
        </is>
      </c>
      <c r="E196" t="inlineStr">
        <is>
          <t>Advertised: official page in place</t>
        </is>
      </c>
      <c r="F196" t="inlineStr">
        <is>
          <t>https://coursehandbook.mq.edu.au/2026/courses/c000152</t>
        </is>
      </c>
      <c r="G196" t="inlineStr">
        <is>
          <t>https://coursehandbook.mq.edu.au/2026/courses/c000152</t>
        </is>
      </c>
      <c r="H196" t="inlineStr">
        <is>
          <t>Read</t>
        </is>
      </c>
      <c r="I196" t="inlineStr">
        <is>
          <t>Exact title match</t>
        </is>
      </c>
      <c r="J196" t="inlineStr"/>
      <c r="K196" t="inlineStr">
        <is>
          <t>Not sent to re-link</t>
        </is>
      </c>
      <c r="L196" t="inlineStr">
        <is>
          <t>Filled</t>
        </is>
      </c>
      <c r="M196" t="inlineStr">
        <is>
          <t>Not stated on course page</t>
        </is>
      </c>
      <c r="N196" t="inlineStr"/>
      <c r="O196" t="n">
        <v>0</v>
      </c>
      <c r="P196" t="inlineStr"/>
      <c r="Q196" t="inlineStr">
        <is>
          <t>Filled</t>
        </is>
      </c>
      <c r="R196" t="n">
        <v>6.5</v>
      </c>
      <c r="S196" t="inlineStr">
        <is>
          <t>University adapter</t>
        </is>
      </c>
      <c r="T196" t="inlineStr">
        <is>
          <t>Central rule applies (value agrees)</t>
        </is>
      </c>
      <c r="U196" t="inlineStr"/>
      <c r="V196" t="inlineStr">
        <is>
          <t>Not stated on course page</t>
        </is>
      </c>
      <c r="W196" t="inlineStr"/>
      <c r="X196" t="inlineStr"/>
      <c r="Y196" t="n">
        <v>0</v>
      </c>
      <c r="Z196" t="inlineStr">
        <is>
          <t>No</t>
        </is>
      </c>
      <c r="AA196" t="inlineStr">
        <is>
          <t>Not stated on course page</t>
        </is>
      </c>
      <c r="AB196" t="inlineStr"/>
      <c r="AC196" t="inlineStr">
        <is>
          <t>Skipped: the page does not state it</t>
        </is>
      </c>
      <c r="AD196" t="n">
        <v>0</v>
      </c>
      <c r="AE196" t="inlineStr"/>
      <c r="AF196" t="inlineStr"/>
      <c r="AG196" t="inlineStr"/>
      <c r="AH196" t="inlineStr"/>
      <c r="AI196" t="inlineStr"/>
      <c r="AJ196" t="inlineStr"/>
      <c r="AK196" t="inlineStr"/>
      <c r="AL196" t="inlineStr"/>
      <c r="AM196" t="inlineStr"/>
    </row>
    <row r="197">
      <c r="A197" t="inlineStr">
        <is>
          <t>083759K</t>
        </is>
      </c>
      <c r="B197" t="inlineStr">
        <is>
          <t>Graduate Diploma of Applied Statistics</t>
        </is>
      </c>
      <c r="C197" t="inlineStr">
        <is>
          <t>Graduate Diploma</t>
        </is>
      </c>
      <c r="D197" t="inlineStr">
        <is>
          <t>Postgraduate coursework</t>
        </is>
      </c>
      <c r="E197" t="inlineStr">
        <is>
          <t>Page address no longer works</t>
        </is>
      </c>
      <c r="F197" t="inlineStr"/>
      <c r="G197" t="inlineStr">
        <is>
          <t>https://coursehandbook.mq.edu.au/2026/courses/c000074</t>
        </is>
      </c>
      <c r="H197" t="inlineStr">
        <is>
          <t>Address no longer works</t>
        </is>
      </c>
      <c r="I197" t="inlineStr"/>
      <c r="J197" t="inlineStr"/>
      <c r="K197" t="inlineStr">
        <is>
          <t>Not sent to re-link</t>
        </is>
      </c>
      <c r="L197" t="inlineStr">
        <is>
          <t>Page found, being read</t>
        </is>
      </c>
      <c r="M197" t="inlineStr">
        <is>
          <t>Page found, being read</t>
        </is>
      </c>
      <c r="N197" t="inlineStr"/>
      <c r="O197" t="n">
        <v>0</v>
      </c>
      <c r="P197" t="inlineStr"/>
      <c r="Q197" t="inlineStr">
        <is>
          <t>Filled</t>
        </is>
      </c>
      <c r="R197" t="n">
        <v>6.5</v>
      </c>
      <c r="S197" t="inlineStr">
        <is>
          <t>Central English policy</t>
        </is>
      </c>
      <c r="T197" t="inlineStr">
        <is>
          <t>Central rule applies (value agrees)</t>
        </is>
      </c>
      <c r="U197" t="inlineStr"/>
      <c r="V197" t="inlineStr">
        <is>
          <t>Page found, being read</t>
        </is>
      </c>
      <c r="W197" t="inlineStr"/>
      <c r="X197" t="inlineStr"/>
      <c r="Y197" t="n">
        <v>0</v>
      </c>
      <c r="Z197" t="inlineStr">
        <is>
          <t>No</t>
        </is>
      </c>
      <c r="AA197" t="inlineStr">
        <is>
          <t>Not stated on course page</t>
        </is>
      </c>
      <c r="AB197" t="inlineStr"/>
      <c r="AC197" t="inlineStr">
        <is>
          <t>Skipped: no allowed source had a value</t>
        </is>
      </c>
      <c r="AD197" t="n">
        <v>0</v>
      </c>
      <c r="AE197" t="inlineStr"/>
      <c r="AF197" t="inlineStr"/>
      <c r="AG197" t="inlineStr"/>
      <c r="AH197" t="inlineStr"/>
      <c r="AI197" t="inlineStr"/>
      <c r="AJ197" t="inlineStr"/>
      <c r="AK197" t="inlineStr"/>
      <c r="AL197" t="inlineStr"/>
      <c r="AM197" t="inlineStr"/>
    </row>
    <row r="198">
      <c r="A198" t="inlineStr">
        <is>
          <t>097384K</t>
        </is>
      </c>
      <c r="B198" t="inlineStr">
        <is>
          <t>Graduate Diploma of Biotechnology</t>
        </is>
      </c>
      <c r="C198" t="inlineStr">
        <is>
          <t>Graduate Diploma</t>
        </is>
      </c>
      <c r="D198" t="inlineStr">
        <is>
          <t>Postgraduate coursework</t>
        </is>
      </c>
      <c r="E198" t="inlineStr">
        <is>
          <t>Advertised: official page in place</t>
        </is>
      </c>
      <c r="F198" t="inlineStr">
        <is>
          <t>https://coursehandbook.mq.edu.au/2026/courses/c000028</t>
        </is>
      </c>
      <c r="G198" t="inlineStr">
        <is>
          <t>https://coursehandbook.mq.edu.au/2026/courses/c000028</t>
        </is>
      </c>
      <c r="H198" t="inlineStr">
        <is>
          <t>Read</t>
        </is>
      </c>
      <c r="I198" t="inlineStr">
        <is>
          <t>Exact title match</t>
        </is>
      </c>
      <c r="J198" t="inlineStr"/>
      <c r="K198" t="inlineStr">
        <is>
          <t>Not sent to re-link</t>
        </is>
      </c>
      <c r="L198" t="inlineStr">
        <is>
          <t>Filled</t>
        </is>
      </c>
      <c r="M198" t="inlineStr">
        <is>
          <t>Not stated on course page</t>
        </is>
      </c>
      <c r="N198" t="inlineStr"/>
      <c r="O198" t="n">
        <v>0</v>
      </c>
      <c r="P198" t="inlineStr"/>
      <c r="Q198" t="inlineStr">
        <is>
          <t>Filled</t>
        </is>
      </c>
      <c r="R198" t="n">
        <v>6.5</v>
      </c>
      <c r="S198" t="inlineStr">
        <is>
          <t>University adapter</t>
        </is>
      </c>
      <c r="T198" t="inlineStr">
        <is>
          <t>Central rule applies (value agrees)</t>
        </is>
      </c>
      <c r="U198" t="inlineStr"/>
      <c r="V198" t="inlineStr">
        <is>
          <t>Not stated on course page</t>
        </is>
      </c>
      <c r="W198" t="inlineStr"/>
      <c r="X198" t="inlineStr"/>
      <c r="Y198" t="n">
        <v>0</v>
      </c>
      <c r="Z198" t="inlineStr">
        <is>
          <t>No</t>
        </is>
      </c>
      <c r="AA198" t="inlineStr">
        <is>
          <t>Not stated on course page</t>
        </is>
      </c>
      <c r="AB198" t="inlineStr"/>
      <c r="AC198" t="inlineStr">
        <is>
          <t>Skipped: the page does not state it</t>
        </is>
      </c>
      <c r="AD198" t="n">
        <v>0</v>
      </c>
      <c r="AE198" t="inlineStr"/>
      <c r="AF198" t="inlineStr"/>
      <c r="AG198" t="inlineStr"/>
      <c r="AH198" t="inlineStr"/>
      <c r="AI198" t="inlineStr"/>
      <c r="AJ198" t="inlineStr"/>
      <c r="AK198" t="inlineStr"/>
      <c r="AL198" t="inlineStr"/>
      <c r="AM198" t="inlineStr"/>
    </row>
    <row r="199">
      <c r="A199" t="inlineStr">
        <is>
          <t>111138C</t>
        </is>
      </c>
      <c r="B199" t="inlineStr">
        <is>
          <t>Graduate Diploma of Business Administration</t>
        </is>
      </c>
      <c r="C199" t="inlineStr">
        <is>
          <t>Graduate Diploma</t>
        </is>
      </c>
      <c r="D199" t="inlineStr">
        <is>
          <t>Postgraduate coursework</t>
        </is>
      </c>
      <c r="E199" t="inlineStr">
        <is>
          <t>Advertised: official page in place</t>
        </is>
      </c>
      <c r="F199" t="inlineStr">
        <is>
          <t>https://coursehandbook.mq.edu.au/2026/courses/c000388</t>
        </is>
      </c>
      <c r="G199" t="inlineStr">
        <is>
          <t>https://coursehandbook.mq.edu.au/2026/courses/c000388</t>
        </is>
      </c>
      <c r="H199" t="inlineStr">
        <is>
          <t>Read</t>
        </is>
      </c>
      <c r="I199" t="inlineStr">
        <is>
          <t>Exact title match</t>
        </is>
      </c>
      <c r="J199" t="inlineStr"/>
      <c r="K199" t="inlineStr">
        <is>
          <t>Not sent to re-link</t>
        </is>
      </c>
      <c r="L199" t="inlineStr">
        <is>
          <t>Filled</t>
        </is>
      </c>
      <c r="M199" t="inlineStr">
        <is>
          <t>Not stated on course page</t>
        </is>
      </c>
      <c r="N199" t="inlineStr"/>
      <c r="O199" t="n">
        <v>0</v>
      </c>
      <c r="P199" t="inlineStr"/>
      <c r="Q199" t="inlineStr">
        <is>
          <t>Filled</t>
        </is>
      </c>
      <c r="R199" t="n">
        <v>7</v>
      </c>
      <c r="S199" t="inlineStr">
        <is>
          <t>University adapter</t>
        </is>
      </c>
      <c r="T199" t="inlineStr">
        <is>
          <t>Central rule applies (course value differs)</t>
        </is>
      </c>
      <c r="U199" t="inlineStr">
        <is>
          <t>Yes: course has IELTS 7.00, central rule says 6.5</t>
        </is>
      </c>
      <c r="V199" t="inlineStr">
        <is>
          <t>Not stated on course page</t>
        </is>
      </c>
      <c r="W199" t="inlineStr"/>
      <c r="X199" t="inlineStr"/>
      <c r="Y199" t="n">
        <v>0</v>
      </c>
      <c r="Z199" t="inlineStr">
        <is>
          <t>No</t>
        </is>
      </c>
      <c r="AA199" t="inlineStr">
        <is>
          <t>Not stated on course page</t>
        </is>
      </c>
      <c r="AB199" t="inlineStr"/>
      <c r="AC199" t="inlineStr">
        <is>
          <t>Skipped: the page does not state it</t>
        </is>
      </c>
      <c r="AD199" t="n">
        <v>0</v>
      </c>
      <c r="AE199" t="inlineStr"/>
      <c r="AF199" t="inlineStr"/>
      <c r="AG199" t="inlineStr"/>
      <c r="AH199" t="inlineStr"/>
      <c r="AI199" t="inlineStr"/>
      <c r="AJ199" t="inlineStr"/>
      <c r="AK199" t="inlineStr"/>
      <c r="AL199" t="inlineStr"/>
      <c r="AM199" t="inlineStr"/>
    </row>
    <row r="200">
      <c r="A200" t="inlineStr">
        <is>
          <t>088496K</t>
        </is>
      </c>
      <c r="B200" t="inlineStr">
        <is>
          <t>Graduate Diploma of Business Psychology</t>
        </is>
      </c>
      <c r="C200" t="inlineStr">
        <is>
          <t>Graduate Diploma</t>
        </is>
      </c>
      <c r="D200" t="inlineStr">
        <is>
          <t>Postgraduate coursework</t>
        </is>
      </c>
      <c r="E200" t="inlineStr">
        <is>
          <t>Page address no longer works</t>
        </is>
      </c>
      <c r="F200" t="inlineStr"/>
      <c r="G200" t="inlineStr">
        <is>
          <t>https://coursehandbook.mq.edu.au/2026/courses/c000085</t>
        </is>
      </c>
      <c r="H200" t="inlineStr">
        <is>
          <t>Address no longer works</t>
        </is>
      </c>
      <c r="I200" t="inlineStr"/>
      <c r="J200" t="inlineStr"/>
      <c r="K200" t="inlineStr">
        <is>
          <t>Not sent to re-link</t>
        </is>
      </c>
      <c r="L200" t="inlineStr">
        <is>
          <t>Page found, being read</t>
        </is>
      </c>
      <c r="M200" t="inlineStr">
        <is>
          <t>Page found, being read</t>
        </is>
      </c>
      <c r="N200" t="inlineStr"/>
      <c r="O200" t="n">
        <v>0</v>
      </c>
      <c r="P200" t="inlineStr"/>
      <c r="Q200" t="inlineStr">
        <is>
          <t>Filled</t>
        </is>
      </c>
      <c r="R200" t="n">
        <v>6.5</v>
      </c>
      <c r="S200" t="inlineStr">
        <is>
          <t>Central English policy</t>
        </is>
      </c>
      <c r="T200" t="inlineStr">
        <is>
          <t>Central rule applies (value agrees)</t>
        </is>
      </c>
      <c r="U200" t="inlineStr"/>
      <c r="V200" t="inlineStr">
        <is>
          <t>Page found, being read</t>
        </is>
      </c>
      <c r="W200" t="inlineStr"/>
      <c r="X200" t="inlineStr"/>
      <c r="Y200" t="n">
        <v>0</v>
      </c>
      <c r="Z200" t="inlineStr">
        <is>
          <t>No</t>
        </is>
      </c>
      <c r="AA200" t="inlineStr">
        <is>
          <t>Not stated on course page</t>
        </is>
      </c>
      <c r="AB200" t="inlineStr"/>
      <c r="AC200" t="inlineStr">
        <is>
          <t>Skipped: no allowed source had a value</t>
        </is>
      </c>
      <c r="AD200" t="n">
        <v>0</v>
      </c>
      <c r="AE200" t="inlineStr"/>
      <c r="AF200" t="inlineStr"/>
      <c r="AG200" t="inlineStr"/>
      <c r="AH200" t="inlineStr"/>
      <c r="AI200" t="inlineStr"/>
      <c r="AJ200" t="inlineStr"/>
      <c r="AK200" t="inlineStr"/>
      <c r="AL200" t="inlineStr"/>
      <c r="AM200" t="inlineStr"/>
    </row>
    <row r="201">
      <c r="A201" t="inlineStr">
        <is>
          <t>086080F</t>
        </is>
      </c>
      <c r="B201" t="inlineStr">
        <is>
          <t>Graduate Diploma of Conservation Biology</t>
        </is>
      </c>
      <c r="C201" t="inlineStr">
        <is>
          <t>Graduate Diploma</t>
        </is>
      </c>
      <c r="D201" t="inlineStr">
        <is>
          <t>Postgraduate coursework</t>
        </is>
      </c>
      <c r="E201" t="inlineStr">
        <is>
          <t>Advertised: official page in place</t>
        </is>
      </c>
      <c r="F201" t="inlineStr">
        <is>
          <t>https://coursehandbook.mq.edu.au/2026/courses/C000058</t>
        </is>
      </c>
      <c r="G201" t="inlineStr">
        <is>
          <t>https://coursehandbook.mq.edu.au/2026/courses/C000058</t>
        </is>
      </c>
      <c r="H201" t="inlineStr">
        <is>
          <t>Read</t>
        </is>
      </c>
      <c r="I201" t="inlineStr">
        <is>
          <t>Exact title match</t>
        </is>
      </c>
      <c r="J201" t="inlineStr"/>
      <c r="K201" t="inlineStr">
        <is>
          <t>Not sent to re-link</t>
        </is>
      </c>
      <c r="L201" t="inlineStr">
        <is>
          <t>Filled</t>
        </is>
      </c>
      <c r="M201" t="inlineStr">
        <is>
          <t>Not stated on course page</t>
        </is>
      </c>
      <c r="N201" t="inlineStr"/>
      <c r="O201" t="n">
        <v>0</v>
      </c>
      <c r="P201" t="inlineStr"/>
      <c r="Q201" t="inlineStr">
        <is>
          <t>Filled</t>
        </is>
      </c>
      <c r="R201" t="n">
        <v>6.5</v>
      </c>
      <c r="S201" t="inlineStr">
        <is>
          <t>University adapter</t>
        </is>
      </c>
      <c r="T201" t="inlineStr">
        <is>
          <t>Central rule applies (value agrees)</t>
        </is>
      </c>
      <c r="U201" t="inlineStr"/>
      <c r="V201" t="inlineStr">
        <is>
          <t>Not stated on course page</t>
        </is>
      </c>
      <c r="W201" t="inlineStr"/>
      <c r="X201" t="inlineStr"/>
      <c r="Y201" t="n">
        <v>0</v>
      </c>
      <c r="Z201" t="inlineStr">
        <is>
          <t>No</t>
        </is>
      </c>
      <c r="AA201" t="inlineStr">
        <is>
          <t>Not stated on course page</t>
        </is>
      </c>
      <c r="AB201" t="inlineStr"/>
      <c r="AC201" t="inlineStr">
        <is>
          <t>Skipped: the page does not state it</t>
        </is>
      </c>
      <c r="AD201" t="n">
        <v>0</v>
      </c>
      <c r="AE201" t="inlineStr"/>
      <c r="AF201" t="inlineStr"/>
      <c r="AG201" t="inlineStr"/>
      <c r="AH201" t="inlineStr"/>
      <c r="AI201" t="inlineStr"/>
      <c r="AJ201" t="inlineStr"/>
      <c r="AK201" t="inlineStr"/>
      <c r="AL201" t="inlineStr"/>
      <c r="AM201" t="inlineStr"/>
    </row>
    <row r="202">
      <c r="A202" t="inlineStr">
        <is>
          <t>084528F</t>
        </is>
      </c>
      <c r="B202" t="inlineStr">
        <is>
          <t>Graduate Diploma of Creative Writing</t>
        </is>
      </c>
      <c r="C202" t="inlineStr">
        <is>
          <t>Graduate Diploma</t>
        </is>
      </c>
      <c r="D202" t="inlineStr">
        <is>
          <t>Postgraduate coursework</t>
        </is>
      </c>
      <c r="E202" t="inlineStr">
        <is>
          <t>Advertised: official page in place</t>
        </is>
      </c>
      <c r="F202" t="inlineStr">
        <is>
          <t>https://handbook.mq.edu.au/2019/DegreesDiplomas/PGDiploma/Graduate+Diploma+of+Creative+Writing</t>
        </is>
      </c>
      <c r="G202" t="inlineStr">
        <is>
          <t>https://handbook.mq.edu.au/2019/DegreesDiplomas/PGDiploma/Graduate+Diploma+of+Creative+Writing</t>
        </is>
      </c>
      <c r="H202" t="inlineStr">
        <is>
          <t>Read</t>
        </is>
      </c>
      <c r="I202" t="inlineStr">
        <is>
          <t>Exact title match</t>
        </is>
      </c>
      <c r="J202" t="inlineStr"/>
      <c r="K202" t="inlineStr">
        <is>
          <t>Not sent to re-link</t>
        </is>
      </c>
      <c r="L202" t="inlineStr">
        <is>
          <t>Filled</t>
        </is>
      </c>
      <c r="M202" t="inlineStr">
        <is>
          <t>Not stated on course page</t>
        </is>
      </c>
      <c r="N202" t="inlineStr"/>
      <c r="O202" t="n">
        <v>0</v>
      </c>
      <c r="P202" t="inlineStr"/>
      <c r="Q202" t="inlineStr">
        <is>
          <t>Filled</t>
        </is>
      </c>
      <c r="R202" t="n">
        <v>7</v>
      </c>
      <c r="S202" t="inlineStr">
        <is>
          <t>Other</t>
        </is>
      </c>
      <c r="T202" t="inlineStr">
        <is>
          <t>Central rule applies (course value differs)</t>
        </is>
      </c>
      <c r="U202" t="inlineStr">
        <is>
          <t>Yes: course has IELTS 7.00, central rule says 6.5</t>
        </is>
      </c>
      <c r="V202" t="inlineStr">
        <is>
          <t>Filled</t>
        </is>
      </c>
      <c r="W202" t="inlineStr">
        <is>
          <t>February</t>
        </is>
      </c>
      <c r="X202" t="inlineStr">
        <is>
          <t>Other</t>
        </is>
      </c>
      <c r="Y202" t="n">
        <v>0</v>
      </c>
      <c r="Z202" t="inlineStr">
        <is>
          <t>No</t>
        </is>
      </c>
      <c r="AA202" t="inlineStr">
        <is>
          <t>Filled</t>
        </is>
      </c>
      <c r="AB202" t="inlineStr">
        <is>
          <t>on campus and online</t>
        </is>
      </c>
      <c r="AC202" t="inlineStr">
        <is>
          <t>Filled</t>
        </is>
      </c>
      <c r="AD202" t="n">
        <v>0</v>
      </c>
      <c r="AE202" t="inlineStr"/>
      <c r="AF202" t="inlineStr"/>
      <c r="AG202" t="inlineStr"/>
      <c r="AH202" t="inlineStr"/>
      <c r="AI202" t="inlineStr"/>
      <c r="AJ202" t="inlineStr"/>
      <c r="AK202" t="inlineStr"/>
      <c r="AL202" t="inlineStr"/>
      <c r="AM202" t="inlineStr"/>
    </row>
    <row r="203">
      <c r="A203" t="inlineStr">
        <is>
          <t>083760F</t>
        </is>
      </c>
      <c r="B203" t="inlineStr">
        <is>
          <t>Graduate Diploma of Environment</t>
        </is>
      </c>
      <c r="C203" t="inlineStr">
        <is>
          <t>Graduate Diploma</t>
        </is>
      </c>
      <c r="D203" t="inlineStr">
        <is>
          <t>Postgraduate coursework</t>
        </is>
      </c>
      <c r="E203" t="inlineStr">
        <is>
          <t>Advertised: official page in place</t>
        </is>
      </c>
      <c r="F203" t="inlineStr">
        <is>
          <t>https://coursehandbook.mq.edu.au/2026/courses/C000069</t>
        </is>
      </c>
      <c r="G203" t="inlineStr">
        <is>
          <t>https://coursehandbook.mq.edu.au/2026/courses/C000069</t>
        </is>
      </c>
      <c r="H203" t="inlineStr">
        <is>
          <t>Read</t>
        </is>
      </c>
      <c r="I203" t="inlineStr">
        <is>
          <t>Exact title match</t>
        </is>
      </c>
      <c r="J203" t="inlineStr"/>
      <c r="K203" t="inlineStr">
        <is>
          <t>Not sent to re-link</t>
        </is>
      </c>
      <c r="L203" t="inlineStr">
        <is>
          <t>Filled</t>
        </is>
      </c>
      <c r="M203" t="inlineStr">
        <is>
          <t>Not stated on course page</t>
        </is>
      </c>
      <c r="N203" t="inlineStr"/>
      <c r="O203" t="n">
        <v>0</v>
      </c>
      <c r="P203" t="inlineStr"/>
      <c r="Q203" t="inlineStr">
        <is>
          <t>Filled</t>
        </is>
      </c>
      <c r="R203" t="n">
        <v>6.5</v>
      </c>
      <c r="S203" t="inlineStr">
        <is>
          <t>University adapter</t>
        </is>
      </c>
      <c r="T203" t="inlineStr">
        <is>
          <t>Central rule applies (value agrees)</t>
        </is>
      </c>
      <c r="U203" t="inlineStr"/>
      <c r="V203" t="inlineStr">
        <is>
          <t>Not stated on course page</t>
        </is>
      </c>
      <c r="W203" t="inlineStr"/>
      <c r="X203" t="inlineStr"/>
      <c r="Y203" t="n">
        <v>0</v>
      </c>
      <c r="Z203" t="inlineStr">
        <is>
          <t>No</t>
        </is>
      </c>
      <c r="AA203" t="inlineStr">
        <is>
          <t>Not stated on course page</t>
        </is>
      </c>
      <c r="AB203" t="inlineStr"/>
      <c r="AC203" t="inlineStr">
        <is>
          <t>Skipped: the page does not state it</t>
        </is>
      </c>
      <c r="AD203" t="n">
        <v>0</v>
      </c>
      <c r="AE203" t="inlineStr"/>
      <c r="AF203" t="inlineStr"/>
      <c r="AG203" t="inlineStr"/>
      <c r="AH203" t="inlineStr"/>
      <c r="AI203" t="inlineStr"/>
      <c r="AJ203" t="inlineStr"/>
      <c r="AK203" t="inlineStr"/>
      <c r="AL203" t="inlineStr"/>
      <c r="AM203" t="inlineStr"/>
    </row>
    <row r="204">
      <c r="A204" t="inlineStr">
        <is>
          <t>097428C</t>
        </is>
      </c>
      <c r="B204" t="inlineStr">
        <is>
          <t>Graduate Diploma of Forensic Accounting</t>
        </is>
      </c>
      <c r="C204" t="inlineStr">
        <is>
          <t>Graduate Diploma</t>
        </is>
      </c>
      <c r="D204" t="inlineStr">
        <is>
          <t>Postgraduate coursework</t>
        </is>
      </c>
      <c r="E204" t="inlineStr">
        <is>
          <t>Page address no longer works</t>
        </is>
      </c>
      <c r="F204" t="inlineStr"/>
      <c r="G204" t="inlineStr">
        <is>
          <t>https://coursehandbook.mq.edu.au/2026/courses/C000043</t>
        </is>
      </c>
      <c r="H204" t="inlineStr">
        <is>
          <t>Address no longer works</t>
        </is>
      </c>
      <c r="I204" t="inlineStr"/>
      <c r="J204" t="inlineStr"/>
      <c r="K204" t="inlineStr">
        <is>
          <t>Not sent to re-link</t>
        </is>
      </c>
      <c r="L204" t="inlineStr">
        <is>
          <t>Page found, being read</t>
        </is>
      </c>
      <c r="M204" t="inlineStr">
        <is>
          <t>Page found, being read</t>
        </is>
      </c>
      <c r="N204" t="inlineStr"/>
      <c r="O204" t="n">
        <v>0</v>
      </c>
      <c r="P204" t="inlineStr"/>
      <c r="Q204" t="inlineStr">
        <is>
          <t>Filled</t>
        </is>
      </c>
      <c r="R204" t="n">
        <v>6.5</v>
      </c>
      <c r="S204" t="inlineStr">
        <is>
          <t>Central English policy</t>
        </is>
      </c>
      <c r="T204" t="inlineStr">
        <is>
          <t>Central rule applies (value agrees)</t>
        </is>
      </c>
      <c r="U204" t="inlineStr"/>
      <c r="V204" t="inlineStr">
        <is>
          <t>Page found, being read</t>
        </is>
      </c>
      <c r="W204" t="inlineStr"/>
      <c r="X204" t="inlineStr"/>
      <c r="Y204" t="n">
        <v>0</v>
      </c>
      <c r="Z204" t="inlineStr">
        <is>
          <t>No</t>
        </is>
      </c>
      <c r="AA204" t="inlineStr">
        <is>
          <t>Not stated on course page</t>
        </is>
      </c>
      <c r="AB204" t="inlineStr"/>
      <c r="AC204" t="inlineStr">
        <is>
          <t>Skipped: no allowed source had a value</t>
        </is>
      </c>
      <c r="AD204" t="n">
        <v>0</v>
      </c>
      <c r="AE204" t="inlineStr"/>
      <c r="AF204" t="inlineStr"/>
      <c r="AG204" t="inlineStr"/>
      <c r="AH204" t="inlineStr"/>
      <c r="AI204" t="inlineStr"/>
      <c r="AJ204" t="inlineStr"/>
      <c r="AK204" t="inlineStr"/>
      <c r="AL204" t="inlineStr"/>
      <c r="AM204" t="inlineStr"/>
    </row>
    <row r="205">
      <c r="A205" t="inlineStr">
        <is>
          <t>098528B</t>
        </is>
      </c>
      <c r="B205" t="inlineStr">
        <is>
          <t>Graduate Diploma of Information Technology</t>
        </is>
      </c>
      <c r="C205" t="inlineStr">
        <is>
          <t>Graduate Diploma</t>
        </is>
      </c>
      <c r="D205" t="inlineStr">
        <is>
          <t>Postgraduate coursework</t>
        </is>
      </c>
      <c r="E205" t="inlineStr">
        <is>
          <t>Advertised: official page in place</t>
        </is>
      </c>
      <c r="F205" t="inlineStr">
        <is>
          <t>https://coursehandbook.mq.edu.au/2026/courses/C000110</t>
        </is>
      </c>
      <c r="G205" t="inlineStr">
        <is>
          <t>https://coursehandbook.mq.edu.au/2026/courses/C000110</t>
        </is>
      </c>
      <c r="H205" t="inlineStr">
        <is>
          <t>Read</t>
        </is>
      </c>
      <c r="I205" t="inlineStr">
        <is>
          <t>Exact title match</t>
        </is>
      </c>
      <c r="J205" t="inlineStr"/>
      <c r="K205" t="inlineStr">
        <is>
          <t>Not sent to re-link</t>
        </is>
      </c>
      <c r="L205" t="inlineStr">
        <is>
          <t>Filled</t>
        </is>
      </c>
      <c r="M205" t="inlineStr">
        <is>
          <t>Not stated on course page</t>
        </is>
      </c>
      <c r="N205" t="inlineStr"/>
      <c r="O205" t="n">
        <v>0</v>
      </c>
      <c r="P205" t="inlineStr"/>
      <c r="Q205" t="inlineStr">
        <is>
          <t>Filled</t>
        </is>
      </c>
      <c r="R205" t="n">
        <v>6.5</v>
      </c>
      <c r="S205" t="inlineStr">
        <is>
          <t>Central English policy</t>
        </is>
      </c>
      <c r="T205" t="inlineStr">
        <is>
          <t>Central rule applies (value agrees)</t>
        </is>
      </c>
      <c r="U205" t="inlineStr"/>
      <c r="V205" t="inlineStr">
        <is>
          <t>Not stated on course page</t>
        </is>
      </c>
      <c r="W205" t="inlineStr"/>
      <c r="X205" t="inlineStr"/>
      <c r="Y205" t="n">
        <v>0</v>
      </c>
      <c r="Z205" t="inlineStr">
        <is>
          <t>No</t>
        </is>
      </c>
      <c r="AA205" t="inlineStr">
        <is>
          <t>Not stated on course page</t>
        </is>
      </c>
      <c r="AB205" t="inlineStr"/>
      <c r="AC205" t="inlineStr">
        <is>
          <t>Skipped: the page does not state it</t>
        </is>
      </c>
      <c r="AD205" t="n">
        <v>0</v>
      </c>
      <c r="AE205" t="inlineStr"/>
      <c r="AF205" t="inlineStr"/>
      <c r="AG205" t="inlineStr"/>
      <c r="AH205" t="inlineStr"/>
      <c r="AI205" t="inlineStr"/>
      <c r="AJ205" t="inlineStr"/>
      <c r="AK205" t="inlineStr"/>
      <c r="AL205" t="inlineStr"/>
      <c r="AM205" t="inlineStr"/>
    </row>
    <row r="206">
      <c r="A206" t="inlineStr">
        <is>
          <t>084529E</t>
        </is>
      </c>
      <c r="B206" t="inlineStr">
        <is>
          <t>Graduate Diploma of International Relations</t>
        </is>
      </c>
      <c r="C206" t="inlineStr">
        <is>
          <t>Graduate Diploma</t>
        </is>
      </c>
      <c r="D206" t="inlineStr">
        <is>
          <t>Postgraduate coursework</t>
        </is>
      </c>
      <c r="E206" t="inlineStr">
        <is>
          <t>Advertised: official page in place</t>
        </is>
      </c>
      <c r="F206" t="inlineStr">
        <is>
          <t>https://handbook.mq.edu.au/2019/DegreesDiplomas/PGDiploma/Graduate+Diploma+of+International+Relations</t>
        </is>
      </c>
      <c r="G206" t="inlineStr">
        <is>
          <t>https://handbook.mq.edu.au/2019/DegreesDiplomas/PGDiploma/Graduate+Diploma+of+International+Relations</t>
        </is>
      </c>
      <c r="H206" t="inlineStr">
        <is>
          <t>Read</t>
        </is>
      </c>
      <c r="I206" t="inlineStr">
        <is>
          <t>CRICOS code on page</t>
        </is>
      </c>
      <c r="J206" t="inlineStr"/>
      <c r="K206" t="inlineStr">
        <is>
          <t>Not sent to re-link</t>
        </is>
      </c>
      <c r="L206" t="inlineStr">
        <is>
          <t>Filled</t>
        </is>
      </c>
      <c r="M206" t="inlineStr">
        <is>
          <t>Not stated on course page</t>
        </is>
      </c>
      <c r="N206" t="inlineStr"/>
      <c r="O206" t="n">
        <v>0</v>
      </c>
      <c r="P206" t="inlineStr"/>
      <c r="Q206" t="inlineStr">
        <is>
          <t>Filled</t>
        </is>
      </c>
      <c r="R206" t="n">
        <v>6.5</v>
      </c>
      <c r="S206" t="inlineStr">
        <is>
          <t>Other</t>
        </is>
      </c>
      <c r="T206" t="inlineStr">
        <is>
          <t>Central rule applies (value agrees)</t>
        </is>
      </c>
      <c r="U206" t="inlineStr"/>
      <c r="V206" t="inlineStr">
        <is>
          <t>Filled</t>
        </is>
      </c>
      <c r="W206" t="inlineStr">
        <is>
          <t>February</t>
        </is>
      </c>
      <c r="X206" t="inlineStr">
        <is>
          <t>Other</t>
        </is>
      </c>
      <c r="Y206" t="n">
        <v>0</v>
      </c>
      <c r="Z206" t="inlineStr">
        <is>
          <t>No</t>
        </is>
      </c>
      <c r="AA206" t="inlineStr">
        <is>
          <t>Filled</t>
        </is>
      </c>
      <c r="AB206" t="inlineStr">
        <is>
          <t>on campus and online</t>
        </is>
      </c>
      <c r="AC206" t="inlineStr">
        <is>
          <t>Filled</t>
        </is>
      </c>
      <c r="AD206" t="n">
        <v>0</v>
      </c>
      <c r="AE206" t="inlineStr"/>
      <c r="AF206" t="inlineStr"/>
      <c r="AG206" t="inlineStr"/>
      <c r="AH206" t="inlineStr"/>
      <c r="AI206" t="inlineStr"/>
      <c r="AJ206" t="inlineStr"/>
      <c r="AK206" t="inlineStr"/>
      <c r="AL206" t="inlineStr"/>
      <c r="AM206" t="inlineStr"/>
    </row>
    <row r="207">
      <c r="A207" t="inlineStr">
        <is>
          <t>083762D</t>
        </is>
      </c>
      <c r="B207" t="inlineStr">
        <is>
          <t>Graduate Diploma of Laboratory Quality Analysis and Management</t>
        </is>
      </c>
      <c r="C207" t="inlineStr">
        <is>
          <t>Graduate Diploma</t>
        </is>
      </c>
      <c r="D207" t="inlineStr">
        <is>
          <t>Postgraduate coursework</t>
        </is>
      </c>
      <c r="E207" t="inlineStr">
        <is>
          <t>Advertised: official page in place</t>
        </is>
      </c>
      <c r="F207" t="inlineStr">
        <is>
          <t>https://handbook.mq.edu.au/2015/DegreesDiplomas/PGDiploma/Graduate+Diploma+of+Laboratory+Quality+Analysis+and+Management</t>
        </is>
      </c>
      <c r="G207" t="inlineStr">
        <is>
          <t>https://handbook.mq.edu.au/2015/DegreesDiplomas/PGDiploma/Graduate+Diploma+of+Laboratory+Quality+Analysis+and+Management</t>
        </is>
      </c>
      <c r="H207" t="inlineStr">
        <is>
          <t>Read</t>
        </is>
      </c>
      <c r="I207" t="inlineStr">
        <is>
          <t>CRICOS code on page</t>
        </is>
      </c>
      <c r="J207" t="inlineStr"/>
      <c r="K207" t="inlineStr">
        <is>
          <t>Not sent to re-link</t>
        </is>
      </c>
      <c r="L207" t="inlineStr">
        <is>
          <t>Filled</t>
        </is>
      </c>
      <c r="M207" t="inlineStr">
        <is>
          <t>Not stated on course page</t>
        </is>
      </c>
      <c r="N207" t="inlineStr"/>
      <c r="O207" t="n">
        <v>0</v>
      </c>
      <c r="P207" t="inlineStr"/>
      <c r="Q207" t="inlineStr">
        <is>
          <t>Filled</t>
        </is>
      </c>
      <c r="R207" t="n">
        <v>6.5</v>
      </c>
      <c r="S207" t="inlineStr">
        <is>
          <t>Other</t>
        </is>
      </c>
      <c r="T207" t="inlineStr">
        <is>
          <t>Central rule applies (value agrees)</t>
        </is>
      </c>
      <c r="U207" t="inlineStr"/>
      <c r="V207" t="inlineStr">
        <is>
          <t>Filled</t>
        </is>
      </c>
      <c r="W207" t="inlineStr">
        <is>
          <t>February, July</t>
        </is>
      </c>
      <c r="X207" t="inlineStr">
        <is>
          <t>Other</t>
        </is>
      </c>
      <c r="Y207" t="n">
        <v>0</v>
      </c>
      <c r="Z207" t="inlineStr">
        <is>
          <t>No</t>
        </is>
      </c>
      <c r="AA207" t="inlineStr">
        <is>
          <t>Filled</t>
        </is>
      </c>
      <c r="AB207" t="inlineStr">
        <is>
          <t>on campus</t>
        </is>
      </c>
      <c r="AC207" t="inlineStr">
        <is>
          <t>Filled</t>
        </is>
      </c>
      <c r="AD207" t="n">
        <v>0</v>
      </c>
      <c r="AE207" t="inlineStr"/>
      <c r="AF207" t="inlineStr"/>
      <c r="AG207" t="inlineStr"/>
      <c r="AH207" t="inlineStr"/>
      <c r="AI207" t="inlineStr"/>
      <c r="AJ207" t="inlineStr"/>
      <c r="AK207" t="inlineStr"/>
      <c r="AL207" t="inlineStr"/>
      <c r="AM207" t="inlineStr"/>
    </row>
    <row r="208">
      <c r="A208" t="inlineStr">
        <is>
          <t>083763C</t>
        </is>
      </c>
      <c r="B208" t="inlineStr">
        <is>
          <t>Graduate Diploma of Laws</t>
        </is>
      </c>
      <c r="C208" t="inlineStr">
        <is>
          <t>Graduate Diploma</t>
        </is>
      </c>
      <c r="D208" t="inlineStr">
        <is>
          <t>Postgraduate coursework</t>
        </is>
      </c>
      <c r="E208" t="inlineStr">
        <is>
          <t>Advertised: official page in place</t>
        </is>
      </c>
      <c r="F208" t="inlineStr">
        <is>
          <t>https://handbook.mq.edu.au/2019/DegreesDiplomas/PGDiploma/Graduate+Diploma+of+Laws</t>
        </is>
      </c>
      <c r="G208" t="inlineStr">
        <is>
          <t>https://handbook.mq.edu.au/2019/DegreesDiplomas/PGDiploma/Graduate+Diploma+of+Laws</t>
        </is>
      </c>
      <c r="H208" t="inlineStr">
        <is>
          <t>Read</t>
        </is>
      </c>
      <c r="I208" t="inlineStr">
        <is>
          <t>CRICOS code on page</t>
        </is>
      </c>
      <c r="J208" t="inlineStr"/>
      <c r="K208" t="inlineStr">
        <is>
          <t>Not sent to re-link</t>
        </is>
      </c>
      <c r="L208" t="inlineStr">
        <is>
          <t>Filled</t>
        </is>
      </c>
      <c r="M208" t="inlineStr">
        <is>
          <t>Not stated on course page</t>
        </is>
      </c>
      <c r="N208" t="inlineStr"/>
      <c r="O208" t="n">
        <v>0</v>
      </c>
      <c r="P208" t="inlineStr"/>
      <c r="Q208" t="inlineStr">
        <is>
          <t>Filled</t>
        </is>
      </c>
      <c r="R208" t="n">
        <v>6.5</v>
      </c>
      <c r="S208" t="inlineStr">
        <is>
          <t>Other</t>
        </is>
      </c>
      <c r="T208" t="inlineStr">
        <is>
          <t>Central rule applies (value agrees)</t>
        </is>
      </c>
      <c r="U208" t="inlineStr"/>
      <c r="V208" t="inlineStr">
        <is>
          <t>Filled</t>
        </is>
      </c>
      <c r="W208" t="inlineStr">
        <is>
          <t>February, July</t>
        </is>
      </c>
      <c r="X208" t="inlineStr">
        <is>
          <t>Other</t>
        </is>
      </c>
      <c r="Y208" t="n">
        <v>0</v>
      </c>
      <c r="Z208" t="inlineStr">
        <is>
          <t>No</t>
        </is>
      </c>
      <c r="AA208" t="inlineStr">
        <is>
          <t>Filled</t>
        </is>
      </c>
      <c r="AB208" t="inlineStr">
        <is>
          <t>on campus and online</t>
        </is>
      </c>
      <c r="AC208" t="inlineStr">
        <is>
          <t>Filled</t>
        </is>
      </c>
      <c r="AD208" t="n">
        <v>0</v>
      </c>
      <c r="AE208" t="inlineStr"/>
      <c r="AF208" t="inlineStr"/>
      <c r="AG208" t="inlineStr"/>
      <c r="AH208" t="inlineStr"/>
      <c r="AI208" t="inlineStr"/>
      <c r="AJ208" t="inlineStr"/>
      <c r="AK208" t="inlineStr"/>
      <c r="AL208" t="inlineStr"/>
      <c r="AM208" t="inlineStr"/>
    </row>
    <row r="209">
      <c r="A209" t="inlineStr">
        <is>
          <t>083764B</t>
        </is>
      </c>
      <c r="B209" t="inlineStr">
        <is>
          <t>Graduate Diploma of Management</t>
        </is>
      </c>
      <c r="C209" t="inlineStr">
        <is>
          <t>Graduate Diploma</t>
        </is>
      </c>
      <c r="D209" t="inlineStr">
        <is>
          <t>Postgraduate coursework</t>
        </is>
      </c>
      <c r="E209" t="inlineStr">
        <is>
          <t>Page address no longer works</t>
        </is>
      </c>
      <c r="F209" t="inlineStr"/>
      <c r="G209" t="inlineStr">
        <is>
          <t>https://coursehandbook.mq.edu.au/2026/courses/c000147</t>
        </is>
      </c>
      <c r="H209" t="inlineStr">
        <is>
          <t>Address no longer works</t>
        </is>
      </c>
      <c r="I209" t="inlineStr"/>
      <c r="J209" t="inlineStr"/>
      <c r="K209" t="inlineStr">
        <is>
          <t>Not sent to re-link</t>
        </is>
      </c>
      <c r="L209" t="inlineStr">
        <is>
          <t>Page found, being read</t>
        </is>
      </c>
      <c r="M209" t="inlineStr">
        <is>
          <t>Page found, being read</t>
        </is>
      </c>
      <c r="N209" t="inlineStr"/>
      <c r="O209" t="n">
        <v>0</v>
      </c>
      <c r="P209" t="inlineStr"/>
      <c r="Q209" t="inlineStr">
        <is>
          <t>Filled</t>
        </is>
      </c>
      <c r="R209" t="n">
        <v>6.5</v>
      </c>
      <c r="S209" t="inlineStr">
        <is>
          <t>Central English policy</t>
        </is>
      </c>
      <c r="T209" t="inlineStr">
        <is>
          <t>Central rule applies (value agrees)</t>
        </is>
      </c>
      <c r="U209" t="inlineStr"/>
      <c r="V209" t="inlineStr">
        <is>
          <t>Page found, being read</t>
        </is>
      </c>
      <c r="W209" t="inlineStr"/>
      <c r="X209" t="inlineStr"/>
      <c r="Y209" t="n">
        <v>0</v>
      </c>
      <c r="Z209" t="inlineStr">
        <is>
          <t>No</t>
        </is>
      </c>
      <c r="AA209" t="inlineStr">
        <is>
          <t>Not stated on course page</t>
        </is>
      </c>
      <c r="AB209" t="inlineStr"/>
      <c r="AC209" t="inlineStr">
        <is>
          <t>Skipped: no allowed source had a value</t>
        </is>
      </c>
      <c r="AD209" t="n">
        <v>0</v>
      </c>
      <c r="AE209" t="inlineStr"/>
      <c r="AF209" t="inlineStr"/>
      <c r="AG209" t="inlineStr"/>
      <c r="AH209" t="inlineStr"/>
      <c r="AI209" t="inlineStr"/>
      <c r="AJ209" t="inlineStr"/>
      <c r="AK209" t="inlineStr"/>
      <c r="AL209" t="inlineStr"/>
      <c r="AM209" t="inlineStr"/>
    </row>
    <row r="210">
      <c r="A210" t="inlineStr">
        <is>
          <t>099512B</t>
        </is>
      </c>
      <c r="B210" t="inlineStr">
        <is>
          <t>Graduate Diploma of Marine Science and Management</t>
        </is>
      </c>
      <c r="C210" t="inlineStr">
        <is>
          <t>Graduate Diploma</t>
        </is>
      </c>
      <c r="D210" t="inlineStr">
        <is>
          <t>Postgraduate coursework</t>
        </is>
      </c>
      <c r="E210" t="inlineStr">
        <is>
          <t>Page address no longer works</t>
        </is>
      </c>
      <c r="F210" t="inlineStr"/>
      <c r="G210" t="inlineStr">
        <is>
          <t>https://coursehandbook.mq.edu.au/2026/courses/c000059</t>
        </is>
      </c>
      <c r="H210" t="inlineStr">
        <is>
          <t>Address no longer works</t>
        </is>
      </c>
      <c r="I210" t="inlineStr"/>
      <c r="J210" t="inlineStr"/>
      <c r="K210" t="inlineStr">
        <is>
          <t>Not sent to re-link</t>
        </is>
      </c>
      <c r="L210" t="inlineStr">
        <is>
          <t>Page found, being read</t>
        </is>
      </c>
      <c r="M210" t="inlineStr">
        <is>
          <t>Page found, being read</t>
        </is>
      </c>
      <c r="N210" t="inlineStr"/>
      <c r="O210" t="n">
        <v>0</v>
      </c>
      <c r="P210" t="inlineStr"/>
      <c r="Q210" t="inlineStr">
        <is>
          <t>Filled</t>
        </is>
      </c>
      <c r="R210" t="n">
        <v>6.5</v>
      </c>
      <c r="S210" t="inlineStr">
        <is>
          <t>Central English policy</t>
        </is>
      </c>
      <c r="T210" t="inlineStr">
        <is>
          <t>Central rule applies (value agrees)</t>
        </is>
      </c>
      <c r="U210" t="inlineStr"/>
      <c r="V210" t="inlineStr">
        <is>
          <t>Page found, being read</t>
        </is>
      </c>
      <c r="W210" t="inlineStr"/>
      <c r="X210" t="inlineStr"/>
      <c r="Y210" t="n">
        <v>0</v>
      </c>
      <c r="Z210" t="inlineStr">
        <is>
          <t>No</t>
        </is>
      </c>
      <c r="AA210" t="inlineStr">
        <is>
          <t>Not stated on course page</t>
        </is>
      </c>
      <c r="AB210" t="inlineStr"/>
      <c r="AC210" t="inlineStr">
        <is>
          <t>Skipped: no allowed source had a value</t>
        </is>
      </c>
      <c r="AD210" t="n">
        <v>0</v>
      </c>
      <c r="AE210" t="inlineStr"/>
      <c r="AF210" t="inlineStr"/>
      <c r="AG210" t="inlineStr"/>
      <c r="AH210" t="inlineStr"/>
      <c r="AI210" t="inlineStr"/>
      <c r="AJ210" t="inlineStr"/>
      <c r="AK210" t="inlineStr"/>
      <c r="AL210" t="inlineStr"/>
      <c r="AM210" t="inlineStr"/>
    </row>
    <row r="211">
      <c r="A211" t="inlineStr">
        <is>
          <t>084530A</t>
        </is>
      </c>
      <c r="B211" t="inlineStr">
        <is>
          <t>Graduate Diploma of Policy and Applied Social Research</t>
        </is>
      </c>
      <c r="C211" t="inlineStr">
        <is>
          <t>Graduate Diploma</t>
        </is>
      </c>
      <c r="D211" t="inlineStr">
        <is>
          <t>Postgraduate coursework</t>
        </is>
      </c>
      <c r="E211" t="inlineStr">
        <is>
          <t>Advertised: official page in place</t>
        </is>
      </c>
      <c r="F211" t="inlineStr">
        <is>
          <t>https://handbook.mq.edu.au/2019/DegreesDiplomas/OUAPGDegree/Graduate+Diploma+of+Policy+and+Applied+Social+Research</t>
        </is>
      </c>
      <c r="G211" t="inlineStr">
        <is>
          <t>https://handbook.mq.edu.au/2019/DegreesDiplomas/OUAPGDegree/Graduate+Diploma+of+Policy+and+Applied+Social+Research</t>
        </is>
      </c>
      <c r="H211" t="inlineStr">
        <is>
          <t>Read</t>
        </is>
      </c>
      <c r="I211" t="inlineStr">
        <is>
          <t>Exact title match</t>
        </is>
      </c>
      <c r="J211" t="inlineStr"/>
      <c r="K211" t="inlineStr">
        <is>
          <t>Not sent to re-link</t>
        </is>
      </c>
      <c r="L211" t="inlineStr">
        <is>
          <t>Filled</t>
        </is>
      </c>
      <c r="M211" t="inlineStr">
        <is>
          <t>Not stated on course page</t>
        </is>
      </c>
      <c r="N211" t="inlineStr"/>
      <c r="O211" t="n">
        <v>0</v>
      </c>
      <c r="P211" t="inlineStr"/>
      <c r="Q211" t="inlineStr">
        <is>
          <t>Filled</t>
        </is>
      </c>
      <c r="R211" t="n">
        <v>6.5</v>
      </c>
      <c r="S211" t="inlineStr">
        <is>
          <t>Other</t>
        </is>
      </c>
      <c r="T211" t="inlineStr">
        <is>
          <t>Central rule applies (value agrees)</t>
        </is>
      </c>
      <c r="U211" t="inlineStr"/>
      <c r="V211" t="inlineStr">
        <is>
          <t>Not stated on course page</t>
        </is>
      </c>
      <c r="W211" t="inlineStr"/>
      <c r="X211" t="inlineStr"/>
      <c r="Y211" t="n">
        <v>0</v>
      </c>
      <c r="Z211" t="inlineStr">
        <is>
          <t>No</t>
        </is>
      </c>
      <c r="AA211" t="inlineStr">
        <is>
          <t>Filled</t>
        </is>
      </c>
      <c r="AB211" t="inlineStr">
        <is>
          <t>on campus and online</t>
        </is>
      </c>
      <c r="AC211" t="inlineStr">
        <is>
          <t>Filled</t>
        </is>
      </c>
      <c r="AD211" t="n">
        <v>0</v>
      </c>
      <c r="AE211" t="inlineStr"/>
      <c r="AF211" t="inlineStr"/>
      <c r="AG211" t="inlineStr"/>
      <c r="AH211" t="inlineStr"/>
      <c r="AI211" t="inlineStr"/>
      <c r="AJ211" t="inlineStr"/>
      <c r="AK211" t="inlineStr"/>
      <c r="AL211" t="inlineStr"/>
      <c r="AM211" t="inlineStr"/>
    </row>
    <row r="212">
      <c r="A212" t="inlineStr">
        <is>
          <t>083766M</t>
        </is>
      </c>
      <c r="B212" t="inlineStr">
        <is>
          <t>Graduate Diploma of Politics and Public Policy</t>
        </is>
      </c>
      <c r="C212" t="inlineStr">
        <is>
          <t>Graduate Diploma</t>
        </is>
      </c>
      <c r="D212" t="inlineStr">
        <is>
          <t>Postgraduate coursework</t>
        </is>
      </c>
      <c r="E212" t="inlineStr">
        <is>
          <t>Advertised: official page in place</t>
        </is>
      </c>
      <c r="F212" t="inlineStr">
        <is>
          <t>https://handbook.mq.edu.au/2015/DegreesDiplomas/PGDiploma/Graduate+Diploma+of+Politics+and+Public+Policy</t>
        </is>
      </c>
      <c r="G212" t="inlineStr">
        <is>
          <t>https://handbook.mq.edu.au/2015/DegreesDiplomas/PGDiploma/Graduate+Diploma+of+Politics+and+Public+Policy</t>
        </is>
      </c>
      <c r="H212" t="inlineStr">
        <is>
          <t>Read</t>
        </is>
      </c>
      <c r="I212" t="inlineStr">
        <is>
          <t>CRICOS code on page</t>
        </is>
      </c>
      <c r="J212" t="inlineStr"/>
      <c r="K212" t="inlineStr">
        <is>
          <t>Not sent to re-link</t>
        </is>
      </c>
      <c r="L212" t="inlineStr">
        <is>
          <t>Filled</t>
        </is>
      </c>
      <c r="M212" t="inlineStr">
        <is>
          <t>Not stated on course page</t>
        </is>
      </c>
      <c r="N212" t="inlineStr"/>
      <c r="O212" t="n">
        <v>0</v>
      </c>
      <c r="P212" t="inlineStr"/>
      <c r="Q212" t="inlineStr">
        <is>
          <t>Filled</t>
        </is>
      </c>
      <c r="R212" t="n">
        <v>6.5</v>
      </c>
      <c r="S212" t="inlineStr">
        <is>
          <t>Other</t>
        </is>
      </c>
      <c r="T212" t="inlineStr">
        <is>
          <t>Central rule applies (value agrees)</t>
        </is>
      </c>
      <c r="U212" t="inlineStr"/>
      <c r="V212" t="inlineStr">
        <is>
          <t>Not stated on course page</t>
        </is>
      </c>
      <c r="W212" t="inlineStr"/>
      <c r="X212" t="inlineStr"/>
      <c r="Y212" t="n">
        <v>0</v>
      </c>
      <c r="Z212" t="inlineStr">
        <is>
          <t>No</t>
        </is>
      </c>
      <c r="AA212" t="inlineStr">
        <is>
          <t>Filled</t>
        </is>
      </c>
      <c r="AB212" t="inlineStr">
        <is>
          <t>on campus and online</t>
        </is>
      </c>
      <c r="AC212" t="inlineStr">
        <is>
          <t>Filled</t>
        </is>
      </c>
      <c r="AD212" t="n">
        <v>0</v>
      </c>
      <c r="AE212" t="inlineStr"/>
      <c r="AF212" t="inlineStr"/>
      <c r="AG212" t="inlineStr"/>
      <c r="AH212" t="inlineStr"/>
      <c r="AI212" t="inlineStr"/>
      <c r="AJ212" t="inlineStr"/>
      <c r="AK212" t="inlineStr"/>
      <c r="AL212" t="inlineStr"/>
      <c r="AM212" t="inlineStr"/>
    </row>
    <row r="213">
      <c r="A213" t="inlineStr">
        <is>
          <t>115563J</t>
        </is>
      </c>
      <c r="B213" t="inlineStr">
        <is>
          <t>Graduate Diploma of Research in Arts</t>
        </is>
      </c>
      <c r="C213" t="inlineStr">
        <is>
          <t>Graduate Diploma</t>
        </is>
      </c>
      <c r="D213" t="inlineStr">
        <is>
          <t>Postgraduate coursework</t>
        </is>
      </c>
      <c r="E213" t="inlineStr">
        <is>
          <t>Advertised: official page in place</t>
        </is>
      </c>
      <c r="F213" t="inlineStr">
        <is>
          <t>https://coursehandbook.mq.edu.au/2026/courses/c000409</t>
        </is>
      </c>
      <c r="G213" t="inlineStr">
        <is>
          <t>https://coursehandbook.mq.edu.au/2026/courses/c000409</t>
        </is>
      </c>
      <c r="H213" t="inlineStr">
        <is>
          <t>Read</t>
        </is>
      </c>
      <c r="I213" t="inlineStr">
        <is>
          <t>Exact title match</t>
        </is>
      </c>
      <c r="J213" t="inlineStr"/>
      <c r="K213" t="inlineStr">
        <is>
          <t>Not sent to re-link</t>
        </is>
      </c>
      <c r="L213" t="inlineStr">
        <is>
          <t>Filled</t>
        </is>
      </c>
      <c r="M213" t="inlineStr">
        <is>
          <t>Not stated on course page</t>
        </is>
      </c>
      <c r="N213" t="inlineStr"/>
      <c r="O213" t="n">
        <v>0</v>
      </c>
      <c r="P213" t="inlineStr"/>
      <c r="Q213" t="inlineStr">
        <is>
          <t>Filled</t>
        </is>
      </c>
      <c r="R213" t="n">
        <v>6.5</v>
      </c>
      <c r="S213" t="inlineStr">
        <is>
          <t>University adapter</t>
        </is>
      </c>
      <c r="T213" t="inlineStr">
        <is>
          <t>Central rule applies (value agrees)</t>
        </is>
      </c>
      <c r="U213" t="inlineStr"/>
      <c r="V213" t="inlineStr">
        <is>
          <t>Not stated on course page</t>
        </is>
      </c>
      <c r="W213" t="inlineStr"/>
      <c r="X213" t="inlineStr"/>
      <c r="Y213" t="n">
        <v>0</v>
      </c>
      <c r="Z213" t="inlineStr">
        <is>
          <t>No</t>
        </is>
      </c>
      <c r="AA213" t="inlineStr">
        <is>
          <t>Not stated on course page</t>
        </is>
      </c>
      <c r="AB213" t="inlineStr"/>
      <c r="AC213" t="inlineStr">
        <is>
          <t>Skipped: the page does not state it</t>
        </is>
      </c>
      <c r="AD213" t="n">
        <v>0</v>
      </c>
      <c r="AE213" t="inlineStr"/>
      <c r="AF213" t="inlineStr"/>
      <c r="AG213" t="inlineStr"/>
      <c r="AH213" t="inlineStr"/>
      <c r="AI213" t="inlineStr"/>
      <c r="AJ213" t="inlineStr"/>
      <c r="AK213" t="inlineStr"/>
      <c r="AL213" t="inlineStr"/>
      <c r="AM213" t="inlineStr"/>
    </row>
    <row r="214">
      <c r="A214" t="inlineStr">
        <is>
          <t>115565G</t>
        </is>
      </c>
      <c r="B214" t="inlineStr">
        <is>
          <t>Graduate Diploma of Research in Business</t>
        </is>
      </c>
      <c r="C214" t="inlineStr">
        <is>
          <t>Graduate Diploma</t>
        </is>
      </c>
      <c r="D214" t="inlineStr">
        <is>
          <t>Postgraduate coursework</t>
        </is>
      </c>
      <c r="E214" t="inlineStr">
        <is>
          <t>Advertised: official page in place</t>
        </is>
      </c>
      <c r="F214" t="inlineStr">
        <is>
          <t>https://www.mq.edu.au/study/find-a-course/courses/graduate-diploma-of-research-in-business</t>
        </is>
      </c>
      <c r="G214" t="inlineStr">
        <is>
          <t>https://www.mq.edu.au/study/find-a-course/courses/graduate-diploma-of-research-in-business</t>
        </is>
      </c>
      <c r="H214" t="inlineStr">
        <is>
          <t>Read</t>
        </is>
      </c>
      <c r="I214" t="inlineStr">
        <is>
          <t>Exact title match</t>
        </is>
      </c>
      <c r="J214" t="inlineStr"/>
      <c r="K214" t="inlineStr">
        <is>
          <t>Not sent to re-link</t>
        </is>
      </c>
      <c r="L214" t="inlineStr">
        <is>
          <t>Filled</t>
        </is>
      </c>
      <c r="M214" t="inlineStr">
        <is>
          <t>Not stated on course page</t>
        </is>
      </c>
      <c r="N214" t="inlineStr"/>
      <c r="O214" t="n">
        <v>0</v>
      </c>
      <c r="P214" t="inlineStr"/>
      <c r="Q214" t="inlineStr">
        <is>
          <t>Filled</t>
        </is>
      </c>
      <c r="R214" t="n">
        <v>6.5</v>
      </c>
      <c r="S214" t="inlineStr">
        <is>
          <t>Other</t>
        </is>
      </c>
      <c r="T214" t="inlineStr">
        <is>
          <t>Central rule applies (value agrees)</t>
        </is>
      </c>
      <c r="U214" t="inlineStr"/>
      <c r="V214" t="inlineStr">
        <is>
          <t>Filled</t>
        </is>
      </c>
      <c r="W214" t="inlineStr">
        <is>
          <t>February, July</t>
        </is>
      </c>
      <c r="X214" t="inlineStr">
        <is>
          <t>University adapter</t>
        </is>
      </c>
      <c r="Y214" t="n">
        <v>0</v>
      </c>
      <c r="Z214" t="inlineStr">
        <is>
          <t>No</t>
        </is>
      </c>
      <c r="AA214" t="inlineStr">
        <is>
          <t>Filled</t>
        </is>
      </c>
      <c r="AB214" t="inlineStr">
        <is>
          <t>on campus</t>
        </is>
      </c>
      <c r="AC214" t="inlineStr">
        <is>
          <t>Filled</t>
        </is>
      </c>
      <c r="AD214" t="n">
        <v>0</v>
      </c>
      <c r="AE214" t="inlineStr"/>
      <c r="AF214" t="inlineStr"/>
      <c r="AG214" t="inlineStr"/>
      <c r="AH214" t="inlineStr"/>
      <c r="AI214" t="inlineStr"/>
      <c r="AJ214" t="inlineStr"/>
      <c r="AK214" t="inlineStr"/>
      <c r="AL214" t="inlineStr"/>
      <c r="AM214" t="inlineStr"/>
    </row>
    <row r="215">
      <c r="A215" t="inlineStr">
        <is>
          <t>115570K</t>
        </is>
      </c>
      <c r="B215" t="inlineStr">
        <is>
          <t>Graduate Diploma of Research in Medicine, Health and Human Sciences</t>
        </is>
      </c>
      <c r="C215" t="inlineStr">
        <is>
          <t>Graduate Diploma</t>
        </is>
      </c>
      <c r="D215" t="inlineStr">
        <is>
          <t>Postgraduate coursework</t>
        </is>
      </c>
      <c r="E215" t="inlineStr">
        <is>
          <t>Advertised: official page in place</t>
        </is>
      </c>
      <c r="F215" t="inlineStr">
        <is>
          <t>https://coursehandbook.mq.edu.au/2026/courses/C000415</t>
        </is>
      </c>
      <c r="G215" t="inlineStr">
        <is>
          <t>https://coursehandbook.mq.edu.au/2026/courses/C000415</t>
        </is>
      </c>
      <c r="H215" t="inlineStr">
        <is>
          <t>Read</t>
        </is>
      </c>
      <c r="I215" t="inlineStr">
        <is>
          <t>Exact title match</t>
        </is>
      </c>
      <c r="J215" t="inlineStr"/>
      <c r="K215" t="inlineStr">
        <is>
          <t>Not sent to re-link</t>
        </is>
      </c>
      <c r="L215" t="inlineStr">
        <is>
          <t>Filled</t>
        </is>
      </c>
      <c r="M215" t="inlineStr">
        <is>
          <t>Not stated on course page</t>
        </is>
      </c>
      <c r="N215" t="inlineStr"/>
      <c r="O215" t="n">
        <v>0</v>
      </c>
      <c r="P215" t="inlineStr"/>
      <c r="Q215" t="inlineStr">
        <is>
          <t>Filled</t>
        </is>
      </c>
      <c r="R215" t="n">
        <v>6.5</v>
      </c>
      <c r="S215" t="inlineStr">
        <is>
          <t>University adapter</t>
        </is>
      </c>
      <c r="T215" t="inlineStr">
        <is>
          <t>Central rule applies (value agrees)</t>
        </is>
      </c>
      <c r="U215" t="inlineStr"/>
      <c r="V215" t="inlineStr">
        <is>
          <t>Not stated on course page</t>
        </is>
      </c>
      <c r="W215" t="inlineStr"/>
      <c r="X215" t="inlineStr"/>
      <c r="Y215" t="n">
        <v>0</v>
      </c>
      <c r="Z215" t="inlineStr">
        <is>
          <t>No</t>
        </is>
      </c>
      <c r="AA215" t="inlineStr">
        <is>
          <t>Not stated on course page</t>
        </is>
      </c>
      <c r="AB215" t="inlineStr"/>
      <c r="AC215" t="inlineStr">
        <is>
          <t>Skipped: the page does not state it</t>
        </is>
      </c>
      <c r="AD215" t="n">
        <v>0</v>
      </c>
      <c r="AE215" t="inlineStr"/>
      <c r="AF215" t="inlineStr"/>
      <c r="AG215" t="inlineStr"/>
      <c r="AH215" t="inlineStr"/>
      <c r="AI215" t="inlineStr"/>
      <c r="AJ215" t="inlineStr"/>
      <c r="AK215" t="inlineStr"/>
      <c r="AL215" t="inlineStr"/>
      <c r="AM215" t="inlineStr"/>
    </row>
    <row r="216">
      <c r="A216" t="inlineStr">
        <is>
          <t>115578B</t>
        </is>
      </c>
      <c r="B216" t="inlineStr">
        <is>
          <t>Graduate Diploma of Research in Science and Engineering</t>
        </is>
      </c>
      <c r="C216" t="inlineStr">
        <is>
          <t>Graduate Diploma</t>
        </is>
      </c>
      <c r="D216" t="inlineStr">
        <is>
          <t>Postgraduate coursework</t>
        </is>
      </c>
      <c r="E216" t="inlineStr">
        <is>
          <t>Advertised: official page in place</t>
        </is>
      </c>
      <c r="F216" t="inlineStr">
        <is>
          <t>https://coursehandbook.mq.edu.au/2026/courses/C000406</t>
        </is>
      </c>
      <c r="G216" t="inlineStr">
        <is>
          <t>https://coursehandbook.mq.edu.au/2026/courses/C000406</t>
        </is>
      </c>
      <c r="H216" t="inlineStr">
        <is>
          <t>Read</t>
        </is>
      </c>
      <c r="I216" t="inlineStr">
        <is>
          <t>Exact title match</t>
        </is>
      </c>
      <c r="J216" t="inlineStr"/>
      <c r="K216" t="inlineStr">
        <is>
          <t>Not sent to re-link</t>
        </is>
      </c>
      <c r="L216" t="inlineStr">
        <is>
          <t>Filled</t>
        </is>
      </c>
      <c r="M216" t="inlineStr">
        <is>
          <t>Not stated on course page</t>
        </is>
      </c>
      <c r="N216" t="inlineStr"/>
      <c r="O216" t="n">
        <v>0</v>
      </c>
      <c r="P216" t="inlineStr"/>
      <c r="Q216" t="inlineStr">
        <is>
          <t>Filled</t>
        </is>
      </c>
      <c r="R216" t="n">
        <v>6.5</v>
      </c>
      <c r="S216" t="inlineStr">
        <is>
          <t>University adapter</t>
        </is>
      </c>
      <c r="T216" t="inlineStr">
        <is>
          <t>Central rule applies (value agrees)</t>
        </is>
      </c>
      <c r="U216" t="inlineStr"/>
      <c r="V216" t="inlineStr">
        <is>
          <t>Not stated on course page</t>
        </is>
      </c>
      <c r="W216" t="inlineStr"/>
      <c r="X216" t="inlineStr"/>
      <c r="Y216" t="n">
        <v>0</v>
      </c>
      <c r="Z216" t="inlineStr">
        <is>
          <t>No</t>
        </is>
      </c>
      <c r="AA216" t="inlineStr">
        <is>
          <t>Not stated on course page</t>
        </is>
      </c>
      <c r="AB216" t="inlineStr"/>
      <c r="AC216" t="inlineStr">
        <is>
          <t>Skipped: the page does not state it</t>
        </is>
      </c>
      <c r="AD216" t="n">
        <v>0</v>
      </c>
      <c r="AE216" t="inlineStr"/>
      <c r="AF216" t="inlineStr"/>
      <c r="AG216" t="inlineStr"/>
      <c r="AH216" t="inlineStr"/>
      <c r="AI216" t="inlineStr"/>
      <c r="AJ216" t="inlineStr"/>
      <c r="AK216" t="inlineStr"/>
      <c r="AL216" t="inlineStr"/>
      <c r="AM216" t="inlineStr"/>
    </row>
    <row r="217">
      <c r="A217" t="inlineStr">
        <is>
          <t>095112F</t>
        </is>
      </c>
      <c r="B217" t="inlineStr">
        <is>
          <t>Graduate Diploma of Security Studies and Criminology</t>
        </is>
      </c>
      <c r="C217" t="inlineStr">
        <is>
          <t>Graduate Diploma</t>
        </is>
      </c>
      <c r="D217" t="inlineStr">
        <is>
          <t>Postgraduate coursework</t>
        </is>
      </c>
      <c r="E217" t="inlineStr">
        <is>
          <t>Advertised: official page in place</t>
        </is>
      </c>
      <c r="F217" t="inlineStr">
        <is>
          <t>https://handbook.mq.edu.au/2019/DegreesDiplomas/OUAPGDegree/Graduate+Diploma+of+Security+Studies+and+Criminology</t>
        </is>
      </c>
      <c r="G217" t="inlineStr">
        <is>
          <t>https://handbook.mq.edu.au/2019/DegreesDiplomas/OUAPGDegree/Graduate+Diploma+of+Security+Studies+and+Criminology</t>
        </is>
      </c>
      <c r="H217" t="inlineStr">
        <is>
          <t>Read</t>
        </is>
      </c>
      <c r="I217" t="inlineStr">
        <is>
          <t>Exact title match</t>
        </is>
      </c>
      <c r="J217" t="inlineStr"/>
      <c r="K217" t="inlineStr">
        <is>
          <t>Not sent to re-link</t>
        </is>
      </c>
      <c r="L217" t="inlineStr">
        <is>
          <t>Filled</t>
        </is>
      </c>
      <c r="M217" t="inlineStr">
        <is>
          <t>Not stated on course page</t>
        </is>
      </c>
      <c r="N217" t="inlineStr"/>
      <c r="O217" t="n">
        <v>0</v>
      </c>
      <c r="P217" t="inlineStr"/>
      <c r="Q217" t="inlineStr">
        <is>
          <t>Filled</t>
        </is>
      </c>
      <c r="R217" t="n">
        <v>6.5</v>
      </c>
      <c r="S217" t="inlineStr">
        <is>
          <t>Other</t>
        </is>
      </c>
      <c r="T217" t="inlineStr">
        <is>
          <t>Central rule applies (value agrees)</t>
        </is>
      </c>
      <c r="U217" t="inlineStr"/>
      <c r="V217" t="inlineStr">
        <is>
          <t>Not stated on course page</t>
        </is>
      </c>
      <c r="W217" t="inlineStr"/>
      <c r="X217" t="inlineStr"/>
      <c r="Y217" t="n">
        <v>0</v>
      </c>
      <c r="Z217" t="inlineStr">
        <is>
          <t>No</t>
        </is>
      </c>
      <c r="AA217" t="inlineStr">
        <is>
          <t>Filled</t>
        </is>
      </c>
      <c r="AB217" t="inlineStr">
        <is>
          <t>online</t>
        </is>
      </c>
      <c r="AC217" t="inlineStr">
        <is>
          <t>Filled</t>
        </is>
      </c>
      <c r="AD217" t="n">
        <v>0</v>
      </c>
      <c r="AE217" t="inlineStr"/>
      <c r="AF217" t="inlineStr"/>
      <c r="AG217" t="inlineStr"/>
      <c r="AH217" t="inlineStr"/>
      <c r="AI217" t="inlineStr"/>
      <c r="AJ217" t="inlineStr"/>
      <c r="AK217" t="inlineStr"/>
      <c r="AL217" t="inlineStr"/>
      <c r="AM217" t="inlineStr"/>
    </row>
    <row r="218">
      <c r="A218" t="inlineStr">
        <is>
          <t>083767K</t>
        </is>
      </c>
      <c r="B218" t="inlineStr">
        <is>
          <t>Graduate Diploma of Social Impact Assessment</t>
        </is>
      </c>
      <c r="C218" t="inlineStr">
        <is>
          <t>Graduate Diploma</t>
        </is>
      </c>
      <c r="D218" t="inlineStr">
        <is>
          <t>Postgraduate coursework</t>
        </is>
      </c>
      <c r="E218" t="inlineStr">
        <is>
          <t>Advertised: official page in place</t>
        </is>
      </c>
      <c r="F218" t="inlineStr">
        <is>
          <t>https://handbook.mq.edu.au/2015/DegreesDiplomas/PGDiploma/Graduate+Diploma+of+Social+Impact+Assessment</t>
        </is>
      </c>
      <c r="G218" t="inlineStr">
        <is>
          <t>https://handbook.mq.edu.au/2015/DegreesDiplomas/PGDiploma/Graduate+Diploma+of+Social+Impact+Assessment</t>
        </is>
      </c>
      <c r="H218" t="inlineStr">
        <is>
          <t>Read</t>
        </is>
      </c>
      <c r="I218" t="inlineStr">
        <is>
          <t>CRICOS code on page</t>
        </is>
      </c>
      <c r="J218" t="inlineStr"/>
      <c r="K218" t="inlineStr">
        <is>
          <t>Not sent to re-link</t>
        </is>
      </c>
      <c r="L218" t="inlineStr">
        <is>
          <t>Filled</t>
        </is>
      </c>
      <c r="M218" t="inlineStr">
        <is>
          <t>Not stated on course page</t>
        </is>
      </c>
      <c r="N218" t="inlineStr"/>
      <c r="O218" t="n">
        <v>0</v>
      </c>
      <c r="P218" t="inlineStr"/>
      <c r="Q218" t="inlineStr">
        <is>
          <t>Filled</t>
        </is>
      </c>
      <c r="R218" t="n">
        <v>6.5</v>
      </c>
      <c r="S218" t="inlineStr">
        <is>
          <t>Other</t>
        </is>
      </c>
      <c r="T218" t="inlineStr">
        <is>
          <t>Central rule applies (value agrees)</t>
        </is>
      </c>
      <c r="U218" t="inlineStr"/>
      <c r="V218" t="inlineStr">
        <is>
          <t>Filled</t>
        </is>
      </c>
      <c r="W218" t="inlineStr">
        <is>
          <t>February, July</t>
        </is>
      </c>
      <c r="X218" t="inlineStr">
        <is>
          <t>Other</t>
        </is>
      </c>
      <c r="Y218" t="n">
        <v>0</v>
      </c>
      <c r="Z218" t="inlineStr">
        <is>
          <t>No</t>
        </is>
      </c>
      <c r="AA218" t="inlineStr">
        <is>
          <t>Filled</t>
        </is>
      </c>
      <c r="AB218" t="inlineStr">
        <is>
          <t>on campus and online</t>
        </is>
      </c>
      <c r="AC218" t="inlineStr">
        <is>
          <t>Filled</t>
        </is>
      </c>
      <c r="AD218" t="n">
        <v>0</v>
      </c>
      <c r="AE218" t="inlineStr"/>
      <c r="AF218" t="inlineStr"/>
      <c r="AG218" t="inlineStr"/>
      <c r="AH218" t="inlineStr"/>
      <c r="AI218" t="inlineStr"/>
      <c r="AJ218" t="inlineStr"/>
      <c r="AK218" t="inlineStr"/>
      <c r="AL218" t="inlineStr"/>
      <c r="AM218" t="inlineStr"/>
    </row>
    <row r="219">
      <c r="A219" t="inlineStr">
        <is>
          <t>083768J</t>
        </is>
      </c>
      <c r="B219" t="inlineStr">
        <is>
          <t>Graduate Diploma of Specialised Medicine</t>
        </is>
      </c>
      <c r="C219" t="inlineStr">
        <is>
          <t>Graduate Diploma</t>
        </is>
      </c>
      <c r="D219" t="inlineStr">
        <is>
          <t>Postgraduate coursework</t>
        </is>
      </c>
      <c r="E219" t="inlineStr">
        <is>
          <t>Advertised: official page in place</t>
        </is>
      </c>
      <c r="F219" t="inlineStr">
        <is>
          <t>https://handbook.mq.edu.au/2015/DegreesDiplomas/PGDiploma/Graduate+Diploma+of+Specialised+Medicine</t>
        </is>
      </c>
      <c r="G219" t="inlineStr">
        <is>
          <t>https://handbook.mq.edu.au/2015/DegreesDiplomas/PGDiploma/Graduate+Diploma+of+Specialised+Medicine</t>
        </is>
      </c>
      <c r="H219" t="inlineStr">
        <is>
          <t>Read</t>
        </is>
      </c>
      <c r="I219" t="inlineStr">
        <is>
          <t>CRICOS code on page</t>
        </is>
      </c>
      <c r="J219" t="inlineStr"/>
      <c r="K219" t="inlineStr">
        <is>
          <t>Not sent to re-link</t>
        </is>
      </c>
      <c r="L219" t="inlineStr">
        <is>
          <t>Filled</t>
        </is>
      </c>
      <c r="M219" t="inlineStr">
        <is>
          <t>Not stated on course page</t>
        </is>
      </c>
      <c r="N219" t="inlineStr"/>
      <c r="O219" t="n">
        <v>0</v>
      </c>
      <c r="P219" t="inlineStr"/>
      <c r="Q219" t="inlineStr">
        <is>
          <t>Filled</t>
        </is>
      </c>
      <c r="R219" t="n">
        <v>7</v>
      </c>
      <c r="S219" t="inlineStr">
        <is>
          <t>Other</t>
        </is>
      </c>
      <c r="T219" t="inlineStr">
        <is>
          <t>Central rule applies (course value differs)</t>
        </is>
      </c>
      <c r="U219" t="inlineStr">
        <is>
          <t>Yes: course has IELTS 7.00, central rule says 6.5</t>
        </is>
      </c>
      <c r="V219" t="inlineStr">
        <is>
          <t>Not stated on course page</t>
        </is>
      </c>
      <c r="W219" t="inlineStr"/>
      <c r="X219" t="inlineStr"/>
      <c r="Y219" t="n">
        <v>0</v>
      </c>
      <c r="Z219" t="inlineStr">
        <is>
          <t>No</t>
        </is>
      </c>
      <c r="AA219" t="inlineStr">
        <is>
          <t>Filled</t>
        </is>
      </c>
      <c r="AB219" t="inlineStr">
        <is>
          <t>blended</t>
        </is>
      </c>
      <c r="AC219" t="inlineStr">
        <is>
          <t>Filled</t>
        </is>
      </c>
      <c r="AD219" t="n">
        <v>0</v>
      </c>
      <c r="AE219" t="inlineStr"/>
      <c r="AF219" t="inlineStr"/>
      <c r="AG219" t="inlineStr"/>
      <c r="AH219" t="inlineStr"/>
      <c r="AI219" t="inlineStr"/>
      <c r="AJ219" t="inlineStr"/>
      <c r="AK219" t="inlineStr"/>
      <c r="AL219" t="inlineStr"/>
      <c r="AM219" t="inlineStr"/>
    </row>
    <row r="220">
      <c r="A220" t="inlineStr">
        <is>
          <t>083769G</t>
        </is>
      </c>
      <c r="B220" t="inlineStr">
        <is>
          <t>Graduate Diploma of Specialised Surgery</t>
        </is>
      </c>
      <c r="C220" t="inlineStr">
        <is>
          <t>Graduate Diploma</t>
        </is>
      </c>
      <c r="D220" t="inlineStr">
        <is>
          <t>Postgraduate coursework</t>
        </is>
      </c>
      <c r="E220" t="inlineStr">
        <is>
          <t>Advertised: official page in place</t>
        </is>
      </c>
      <c r="F220" t="inlineStr">
        <is>
          <t>https://handbook.mq.edu.au/2015/DegreesDiplomas/PGDiploma/Graduate+Diploma+of+Specialised+Surgery</t>
        </is>
      </c>
      <c r="G220" t="inlineStr">
        <is>
          <t>https://handbook.mq.edu.au/2015/DegreesDiplomas/PGDiploma/Graduate+Diploma+of+Specialised+Surgery</t>
        </is>
      </c>
      <c r="H220" t="inlineStr">
        <is>
          <t>Read</t>
        </is>
      </c>
      <c r="I220" t="inlineStr">
        <is>
          <t>CRICOS code on page</t>
        </is>
      </c>
      <c r="J220" t="inlineStr"/>
      <c r="K220" t="inlineStr">
        <is>
          <t>Not sent to re-link</t>
        </is>
      </c>
      <c r="L220" t="inlineStr">
        <is>
          <t>Filled</t>
        </is>
      </c>
      <c r="M220" t="inlineStr">
        <is>
          <t>Not stated on course page</t>
        </is>
      </c>
      <c r="N220" t="inlineStr"/>
      <c r="O220" t="n">
        <v>0</v>
      </c>
      <c r="P220" t="inlineStr"/>
      <c r="Q220" t="inlineStr">
        <is>
          <t>Filled</t>
        </is>
      </c>
      <c r="R220" t="n">
        <v>7</v>
      </c>
      <c r="S220" t="inlineStr">
        <is>
          <t>Other</t>
        </is>
      </c>
      <c r="T220" t="inlineStr">
        <is>
          <t>Central rule applies (course value differs)</t>
        </is>
      </c>
      <c r="U220" t="inlineStr">
        <is>
          <t>Yes: course has IELTS 7.00, central rule says 6.5</t>
        </is>
      </c>
      <c r="V220" t="inlineStr">
        <is>
          <t>Not stated on course page</t>
        </is>
      </c>
      <c r="W220" t="inlineStr"/>
      <c r="X220" t="inlineStr"/>
      <c r="Y220" t="n">
        <v>0</v>
      </c>
      <c r="Z220" t="inlineStr">
        <is>
          <t>No</t>
        </is>
      </c>
      <c r="AA220" t="inlineStr">
        <is>
          <t>Filled</t>
        </is>
      </c>
      <c r="AB220" t="inlineStr">
        <is>
          <t>blended</t>
        </is>
      </c>
      <c r="AC220" t="inlineStr">
        <is>
          <t>Filled</t>
        </is>
      </c>
      <c r="AD220" t="n">
        <v>0</v>
      </c>
      <c r="AE220" t="inlineStr"/>
      <c r="AF220" t="inlineStr"/>
      <c r="AG220" t="inlineStr"/>
      <c r="AH220" t="inlineStr"/>
      <c r="AI220" t="inlineStr"/>
      <c r="AJ220" t="inlineStr"/>
      <c r="AK220" t="inlineStr"/>
      <c r="AL220" t="inlineStr"/>
      <c r="AM220" t="inlineStr"/>
    </row>
    <row r="221">
      <c r="A221" t="inlineStr">
        <is>
          <t>083771C</t>
        </is>
      </c>
      <c r="B221" t="inlineStr">
        <is>
          <t>Graduate Diploma of Translating and Interpreting</t>
        </is>
      </c>
      <c r="C221" t="inlineStr">
        <is>
          <t>Graduate Diploma</t>
        </is>
      </c>
      <c r="D221" t="inlineStr">
        <is>
          <t>Postgraduate coursework</t>
        </is>
      </c>
      <c r="E221" t="inlineStr">
        <is>
          <t>Advertised: official page in place</t>
        </is>
      </c>
      <c r="F221" t="inlineStr">
        <is>
          <t>https://coursehandbook.mq.edu.au/2026/courses/C000161</t>
        </is>
      </c>
      <c r="G221" t="inlineStr">
        <is>
          <t>https://coursehandbook.mq.edu.au/2026/courses/C000161</t>
        </is>
      </c>
      <c r="H221" t="inlineStr">
        <is>
          <t>Read</t>
        </is>
      </c>
      <c r="I221" t="inlineStr">
        <is>
          <t>Exact title match</t>
        </is>
      </c>
      <c r="J221" t="inlineStr"/>
      <c r="K221" t="inlineStr">
        <is>
          <t>Not sent to re-link</t>
        </is>
      </c>
      <c r="L221" t="inlineStr">
        <is>
          <t>Filled</t>
        </is>
      </c>
      <c r="M221" t="inlineStr">
        <is>
          <t>Not stated on course page</t>
        </is>
      </c>
      <c r="N221" t="inlineStr"/>
      <c r="O221" t="n">
        <v>0</v>
      </c>
      <c r="P221" t="inlineStr"/>
      <c r="Q221" t="inlineStr">
        <is>
          <t>Filled</t>
        </is>
      </c>
      <c r="R221" t="n">
        <v>6.5</v>
      </c>
      <c r="S221" t="inlineStr">
        <is>
          <t>University adapter</t>
        </is>
      </c>
      <c r="T221" t="inlineStr">
        <is>
          <t>Central rule applies (value agrees)</t>
        </is>
      </c>
      <c r="U221" t="inlineStr"/>
      <c r="V221" t="inlineStr">
        <is>
          <t>Not stated on course page</t>
        </is>
      </c>
      <c r="W221" t="inlineStr"/>
      <c r="X221" t="inlineStr"/>
      <c r="Y221" t="n">
        <v>0</v>
      </c>
      <c r="Z221" t="inlineStr">
        <is>
          <t>No</t>
        </is>
      </c>
      <c r="AA221" t="inlineStr">
        <is>
          <t>Not stated on course page</t>
        </is>
      </c>
      <c r="AB221" t="inlineStr"/>
      <c r="AC221" t="inlineStr">
        <is>
          <t>Skipped: the page does not state it</t>
        </is>
      </c>
      <c r="AD221" t="n">
        <v>0</v>
      </c>
      <c r="AE221" t="inlineStr"/>
      <c r="AF221" t="inlineStr"/>
      <c r="AG221" t="inlineStr"/>
      <c r="AH221" t="inlineStr"/>
      <c r="AI221" t="inlineStr"/>
      <c r="AJ221" t="inlineStr"/>
      <c r="AK221" t="inlineStr"/>
      <c r="AL221" t="inlineStr"/>
      <c r="AM221" t="inlineStr"/>
    </row>
    <row r="222">
      <c r="A222" t="inlineStr">
        <is>
          <t>094320F</t>
        </is>
      </c>
      <c r="B222" t="inlineStr">
        <is>
          <t>Intensive Program</t>
        </is>
      </c>
      <c r="C222" t="inlineStr">
        <is>
          <t>Non AQF Award</t>
        </is>
      </c>
      <c r="D222" t="inlineStr">
        <is>
          <t>Non-award</t>
        </is>
      </c>
      <c r="E222" t="inlineStr">
        <is>
          <t>Advertised: official page in place</t>
        </is>
      </c>
      <c r="F222" t="inlineStr">
        <is>
          <t>https://coursehandbook.mq.edu.au/2026/courses/C000150</t>
        </is>
      </c>
      <c r="G222" t="inlineStr">
        <is>
          <t>https://coursehandbook.mq.edu.au/2026/courses/C000150</t>
        </is>
      </c>
      <c r="H222" t="inlineStr">
        <is>
          <t>Read</t>
        </is>
      </c>
      <c r="I222" t="inlineStr">
        <is>
          <t>Exact title match</t>
        </is>
      </c>
      <c r="J222" t="inlineStr"/>
      <c r="K222" t="inlineStr">
        <is>
          <t>Not sent to re-link</t>
        </is>
      </c>
      <c r="L222" t="inlineStr">
        <is>
          <t>Filled</t>
        </is>
      </c>
      <c r="M222" t="inlineStr">
        <is>
          <t>Not stated on course page</t>
        </is>
      </c>
      <c r="N222" t="inlineStr"/>
      <c r="O222" t="n">
        <v>0</v>
      </c>
      <c r="P222" t="inlineStr"/>
      <c r="Q222" t="inlineStr">
        <is>
          <t>Filled</t>
        </is>
      </c>
      <c r="R222" t="n">
        <v>6</v>
      </c>
      <c r="S222" t="inlineStr">
        <is>
          <t>University adapter</t>
        </is>
      </c>
      <c r="T222" t="inlineStr">
        <is>
          <t>Held: level not covered by the policy default</t>
        </is>
      </c>
      <c r="U222" t="inlineStr"/>
      <c r="V222" t="inlineStr">
        <is>
          <t>Not stated on course page</t>
        </is>
      </c>
      <c r="W222" t="inlineStr"/>
      <c r="X222" t="inlineStr"/>
      <c r="Y222" t="n">
        <v>0</v>
      </c>
      <c r="Z222" t="inlineStr">
        <is>
          <t>No</t>
        </is>
      </c>
      <c r="AA222" t="inlineStr">
        <is>
          <t>Not stated on course page</t>
        </is>
      </c>
      <c r="AB222" t="inlineStr"/>
      <c r="AC222" t="inlineStr">
        <is>
          <t>Skipped: the page does not state it</t>
        </is>
      </c>
      <c r="AD222" t="n">
        <v>0</v>
      </c>
      <c r="AE222" t="inlineStr"/>
      <c r="AF222" t="inlineStr"/>
      <c r="AG222" t="inlineStr"/>
      <c r="AH222" t="inlineStr"/>
      <c r="AI222" t="inlineStr"/>
      <c r="AJ222" t="inlineStr"/>
      <c r="AK222" t="inlineStr"/>
      <c r="AL222" t="inlineStr"/>
      <c r="AM222" t="inlineStr"/>
    </row>
    <row r="223">
      <c r="A223" t="inlineStr">
        <is>
          <t>079539A</t>
        </is>
      </c>
      <c r="B223" t="inlineStr">
        <is>
          <t>Juris Doctor</t>
        </is>
      </c>
      <c r="C223" t="inlineStr">
        <is>
          <t>Masters Degree (Extended)</t>
        </is>
      </c>
      <c r="D223" t="inlineStr">
        <is>
          <t>Postgraduate coursework</t>
        </is>
      </c>
      <c r="E223" t="inlineStr">
        <is>
          <t>Advertised: official page in place</t>
        </is>
      </c>
      <c r="F223" t="inlineStr">
        <is>
          <t>https://coursehandbook.mq.edu.au/2026/courses/C000075</t>
        </is>
      </c>
      <c r="G223" t="inlineStr">
        <is>
          <t>https://coursehandbook.mq.edu.au/2026/courses/C000075</t>
        </is>
      </c>
      <c r="H223" t="inlineStr">
        <is>
          <t>Read</t>
        </is>
      </c>
      <c r="I223" t="inlineStr">
        <is>
          <t>Exact title match</t>
        </is>
      </c>
      <c r="J223" t="inlineStr"/>
      <c r="K223" t="inlineStr">
        <is>
          <t>Not sent to re-link</t>
        </is>
      </c>
      <c r="L223" t="inlineStr">
        <is>
          <t>Filled</t>
        </is>
      </c>
      <c r="M223" t="inlineStr">
        <is>
          <t>Not stated on course page</t>
        </is>
      </c>
      <c r="N223" t="inlineStr"/>
      <c r="O223" t="n">
        <v>0</v>
      </c>
      <c r="P223" t="inlineStr"/>
      <c r="Q223" t="inlineStr">
        <is>
          <t>Filled</t>
        </is>
      </c>
      <c r="R223" t="n">
        <v>7</v>
      </c>
      <c r="S223" t="inlineStr">
        <is>
          <t>University adapter</t>
        </is>
      </c>
      <c r="T223" t="inlineStr">
        <is>
          <t>Central rule applies (course value differs)</t>
        </is>
      </c>
      <c r="U223" t="inlineStr">
        <is>
          <t>Yes: course has IELTS 7.00, central rule says 6.5</t>
        </is>
      </c>
      <c r="V223" t="inlineStr">
        <is>
          <t>Not stated on course page</t>
        </is>
      </c>
      <c r="W223" t="inlineStr"/>
      <c r="X223" t="inlineStr"/>
      <c r="Y223" t="n">
        <v>0</v>
      </c>
      <c r="Z223" t="inlineStr">
        <is>
          <t>No</t>
        </is>
      </c>
      <c r="AA223" t="inlineStr">
        <is>
          <t>Not stated on course page</t>
        </is>
      </c>
      <c r="AB223" t="inlineStr"/>
      <c r="AC223" t="inlineStr">
        <is>
          <t>Skipped: the page does not state it</t>
        </is>
      </c>
      <c r="AD223" t="n">
        <v>0</v>
      </c>
      <c r="AE223" t="inlineStr"/>
      <c r="AF223" t="inlineStr"/>
      <c r="AG223" t="inlineStr"/>
      <c r="AH223" t="inlineStr"/>
      <c r="AI223" t="inlineStr"/>
      <c r="AJ223" t="inlineStr"/>
      <c r="AK223" t="inlineStr"/>
      <c r="AL223" t="inlineStr"/>
      <c r="AM223" t="inlineStr"/>
    </row>
    <row r="224">
      <c r="A224" t="inlineStr">
        <is>
          <t>095061A</t>
        </is>
      </c>
      <c r="B224" t="inlineStr">
        <is>
          <t>Master of Accessible Communication</t>
        </is>
      </c>
      <c r="C224" t="inlineStr">
        <is>
          <t>Masters Degree (Coursework)</t>
        </is>
      </c>
      <c r="D224" t="inlineStr">
        <is>
          <t>Postgraduate coursework</t>
        </is>
      </c>
      <c r="E224" t="inlineStr">
        <is>
          <t>Page address no longer works</t>
        </is>
      </c>
      <c r="F224" t="inlineStr"/>
      <c r="G224" t="inlineStr">
        <is>
          <t>https://coursehandbook.mq.edu.au/2026/courses/c000162</t>
        </is>
      </c>
      <c r="H224" t="inlineStr">
        <is>
          <t>Address no longer works</t>
        </is>
      </c>
      <c r="I224" t="inlineStr"/>
      <c r="J224" t="inlineStr"/>
      <c r="K224" t="inlineStr">
        <is>
          <t>Not sent to re-link</t>
        </is>
      </c>
      <c r="L224" t="inlineStr">
        <is>
          <t>Page found, being read</t>
        </is>
      </c>
      <c r="M224" t="inlineStr">
        <is>
          <t>Page found, being read</t>
        </is>
      </c>
      <c r="N224" t="inlineStr"/>
      <c r="O224" t="n">
        <v>0</v>
      </c>
      <c r="P224" t="inlineStr"/>
      <c r="Q224" t="inlineStr">
        <is>
          <t>Filled</t>
        </is>
      </c>
      <c r="R224" t="n">
        <v>6.5</v>
      </c>
      <c r="S224" t="inlineStr">
        <is>
          <t>Central English policy</t>
        </is>
      </c>
      <c r="T224" t="inlineStr">
        <is>
          <t>Central rule applies (value agrees)</t>
        </is>
      </c>
      <c r="U224" t="inlineStr"/>
      <c r="V224" t="inlineStr">
        <is>
          <t>Page found, being read</t>
        </is>
      </c>
      <c r="W224" t="inlineStr"/>
      <c r="X224" t="inlineStr"/>
      <c r="Y224" t="n">
        <v>0</v>
      </c>
      <c r="Z224" t="inlineStr">
        <is>
          <t>No</t>
        </is>
      </c>
      <c r="AA224" t="inlineStr">
        <is>
          <t>Not stated on course page</t>
        </is>
      </c>
      <c r="AB224" t="inlineStr"/>
      <c r="AC224" t="inlineStr">
        <is>
          <t>Skipped: no allowed source had a value</t>
        </is>
      </c>
      <c r="AD224" t="n">
        <v>0</v>
      </c>
      <c r="AE224" t="inlineStr"/>
      <c r="AF224" t="inlineStr"/>
      <c r="AG224" t="inlineStr"/>
      <c r="AH224" t="inlineStr"/>
      <c r="AI224" t="inlineStr"/>
      <c r="AJ224" t="inlineStr"/>
      <c r="AK224" t="inlineStr"/>
      <c r="AL224" t="inlineStr"/>
      <c r="AM224" t="inlineStr"/>
    </row>
    <row r="225">
      <c r="A225" t="inlineStr">
        <is>
          <t>091741J</t>
        </is>
      </c>
      <c r="B225" t="inlineStr">
        <is>
          <t>Master of Accounting</t>
        </is>
      </c>
      <c r="C225" t="inlineStr">
        <is>
          <t>Masters Degree (Coursework)</t>
        </is>
      </c>
      <c r="D225" t="inlineStr">
        <is>
          <t>Postgraduate coursework</t>
        </is>
      </c>
      <c r="E225" t="inlineStr">
        <is>
          <t>Advertised: official page in place</t>
        </is>
      </c>
      <c r="F225" t="inlineStr">
        <is>
          <t>https://coursehandbook.mq.edu.au/2026/courses/C000061</t>
        </is>
      </c>
      <c r="G225" t="inlineStr">
        <is>
          <t>https://coursehandbook.mq.edu.au/2026/courses/C000061</t>
        </is>
      </c>
      <c r="H225" t="inlineStr">
        <is>
          <t>Read</t>
        </is>
      </c>
      <c r="I225" t="inlineStr">
        <is>
          <t>Exact title match</t>
        </is>
      </c>
      <c r="J225" t="inlineStr"/>
      <c r="K225" t="inlineStr">
        <is>
          <t>Not sent to re-link</t>
        </is>
      </c>
      <c r="L225" t="inlineStr">
        <is>
          <t>Filled</t>
        </is>
      </c>
      <c r="M225" t="inlineStr">
        <is>
          <t>Not stated on course page</t>
        </is>
      </c>
      <c r="N225" t="inlineStr"/>
      <c r="O225" t="n">
        <v>0</v>
      </c>
      <c r="P225" t="inlineStr"/>
      <c r="Q225" t="inlineStr">
        <is>
          <t>Filled</t>
        </is>
      </c>
      <c r="R225" t="n">
        <v>6.5</v>
      </c>
      <c r="S225" t="inlineStr">
        <is>
          <t>University adapter</t>
        </is>
      </c>
      <c r="T225" t="inlineStr">
        <is>
          <t>Central rule applies (value agrees)</t>
        </is>
      </c>
      <c r="U225" t="inlineStr"/>
      <c r="V225" t="inlineStr">
        <is>
          <t>Not stated on course page</t>
        </is>
      </c>
      <c r="W225" t="inlineStr"/>
      <c r="X225" t="inlineStr"/>
      <c r="Y225" t="n">
        <v>0</v>
      </c>
      <c r="Z225" t="inlineStr">
        <is>
          <t>No</t>
        </is>
      </c>
      <c r="AA225" t="inlineStr">
        <is>
          <t>Not stated on course page</t>
        </is>
      </c>
      <c r="AB225" t="inlineStr"/>
      <c r="AC225" t="inlineStr">
        <is>
          <t>Skipped: the page does not state it</t>
        </is>
      </c>
      <c r="AD225" t="n">
        <v>0</v>
      </c>
      <c r="AE225" t="inlineStr"/>
      <c r="AF225" t="inlineStr"/>
      <c r="AG225" t="inlineStr"/>
      <c r="AH225" t="inlineStr"/>
      <c r="AI225" t="inlineStr"/>
      <c r="AJ225" t="inlineStr"/>
      <c r="AK225" t="inlineStr"/>
      <c r="AL225" t="inlineStr"/>
      <c r="AM225" t="inlineStr"/>
    </row>
    <row r="226">
      <c r="A226" t="inlineStr">
        <is>
          <t>092115E</t>
        </is>
      </c>
      <c r="B226" t="inlineStr">
        <is>
          <t>Master of Accounting (Advanced)</t>
        </is>
      </c>
      <c r="C226" t="inlineStr">
        <is>
          <t>Masters Degree (Coursework)</t>
        </is>
      </c>
      <c r="D226" t="inlineStr">
        <is>
          <t>Postgraduate coursework</t>
        </is>
      </c>
      <c r="E226" t="inlineStr">
        <is>
          <t>Advertised: official page in place</t>
        </is>
      </c>
      <c r="F226" t="inlineStr">
        <is>
          <t>https://handbook.mq.edu.au/2019/DegreesDiplomas/PGDegree/Master+of+Accounting+%28Advanced%29</t>
        </is>
      </c>
      <c r="G226" t="inlineStr">
        <is>
          <t>https://handbook.mq.edu.au/2019/DegreesDiplomas/PGDegree/Master+of+Accounting+%28Advanced%29</t>
        </is>
      </c>
      <c r="H226" t="inlineStr">
        <is>
          <t>Read</t>
        </is>
      </c>
      <c r="I226" t="inlineStr">
        <is>
          <t>CRICOS code on page</t>
        </is>
      </c>
      <c r="J226" t="inlineStr"/>
      <c r="K226" t="inlineStr">
        <is>
          <t>Not sent to re-link</t>
        </is>
      </c>
      <c r="L226" t="inlineStr">
        <is>
          <t>Filled</t>
        </is>
      </c>
      <c r="M226" t="inlineStr">
        <is>
          <t>Not stated on course page</t>
        </is>
      </c>
      <c r="N226" t="inlineStr"/>
      <c r="O226" t="n">
        <v>0</v>
      </c>
      <c r="P226" t="inlineStr"/>
      <c r="Q226" t="inlineStr">
        <is>
          <t>Filled</t>
        </is>
      </c>
      <c r="R226" t="n">
        <v>6.5</v>
      </c>
      <c r="S226" t="inlineStr">
        <is>
          <t>Other</t>
        </is>
      </c>
      <c r="T226" t="inlineStr">
        <is>
          <t>Central rule applies (value agrees)</t>
        </is>
      </c>
      <c r="U226" t="inlineStr"/>
      <c r="V226" t="inlineStr">
        <is>
          <t>Filled</t>
        </is>
      </c>
      <c r="W226" t="inlineStr">
        <is>
          <t>February, July</t>
        </is>
      </c>
      <c r="X226" t="inlineStr">
        <is>
          <t>Other</t>
        </is>
      </c>
      <c r="Y226" t="n">
        <v>0</v>
      </c>
      <c r="Z226" t="inlineStr">
        <is>
          <t>No</t>
        </is>
      </c>
      <c r="AA226" t="inlineStr">
        <is>
          <t>Filled</t>
        </is>
      </c>
      <c r="AB226" t="inlineStr">
        <is>
          <t>on campus</t>
        </is>
      </c>
      <c r="AC226" t="inlineStr">
        <is>
          <t>Filled</t>
        </is>
      </c>
      <c r="AD226" t="n">
        <v>0</v>
      </c>
      <c r="AE226" t="inlineStr"/>
      <c r="AF226" t="inlineStr"/>
      <c r="AG226" t="inlineStr"/>
      <c r="AH226" t="inlineStr"/>
      <c r="AI226" t="inlineStr"/>
      <c r="AJ226" t="inlineStr"/>
      <c r="AK226" t="inlineStr"/>
      <c r="AL226" t="inlineStr"/>
      <c r="AM226" t="inlineStr"/>
    </row>
    <row r="227">
      <c r="A227" t="inlineStr">
        <is>
          <t>022767D</t>
        </is>
      </c>
      <c r="B227" t="inlineStr">
        <is>
          <t>Master of Accounting (CPA Extension)</t>
        </is>
      </c>
      <c r="C227" t="inlineStr">
        <is>
          <t>Masters Degree (Coursework)</t>
        </is>
      </c>
      <c r="D227" t="inlineStr">
        <is>
          <t>Postgraduate coursework</t>
        </is>
      </c>
      <c r="E227" t="inlineStr">
        <is>
          <t>Advertised: official page in place</t>
        </is>
      </c>
      <c r="F227" t="inlineStr">
        <is>
          <t>https://handbook.mq.edu.au/2016/DegreesDiplomas/PGDegree/Master+of+Accounting+%28CPA+Extension%29</t>
        </is>
      </c>
      <c r="G227" t="inlineStr">
        <is>
          <t>https://handbook.mq.edu.au/2016/DegreesDiplomas/PGDegree/Master+of+Accounting+%28CPA+Extension%29</t>
        </is>
      </c>
      <c r="H227" t="inlineStr">
        <is>
          <t>Read</t>
        </is>
      </c>
      <c r="I227" t="inlineStr">
        <is>
          <t>CRICOS code on page</t>
        </is>
      </c>
      <c r="J227" t="inlineStr"/>
      <c r="K227" t="inlineStr">
        <is>
          <t>Not sent to re-link</t>
        </is>
      </c>
      <c r="L227" t="inlineStr">
        <is>
          <t>Filled</t>
        </is>
      </c>
      <c r="M227" t="inlineStr">
        <is>
          <t>Not stated on course page</t>
        </is>
      </c>
      <c r="N227" t="inlineStr"/>
      <c r="O227" t="n">
        <v>0</v>
      </c>
      <c r="P227" t="inlineStr"/>
      <c r="Q227" t="inlineStr">
        <is>
          <t>Filled</t>
        </is>
      </c>
      <c r="R227" t="n">
        <v>6.5</v>
      </c>
      <c r="S227" t="inlineStr">
        <is>
          <t>Other</t>
        </is>
      </c>
      <c r="T227" t="inlineStr">
        <is>
          <t>Central rule applies (value agrees)</t>
        </is>
      </c>
      <c r="U227" t="inlineStr"/>
      <c r="V227" t="inlineStr">
        <is>
          <t>Not stated on course page</t>
        </is>
      </c>
      <c r="W227" t="inlineStr"/>
      <c r="X227" t="inlineStr"/>
      <c r="Y227" t="n">
        <v>0</v>
      </c>
      <c r="Z227" t="inlineStr">
        <is>
          <t>No</t>
        </is>
      </c>
      <c r="AA227" t="inlineStr">
        <is>
          <t>Filled</t>
        </is>
      </c>
      <c r="AB227" t="inlineStr">
        <is>
          <t>on campus</t>
        </is>
      </c>
      <c r="AC227" t="inlineStr">
        <is>
          <t>Filled</t>
        </is>
      </c>
      <c r="AD227" t="n">
        <v>0</v>
      </c>
      <c r="AE227" t="inlineStr"/>
      <c r="AF227" t="inlineStr"/>
      <c r="AG227" t="inlineStr"/>
      <c r="AH227" t="inlineStr"/>
      <c r="AI227" t="inlineStr"/>
      <c r="AJ227" t="inlineStr"/>
      <c r="AK227" t="inlineStr"/>
      <c r="AL227" t="inlineStr"/>
      <c r="AM227" t="inlineStr"/>
    </row>
    <row r="228">
      <c r="A228" t="inlineStr">
        <is>
          <t>083773A</t>
        </is>
      </c>
      <c r="B228" t="inlineStr">
        <is>
          <t>Master of Accounting (Professional)</t>
        </is>
      </c>
      <c r="C228" t="inlineStr">
        <is>
          <t>Masters Degree (Coursework)</t>
        </is>
      </c>
      <c r="D228" t="inlineStr">
        <is>
          <t>Postgraduate coursework</t>
        </is>
      </c>
      <c r="E228" t="inlineStr">
        <is>
          <t>Advertised: official page in place</t>
        </is>
      </c>
      <c r="F228" t="inlineStr">
        <is>
          <t>https://handbook.mq.edu.au/2010/DegreesDiplomas/PGDegree/Master+of+Accounting+(Professional)/index.html</t>
        </is>
      </c>
      <c r="G228" t="inlineStr">
        <is>
          <t>https://handbook.mq.edu.au/2010/DegreesDiplomas/PGDegree/Master+of+Accounting+(Professional)/index.html</t>
        </is>
      </c>
      <c r="H228" t="inlineStr">
        <is>
          <t>Read</t>
        </is>
      </c>
      <c r="I228" t="inlineStr">
        <is>
          <t>Exact title match</t>
        </is>
      </c>
      <c r="J228" t="inlineStr"/>
      <c r="K228" t="inlineStr">
        <is>
          <t>Not sent to re-link</t>
        </is>
      </c>
      <c r="L228" t="inlineStr">
        <is>
          <t>Filled</t>
        </is>
      </c>
      <c r="M228" t="inlineStr">
        <is>
          <t>Not stated on course page</t>
        </is>
      </c>
      <c r="N228" t="inlineStr"/>
      <c r="O228" t="n">
        <v>0</v>
      </c>
      <c r="P228" t="inlineStr"/>
      <c r="Q228" t="inlineStr">
        <is>
          <t>Filled</t>
        </is>
      </c>
      <c r="R228" t="n">
        <v>6.5</v>
      </c>
      <c r="S228" t="inlineStr">
        <is>
          <t>Central English policy</t>
        </is>
      </c>
      <c r="T228" t="inlineStr">
        <is>
          <t>Central rule applies (value agrees)</t>
        </is>
      </c>
      <c r="U228" t="inlineStr"/>
      <c r="V228" t="inlineStr">
        <is>
          <t>Not stated on course page</t>
        </is>
      </c>
      <c r="W228" t="inlineStr"/>
      <c r="X228" t="inlineStr"/>
      <c r="Y228" t="n">
        <v>0</v>
      </c>
      <c r="Z228" t="inlineStr">
        <is>
          <t>No</t>
        </is>
      </c>
      <c r="AA228" t="inlineStr">
        <is>
          <t>Not stated on course page</t>
        </is>
      </c>
      <c r="AB228" t="inlineStr"/>
      <c r="AC228" t="inlineStr">
        <is>
          <t>Skipped: the page does not state it</t>
        </is>
      </c>
      <c r="AD228" t="n">
        <v>0</v>
      </c>
      <c r="AE228" t="inlineStr"/>
      <c r="AF228" t="inlineStr"/>
      <c r="AG228" t="inlineStr"/>
      <c r="AH228" t="inlineStr"/>
      <c r="AI228" t="inlineStr"/>
      <c r="AJ228" t="inlineStr"/>
      <c r="AK228" t="inlineStr"/>
      <c r="AL228" t="inlineStr"/>
      <c r="AM228" t="inlineStr"/>
    </row>
    <row r="229">
      <c r="A229" t="inlineStr">
        <is>
          <t>099297D</t>
        </is>
      </c>
      <c r="B229" t="inlineStr">
        <is>
          <t>Master of Accounting and Leadership</t>
        </is>
      </c>
      <c r="C229" t="inlineStr">
        <is>
          <t>Masters Degree (Coursework)</t>
        </is>
      </c>
      <c r="D229" t="inlineStr">
        <is>
          <t>Postgraduate coursework</t>
        </is>
      </c>
      <c r="E229" t="inlineStr">
        <is>
          <t>Held: page found is for another course</t>
        </is>
      </c>
      <c r="F229" t="inlineStr"/>
      <c r="G229" t="inlineStr">
        <is>
          <t>https://coursehandbook.mq.edu.au/2026/courses/C000137</t>
        </is>
      </c>
      <c r="H229" t="inlineStr">
        <is>
          <t>Page is for another course</t>
        </is>
      </c>
      <c r="I229" t="inlineStr"/>
      <c r="J229" t="inlineStr"/>
      <c r="K229" t="inlineStr">
        <is>
          <t>Finished, no page: no address from the university's address forms or stored lis</t>
        </is>
      </c>
      <c r="L229" t="inlineStr">
        <is>
          <t>Searching for course page</t>
        </is>
      </c>
      <c r="M229" t="inlineStr">
        <is>
          <t>Searching for course page</t>
        </is>
      </c>
      <c r="N229" t="inlineStr"/>
      <c r="O229" t="n">
        <v>0</v>
      </c>
      <c r="P229" t="inlineStr"/>
      <c r="Q229" t="inlineStr">
        <is>
          <t>Filled</t>
        </is>
      </c>
      <c r="R229" t="n">
        <v>6.5</v>
      </c>
      <c r="S229" t="inlineStr">
        <is>
          <t>Central English policy</t>
        </is>
      </c>
      <c r="T229" t="inlineStr">
        <is>
          <t>Central rule applies (value agrees)</t>
        </is>
      </c>
      <c r="U229" t="inlineStr"/>
      <c r="V229" t="inlineStr">
        <is>
          <t>Searching for course page</t>
        </is>
      </c>
      <c r="W229" t="inlineStr"/>
      <c r="X229" t="inlineStr"/>
      <c r="Y229" t="n">
        <v>0</v>
      </c>
      <c r="Z229" t="inlineStr">
        <is>
          <t>No</t>
        </is>
      </c>
      <c r="AA229" t="inlineStr">
        <is>
          <t>Not stated on course page</t>
        </is>
      </c>
      <c r="AB229" t="inlineStr"/>
      <c r="AC229" t="inlineStr">
        <is>
          <t>Skipped: no correct course page: the page found is for another course</t>
        </is>
      </c>
      <c r="AD229" t="n">
        <v>0</v>
      </c>
      <c r="AE229" t="inlineStr"/>
      <c r="AF229" t="inlineStr"/>
      <c r="AG229" t="inlineStr"/>
      <c r="AH229" t="inlineStr"/>
      <c r="AI229" t="inlineStr"/>
      <c r="AJ229" t="inlineStr"/>
      <c r="AK229" t="inlineStr"/>
      <c r="AL229" t="inlineStr"/>
      <c r="AM229" t="inlineStr"/>
    </row>
    <row r="230">
      <c r="A230" t="inlineStr">
        <is>
          <t>083775K</t>
        </is>
      </c>
      <c r="B230" t="inlineStr">
        <is>
          <t>Master of Actuarial Practice</t>
        </is>
      </c>
      <c r="C230" t="inlineStr">
        <is>
          <t>Masters Degree (Coursework)</t>
        </is>
      </c>
      <c r="D230" t="inlineStr">
        <is>
          <t>Postgraduate coursework</t>
        </is>
      </c>
      <c r="E230" t="inlineStr">
        <is>
          <t>Advertised: official page in place</t>
        </is>
      </c>
      <c r="F230" t="inlineStr">
        <is>
          <t>https://coursehandbook.mq.edu.au/2026/courses/C000163</t>
        </is>
      </c>
      <c r="G230" t="inlineStr">
        <is>
          <t>https://coursehandbook.mq.edu.au/2026/courses/C000163</t>
        </is>
      </c>
      <c r="H230" t="inlineStr">
        <is>
          <t>Read</t>
        </is>
      </c>
      <c r="I230" t="inlineStr">
        <is>
          <t>Exact title match</t>
        </is>
      </c>
      <c r="J230" t="inlineStr"/>
      <c r="K230" t="inlineStr">
        <is>
          <t>Not sent to re-link</t>
        </is>
      </c>
      <c r="L230" t="inlineStr">
        <is>
          <t>Filled</t>
        </is>
      </c>
      <c r="M230" t="inlineStr">
        <is>
          <t>Not stated on course page</t>
        </is>
      </c>
      <c r="N230" t="inlineStr"/>
      <c r="O230" t="n">
        <v>0</v>
      </c>
      <c r="P230" t="inlineStr"/>
      <c r="Q230" t="inlineStr">
        <is>
          <t>Filled</t>
        </is>
      </c>
      <c r="R230" t="n">
        <v>6.5</v>
      </c>
      <c r="S230" t="inlineStr">
        <is>
          <t>University adapter</t>
        </is>
      </c>
      <c r="T230" t="inlineStr">
        <is>
          <t>Central rule applies (value agrees)</t>
        </is>
      </c>
      <c r="U230" t="inlineStr"/>
      <c r="V230" t="inlineStr">
        <is>
          <t>Not stated on course page</t>
        </is>
      </c>
      <c r="W230" t="inlineStr"/>
      <c r="X230" t="inlineStr"/>
      <c r="Y230" t="n">
        <v>0</v>
      </c>
      <c r="Z230" t="inlineStr">
        <is>
          <t>No</t>
        </is>
      </c>
      <c r="AA230" t="inlineStr">
        <is>
          <t>Not stated on course page</t>
        </is>
      </c>
      <c r="AB230" t="inlineStr"/>
      <c r="AC230" t="inlineStr">
        <is>
          <t>Skipped: the page does not state it</t>
        </is>
      </c>
      <c r="AD230" t="n">
        <v>0</v>
      </c>
      <c r="AE230" t="inlineStr"/>
      <c r="AF230" t="inlineStr"/>
      <c r="AG230" t="inlineStr"/>
      <c r="AH230" t="inlineStr"/>
      <c r="AI230" t="inlineStr"/>
      <c r="AJ230" t="inlineStr"/>
      <c r="AK230" t="inlineStr"/>
      <c r="AL230" t="inlineStr"/>
      <c r="AM230" t="inlineStr"/>
    </row>
    <row r="231">
      <c r="A231" t="inlineStr">
        <is>
          <t>070505F</t>
        </is>
      </c>
      <c r="B231" t="inlineStr">
        <is>
          <t>Master of Advanced Medicine</t>
        </is>
      </c>
      <c r="C231" t="inlineStr">
        <is>
          <t>Masters Degree (Coursework)</t>
        </is>
      </c>
      <c r="D231" t="inlineStr">
        <is>
          <t>Postgraduate coursework</t>
        </is>
      </c>
      <c r="E231" t="inlineStr">
        <is>
          <t>Advertised: official page in place</t>
        </is>
      </c>
      <c r="F231" t="inlineStr">
        <is>
          <t>https://handbook.mq.edu.au/2017/DegreesDiplomas/PGDegree/Master+of+Advanced+Medicine</t>
        </is>
      </c>
      <c r="G231" t="inlineStr">
        <is>
          <t>https://handbook.mq.edu.au/2017/DegreesDiplomas/PGDegree/Master+of+Advanced+Medicine</t>
        </is>
      </c>
      <c r="H231" t="inlineStr">
        <is>
          <t>Read</t>
        </is>
      </c>
      <c r="I231" t="inlineStr">
        <is>
          <t>CRICOS code on page</t>
        </is>
      </c>
      <c r="J231" t="inlineStr"/>
      <c r="K231" t="inlineStr">
        <is>
          <t>Not sent to re-link</t>
        </is>
      </c>
      <c r="L231" t="inlineStr">
        <is>
          <t>Filled</t>
        </is>
      </c>
      <c r="M231" t="inlineStr">
        <is>
          <t>Not stated on course page</t>
        </is>
      </c>
      <c r="N231" t="inlineStr"/>
      <c r="O231" t="n">
        <v>0</v>
      </c>
      <c r="P231" t="inlineStr"/>
      <c r="Q231" t="inlineStr">
        <is>
          <t>Filled</t>
        </is>
      </c>
      <c r="R231" t="n">
        <v>7</v>
      </c>
      <c r="S231" t="inlineStr">
        <is>
          <t>Other</t>
        </is>
      </c>
      <c r="T231" t="inlineStr">
        <is>
          <t>Central rule applies (course value differs)</t>
        </is>
      </c>
      <c r="U231" t="inlineStr">
        <is>
          <t>Yes: course has IELTS 7.00, central rule says 6.5</t>
        </is>
      </c>
      <c r="V231" t="inlineStr">
        <is>
          <t>Not stated on course page</t>
        </is>
      </c>
      <c r="W231" t="inlineStr"/>
      <c r="X231" t="inlineStr"/>
      <c r="Y231" t="n">
        <v>0</v>
      </c>
      <c r="Z231" t="inlineStr">
        <is>
          <t>No</t>
        </is>
      </c>
      <c r="AA231" t="inlineStr">
        <is>
          <t>Filled</t>
        </is>
      </c>
      <c r="AB231" t="inlineStr">
        <is>
          <t>blended</t>
        </is>
      </c>
      <c r="AC231" t="inlineStr">
        <is>
          <t>Filled</t>
        </is>
      </c>
      <c r="AD231" t="n">
        <v>0</v>
      </c>
      <c r="AE231" t="inlineStr"/>
      <c r="AF231" t="inlineStr"/>
      <c r="AG231" t="inlineStr"/>
      <c r="AH231" t="inlineStr"/>
      <c r="AI231" t="inlineStr"/>
      <c r="AJ231" t="inlineStr"/>
      <c r="AK231" t="inlineStr"/>
      <c r="AL231" t="inlineStr"/>
      <c r="AM231" t="inlineStr"/>
    </row>
    <row r="232">
      <c r="A232" t="inlineStr">
        <is>
          <t>077685G</t>
        </is>
      </c>
      <c r="B232" t="inlineStr">
        <is>
          <t>Master of Advanced Professional Accounting</t>
        </is>
      </c>
      <c r="C232" t="inlineStr">
        <is>
          <t>Masters Degree (Coursework)</t>
        </is>
      </c>
      <c r="D232" t="inlineStr">
        <is>
          <t>Postgraduate coursework</t>
        </is>
      </c>
      <c r="E232" t="inlineStr">
        <is>
          <t>Advertised: official page in place</t>
        </is>
      </c>
      <c r="F232" t="inlineStr">
        <is>
          <t>https://handbook.mq.edu.au/2019/DegreesDiplomas/PGDegree/Master+of+Advanced+Professional+Accounting</t>
        </is>
      </c>
      <c r="G232" t="inlineStr">
        <is>
          <t>https://handbook.mq.edu.au/2019/DegreesDiplomas/PGDegree/Master+of+Advanced+Professional+Accounting</t>
        </is>
      </c>
      <c r="H232" t="inlineStr">
        <is>
          <t>Read</t>
        </is>
      </c>
      <c r="I232" t="inlineStr">
        <is>
          <t>CRICOS code on page</t>
        </is>
      </c>
      <c r="J232" t="inlineStr"/>
      <c r="K232" t="inlineStr">
        <is>
          <t>Not sent to re-link</t>
        </is>
      </c>
      <c r="L232" t="inlineStr">
        <is>
          <t>Filled</t>
        </is>
      </c>
      <c r="M232" t="inlineStr">
        <is>
          <t>Not stated on course page</t>
        </is>
      </c>
      <c r="N232" t="inlineStr"/>
      <c r="O232" t="n">
        <v>0</v>
      </c>
      <c r="P232" t="inlineStr"/>
      <c r="Q232" t="inlineStr">
        <is>
          <t>Filled</t>
        </is>
      </c>
      <c r="R232" t="n">
        <v>6.5</v>
      </c>
      <c r="S232" t="inlineStr">
        <is>
          <t>Other</t>
        </is>
      </c>
      <c r="T232" t="inlineStr">
        <is>
          <t>Central rule applies (value agrees)</t>
        </is>
      </c>
      <c r="U232" t="inlineStr"/>
      <c r="V232" t="inlineStr">
        <is>
          <t>Filled</t>
        </is>
      </c>
      <c r="W232" t="inlineStr">
        <is>
          <t>February, July</t>
        </is>
      </c>
      <c r="X232" t="inlineStr">
        <is>
          <t>Other</t>
        </is>
      </c>
      <c r="Y232" t="n">
        <v>0</v>
      </c>
      <c r="Z232" t="inlineStr">
        <is>
          <t>No</t>
        </is>
      </c>
      <c r="AA232" t="inlineStr">
        <is>
          <t>Filled</t>
        </is>
      </c>
      <c r="AB232" t="inlineStr">
        <is>
          <t>on campus</t>
        </is>
      </c>
      <c r="AC232" t="inlineStr">
        <is>
          <t>Filled</t>
        </is>
      </c>
      <c r="AD232" t="n">
        <v>0</v>
      </c>
      <c r="AE232" t="inlineStr"/>
      <c r="AF232" t="inlineStr"/>
      <c r="AG232" t="inlineStr"/>
      <c r="AH232" t="inlineStr"/>
      <c r="AI232" t="inlineStr"/>
      <c r="AJ232" t="inlineStr"/>
      <c r="AK232" t="inlineStr"/>
      <c r="AL232" t="inlineStr"/>
      <c r="AM232" t="inlineStr"/>
    </row>
    <row r="233">
      <c r="A233" t="inlineStr">
        <is>
          <t>060660M</t>
        </is>
      </c>
      <c r="B233" t="inlineStr">
        <is>
          <t>Master of Advanced Surgery</t>
        </is>
      </c>
      <c r="C233" t="inlineStr">
        <is>
          <t>Masters Degree (Coursework)</t>
        </is>
      </c>
      <c r="D233" t="inlineStr">
        <is>
          <t>Postgraduate coursework</t>
        </is>
      </c>
      <c r="E233" t="inlineStr">
        <is>
          <t>Advertised: official page in place</t>
        </is>
      </c>
      <c r="F233" t="inlineStr">
        <is>
          <t>https://handbook.mq.edu.au/2018/DegreesDiplomas/PGDegree/Master+of+Advanced+Surgery</t>
        </is>
      </c>
      <c r="G233" t="inlineStr">
        <is>
          <t>https://handbook.mq.edu.au/2018/DegreesDiplomas/PGDegree/Master+of+Advanced+Surgery</t>
        </is>
      </c>
      <c r="H233" t="inlineStr">
        <is>
          <t>Read</t>
        </is>
      </c>
      <c r="I233" t="inlineStr">
        <is>
          <t>CRICOS code on page</t>
        </is>
      </c>
      <c r="J233" t="inlineStr"/>
      <c r="K233" t="inlineStr">
        <is>
          <t>Not sent to re-link</t>
        </is>
      </c>
      <c r="L233" t="inlineStr">
        <is>
          <t>Filled</t>
        </is>
      </c>
      <c r="M233" t="inlineStr">
        <is>
          <t>Not stated on course page</t>
        </is>
      </c>
      <c r="N233" t="inlineStr"/>
      <c r="O233" t="n">
        <v>0</v>
      </c>
      <c r="P233" t="inlineStr"/>
      <c r="Q233" t="inlineStr">
        <is>
          <t>Filled</t>
        </is>
      </c>
      <c r="R233" t="n">
        <v>7</v>
      </c>
      <c r="S233" t="inlineStr">
        <is>
          <t>Other</t>
        </is>
      </c>
      <c r="T233" t="inlineStr">
        <is>
          <t>Central rule applies (course value differs)</t>
        </is>
      </c>
      <c r="U233" t="inlineStr">
        <is>
          <t>Yes: course has IELTS 7.00, central rule says 6.5</t>
        </is>
      </c>
      <c r="V233" t="inlineStr">
        <is>
          <t>Not stated on course page</t>
        </is>
      </c>
      <c r="W233" t="inlineStr"/>
      <c r="X233" t="inlineStr"/>
      <c r="Y233" t="n">
        <v>0</v>
      </c>
      <c r="Z233" t="inlineStr">
        <is>
          <t>No</t>
        </is>
      </c>
      <c r="AA233" t="inlineStr">
        <is>
          <t>Filled</t>
        </is>
      </c>
      <c r="AB233" t="inlineStr">
        <is>
          <t>blended</t>
        </is>
      </c>
      <c r="AC233" t="inlineStr">
        <is>
          <t>Filled</t>
        </is>
      </c>
      <c r="AD233" t="n">
        <v>0</v>
      </c>
      <c r="AE233" t="inlineStr"/>
      <c r="AF233" t="inlineStr"/>
      <c r="AG233" t="inlineStr"/>
      <c r="AH233" t="inlineStr"/>
      <c r="AI233" t="inlineStr"/>
      <c r="AJ233" t="inlineStr"/>
      <c r="AK233" t="inlineStr"/>
      <c r="AL233" t="inlineStr"/>
      <c r="AM233" t="inlineStr"/>
    </row>
    <row r="234">
      <c r="A234" t="inlineStr">
        <is>
          <t>084544F</t>
        </is>
      </c>
      <c r="B234" t="inlineStr">
        <is>
          <t>Master of Ancient History</t>
        </is>
      </c>
      <c r="C234" t="inlineStr">
        <is>
          <t>Masters Degree (Coursework)</t>
        </is>
      </c>
      <c r="D234" t="inlineStr">
        <is>
          <t>Postgraduate coursework</t>
        </is>
      </c>
      <c r="E234" t="inlineStr">
        <is>
          <t>Page address no longer works</t>
        </is>
      </c>
      <c r="F234" t="inlineStr"/>
      <c r="G234" t="inlineStr">
        <is>
          <t>https://coursehandbook.mq.edu.au/2026/courses/C000223</t>
        </is>
      </c>
      <c r="H234" t="inlineStr">
        <is>
          <t>Address no longer works</t>
        </is>
      </c>
      <c r="I234" t="inlineStr"/>
      <c r="J234" t="inlineStr"/>
      <c r="K234" t="inlineStr">
        <is>
          <t>Not sent to re-link</t>
        </is>
      </c>
      <c r="L234" t="inlineStr">
        <is>
          <t>Page found, being read</t>
        </is>
      </c>
      <c r="M234" t="inlineStr">
        <is>
          <t>Page found, being read</t>
        </is>
      </c>
      <c r="N234" t="inlineStr"/>
      <c r="O234" t="n">
        <v>0</v>
      </c>
      <c r="P234" t="inlineStr"/>
      <c r="Q234" t="inlineStr">
        <is>
          <t>Filled</t>
        </is>
      </c>
      <c r="R234" t="n">
        <v>6.5</v>
      </c>
      <c r="S234" t="inlineStr">
        <is>
          <t>Central English policy</t>
        </is>
      </c>
      <c r="T234" t="inlineStr">
        <is>
          <t>Central rule applies (value agrees)</t>
        </is>
      </c>
      <c r="U234" t="inlineStr"/>
      <c r="V234" t="inlineStr">
        <is>
          <t>Page found, being read</t>
        </is>
      </c>
      <c r="W234" t="inlineStr"/>
      <c r="X234" t="inlineStr"/>
      <c r="Y234" t="n">
        <v>0</v>
      </c>
      <c r="Z234" t="inlineStr">
        <is>
          <t>No</t>
        </is>
      </c>
      <c r="AA234" t="inlineStr">
        <is>
          <t>Not stated on course page</t>
        </is>
      </c>
      <c r="AB234" t="inlineStr"/>
      <c r="AC234" t="inlineStr">
        <is>
          <t>Skipped: no allowed source had a value</t>
        </is>
      </c>
      <c r="AD234" t="n">
        <v>0</v>
      </c>
      <c r="AE234" t="inlineStr"/>
      <c r="AF234" t="inlineStr"/>
      <c r="AG234" t="inlineStr"/>
      <c r="AH234" t="inlineStr"/>
      <c r="AI234" t="inlineStr"/>
      <c r="AJ234" t="inlineStr"/>
      <c r="AK234" t="inlineStr"/>
      <c r="AL234" t="inlineStr"/>
      <c r="AM234" t="inlineStr"/>
    </row>
    <row r="235">
      <c r="A235" t="inlineStr">
        <is>
          <t>097429B</t>
        </is>
      </c>
      <c r="B235" t="inlineStr">
        <is>
          <t>Master of Applied Economics</t>
        </is>
      </c>
      <c r="C235" t="inlineStr">
        <is>
          <t>Masters Degree (Coursework)</t>
        </is>
      </c>
      <c r="D235" t="inlineStr">
        <is>
          <t>Postgraduate coursework</t>
        </is>
      </c>
      <c r="E235" t="inlineStr">
        <is>
          <t>Advertised: official page in place</t>
        </is>
      </c>
      <c r="F235" t="inlineStr">
        <is>
          <t>https://coursehandbook.mq.edu.au/2026/courses/C000062</t>
        </is>
      </c>
      <c r="G235" t="inlineStr">
        <is>
          <t>https://coursehandbook.mq.edu.au/2026/courses/C000062</t>
        </is>
      </c>
      <c r="H235" t="inlineStr">
        <is>
          <t>Read</t>
        </is>
      </c>
      <c r="I235" t="inlineStr">
        <is>
          <t>Exact title match</t>
        </is>
      </c>
      <c r="J235" t="inlineStr"/>
      <c r="K235" t="inlineStr">
        <is>
          <t>Not sent to re-link</t>
        </is>
      </c>
      <c r="L235" t="inlineStr">
        <is>
          <t>Filled</t>
        </is>
      </c>
      <c r="M235" t="inlineStr">
        <is>
          <t>Not stated on course page</t>
        </is>
      </c>
      <c r="N235" t="inlineStr"/>
      <c r="O235" t="n">
        <v>0</v>
      </c>
      <c r="P235" t="inlineStr"/>
      <c r="Q235" t="inlineStr">
        <is>
          <t>Filled</t>
        </is>
      </c>
      <c r="R235" t="n">
        <v>6.5</v>
      </c>
      <c r="S235" t="inlineStr">
        <is>
          <t>University adapter</t>
        </is>
      </c>
      <c r="T235" t="inlineStr">
        <is>
          <t>Central rule applies (value agrees)</t>
        </is>
      </c>
      <c r="U235" t="inlineStr"/>
      <c r="V235" t="inlineStr">
        <is>
          <t>Not stated on course page</t>
        </is>
      </c>
      <c r="W235" t="inlineStr"/>
      <c r="X235" t="inlineStr"/>
      <c r="Y235" t="n">
        <v>0</v>
      </c>
      <c r="Z235" t="inlineStr">
        <is>
          <t>No</t>
        </is>
      </c>
      <c r="AA235" t="inlineStr">
        <is>
          <t>Not stated on course page</t>
        </is>
      </c>
      <c r="AB235" t="inlineStr"/>
      <c r="AC235" t="inlineStr">
        <is>
          <t>Skipped: the page does not state it</t>
        </is>
      </c>
      <c r="AD235" t="n">
        <v>0</v>
      </c>
      <c r="AE235" t="inlineStr"/>
      <c r="AF235" t="inlineStr"/>
      <c r="AG235" t="inlineStr"/>
      <c r="AH235" t="inlineStr"/>
      <c r="AI235" t="inlineStr"/>
      <c r="AJ235" t="inlineStr"/>
      <c r="AK235" t="inlineStr"/>
      <c r="AL235" t="inlineStr"/>
      <c r="AM235" t="inlineStr"/>
    </row>
    <row r="236">
      <c r="A236" t="inlineStr">
        <is>
          <t>083777G</t>
        </is>
      </c>
      <c r="B236" t="inlineStr">
        <is>
          <t>Master of Applied Finance</t>
        </is>
      </c>
      <c r="C236" t="inlineStr">
        <is>
          <t>Masters Degree (Coursework)</t>
        </is>
      </c>
      <c r="D236" t="inlineStr">
        <is>
          <t>Postgraduate coursework</t>
        </is>
      </c>
      <c r="E236" t="inlineStr">
        <is>
          <t>Advertised: official page in place</t>
        </is>
      </c>
      <c r="F236" t="inlineStr">
        <is>
          <t>https://www.mq.edu.au/macquarie-business-school/mba-and-executive/master-of-applied-finance</t>
        </is>
      </c>
      <c r="G236" t="inlineStr">
        <is>
          <t>https://www.mq.edu.au/macquarie-business-school/mba-and-executive/master-of-applied-finance</t>
        </is>
      </c>
      <c r="H236" t="inlineStr">
        <is>
          <t>Read</t>
        </is>
      </c>
      <c r="I236" t="inlineStr">
        <is>
          <t>Exact title match</t>
        </is>
      </c>
      <c r="J236" t="inlineStr"/>
      <c r="K236" t="inlineStr">
        <is>
          <t>Not sent to re-link</t>
        </is>
      </c>
      <c r="L236" t="inlineStr">
        <is>
          <t>Filled</t>
        </is>
      </c>
      <c r="M236" t="inlineStr">
        <is>
          <t>Not stated on course page</t>
        </is>
      </c>
      <c r="N236" t="inlineStr"/>
      <c r="O236" t="n">
        <v>0</v>
      </c>
      <c r="P236" t="inlineStr"/>
      <c r="Q236" t="inlineStr">
        <is>
          <t>Filled</t>
        </is>
      </c>
      <c r="R236" t="n">
        <v>6.5</v>
      </c>
      <c r="S236" t="inlineStr">
        <is>
          <t>Central English policy</t>
        </is>
      </c>
      <c r="T236" t="inlineStr">
        <is>
          <t>Central rule applies (value agrees)</t>
        </is>
      </c>
      <c r="U236" t="inlineStr"/>
      <c r="V236" t="inlineStr">
        <is>
          <t>Not stated on course page</t>
        </is>
      </c>
      <c r="W236" t="inlineStr"/>
      <c r="X236" t="inlineStr"/>
      <c r="Y236" t="n">
        <v>0</v>
      </c>
      <c r="Z236" t="inlineStr">
        <is>
          <t>No</t>
        </is>
      </c>
      <c r="AA236" t="inlineStr">
        <is>
          <t>Filled</t>
        </is>
      </c>
      <c r="AB236" t="inlineStr">
        <is>
          <t>blended</t>
        </is>
      </c>
      <c r="AC236" t="inlineStr">
        <is>
          <t>Filled</t>
        </is>
      </c>
      <c r="AD236" t="n">
        <v>0</v>
      </c>
      <c r="AE236" t="inlineStr"/>
      <c r="AF236" t="inlineStr"/>
      <c r="AG236" t="inlineStr"/>
      <c r="AH236" t="inlineStr"/>
      <c r="AI236" t="inlineStr"/>
      <c r="AJ236" t="inlineStr"/>
      <c r="AK236" t="inlineStr"/>
      <c r="AL236" t="inlineStr"/>
      <c r="AM236" t="inlineStr"/>
    </row>
    <row r="237">
      <c r="A237" t="inlineStr">
        <is>
          <t>095045A</t>
        </is>
      </c>
      <c r="B237" t="inlineStr">
        <is>
          <t>Master of Applied Finance (Advanced)</t>
        </is>
      </c>
      <c r="C237" t="inlineStr">
        <is>
          <t>Masters Degree (Coursework)</t>
        </is>
      </c>
      <c r="D237" t="inlineStr">
        <is>
          <t>Postgraduate coursework</t>
        </is>
      </c>
      <c r="E237" t="inlineStr">
        <is>
          <t>Held: page found is for another course</t>
        </is>
      </c>
      <c r="F237" t="inlineStr"/>
      <c r="G237" t="inlineStr">
        <is>
          <t>https://coursehandbook.mq.edu.au/2026/courses/c000331</t>
        </is>
      </c>
      <c r="H237" t="inlineStr">
        <is>
          <t>Page is for another course</t>
        </is>
      </c>
      <c r="I237" t="inlineStr"/>
      <c r="J237" t="inlineStr"/>
      <c r="K237" t="inlineStr">
        <is>
          <t>Finished, no page: no address from the university's address forms or stored lis</t>
        </is>
      </c>
      <c r="L237" t="inlineStr">
        <is>
          <t>Searching for course page</t>
        </is>
      </c>
      <c r="M237" t="inlineStr">
        <is>
          <t>Searching for course page</t>
        </is>
      </c>
      <c r="N237" t="inlineStr"/>
      <c r="O237" t="n">
        <v>0</v>
      </c>
      <c r="P237" t="inlineStr"/>
      <c r="Q237" t="inlineStr">
        <is>
          <t>Filled</t>
        </is>
      </c>
      <c r="R237" t="n">
        <v>6.5</v>
      </c>
      <c r="S237" t="inlineStr">
        <is>
          <t>Central English policy</t>
        </is>
      </c>
      <c r="T237" t="inlineStr">
        <is>
          <t>Central rule applies (value agrees)</t>
        </is>
      </c>
      <c r="U237" t="inlineStr"/>
      <c r="V237" t="inlineStr">
        <is>
          <t>Searching for course page</t>
        </is>
      </c>
      <c r="W237" t="inlineStr"/>
      <c r="X237" t="inlineStr"/>
      <c r="Y237" t="n">
        <v>0</v>
      </c>
      <c r="Z237" t="inlineStr">
        <is>
          <t>No</t>
        </is>
      </c>
      <c r="AA237" t="inlineStr">
        <is>
          <t>Not stated on course page</t>
        </is>
      </c>
      <c r="AB237" t="inlineStr"/>
      <c r="AC237" t="inlineStr">
        <is>
          <t>Skipped: no correct course page: the page found is for another course</t>
        </is>
      </c>
      <c r="AD237" t="n">
        <v>1</v>
      </c>
      <c r="AE237" t="inlineStr"/>
      <c r="AF237" t="inlineStr"/>
      <c r="AG237" t="inlineStr"/>
      <c r="AH237" t="inlineStr"/>
      <c r="AI237" t="inlineStr"/>
      <c r="AJ237" t="inlineStr"/>
      <c r="AK237" t="inlineStr"/>
      <c r="AL237" t="inlineStr"/>
      <c r="AM237" t="inlineStr"/>
    </row>
    <row r="238">
      <c r="A238" t="inlineStr">
        <is>
          <t>088495M</t>
        </is>
      </c>
      <c r="B238" t="inlineStr">
        <is>
          <t>Master of Applied Linguistics</t>
        </is>
      </c>
      <c r="C238" t="inlineStr">
        <is>
          <t>Masters Degree (Coursework)</t>
        </is>
      </c>
      <c r="D238" t="inlineStr">
        <is>
          <t>Postgraduate coursework</t>
        </is>
      </c>
      <c r="E238" t="inlineStr">
        <is>
          <t>Advertised: official page in place</t>
        </is>
      </c>
      <c r="F238" t="inlineStr">
        <is>
          <t>https://coursehandbook.mq.edu.au/2026/courses/C000037</t>
        </is>
      </c>
      <c r="G238" t="inlineStr">
        <is>
          <t>https://coursehandbook.mq.edu.au/2026/courses/C000037</t>
        </is>
      </c>
      <c r="H238" t="inlineStr">
        <is>
          <t>Read</t>
        </is>
      </c>
      <c r="I238" t="inlineStr">
        <is>
          <t>Exact title match</t>
        </is>
      </c>
      <c r="J238" t="inlineStr"/>
      <c r="K238" t="inlineStr">
        <is>
          <t>Not sent to re-link</t>
        </is>
      </c>
      <c r="L238" t="inlineStr">
        <is>
          <t>Filled</t>
        </is>
      </c>
      <c r="M238" t="inlineStr">
        <is>
          <t>Not stated on course page</t>
        </is>
      </c>
      <c r="N238" t="inlineStr"/>
      <c r="O238" t="n">
        <v>0</v>
      </c>
      <c r="P238" t="inlineStr"/>
      <c r="Q238" t="inlineStr">
        <is>
          <t>Filled</t>
        </is>
      </c>
      <c r="R238" t="n">
        <v>6.5</v>
      </c>
      <c r="S238" t="inlineStr">
        <is>
          <t>University adapter</t>
        </is>
      </c>
      <c r="T238" t="inlineStr">
        <is>
          <t>Central rule applies (value agrees)</t>
        </is>
      </c>
      <c r="U238" t="inlineStr"/>
      <c r="V238" t="inlineStr">
        <is>
          <t>Not stated on course page</t>
        </is>
      </c>
      <c r="W238" t="inlineStr"/>
      <c r="X238" t="inlineStr"/>
      <c r="Y238" t="n">
        <v>0</v>
      </c>
      <c r="Z238" t="inlineStr">
        <is>
          <t>No</t>
        </is>
      </c>
      <c r="AA238" t="inlineStr">
        <is>
          <t>Not stated on course page</t>
        </is>
      </c>
      <c r="AB238" t="inlineStr"/>
      <c r="AC238" t="inlineStr">
        <is>
          <t>Skipped: the page does not state it</t>
        </is>
      </c>
      <c r="AD238" t="n">
        <v>0</v>
      </c>
      <c r="AE238" t="inlineStr"/>
      <c r="AF238" t="inlineStr"/>
      <c r="AG238" t="inlineStr"/>
      <c r="AH238" t="inlineStr"/>
      <c r="AI238" t="inlineStr"/>
      <c r="AJ238" t="inlineStr"/>
      <c r="AK238" t="inlineStr"/>
      <c r="AL238" t="inlineStr"/>
      <c r="AM238" t="inlineStr"/>
    </row>
    <row r="239">
      <c r="A239" t="inlineStr">
        <is>
          <t>083778G</t>
        </is>
      </c>
      <c r="B239" t="inlineStr">
        <is>
          <t>Master of Applied Linguistics and TESOL</t>
        </is>
      </c>
      <c r="C239" t="inlineStr">
        <is>
          <t>Masters Degree (Coursework)</t>
        </is>
      </c>
      <c r="D239" t="inlineStr">
        <is>
          <t>Postgraduate coursework</t>
        </is>
      </c>
      <c r="E239" t="inlineStr">
        <is>
          <t>Advertised: official page in place</t>
        </is>
      </c>
      <c r="F239" t="inlineStr">
        <is>
          <t>https://coursehandbook.mq.edu.au/2026/courses/c000037</t>
        </is>
      </c>
      <c r="G239" t="inlineStr">
        <is>
          <t>https://coursehandbook.mq.edu.au/2026/courses/c000037</t>
        </is>
      </c>
      <c r="H239" t="inlineStr">
        <is>
          <t>Read</t>
        </is>
      </c>
      <c r="I239" t="inlineStr">
        <is>
          <t>Exact title match</t>
        </is>
      </c>
      <c r="J239" t="inlineStr"/>
      <c r="K239" t="inlineStr">
        <is>
          <t>Not sent to re-link</t>
        </is>
      </c>
      <c r="L239" t="inlineStr">
        <is>
          <t>Filled</t>
        </is>
      </c>
      <c r="M239" t="inlineStr">
        <is>
          <t>Not stated on course page</t>
        </is>
      </c>
      <c r="N239" t="inlineStr"/>
      <c r="O239" t="n">
        <v>0</v>
      </c>
      <c r="P239" t="inlineStr"/>
      <c r="Q239" t="inlineStr">
        <is>
          <t>Filled</t>
        </is>
      </c>
      <c r="R239" t="n">
        <v>6.5</v>
      </c>
      <c r="S239" t="inlineStr">
        <is>
          <t>University adapter</t>
        </is>
      </c>
      <c r="T239" t="inlineStr">
        <is>
          <t>Central rule applies (value agrees)</t>
        </is>
      </c>
      <c r="U239" t="inlineStr"/>
      <c r="V239" t="inlineStr">
        <is>
          <t>Not stated on course page</t>
        </is>
      </c>
      <c r="W239" t="inlineStr"/>
      <c r="X239" t="inlineStr"/>
      <c r="Y239" t="n">
        <v>0</v>
      </c>
      <c r="Z239" t="inlineStr">
        <is>
          <t>No</t>
        </is>
      </c>
      <c r="AA239" t="inlineStr">
        <is>
          <t>Not stated on course page</t>
        </is>
      </c>
      <c r="AB239" t="inlineStr"/>
      <c r="AC239" t="inlineStr">
        <is>
          <t>Skipped: the page does not state it</t>
        </is>
      </c>
      <c r="AD239" t="n">
        <v>0</v>
      </c>
      <c r="AE239" t="inlineStr"/>
      <c r="AF239" t="inlineStr"/>
      <c r="AG239" t="inlineStr"/>
      <c r="AH239" t="inlineStr"/>
      <c r="AI239" t="inlineStr"/>
      <c r="AJ239" t="inlineStr"/>
      <c r="AK239" t="inlineStr"/>
      <c r="AL239" t="inlineStr"/>
      <c r="AM239" t="inlineStr"/>
    </row>
    <row r="240">
      <c r="A240" t="inlineStr">
        <is>
          <t>083779F</t>
        </is>
      </c>
      <c r="B240" t="inlineStr">
        <is>
          <t>Master of Applied Statistics</t>
        </is>
      </c>
      <c r="C240" t="inlineStr">
        <is>
          <t>Masters Degree (Coursework)</t>
        </is>
      </c>
      <c r="D240" t="inlineStr">
        <is>
          <t>Postgraduate coursework</t>
        </is>
      </c>
      <c r="E240" t="inlineStr">
        <is>
          <t>Page address no longer works</t>
        </is>
      </c>
      <c r="F240" t="inlineStr"/>
      <c r="G240" t="inlineStr">
        <is>
          <t>https://coursehandbook.mq.edu.au/2026/doubledegree/d003154</t>
        </is>
      </c>
      <c r="H240" t="inlineStr">
        <is>
          <t>Address no longer works</t>
        </is>
      </c>
      <c r="I240" t="inlineStr"/>
      <c r="J240" t="inlineStr"/>
      <c r="K240" t="inlineStr">
        <is>
          <t>Not sent to re-link</t>
        </is>
      </c>
      <c r="L240" t="inlineStr">
        <is>
          <t>Page found, being read</t>
        </is>
      </c>
      <c r="M240" t="inlineStr">
        <is>
          <t>Page found, being read</t>
        </is>
      </c>
      <c r="N240" t="inlineStr"/>
      <c r="O240" t="n">
        <v>0</v>
      </c>
      <c r="P240" t="inlineStr"/>
      <c r="Q240" t="inlineStr">
        <is>
          <t>Filled</t>
        </is>
      </c>
      <c r="R240" t="n">
        <v>6.5</v>
      </c>
      <c r="S240" t="inlineStr">
        <is>
          <t>Central English policy</t>
        </is>
      </c>
      <c r="T240" t="inlineStr">
        <is>
          <t>Central rule applies (value agrees)</t>
        </is>
      </c>
      <c r="U240" t="inlineStr"/>
      <c r="V240" t="inlineStr">
        <is>
          <t>Page found, being read</t>
        </is>
      </c>
      <c r="W240" t="inlineStr"/>
      <c r="X240" t="inlineStr"/>
      <c r="Y240" t="n">
        <v>0</v>
      </c>
      <c r="Z240" t="inlineStr">
        <is>
          <t>No</t>
        </is>
      </c>
      <c r="AA240" t="inlineStr">
        <is>
          <t>Not stated on course page</t>
        </is>
      </c>
      <c r="AB240" t="inlineStr"/>
      <c r="AC240" t="inlineStr">
        <is>
          <t>Skipped: no allowed source had a value</t>
        </is>
      </c>
      <c r="AD240" t="n">
        <v>0</v>
      </c>
      <c r="AE240" t="inlineStr"/>
      <c r="AF240" t="inlineStr"/>
      <c r="AG240" t="inlineStr"/>
      <c r="AH240" t="inlineStr"/>
      <c r="AI240" t="inlineStr"/>
      <c r="AJ240" t="inlineStr"/>
      <c r="AK240" t="inlineStr"/>
      <c r="AL240" t="inlineStr"/>
      <c r="AM240" t="inlineStr"/>
    </row>
    <row r="241">
      <c r="A241" t="inlineStr">
        <is>
          <t>120162F</t>
        </is>
      </c>
      <c r="B241" t="inlineStr">
        <is>
          <t>Master of Artificial Intelligence</t>
        </is>
      </c>
      <c r="C241" t="inlineStr">
        <is>
          <t>Masters Degree (Coursework)</t>
        </is>
      </c>
      <c r="D241" t="inlineStr">
        <is>
          <t>Postgraduate coursework</t>
        </is>
      </c>
      <c r="E241" t="inlineStr">
        <is>
          <t>Advertised: official page in place</t>
        </is>
      </c>
      <c r="F241" t="inlineStr">
        <is>
          <t>https://www.mq.edu.au/study/find-a-course/courses/master-of-artificial-intelligence</t>
        </is>
      </c>
      <c r="G241" t="inlineStr">
        <is>
          <t>https://www.mq.edu.au/study/find-a-course/courses/master-of-artificial-intelligence</t>
        </is>
      </c>
      <c r="H241" t="inlineStr">
        <is>
          <t>Read</t>
        </is>
      </c>
      <c r="I241" t="inlineStr">
        <is>
          <t>Exact title match</t>
        </is>
      </c>
      <c r="J241" t="inlineStr"/>
      <c r="K241" t="inlineStr">
        <is>
          <t>Not sent to re-link</t>
        </is>
      </c>
      <c r="L241" t="inlineStr">
        <is>
          <t>Filled</t>
        </is>
      </c>
      <c r="M241" t="inlineStr">
        <is>
          <t>Not stated on course page</t>
        </is>
      </c>
      <c r="N241" t="inlineStr"/>
      <c r="O241" t="n">
        <v>0</v>
      </c>
      <c r="P241" t="inlineStr"/>
      <c r="Q241" t="inlineStr">
        <is>
          <t>Filled</t>
        </is>
      </c>
      <c r="R241" t="n">
        <v>6.5</v>
      </c>
      <c r="S241" t="inlineStr">
        <is>
          <t>Other</t>
        </is>
      </c>
      <c r="T241" t="inlineStr">
        <is>
          <t>Central rule applies (value agrees)</t>
        </is>
      </c>
      <c r="U241" t="inlineStr"/>
      <c r="V241" t="inlineStr">
        <is>
          <t>Filled</t>
        </is>
      </c>
      <c r="W241" t="inlineStr">
        <is>
          <t>February, July</t>
        </is>
      </c>
      <c r="X241" t="inlineStr">
        <is>
          <t>Other</t>
        </is>
      </c>
      <c r="Y241" t="n">
        <v>0</v>
      </c>
      <c r="Z241" t="inlineStr">
        <is>
          <t>No</t>
        </is>
      </c>
      <c r="AA241" t="inlineStr">
        <is>
          <t>Filled</t>
        </is>
      </c>
      <c r="AB241" t="inlineStr">
        <is>
          <t>on campus</t>
        </is>
      </c>
      <c r="AC241" t="inlineStr">
        <is>
          <t>Filled</t>
        </is>
      </c>
      <c r="AD241" t="n">
        <v>0</v>
      </c>
      <c r="AE241" t="inlineStr"/>
      <c r="AF241" t="inlineStr"/>
      <c r="AG241" t="inlineStr"/>
      <c r="AH241" t="inlineStr"/>
      <c r="AI241" t="inlineStr"/>
      <c r="AJ241" t="inlineStr"/>
      <c r="AK241" t="inlineStr"/>
      <c r="AL241" t="inlineStr"/>
      <c r="AM241" t="inlineStr"/>
    </row>
    <row r="242">
      <c r="A242" t="inlineStr">
        <is>
          <t>030079F</t>
        </is>
      </c>
      <c r="B242" t="inlineStr">
        <is>
          <t>Master of Arts</t>
        </is>
      </c>
      <c r="C242" t="inlineStr">
        <is>
          <t>Masters Degree (Coursework)</t>
        </is>
      </c>
      <c r="D242" t="inlineStr">
        <is>
          <t>Postgraduate coursework</t>
        </is>
      </c>
      <c r="E242" t="inlineStr">
        <is>
          <t>Advertised: official page in place</t>
        </is>
      </c>
      <c r="F242" t="inlineStr">
        <is>
          <t>https://handbook.mq.edu.au/2014/DegreesDiplomas/PGDegree/Master+of+Arts</t>
        </is>
      </c>
      <c r="G242" t="inlineStr">
        <is>
          <t>https://handbook.mq.edu.au/2014/DegreesDiplomas/PGDegree/Master+of+Arts</t>
        </is>
      </c>
      <c r="H242" t="inlineStr">
        <is>
          <t>Read</t>
        </is>
      </c>
      <c r="I242" t="inlineStr">
        <is>
          <t>Exact title match</t>
        </is>
      </c>
      <c r="J242" t="inlineStr"/>
      <c r="K242" t="inlineStr">
        <is>
          <t>Not sent to re-link</t>
        </is>
      </c>
      <c r="L242" t="inlineStr">
        <is>
          <t>Filled</t>
        </is>
      </c>
      <c r="M242" t="inlineStr">
        <is>
          <t>Not stated on course page</t>
        </is>
      </c>
      <c r="N242" t="inlineStr"/>
      <c r="O242" t="n">
        <v>0</v>
      </c>
      <c r="P242" t="inlineStr"/>
      <c r="Q242" t="inlineStr">
        <is>
          <t>Filled</t>
        </is>
      </c>
      <c r="R242" t="n">
        <v>6.5</v>
      </c>
      <c r="S242" t="inlineStr">
        <is>
          <t>Central English policy</t>
        </is>
      </c>
      <c r="T242" t="inlineStr">
        <is>
          <t>Central rule applies (value agrees)</t>
        </is>
      </c>
      <c r="U242" t="inlineStr"/>
      <c r="V242" t="inlineStr">
        <is>
          <t>Filled</t>
        </is>
      </c>
      <c r="W242" t="inlineStr">
        <is>
          <t>March, August</t>
        </is>
      </c>
      <c r="X242" t="inlineStr">
        <is>
          <t>Page reader</t>
        </is>
      </c>
      <c r="Y242" t="n">
        <v>0</v>
      </c>
      <c r="Z242" t="inlineStr">
        <is>
          <t>No</t>
        </is>
      </c>
      <c r="AA242" t="inlineStr">
        <is>
          <t>Filled</t>
        </is>
      </c>
      <c r="AB242" t="inlineStr">
        <is>
          <t>on campus</t>
        </is>
      </c>
      <c r="AC242" t="inlineStr">
        <is>
          <t>Filled</t>
        </is>
      </c>
      <c r="AD242" t="n">
        <v>0</v>
      </c>
      <c r="AE242" t="inlineStr"/>
      <c r="AF242" t="inlineStr"/>
      <c r="AG242" t="inlineStr"/>
      <c r="AH242" t="inlineStr"/>
      <c r="AI242" t="inlineStr"/>
      <c r="AJ242" t="inlineStr"/>
      <c r="AK242" t="inlineStr"/>
      <c r="AL242" t="inlineStr"/>
      <c r="AM242" t="inlineStr"/>
    </row>
    <row r="243">
      <c r="A243" t="inlineStr">
        <is>
          <t>087880K</t>
        </is>
      </c>
      <c r="B243" t="inlineStr">
        <is>
          <t>Master of Banking and Finance</t>
        </is>
      </c>
      <c r="C243" t="inlineStr">
        <is>
          <t>Masters Degree (Coursework)</t>
        </is>
      </c>
      <c r="D243" t="inlineStr">
        <is>
          <t>Postgraduate coursework</t>
        </is>
      </c>
      <c r="E243" t="inlineStr">
        <is>
          <t>Advertised: official page in place</t>
        </is>
      </c>
      <c r="F243" t="inlineStr">
        <is>
          <t>https://coursehandbook.mq.edu.au/2026/courses/C000101</t>
        </is>
      </c>
      <c r="G243" t="inlineStr">
        <is>
          <t>https://coursehandbook.mq.edu.au/2026/courses/C000101</t>
        </is>
      </c>
      <c r="H243" t="inlineStr">
        <is>
          <t>Read</t>
        </is>
      </c>
      <c r="I243" t="inlineStr">
        <is>
          <t>Exact title match</t>
        </is>
      </c>
      <c r="J243" t="inlineStr"/>
      <c r="K243" t="inlineStr">
        <is>
          <t>Not sent to re-link</t>
        </is>
      </c>
      <c r="L243" t="inlineStr">
        <is>
          <t>Filled</t>
        </is>
      </c>
      <c r="M243" t="inlineStr">
        <is>
          <t>Not stated on course page</t>
        </is>
      </c>
      <c r="N243" t="inlineStr"/>
      <c r="O243" t="n">
        <v>0</v>
      </c>
      <c r="P243" t="inlineStr"/>
      <c r="Q243" t="inlineStr">
        <is>
          <t>Filled</t>
        </is>
      </c>
      <c r="R243" t="n">
        <v>6.5</v>
      </c>
      <c r="S243" t="inlineStr">
        <is>
          <t>University adapter</t>
        </is>
      </c>
      <c r="T243" t="inlineStr">
        <is>
          <t>Central rule applies (value agrees)</t>
        </is>
      </c>
      <c r="U243" t="inlineStr"/>
      <c r="V243" t="inlineStr">
        <is>
          <t>Not stated on course page</t>
        </is>
      </c>
      <c r="W243" t="inlineStr"/>
      <c r="X243" t="inlineStr"/>
      <c r="Y243" t="n">
        <v>0</v>
      </c>
      <c r="Z243" t="inlineStr">
        <is>
          <t>No</t>
        </is>
      </c>
      <c r="AA243" t="inlineStr">
        <is>
          <t>Not stated on course page</t>
        </is>
      </c>
      <c r="AB243" t="inlineStr"/>
      <c r="AC243" t="inlineStr">
        <is>
          <t>Skipped: the page does not state it</t>
        </is>
      </c>
      <c r="AD243" t="n">
        <v>0</v>
      </c>
      <c r="AE243" t="inlineStr"/>
      <c r="AF243" t="inlineStr"/>
      <c r="AG243" t="inlineStr"/>
      <c r="AH243" t="inlineStr"/>
      <c r="AI243" t="inlineStr"/>
      <c r="AJ243" t="inlineStr"/>
      <c r="AK243" t="inlineStr"/>
      <c r="AL243" t="inlineStr"/>
      <c r="AM243" t="inlineStr"/>
    </row>
    <row r="244">
      <c r="A244" t="inlineStr">
        <is>
          <t>090880F</t>
        </is>
      </c>
      <c r="B244" t="inlineStr">
        <is>
          <t>Master of Banking and Finance (Dual Degree with East China Normal University)</t>
        </is>
      </c>
      <c r="C244" t="inlineStr">
        <is>
          <t>Masters Degree (Coursework)</t>
        </is>
      </c>
      <c r="D244" t="inlineStr">
        <is>
          <t>Postgraduate coursework</t>
        </is>
      </c>
      <c r="E244" t="inlineStr">
        <is>
          <t>No-page record (conjoint), awaiting review</t>
        </is>
      </c>
      <c r="F244" t="inlineStr"/>
      <c r="G244" t="inlineStr">
        <is>
          <t>https://handbook.mq.edu.au/2015/DegreesDiplomas/PGDegree/Master+of+Applied+Finance</t>
        </is>
      </c>
      <c r="H244" t="inlineStr">
        <is>
          <t>Page is for another course</t>
        </is>
      </c>
      <c r="I244" t="inlineStr"/>
      <c r="J244" t="inlineStr">
        <is>
          <t>Conjoint (proposed)</t>
        </is>
      </c>
      <c r="K244" t="inlineStr">
        <is>
          <t>Finished, no page: no address from the university's address forms or stored lis</t>
        </is>
      </c>
      <c r="L244" t="inlineStr">
        <is>
          <t>Searching for course page</t>
        </is>
      </c>
      <c r="M244" t="inlineStr">
        <is>
          <t>Searching for course page</t>
        </is>
      </c>
      <c r="N244" t="inlineStr"/>
      <c r="O244" t="n">
        <v>0</v>
      </c>
      <c r="P244" t="inlineStr"/>
      <c r="Q244" t="inlineStr">
        <is>
          <t>Filled</t>
        </is>
      </c>
      <c r="R244" t="n">
        <v>6.5</v>
      </c>
      <c r="S244" t="inlineStr">
        <is>
          <t>Central English policy</t>
        </is>
      </c>
      <c r="T244" t="inlineStr">
        <is>
          <t>Central rule applies (value agrees)</t>
        </is>
      </c>
      <c r="U244" t="inlineStr"/>
      <c r="V244" t="inlineStr">
        <is>
          <t>Searching for course page</t>
        </is>
      </c>
      <c r="W244" t="inlineStr"/>
      <c r="X244" t="inlineStr"/>
      <c r="Y244" t="n">
        <v>0</v>
      </c>
      <c r="Z244" t="inlineStr">
        <is>
          <t>No</t>
        </is>
      </c>
      <c r="AA244" t="inlineStr">
        <is>
          <t>Not stated on course page</t>
        </is>
      </c>
      <c r="AB244" t="inlineStr"/>
      <c r="AC244" t="inlineStr">
        <is>
          <t>Skipped: taken back: the page read was another course's page</t>
        </is>
      </c>
      <c r="AD244" t="n">
        <v>1</v>
      </c>
      <c r="AE244" t="inlineStr"/>
      <c r="AF244" t="inlineStr"/>
      <c r="AG244" t="inlineStr"/>
      <c r="AH244" t="inlineStr"/>
      <c r="AI244" t="inlineStr"/>
      <c r="AJ244" t="inlineStr"/>
      <c r="AK244" t="inlineStr"/>
      <c r="AL244" t="inlineStr"/>
      <c r="AM244" t="inlineStr">
        <is>
          <t>Yes</t>
        </is>
      </c>
    </row>
    <row r="245">
      <c r="A245" t="inlineStr">
        <is>
          <t>084698K</t>
        </is>
      </c>
      <c r="B245" t="inlineStr">
        <is>
          <t>Master of Biotechnology</t>
        </is>
      </c>
      <c r="C245" t="inlineStr">
        <is>
          <t>Masters Degree (Coursework)</t>
        </is>
      </c>
      <c r="D245" t="inlineStr">
        <is>
          <t>Postgraduate coursework</t>
        </is>
      </c>
      <c r="E245" t="inlineStr">
        <is>
          <t>Advertised: official page in place</t>
        </is>
      </c>
      <c r="F245" t="inlineStr">
        <is>
          <t>https://coursehandbook.mq.edu.au/2026/courses/c000036</t>
        </is>
      </c>
      <c r="G245" t="inlineStr">
        <is>
          <t>https://coursehandbook.mq.edu.au/2026/courses/c000036</t>
        </is>
      </c>
      <c r="H245" t="inlineStr">
        <is>
          <t>Read</t>
        </is>
      </c>
      <c r="I245" t="inlineStr">
        <is>
          <t>Exact title match</t>
        </is>
      </c>
      <c r="J245" t="inlineStr"/>
      <c r="K245" t="inlineStr">
        <is>
          <t>Not sent to re-link</t>
        </is>
      </c>
      <c r="L245" t="inlineStr">
        <is>
          <t>Filled</t>
        </is>
      </c>
      <c r="M245" t="inlineStr">
        <is>
          <t>Not stated on course page</t>
        </is>
      </c>
      <c r="N245" t="inlineStr"/>
      <c r="O245" t="n">
        <v>0</v>
      </c>
      <c r="P245" t="inlineStr"/>
      <c r="Q245" t="inlineStr">
        <is>
          <t>Filled</t>
        </is>
      </c>
      <c r="R245" t="n">
        <v>6.5</v>
      </c>
      <c r="S245" t="inlineStr">
        <is>
          <t>University adapter</t>
        </is>
      </c>
      <c r="T245" t="inlineStr">
        <is>
          <t>Central rule applies (value agrees)</t>
        </is>
      </c>
      <c r="U245" t="inlineStr"/>
      <c r="V245" t="inlineStr">
        <is>
          <t>Not stated on course page</t>
        </is>
      </c>
      <c r="W245" t="inlineStr"/>
      <c r="X245" t="inlineStr"/>
      <c r="Y245" t="n">
        <v>0</v>
      </c>
      <c r="Z245" t="inlineStr">
        <is>
          <t>No</t>
        </is>
      </c>
      <c r="AA245" t="inlineStr">
        <is>
          <t>Not stated on course page</t>
        </is>
      </c>
      <c r="AB245" t="inlineStr"/>
      <c r="AC245" t="inlineStr">
        <is>
          <t>Skipped: the page does not state it</t>
        </is>
      </c>
      <c r="AD245" t="n">
        <v>0</v>
      </c>
      <c r="AE245" t="inlineStr"/>
      <c r="AF245" t="inlineStr"/>
      <c r="AG245" t="inlineStr"/>
      <c r="AH245" t="inlineStr"/>
      <c r="AI245" t="inlineStr"/>
      <c r="AJ245" t="inlineStr"/>
      <c r="AK245" t="inlineStr"/>
      <c r="AL245" t="inlineStr"/>
      <c r="AM245" t="inlineStr"/>
    </row>
    <row r="246">
      <c r="A246" t="inlineStr">
        <is>
          <t>083780B</t>
        </is>
      </c>
      <c r="B246" t="inlineStr">
        <is>
          <t>Master of Biotechnology and Business</t>
        </is>
      </c>
      <c r="C246" t="inlineStr">
        <is>
          <t>Masters Degree (Coursework)</t>
        </is>
      </c>
      <c r="D246" t="inlineStr">
        <is>
          <t>Postgraduate coursework</t>
        </is>
      </c>
      <c r="E246" t="inlineStr">
        <is>
          <t>Page address no longer works</t>
        </is>
      </c>
      <c r="F246" t="inlineStr"/>
      <c r="G246" t="inlineStr">
        <is>
          <t>https://coursehandbook.mq.edu.au/2026/courses/c000035</t>
        </is>
      </c>
      <c r="H246" t="inlineStr">
        <is>
          <t>Address no longer works</t>
        </is>
      </c>
      <c r="I246" t="inlineStr"/>
      <c r="J246" t="inlineStr"/>
      <c r="K246" t="inlineStr">
        <is>
          <t>Not sent to re-link</t>
        </is>
      </c>
      <c r="L246" t="inlineStr">
        <is>
          <t>Page found, being read</t>
        </is>
      </c>
      <c r="M246" t="inlineStr">
        <is>
          <t>Page found, being read</t>
        </is>
      </c>
      <c r="N246" t="inlineStr"/>
      <c r="O246" t="n">
        <v>0</v>
      </c>
      <c r="P246" t="inlineStr"/>
      <c r="Q246" t="inlineStr">
        <is>
          <t>Filled</t>
        </is>
      </c>
      <c r="R246" t="n">
        <v>6.5</v>
      </c>
      <c r="S246" t="inlineStr">
        <is>
          <t>Central English policy</t>
        </is>
      </c>
      <c r="T246" t="inlineStr">
        <is>
          <t>Central rule applies (value agrees)</t>
        </is>
      </c>
      <c r="U246" t="inlineStr"/>
      <c r="V246" t="inlineStr">
        <is>
          <t>Page found, being read</t>
        </is>
      </c>
      <c r="W246" t="inlineStr"/>
      <c r="X246" t="inlineStr"/>
      <c r="Y246" t="n">
        <v>0</v>
      </c>
      <c r="Z246" t="inlineStr">
        <is>
          <t>No</t>
        </is>
      </c>
      <c r="AA246" t="inlineStr">
        <is>
          <t>Not stated on course page</t>
        </is>
      </c>
      <c r="AB246" t="inlineStr"/>
      <c r="AC246" t="inlineStr">
        <is>
          <t>Skipped: no allowed source had a value</t>
        </is>
      </c>
      <c r="AD246" t="n">
        <v>0</v>
      </c>
      <c r="AE246" t="inlineStr"/>
      <c r="AF246" t="inlineStr"/>
      <c r="AG246" t="inlineStr"/>
      <c r="AH246" t="inlineStr"/>
      <c r="AI246" t="inlineStr"/>
      <c r="AJ246" t="inlineStr"/>
      <c r="AK246" t="inlineStr"/>
      <c r="AL246" t="inlineStr"/>
      <c r="AM246" t="inlineStr"/>
    </row>
    <row r="247">
      <c r="A247" t="inlineStr">
        <is>
          <t>083781A</t>
        </is>
      </c>
      <c r="B247" t="inlineStr">
        <is>
          <t>Master of Business Administration</t>
        </is>
      </c>
      <c r="C247" t="inlineStr">
        <is>
          <t>Masters Degree (Coursework)</t>
        </is>
      </c>
      <c r="D247" t="inlineStr">
        <is>
          <t>Postgraduate coursework</t>
        </is>
      </c>
      <c r="E247" t="inlineStr">
        <is>
          <t>Advertised: official page in place</t>
        </is>
      </c>
      <c r="F247" t="inlineStr">
        <is>
          <t>https://www.mq.edu.au/study/find-a-course/courses/master-of-business-administration</t>
        </is>
      </c>
      <c r="G247" t="inlineStr">
        <is>
          <t>https://www.mq.edu.au/study/find-a-course/courses/master-of-business-administration</t>
        </is>
      </c>
      <c r="H247" t="inlineStr">
        <is>
          <t>Read</t>
        </is>
      </c>
      <c r="I247" t="inlineStr">
        <is>
          <t>Exact title match</t>
        </is>
      </c>
      <c r="J247" t="inlineStr"/>
      <c r="K247" t="inlineStr">
        <is>
          <t>Not sent to re-link</t>
        </is>
      </c>
      <c r="L247" t="inlineStr">
        <is>
          <t>Filled</t>
        </is>
      </c>
      <c r="M247" t="inlineStr">
        <is>
          <t>Not stated on course page</t>
        </is>
      </c>
      <c r="N247" t="inlineStr"/>
      <c r="O247" t="n">
        <v>0</v>
      </c>
      <c r="P247" t="inlineStr"/>
      <c r="Q247" t="inlineStr">
        <is>
          <t>Filled</t>
        </is>
      </c>
      <c r="R247" t="n">
        <v>7</v>
      </c>
      <c r="S247" t="inlineStr">
        <is>
          <t>Other</t>
        </is>
      </c>
      <c r="T247" t="inlineStr">
        <is>
          <t>Central rule applies (course value differs)</t>
        </is>
      </c>
      <c r="U247" t="inlineStr">
        <is>
          <t>Yes: course has IELTS 7.00, central rule says 6.5</t>
        </is>
      </c>
      <c r="V247" t="inlineStr">
        <is>
          <t>Filled</t>
        </is>
      </c>
      <c r="W247" t="inlineStr">
        <is>
          <t>January, April, June, September</t>
        </is>
      </c>
      <c r="X247" t="inlineStr">
        <is>
          <t>Other</t>
        </is>
      </c>
      <c r="Y247" t="n">
        <v>0</v>
      </c>
      <c r="Z247" t="inlineStr">
        <is>
          <t>No</t>
        </is>
      </c>
      <c r="AA247" t="inlineStr">
        <is>
          <t>Filled</t>
        </is>
      </c>
      <c r="AB247" t="inlineStr">
        <is>
          <t>blended</t>
        </is>
      </c>
      <c r="AC247" t="inlineStr">
        <is>
          <t>Filled</t>
        </is>
      </c>
      <c r="AD247" t="n">
        <v>0</v>
      </c>
      <c r="AE247" t="inlineStr"/>
      <c r="AF247" t="inlineStr"/>
      <c r="AG247" t="inlineStr"/>
      <c r="AH247" t="inlineStr"/>
      <c r="AI247" t="inlineStr"/>
      <c r="AJ247" t="inlineStr"/>
      <c r="AK247" t="inlineStr"/>
      <c r="AL247" t="inlineStr"/>
      <c r="AM247" t="inlineStr"/>
    </row>
    <row r="248">
      <c r="A248" t="inlineStr">
        <is>
          <t>099158D</t>
        </is>
      </c>
      <c r="B248" t="inlineStr">
        <is>
          <t>Master of Business Analytics</t>
        </is>
      </c>
      <c r="C248" t="inlineStr">
        <is>
          <t>Masters Degree (Coursework)</t>
        </is>
      </c>
      <c r="D248" t="inlineStr">
        <is>
          <t>Postgraduate coursework</t>
        </is>
      </c>
      <c r="E248" t="inlineStr">
        <is>
          <t>Page read, not yet admitted</t>
        </is>
      </c>
      <c r="F248" t="inlineStr"/>
      <c r="G248" t="inlineStr">
        <is>
          <t>https://www.mq.edu.au/study/find-a-course/courses/master-of-business-analytics</t>
        </is>
      </c>
      <c r="H248" t="inlineStr">
        <is>
          <t>Read</t>
        </is>
      </c>
      <c r="I248" t="inlineStr">
        <is>
          <t>Exact title match</t>
        </is>
      </c>
      <c r="J248" t="inlineStr"/>
      <c r="K248" t="inlineStr">
        <is>
          <t>Not sent to re-link</t>
        </is>
      </c>
      <c r="L248" t="inlineStr">
        <is>
          <t>Page found, being read</t>
        </is>
      </c>
      <c r="M248" t="inlineStr">
        <is>
          <t>Page found, being read</t>
        </is>
      </c>
      <c r="N248" t="inlineStr"/>
      <c r="O248" t="n">
        <v>0</v>
      </c>
      <c r="P248" t="inlineStr"/>
      <c r="Q248" t="inlineStr">
        <is>
          <t>Filled</t>
        </is>
      </c>
      <c r="R248" t="n">
        <v>6.5</v>
      </c>
      <c r="S248" t="inlineStr">
        <is>
          <t>Central English policy</t>
        </is>
      </c>
      <c r="T248" t="inlineStr">
        <is>
          <t>Central rule applies (value agrees)</t>
        </is>
      </c>
      <c r="U248" t="inlineStr"/>
      <c r="V248" t="inlineStr">
        <is>
          <t>Filled</t>
        </is>
      </c>
      <c r="W248" t="inlineStr">
        <is>
          <t>February, July</t>
        </is>
      </c>
      <c r="X248" t="inlineStr">
        <is>
          <t>University adapter</t>
        </is>
      </c>
      <c r="Y248" t="n">
        <v>0</v>
      </c>
      <c r="Z248" t="inlineStr">
        <is>
          <t>No</t>
        </is>
      </c>
      <c r="AA248" t="inlineStr">
        <is>
          <t>Filled</t>
        </is>
      </c>
      <c r="AB248" t="inlineStr">
        <is>
          <t>on campus</t>
        </is>
      </c>
      <c r="AC248" t="inlineStr">
        <is>
          <t>Filled</t>
        </is>
      </c>
      <c r="AD248" t="n">
        <v>0</v>
      </c>
      <c r="AE248" t="inlineStr"/>
      <c r="AF248" t="inlineStr"/>
      <c r="AG248" t="inlineStr"/>
      <c r="AH248" t="inlineStr"/>
      <c r="AI248" t="inlineStr"/>
      <c r="AJ248" t="inlineStr"/>
      <c r="AK248" t="inlineStr"/>
      <c r="AL248" t="inlineStr"/>
      <c r="AM248" t="inlineStr"/>
    </row>
    <row r="249">
      <c r="A249" t="inlineStr">
        <is>
          <t>0100139</t>
        </is>
      </c>
      <c r="B249" t="inlineStr">
        <is>
          <t>Master of Business Analytics</t>
        </is>
      </c>
      <c r="C249" t="inlineStr">
        <is>
          <t>Masters Degree (Coursework)</t>
        </is>
      </c>
      <c r="D249" t="inlineStr">
        <is>
          <t>Postgraduate coursework</t>
        </is>
      </c>
      <c r="E249" t="inlineStr">
        <is>
          <t>Advertised: official page in place</t>
        </is>
      </c>
      <c r="F249" t="inlineStr">
        <is>
          <t>https://coursehandbook.mq.edu.au/2026/courses/C000180</t>
        </is>
      </c>
      <c r="G249" t="inlineStr">
        <is>
          <t>https://coursehandbook.mq.edu.au/2026/courses/C000180</t>
        </is>
      </c>
      <c r="H249" t="inlineStr">
        <is>
          <t>Read</t>
        </is>
      </c>
      <c r="I249" t="inlineStr">
        <is>
          <t>Exact title match</t>
        </is>
      </c>
      <c r="J249" t="inlineStr"/>
      <c r="K249" t="inlineStr">
        <is>
          <t>Not sent to re-link</t>
        </is>
      </c>
      <c r="L249" t="inlineStr">
        <is>
          <t>Filled</t>
        </is>
      </c>
      <c r="M249" t="inlineStr">
        <is>
          <t>Not stated on course page</t>
        </is>
      </c>
      <c r="N249" t="inlineStr"/>
      <c r="O249" t="n">
        <v>0</v>
      </c>
      <c r="P249" t="inlineStr"/>
      <c r="Q249" t="inlineStr">
        <is>
          <t>Filled</t>
        </is>
      </c>
      <c r="R249" t="n">
        <v>6.5</v>
      </c>
      <c r="S249" t="inlineStr">
        <is>
          <t>University adapter</t>
        </is>
      </c>
      <c r="T249" t="inlineStr">
        <is>
          <t>Central rule applies (value agrees)</t>
        </is>
      </c>
      <c r="U249" t="inlineStr"/>
      <c r="V249" t="inlineStr">
        <is>
          <t>Not stated on course page</t>
        </is>
      </c>
      <c r="W249" t="inlineStr"/>
      <c r="X249" t="inlineStr"/>
      <c r="Y249" t="n">
        <v>0</v>
      </c>
      <c r="Z249" t="inlineStr">
        <is>
          <t>No</t>
        </is>
      </c>
      <c r="AA249" t="inlineStr">
        <is>
          <t>Not stated on course page</t>
        </is>
      </c>
      <c r="AB249" t="inlineStr"/>
      <c r="AC249" t="inlineStr">
        <is>
          <t>Skipped: the page does not state it</t>
        </is>
      </c>
      <c r="AD249" t="n">
        <v>0</v>
      </c>
      <c r="AE249" t="inlineStr"/>
      <c r="AF249" t="inlineStr"/>
      <c r="AG249" t="inlineStr"/>
      <c r="AH249" t="inlineStr"/>
      <c r="AI249" t="inlineStr"/>
      <c r="AJ249" t="inlineStr"/>
      <c r="AK249" t="inlineStr"/>
      <c r="AL249" t="inlineStr"/>
      <c r="AM249" t="inlineStr"/>
    </row>
    <row r="250">
      <c r="A250" t="inlineStr">
        <is>
          <t>084699J</t>
        </is>
      </c>
      <c r="B250" t="inlineStr">
        <is>
          <t>Master of Chiropractic</t>
        </is>
      </c>
      <c r="C250" t="inlineStr">
        <is>
          <t>Masters Degree (Coursework)</t>
        </is>
      </c>
      <c r="D250" t="inlineStr">
        <is>
          <t>Postgraduate coursework</t>
        </is>
      </c>
      <c r="E250" t="inlineStr">
        <is>
          <t>Advertised: official page in place</t>
        </is>
      </c>
      <c r="F250" t="inlineStr">
        <is>
          <t>https://coursehandbook.mq.edu.au/2026/courses/C000034</t>
        </is>
      </c>
      <c r="G250" t="inlineStr">
        <is>
          <t>https://coursehandbook.mq.edu.au/2026/courses/C000034</t>
        </is>
      </c>
      <c r="H250" t="inlineStr">
        <is>
          <t>Read</t>
        </is>
      </c>
      <c r="I250" t="inlineStr">
        <is>
          <t>Exact title match</t>
        </is>
      </c>
      <c r="J250" t="inlineStr"/>
      <c r="K250" t="inlineStr">
        <is>
          <t>Not sent to re-link</t>
        </is>
      </c>
      <c r="L250" t="inlineStr">
        <is>
          <t>Filled</t>
        </is>
      </c>
      <c r="M250" t="inlineStr">
        <is>
          <t>Not stated on course page</t>
        </is>
      </c>
      <c r="N250" t="inlineStr"/>
      <c r="O250" t="n">
        <v>0</v>
      </c>
      <c r="P250" t="inlineStr"/>
      <c r="Q250" t="inlineStr">
        <is>
          <t>Filled</t>
        </is>
      </c>
      <c r="R250" t="n">
        <v>6.5</v>
      </c>
      <c r="S250" t="inlineStr">
        <is>
          <t>University adapter</t>
        </is>
      </c>
      <c r="T250" t="inlineStr">
        <is>
          <t>Central rule applies (value agrees)</t>
        </is>
      </c>
      <c r="U250" t="inlineStr"/>
      <c r="V250" t="inlineStr">
        <is>
          <t>Not stated on course page</t>
        </is>
      </c>
      <c r="W250" t="inlineStr"/>
      <c r="X250" t="inlineStr"/>
      <c r="Y250" t="n">
        <v>0</v>
      </c>
      <c r="Z250" t="inlineStr">
        <is>
          <t>No</t>
        </is>
      </c>
      <c r="AA250" t="inlineStr">
        <is>
          <t>Not stated on course page</t>
        </is>
      </c>
      <c r="AB250" t="inlineStr"/>
      <c r="AC250" t="inlineStr">
        <is>
          <t>Skipped: the page does not state it</t>
        </is>
      </c>
      <c r="AD250" t="n">
        <v>0</v>
      </c>
      <c r="AE250" t="inlineStr"/>
      <c r="AF250" t="inlineStr"/>
      <c r="AG250" t="inlineStr"/>
      <c r="AH250" t="inlineStr"/>
      <c r="AI250" t="inlineStr"/>
      <c r="AJ250" t="inlineStr"/>
      <c r="AK250" t="inlineStr"/>
      <c r="AL250" t="inlineStr"/>
      <c r="AM250" t="inlineStr"/>
    </row>
    <row r="251">
      <c r="A251" t="inlineStr">
        <is>
          <t>027373D</t>
        </is>
      </c>
      <c r="B251" t="inlineStr">
        <is>
          <t>Master of Clinical Audiology</t>
        </is>
      </c>
      <c r="C251" t="inlineStr">
        <is>
          <t>Masters Degree (Coursework)</t>
        </is>
      </c>
      <c r="D251" t="inlineStr">
        <is>
          <t>Postgraduate coursework</t>
        </is>
      </c>
      <c r="E251" t="inlineStr">
        <is>
          <t>Advertised: official page in place</t>
        </is>
      </c>
      <c r="F251" t="inlineStr">
        <is>
          <t>https://coursehandbook.mq.edu.au/2026/courses/C000099</t>
        </is>
      </c>
      <c r="G251" t="inlineStr">
        <is>
          <t>https://coursehandbook.mq.edu.au/2026/courses/C000099</t>
        </is>
      </c>
      <c r="H251" t="inlineStr">
        <is>
          <t>Read</t>
        </is>
      </c>
      <c r="I251" t="inlineStr">
        <is>
          <t>Exact title match</t>
        </is>
      </c>
      <c r="J251" t="inlineStr"/>
      <c r="K251" t="inlineStr">
        <is>
          <t>Not sent to re-link</t>
        </is>
      </c>
      <c r="L251" t="inlineStr">
        <is>
          <t>Filled</t>
        </is>
      </c>
      <c r="M251" t="inlineStr">
        <is>
          <t>Not stated on course page</t>
        </is>
      </c>
      <c r="N251" t="inlineStr"/>
      <c r="O251" t="n">
        <v>0</v>
      </c>
      <c r="P251" t="inlineStr"/>
      <c r="Q251" t="inlineStr">
        <is>
          <t>Filled</t>
        </is>
      </c>
      <c r="R251" t="n">
        <v>7</v>
      </c>
      <c r="S251" t="inlineStr">
        <is>
          <t>University adapter</t>
        </is>
      </c>
      <c r="T251" t="inlineStr">
        <is>
          <t>Central rule applies (course value differs)</t>
        </is>
      </c>
      <c r="U251" t="inlineStr">
        <is>
          <t>Yes: course has IELTS 7.00, central rule says 6.5</t>
        </is>
      </c>
      <c r="V251" t="inlineStr">
        <is>
          <t>Not stated on course page</t>
        </is>
      </c>
      <c r="W251" t="inlineStr"/>
      <c r="X251" t="inlineStr"/>
      <c r="Y251" t="n">
        <v>0</v>
      </c>
      <c r="Z251" t="inlineStr">
        <is>
          <t>No</t>
        </is>
      </c>
      <c r="AA251" t="inlineStr">
        <is>
          <t>Not stated on course page</t>
        </is>
      </c>
      <c r="AB251" t="inlineStr"/>
      <c r="AC251" t="inlineStr">
        <is>
          <t>Skipped: the page does not state it</t>
        </is>
      </c>
      <c r="AD251" t="n">
        <v>0</v>
      </c>
      <c r="AE251" t="inlineStr"/>
      <c r="AF251" t="inlineStr"/>
      <c r="AG251" t="inlineStr"/>
      <c r="AH251" t="inlineStr"/>
      <c r="AI251" t="inlineStr"/>
      <c r="AJ251" t="inlineStr"/>
      <c r="AK251" t="inlineStr"/>
      <c r="AL251" t="inlineStr"/>
      <c r="AM251" t="inlineStr"/>
    </row>
    <row r="252">
      <c r="A252" t="inlineStr">
        <is>
          <t>027374C</t>
        </is>
      </c>
      <c r="B252" t="inlineStr">
        <is>
          <t>Master of Clinical Neuropsychology</t>
        </is>
      </c>
      <c r="C252" t="inlineStr">
        <is>
          <t>Masters Degree (Coursework)</t>
        </is>
      </c>
      <c r="D252" t="inlineStr">
        <is>
          <t>Postgraduate coursework</t>
        </is>
      </c>
      <c r="E252" t="inlineStr">
        <is>
          <t>Advertised: official page in place</t>
        </is>
      </c>
      <c r="F252" t="inlineStr">
        <is>
          <t>https://coursehandbook.mq.edu.au/2026/courses/C000032</t>
        </is>
      </c>
      <c r="G252" t="inlineStr">
        <is>
          <t>https://coursehandbook.mq.edu.au/2026/courses/C000032</t>
        </is>
      </c>
      <c r="H252" t="inlineStr">
        <is>
          <t>Read</t>
        </is>
      </c>
      <c r="I252" t="inlineStr">
        <is>
          <t>Exact title match</t>
        </is>
      </c>
      <c r="J252" t="inlineStr"/>
      <c r="K252" t="inlineStr">
        <is>
          <t>Not sent to re-link</t>
        </is>
      </c>
      <c r="L252" t="inlineStr">
        <is>
          <t>Filled</t>
        </is>
      </c>
      <c r="M252" t="inlineStr">
        <is>
          <t>Not stated on course page</t>
        </is>
      </c>
      <c r="N252" t="inlineStr"/>
      <c r="O252" t="n">
        <v>0</v>
      </c>
      <c r="P252" t="inlineStr"/>
      <c r="Q252" t="inlineStr">
        <is>
          <t>Filled</t>
        </is>
      </c>
      <c r="R252" t="n">
        <v>7</v>
      </c>
      <c r="S252" t="inlineStr">
        <is>
          <t>University adapter</t>
        </is>
      </c>
      <c r="T252" t="inlineStr">
        <is>
          <t>Central rule applies (course value differs)</t>
        </is>
      </c>
      <c r="U252" t="inlineStr">
        <is>
          <t>Yes: course has IELTS 7.00, central rule says 6.5</t>
        </is>
      </c>
      <c r="V252" t="inlineStr">
        <is>
          <t>Not stated on course page</t>
        </is>
      </c>
      <c r="W252" t="inlineStr"/>
      <c r="X252" t="inlineStr"/>
      <c r="Y252" t="n">
        <v>0</v>
      </c>
      <c r="Z252" t="inlineStr">
        <is>
          <t>No</t>
        </is>
      </c>
      <c r="AA252" t="inlineStr">
        <is>
          <t>Not stated on course page</t>
        </is>
      </c>
      <c r="AB252" t="inlineStr"/>
      <c r="AC252" t="inlineStr">
        <is>
          <t>Skipped: the page does not state it</t>
        </is>
      </c>
      <c r="AD252" t="n">
        <v>0</v>
      </c>
      <c r="AE252" t="inlineStr"/>
      <c r="AF252" t="inlineStr"/>
      <c r="AG252" t="inlineStr"/>
      <c r="AH252" t="inlineStr"/>
      <c r="AI252" t="inlineStr"/>
      <c r="AJ252" t="inlineStr"/>
      <c r="AK252" t="inlineStr"/>
      <c r="AL252" t="inlineStr"/>
      <c r="AM252" t="inlineStr"/>
    </row>
    <row r="253">
      <c r="A253" t="inlineStr">
        <is>
          <t>001396M</t>
        </is>
      </c>
      <c r="B253" t="inlineStr">
        <is>
          <t>Master of Clinical Psychology</t>
        </is>
      </c>
      <c r="C253" t="inlineStr">
        <is>
          <t>Masters Degree (Coursework)</t>
        </is>
      </c>
      <c r="D253" t="inlineStr">
        <is>
          <t>Postgraduate coursework</t>
        </is>
      </c>
      <c r="E253" t="inlineStr">
        <is>
          <t>Advertised: official page in place</t>
        </is>
      </c>
      <c r="F253" t="inlineStr">
        <is>
          <t>https://www.mq.edu.au/study/find-a-course/courses/master-of-clinical-psychology</t>
        </is>
      </c>
      <c r="G253" t="inlineStr">
        <is>
          <t>https://www.mq.edu.au/study/find-a-course/courses/master-of-clinical-psychology</t>
        </is>
      </c>
      <c r="H253" t="inlineStr">
        <is>
          <t>Read</t>
        </is>
      </c>
      <c r="I253" t="inlineStr">
        <is>
          <t>Exact title match</t>
        </is>
      </c>
      <c r="J253" t="inlineStr"/>
      <c r="K253" t="inlineStr">
        <is>
          <t>Not sent to re-link</t>
        </is>
      </c>
      <c r="L253" t="inlineStr">
        <is>
          <t>Filled</t>
        </is>
      </c>
      <c r="M253" t="inlineStr">
        <is>
          <t>Not stated on course page</t>
        </is>
      </c>
      <c r="N253" t="inlineStr"/>
      <c r="O253" t="n">
        <v>0</v>
      </c>
      <c r="P253" t="inlineStr"/>
      <c r="Q253" t="inlineStr">
        <is>
          <t>Filled</t>
        </is>
      </c>
      <c r="R253" t="n">
        <v>7</v>
      </c>
      <c r="S253" t="inlineStr">
        <is>
          <t>Other</t>
        </is>
      </c>
      <c r="T253" t="inlineStr">
        <is>
          <t>Central rule applies (course value differs)</t>
        </is>
      </c>
      <c r="U253" t="inlineStr">
        <is>
          <t>Yes: course has IELTS 7.00, central rule says 6.5</t>
        </is>
      </c>
      <c r="V253" t="inlineStr">
        <is>
          <t>Filled</t>
        </is>
      </c>
      <c r="W253" t="inlineStr">
        <is>
          <t>February</t>
        </is>
      </c>
      <c r="X253" t="inlineStr">
        <is>
          <t>Other</t>
        </is>
      </c>
      <c r="Y253" t="n">
        <v>0</v>
      </c>
      <c r="Z253" t="inlineStr">
        <is>
          <t>No</t>
        </is>
      </c>
      <c r="AA253" t="inlineStr">
        <is>
          <t>Filled</t>
        </is>
      </c>
      <c r="AB253" t="inlineStr">
        <is>
          <t>on campus</t>
        </is>
      </c>
      <c r="AC253" t="inlineStr">
        <is>
          <t>Filled</t>
        </is>
      </c>
      <c r="AD253" t="n">
        <v>0</v>
      </c>
      <c r="AE253" t="inlineStr"/>
      <c r="AF253" t="inlineStr"/>
      <c r="AG253" t="inlineStr"/>
      <c r="AH253" t="inlineStr"/>
      <c r="AI253" t="inlineStr"/>
      <c r="AJ253" t="inlineStr"/>
      <c r="AK253" t="inlineStr"/>
      <c r="AL253" t="inlineStr"/>
      <c r="AM253" t="inlineStr"/>
    </row>
    <row r="254">
      <c r="A254" t="inlineStr">
        <is>
          <t>078627J</t>
        </is>
      </c>
      <c r="B254" t="inlineStr">
        <is>
          <t>Master of Clinical Sciences</t>
        </is>
      </c>
      <c r="C254" t="inlineStr">
        <is>
          <t>Masters Degree (Coursework)</t>
        </is>
      </c>
      <c r="D254" t="inlineStr">
        <is>
          <t>Postgraduate coursework</t>
        </is>
      </c>
      <c r="E254" t="inlineStr">
        <is>
          <t>Advertised: official page in place</t>
        </is>
      </c>
      <c r="F254" t="inlineStr">
        <is>
          <t>https://handbook.mq.edu.au/2015/DegreesDiplomas/PGDegree/Master+of+Clinical+Sciences</t>
        </is>
      </c>
      <c r="G254" t="inlineStr">
        <is>
          <t>https://handbook.mq.edu.au/2015/DegreesDiplomas/PGDegree/Master+of+Clinical+Sciences</t>
        </is>
      </c>
      <c r="H254" t="inlineStr">
        <is>
          <t>Read</t>
        </is>
      </c>
      <c r="I254" t="inlineStr">
        <is>
          <t>CRICOS code on page</t>
        </is>
      </c>
      <c r="J254" t="inlineStr"/>
      <c r="K254" t="inlineStr">
        <is>
          <t>Not sent to re-link</t>
        </is>
      </c>
      <c r="L254" t="inlineStr">
        <is>
          <t>Filled</t>
        </is>
      </c>
      <c r="M254" t="inlineStr">
        <is>
          <t>Not stated on course page</t>
        </is>
      </c>
      <c r="N254" t="inlineStr"/>
      <c r="O254" t="n">
        <v>0</v>
      </c>
      <c r="P254" t="inlineStr"/>
      <c r="Q254" t="inlineStr">
        <is>
          <t>Filled</t>
        </is>
      </c>
      <c r="R254" t="n">
        <v>7</v>
      </c>
      <c r="S254" t="inlineStr">
        <is>
          <t>Other</t>
        </is>
      </c>
      <c r="T254" t="inlineStr">
        <is>
          <t>Central rule applies (course value differs)</t>
        </is>
      </c>
      <c r="U254" t="inlineStr">
        <is>
          <t>Yes: course has IELTS 7.00, central rule says 6.5</t>
        </is>
      </c>
      <c r="V254" t="inlineStr">
        <is>
          <t>Not stated on course page</t>
        </is>
      </c>
      <c r="W254" t="inlineStr"/>
      <c r="X254" t="inlineStr"/>
      <c r="Y254" t="n">
        <v>0</v>
      </c>
      <c r="Z254" t="inlineStr">
        <is>
          <t>No</t>
        </is>
      </c>
      <c r="AA254" t="inlineStr">
        <is>
          <t>Filled</t>
        </is>
      </c>
      <c r="AB254" t="inlineStr">
        <is>
          <t>blended</t>
        </is>
      </c>
      <c r="AC254" t="inlineStr">
        <is>
          <t>Filled</t>
        </is>
      </c>
      <c r="AD254" t="n">
        <v>0</v>
      </c>
      <c r="AE254" t="inlineStr"/>
      <c r="AF254" t="inlineStr"/>
      <c r="AG254" t="inlineStr"/>
      <c r="AH254" t="inlineStr"/>
      <c r="AI254" t="inlineStr"/>
      <c r="AJ254" t="inlineStr"/>
      <c r="AK254" t="inlineStr"/>
      <c r="AL254" t="inlineStr"/>
      <c r="AM254" t="inlineStr"/>
    </row>
    <row r="255">
      <c r="A255" t="inlineStr">
        <is>
          <t>099514M</t>
        </is>
      </c>
      <c r="B255" t="inlineStr">
        <is>
          <t>Master of Combined Studies</t>
        </is>
      </c>
      <c r="C255" t="inlineStr">
        <is>
          <t>Masters Degree (Coursework)</t>
        </is>
      </c>
      <c r="D255" t="inlineStr">
        <is>
          <t>Postgraduate coursework</t>
        </is>
      </c>
      <c r="E255" t="inlineStr">
        <is>
          <t>Advertised: official page in place</t>
        </is>
      </c>
      <c r="F255" t="inlineStr">
        <is>
          <t>https://coursehandbook.mq.edu.au/2026/doubledegree/d008520</t>
        </is>
      </c>
      <c r="G255" t="inlineStr">
        <is>
          <t>https://coursehandbook.mq.edu.au/2026/doubledegree/d008520</t>
        </is>
      </c>
      <c r="H255" t="inlineStr">
        <is>
          <t>Read</t>
        </is>
      </c>
      <c r="I255" t="inlineStr">
        <is>
          <t>University adapter (code)</t>
        </is>
      </c>
      <c r="J255" t="inlineStr"/>
      <c r="K255" t="inlineStr">
        <is>
          <t>Not sent to re-link</t>
        </is>
      </c>
      <c r="L255" t="inlineStr">
        <is>
          <t>Filled</t>
        </is>
      </c>
      <c r="M255" t="inlineStr">
        <is>
          <t>Not stated on course page</t>
        </is>
      </c>
      <c r="N255" t="inlineStr"/>
      <c r="O255" t="n">
        <v>0</v>
      </c>
      <c r="P255" t="inlineStr"/>
      <c r="Q255" t="inlineStr">
        <is>
          <t>Filled</t>
        </is>
      </c>
      <c r="R255" t="n">
        <v>6.5</v>
      </c>
      <c r="S255" t="inlineStr">
        <is>
          <t>University adapter</t>
        </is>
      </c>
      <c r="T255" t="inlineStr">
        <is>
          <t>Central rule applies (value agrees)</t>
        </is>
      </c>
      <c r="U255" t="inlineStr"/>
      <c r="V255" t="inlineStr">
        <is>
          <t>Not stated on course page</t>
        </is>
      </c>
      <c r="W255" t="inlineStr"/>
      <c r="X255" t="inlineStr"/>
      <c r="Y255" t="n">
        <v>0</v>
      </c>
      <c r="Z255" t="inlineStr">
        <is>
          <t>No</t>
        </is>
      </c>
      <c r="AA255" t="inlineStr">
        <is>
          <t>Not stated on course page</t>
        </is>
      </c>
      <c r="AB255" t="inlineStr"/>
      <c r="AC255" t="inlineStr">
        <is>
          <t>Skipped: the page does not state it</t>
        </is>
      </c>
      <c r="AD255" t="n">
        <v>0</v>
      </c>
      <c r="AE255" t="inlineStr"/>
      <c r="AF255" t="inlineStr"/>
      <c r="AG255" t="inlineStr"/>
      <c r="AH255" t="inlineStr"/>
      <c r="AI255" t="inlineStr"/>
      <c r="AJ255" t="inlineStr"/>
      <c r="AK255" t="inlineStr"/>
      <c r="AL255" t="inlineStr"/>
      <c r="AM255" t="inlineStr"/>
    </row>
    <row r="256">
      <c r="A256" t="inlineStr">
        <is>
          <t>0100919</t>
        </is>
      </c>
      <c r="B256" t="inlineStr">
        <is>
          <t>Master of Combined Studies in Applied Economics / Management</t>
        </is>
      </c>
      <c r="C256" t="inlineStr">
        <is>
          <t>Masters Degree (Coursework)</t>
        </is>
      </c>
      <c r="D256" t="inlineStr">
        <is>
          <t>Postgraduate coursework</t>
        </is>
      </c>
      <c r="E256" t="inlineStr">
        <is>
          <t>Advertised: official page in place</t>
        </is>
      </c>
      <c r="F256" t="inlineStr">
        <is>
          <t>https://coursehandbook.mq.edu.au/2026/doubledegree/d001008</t>
        </is>
      </c>
      <c r="G256" t="inlineStr">
        <is>
          <t>https://coursehandbook.mq.edu.au/2026/doubledegree/d001008</t>
        </is>
      </c>
      <c r="H256" t="inlineStr">
        <is>
          <t>Read</t>
        </is>
      </c>
      <c r="I256" t="inlineStr">
        <is>
          <t>University adapter (code)</t>
        </is>
      </c>
      <c r="J256" t="inlineStr"/>
      <c r="K256" t="inlineStr">
        <is>
          <t>Not sent to re-link</t>
        </is>
      </c>
      <c r="L256" t="inlineStr">
        <is>
          <t>Filled</t>
        </is>
      </c>
      <c r="M256" t="inlineStr">
        <is>
          <t>Not stated on course page</t>
        </is>
      </c>
      <c r="N256" t="inlineStr"/>
      <c r="O256" t="n">
        <v>0</v>
      </c>
      <c r="P256" t="inlineStr"/>
      <c r="Q256" t="inlineStr">
        <is>
          <t>Filled</t>
        </is>
      </c>
      <c r="R256" t="n">
        <v>6.5</v>
      </c>
      <c r="S256" t="inlineStr">
        <is>
          <t>University adapter</t>
        </is>
      </c>
      <c r="T256" t="inlineStr">
        <is>
          <t>Held: double degree (its parts are at different levels)</t>
        </is>
      </c>
      <c r="U256" t="inlineStr"/>
      <c r="V256" t="inlineStr">
        <is>
          <t>Not stated on course page</t>
        </is>
      </c>
      <c r="W256" t="inlineStr"/>
      <c r="X256" t="inlineStr"/>
      <c r="Y256" t="n">
        <v>0</v>
      </c>
      <c r="Z256" t="inlineStr">
        <is>
          <t>No</t>
        </is>
      </c>
      <c r="AA256" t="inlineStr">
        <is>
          <t>Not stated on course page</t>
        </is>
      </c>
      <c r="AB256" t="inlineStr"/>
      <c r="AC256" t="inlineStr">
        <is>
          <t>Skipped: the page does not state it</t>
        </is>
      </c>
      <c r="AD256" t="n">
        <v>0</v>
      </c>
      <c r="AE256" t="inlineStr"/>
      <c r="AF256" t="inlineStr"/>
      <c r="AG256" t="inlineStr"/>
      <c r="AH256" t="inlineStr"/>
      <c r="AI256" t="inlineStr"/>
      <c r="AJ256" t="inlineStr"/>
      <c r="AK256" t="inlineStr"/>
      <c r="AL256" t="inlineStr"/>
      <c r="AM256" t="inlineStr"/>
    </row>
    <row r="257">
      <c r="A257" t="inlineStr">
        <is>
          <t>0100920</t>
        </is>
      </c>
      <c r="B257" t="inlineStr">
        <is>
          <t>Master of Combined Studies in Banking and Finance / Management</t>
        </is>
      </c>
      <c r="C257" t="inlineStr">
        <is>
          <t>Masters Degree (Coursework)</t>
        </is>
      </c>
      <c r="D257" t="inlineStr">
        <is>
          <t>Postgraduate coursework</t>
        </is>
      </c>
      <c r="E257" t="inlineStr">
        <is>
          <t>Advertised: official page in place</t>
        </is>
      </c>
      <c r="F257" t="inlineStr">
        <is>
          <t>https://coursehandbook.mq.edu.au/2026/doubledegree/d000998</t>
        </is>
      </c>
      <c r="G257" t="inlineStr">
        <is>
          <t>https://coursehandbook.mq.edu.au/2026/doubledegree/d000998</t>
        </is>
      </c>
      <c r="H257" t="inlineStr">
        <is>
          <t>Read</t>
        </is>
      </c>
      <c r="I257" t="inlineStr">
        <is>
          <t>University adapter (code)</t>
        </is>
      </c>
      <c r="J257" t="inlineStr"/>
      <c r="K257" t="inlineStr">
        <is>
          <t>Not sent to re-link</t>
        </is>
      </c>
      <c r="L257" t="inlineStr">
        <is>
          <t>Filled</t>
        </is>
      </c>
      <c r="M257" t="inlineStr">
        <is>
          <t>Not stated on course page</t>
        </is>
      </c>
      <c r="N257" t="inlineStr"/>
      <c r="O257" t="n">
        <v>0</v>
      </c>
      <c r="P257" t="inlineStr"/>
      <c r="Q257" t="inlineStr">
        <is>
          <t>Filled</t>
        </is>
      </c>
      <c r="R257" t="n">
        <v>6.5</v>
      </c>
      <c r="S257" t="inlineStr">
        <is>
          <t>University adapter</t>
        </is>
      </c>
      <c r="T257" t="inlineStr">
        <is>
          <t>Held: double degree (its parts are at different levels)</t>
        </is>
      </c>
      <c r="U257" t="inlineStr"/>
      <c r="V257" t="inlineStr">
        <is>
          <t>Not stated on course page</t>
        </is>
      </c>
      <c r="W257" t="inlineStr"/>
      <c r="X257" t="inlineStr"/>
      <c r="Y257" t="n">
        <v>0</v>
      </c>
      <c r="Z257" t="inlineStr">
        <is>
          <t>No</t>
        </is>
      </c>
      <c r="AA257" t="inlineStr">
        <is>
          <t>Not stated on course page</t>
        </is>
      </c>
      <c r="AB257" t="inlineStr"/>
      <c r="AC257" t="inlineStr">
        <is>
          <t>Skipped: the page does not state it</t>
        </is>
      </c>
      <c r="AD257" t="n">
        <v>0</v>
      </c>
      <c r="AE257" t="inlineStr"/>
      <c r="AF257" t="inlineStr"/>
      <c r="AG257" t="inlineStr"/>
      <c r="AH257" t="inlineStr"/>
      <c r="AI257" t="inlineStr"/>
      <c r="AJ257" t="inlineStr"/>
      <c r="AK257" t="inlineStr"/>
      <c r="AL257" t="inlineStr"/>
      <c r="AM257" t="inlineStr"/>
    </row>
    <row r="258">
      <c r="A258" t="inlineStr">
        <is>
          <t>0101507</t>
        </is>
      </c>
      <c r="B258" t="inlineStr">
        <is>
          <t>Master of Combined Studies in Business Analytics / Information Systems Management</t>
        </is>
      </c>
      <c r="C258" t="inlineStr">
        <is>
          <t>Masters Degree (Coursework)</t>
        </is>
      </c>
      <c r="D258" t="inlineStr">
        <is>
          <t>Postgraduate coursework</t>
        </is>
      </c>
      <c r="E258" t="inlineStr">
        <is>
          <t>Page address no longer works</t>
        </is>
      </c>
      <c r="F258" t="inlineStr"/>
      <c r="G258" t="inlineStr">
        <is>
          <t>https://coursehandbook.mq.edu.au/2026/doubledegree/D000119</t>
        </is>
      </c>
      <c r="H258" t="inlineStr">
        <is>
          <t>Address no longer works</t>
        </is>
      </c>
      <c r="I258" t="inlineStr"/>
      <c r="J258" t="inlineStr"/>
      <c r="K258" t="inlineStr">
        <is>
          <t>Finished, no page: no address from the university's address forms or stored lis</t>
        </is>
      </c>
      <c r="L258" t="inlineStr">
        <is>
          <t>Page found, being read</t>
        </is>
      </c>
      <c r="M258" t="inlineStr">
        <is>
          <t>Page found, being read</t>
        </is>
      </c>
      <c r="N258" t="inlineStr"/>
      <c r="O258" t="n">
        <v>0</v>
      </c>
      <c r="P258" t="inlineStr"/>
      <c r="Q258" t="inlineStr">
        <is>
          <t>Page found, being read</t>
        </is>
      </c>
      <c r="S258" t="inlineStr"/>
      <c r="T258" t="inlineStr">
        <is>
          <t>Held: double degree (its parts are at different levels)</t>
        </is>
      </c>
      <c r="U258" t="inlineStr"/>
      <c r="V258" t="inlineStr">
        <is>
          <t>Page found, being read</t>
        </is>
      </c>
      <c r="W258" t="inlineStr"/>
      <c r="X258" t="inlineStr"/>
      <c r="Y258" t="n">
        <v>0</v>
      </c>
      <c r="Z258" t="inlineStr">
        <is>
          <t>No</t>
        </is>
      </c>
      <c r="AA258" t="inlineStr">
        <is>
          <t>Not stated on course page</t>
        </is>
      </c>
      <c r="AB258" t="inlineStr"/>
      <c r="AC258" t="inlineStr">
        <is>
          <t>Skipped: no allowed source had a value</t>
        </is>
      </c>
      <c r="AD258" t="n">
        <v>1</v>
      </c>
      <c r="AE258" t="inlineStr"/>
      <c r="AF258" t="inlineStr"/>
      <c r="AG258" t="inlineStr"/>
      <c r="AH258" t="inlineStr"/>
      <c r="AI258" t="inlineStr"/>
      <c r="AJ258" t="inlineStr">
        <is>
          <t>Yes</t>
        </is>
      </c>
      <c r="AK258" t="inlineStr"/>
      <c r="AL258" t="inlineStr"/>
      <c r="AM258" t="inlineStr"/>
    </row>
    <row r="259">
      <c r="A259" t="inlineStr">
        <is>
          <t>0101508</t>
        </is>
      </c>
      <c r="B259" t="inlineStr">
        <is>
          <t>Master of Combined Studies in Business Analytics / Information Technology in Cyber Security</t>
        </is>
      </c>
      <c r="C259" t="inlineStr">
        <is>
          <t>Masters Degree (Coursework)</t>
        </is>
      </c>
      <c r="D259" t="inlineStr">
        <is>
          <t>Postgraduate coursework</t>
        </is>
      </c>
      <c r="E259" t="inlineStr">
        <is>
          <t>Page address no longer works</t>
        </is>
      </c>
      <c r="F259" t="inlineStr"/>
      <c r="G259" t="inlineStr">
        <is>
          <t>https://coursehandbook.mq.edu.au/2026/doubledegree/d004235</t>
        </is>
      </c>
      <c r="H259" t="inlineStr">
        <is>
          <t>Address no longer works</t>
        </is>
      </c>
      <c r="I259" t="inlineStr"/>
      <c r="J259" t="inlineStr"/>
      <c r="K259" t="inlineStr">
        <is>
          <t>Finished, no page: no address from the university's address forms or stored lis</t>
        </is>
      </c>
      <c r="L259" t="inlineStr">
        <is>
          <t>Page found, being read</t>
        </is>
      </c>
      <c r="M259" t="inlineStr">
        <is>
          <t>Page found, being read</t>
        </is>
      </c>
      <c r="N259" t="inlineStr"/>
      <c r="O259" t="n">
        <v>0</v>
      </c>
      <c r="P259" t="inlineStr"/>
      <c r="Q259" t="inlineStr">
        <is>
          <t>Page found, being read</t>
        </is>
      </c>
      <c r="S259" t="inlineStr"/>
      <c r="T259" t="inlineStr">
        <is>
          <t>Held: double degree (its parts are at different levels)</t>
        </is>
      </c>
      <c r="U259" t="inlineStr"/>
      <c r="V259" t="inlineStr">
        <is>
          <t>Page found, being read</t>
        </is>
      </c>
      <c r="W259" t="inlineStr"/>
      <c r="X259" t="inlineStr"/>
      <c r="Y259" t="n">
        <v>0</v>
      </c>
      <c r="Z259" t="inlineStr">
        <is>
          <t>No</t>
        </is>
      </c>
      <c r="AA259" t="inlineStr">
        <is>
          <t>Not stated on course page</t>
        </is>
      </c>
      <c r="AB259" t="inlineStr"/>
      <c r="AC259" t="inlineStr">
        <is>
          <t>Skipped: no allowed source had a value</t>
        </is>
      </c>
      <c r="AD259" t="n">
        <v>1</v>
      </c>
      <c r="AE259" t="inlineStr"/>
      <c r="AF259" t="inlineStr"/>
      <c r="AG259" t="inlineStr"/>
      <c r="AH259" t="inlineStr"/>
      <c r="AI259" t="inlineStr"/>
      <c r="AJ259" t="inlineStr">
        <is>
          <t>Yes</t>
        </is>
      </c>
      <c r="AK259" t="inlineStr"/>
      <c r="AL259" t="inlineStr"/>
      <c r="AM259" t="inlineStr"/>
    </row>
    <row r="260">
      <c r="A260" t="inlineStr">
        <is>
          <t>0101509</t>
        </is>
      </c>
      <c r="B260" t="inlineStr">
        <is>
          <t>Master of Combined Studies in Business Analytics / Information Technology in Networking</t>
        </is>
      </c>
      <c r="C260" t="inlineStr">
        <is>
          <t>Masters Degree (Coursework)</t>
        </is>
      </c>
      <c r="D260" t="inlineStr">
        <is>
          <t>Postgraduate coursework</t>
        </is>
      </c>
      <c r="E260" t="inlineStr">
        <is>
          <t>Page address no longer works</t>
        </is>
      </c>
      <c r="F260" t="inlineStr"/>
      <c r="G260" t="inlineStr">
        <is>
          <t>https://coursehandbook.mq.edu.au/2026/doubledegree/d000122</t>
        </is>
      </c>
      <c r="H260" t="inlineStr">
        <is>
          <t>Address no longer works</t>
        </is>
      </c>
      <c r="I260" t="inlineStr"/>
      <c r="J260" t="inlineStr"/>
      <c r="K260" t="inlineStr">
        <is>
          <t>Not sent to re-link</t>
        </is>
      </c>
      <c r="L260" t="inlineStr">
        <is>
          <t>Page found, being read</t>
        </is>
      </c>
      <c r="M260" t="inlineStr">
        <is>
          <t>Page found, being read</t>
        </is>
      </c>
      <c r="N260" t="inlineStr"/>
      <c r="O260" t="n">
        <v>0</v>
      </c>
      <c r="P260" t="inlineStr"/>
      <c r="Q260" t="inlineStr">
        <is>
          <t>Page found, being read</t>
        </is>
      </c>
      <c r="S260" t="inlineStr"/>
      <c r="T260" t="inlineStr">
        <is>
          <t>Held: double degree (its parts are at different levels)</t>
        </is>
      </c>
      <c r="U260" t="inlineStr"/>
      <c r="V260" t="inlineStr">
        <is>
          <t>Page found, being read</t>
        </is>
      </c>
      <c r="W260" t="inlineStr"/>
      <c r="X260" t="inlineStr"/>
      <c r="Y260" t="n">
        <v>0</v>
      </c>
      <c r="Z260" t="inlineStr">
        <is>
          <t>No</t>
        </is>
      </c>
      <c r="AA260" t="inlineStr">
        <is>
          <t>Not stated on course page</t>
        </is>
      </c>
      <c r="AB260" t="inlineStr"/>
      <c r="AC260" t="inlineStr">
        <is>
          <t>Skipped: no allowed source had a value</t>
        </is>
      </c>
      <c r="AD260" t="n">
        <v>0</v>
      </c>
      <c r="AE260" t="inlineStr"/>
      <c r="AF260" t="inlineStr"/>
      <c r="AG260" t="inlineStr"/>
      <c r="AH260" t="inlineStr"/>
      <c r="AI260" t="inlineStr"/>
      <c r="AJ260" t="inlineStr">
        <is>
          <t>Yes</t>
        </is>
      </c>
      <c r="AK260" t="inlineStr"/>
      <c r="AL260" t="inlineStr"/>
      <c r="AM260" t="inlineStr"/>
    </row>
    <row r="261">
      <c r="A261" t="inlineStr">
        <is>
          <t>0100921</t>
        </is>
      </c>
      <c r="B261" t="inlineStr">
        <is>
          <t>Master of Combined Studies in Business Analytics / Management</t>
        </is>
      </c>
      <c r="C261" t="inlineStr">
        <is>
          <t>Masters Degree (Coursework)</t>
        </is>
      </c>
      <c r="D261" t="inlineStr">
        <is>
          <t>Postgraduate coursework</t>
        </is>
      </c>
      <c r="E261" t="inlineStr">
        <is>
          <t>Page address no longer works</t>
        </is>
      </c>
      <c r="F261" t="inlineStr"/>
      <c r="G261" t="inlineStr">
        <is>
          <t>https://coursehandbook.mq.edu.au/2026/doubledegree/d004235</t>
        </is>
      </c>
      <c r="H261" t="inlineStr">
        <is>
          <t>Address no longer works</t>
        </is>
      </c>
      <c r="I261" t="inlineStr"/>
      <c r="J261" t="inlineStr"/>
      <c r="K261" t="inlineStr">
        <is>
          <t>Not sent to re-link</t>
        </is>
      </c>
      <c r="L261" t="inlineStr">
        <is>
          <t>Page found, being read</t>
        </is>
      </c>
      <c r="M261" t="inlineStr">
        <is>
          <t>Page found, being read</t>
        </is>
      </c>
      <c r="N261" t="inlineStr"/>
      <c r="O261" t="n">
        <v>0</v>
      </c>
      <c r="P261" t="inlineStr"/>
      <c r="Q261" t="inlineStr">
        <is>
          <t>Page found, being read</t>
        </is>
      </c>
      <c r="S261" t="inlineStr"/>
      <c r="T261" t="inlineStr">
        <is>
          <t>Held: double degree (its parts are at different levels)</t>
        </is>
      </c>
      <c r="U261" t="inlineStr"/>
      <c r="V261" t="inlineStr">
        <is>
          <t>Page found, being read</t>
        </is>
      </c>
      <c r="W261" t="inlineStr"/>
      <c r="X261" t="inlineStr"/>
      <c r="Y261" t="n">
        <v>0</v>
      </c>
      <c r="Z261" t="inlineStr">
        <is>
          <t>No</t>
        </is>
      </c>
      <c r="AA261" t="inlineStr">
        <is>
          <t>Not stated on course page</t>
        </is>
      </c>
      <c r="AB261" t="inlineStr"/>
      <c r="AC261" t="inlineStr">
        <is>
          <t>Skipped: no allowed source had a value</t>
        </is>
      </c>
      <c r="AD261" t="n">
        <v>0</v>
      </c>
      <c r="AE261" t="inlineStr"/>
      <c r="AF261" t="inlineStr"/>
      <c r="AG261" t="inlineStr"/>
      <c r="AH261" t="inlineStr"/>
      <c r="AI261" t="inlineStr"/>
      <c r="AJ261" t="inlineStr">
        <is>
          <t>Yes</t>
        </is>
      </c>
      <c r="AK261" t="inlineStr"/>
      <c r="AL261" t="inlineStr"/>
      <c r="AM261" t="inlineStr"/>
    </row>
    <row r="262">
      <c r="A262" t="inlineStr">
        <is>
          <t>099541G</t>
        </is>
      </c>
      <c r="B262" t="inlineStr">
        <is>
          <t>Master of Combined Studies in Commerce / Forensic Accounting and Financial Crime</t>
        </is>
      </c>
      <c r="C262" t="inlineStr">
        <is>
          <t>Masters Degree (Coursework)</t>
        </is>
      </c>
      <c r="D262" t="inlineStr">
        <is>
          <t>Postgraduate coursework</t>
        </is>
      </c>
      <c r="E262" t="inlineStr">
        <is>
          <t>Page address no longer works</t>
        </is>
      </c>
      <c r="F262" t="inlineStr"/>
      <c r="G262" t="inlineStr">
        <is>
          <t>https://coursehandbook.mq.edu.au/2026/courses/c000066</t>
        </is>
      </c>
      <c r="H262" t="inlineStr">
        <is>
          <t>Address no longer works</t>
        </is>
      </c>
      <c r="I262" t="inlineStr"/>
      <c r="J262" t="inlineStr"/>
      <c r="K262" t="inlineStr">
        <is>
          <t>Not sent to re-link</t>
        </is>
      </c>
      <c r="L262" t="inlineStr">
        <is>
          <t>Page found, being read</t>
        </is>
      </c>
      <c r="M262" t="inlineStr">
        <is>
          <t>Page found, being read</t>
        </is>
      </c>
      <c r="N262" t="inlineStr"/>
      <c r="O262" t="n">
        <v>0</v>
      </c>
      <c r="P262" t="inlineStr"/>
      <c r="Q262" t="inlineStr">
        <is>
          <t>Page found, being read</t>
        </is>
      </c>
      <c r="S262" t="inlineStr"/>
      <c r="T262" t="inlineStr">
        <is>
          <t>Held: double degree (its parts are at different levels)</t>
        </is>
      </c>
      <c r="U262" t="inlineStr"/>
      <c r="V262" t="inlineStr">
        <is>
          <t>Page found, being read</t>
        </is>
      </c>
      <c r="W262" t="inlineStr"/>
      <c r="X262" t="inlineStr"/>
      <c r="Y262" t="n">
        <v>0</v>
      </c>
      <c r="Z262" t="inlineStr">
        <is>
          <t>No</t>
        </is>
      </c>
      <c r="AA262" t="inlineStr">
        <is>
          <t>Not stated on course page</t>
        </is>
      </c>
      <c r="AB262" t="inlineStr"/>
      <c r="AC262" t="inlineStr">
        <is>
          <t>Skipped: no allowed source had a value</t>
        </is>
      </c>
      <c r="AD262" t="n">
        <v>0</v>
      </c>
      <c r="AE262" t="inlineStr"/>
      <c r="AF262" t="inlineStr"/>
      <c r="AG262" t="inlineStr"/>
      <c r="AH262" t="inlineStr"/>
      <c r="AI262" t="inlineStr"/>
      <c r="AJ262" t="inlineStr">
        <is>
          <t>Yes</t>
        </is>
      </c>
      <c r="AK262" t="inlineStr"/>
      <c r="AL262" t="inlineStr"/>
      <c r="AM262" t="inlineStr"/>
    </row>
    <row r="263">
      <c r="A263" t="inlineStr">
        <is>
          <t>099542G</t>
        </is>
      </c>
      <c r="B263" t="inlineStr">
        <is>
          <t>Master of Combined Studies in Commerce / International Relations</t>
        </is>
      </c>
      <c r="C263" t="inlineStr">
        <is>
          <t>Masters Degree (Coursework)</t>
        </is>
      </c>
      <c r="D263" t="inlineStr">
        <is>
          <t>Postgraduate coursework</t>
        </is>
      </c>
      <c r="E263" t="inlineStr">
        <is>
          <t>Page address no longer works</t>
        </is>
      </c>
      <c r="F263" t="inlineStr"/>
      <c r="G263" t="inlineStr">
        <is>
          <t>https://coursehandbook.mq.edu.au/2026/doubledegree/D000149</t>
        </is>
      </c>
      <c r="H263" t="inlineStr">
        <is>
          <t>Address no longer works</t>
        </is>
      </c>
      <c r="I263" t="inlineStr"/>
      <c r="J263" t="inlineStr"/>
      <c r="K263" t="inlineStr">
        <is>
          <t>Finished, no page: no address from the university's address forms or stored lis</t>
        </is>
      </c>
      <c r="L263" t="inlineStr">
        <is>
          <t>Page found, being read</t>
        </is>
      </c>
      <c r="M263" t="inlineStr">
        <is>
          <t>Page found, being read</t>
        </is>
      </c>
      <c r="N263" t="inlineStr"/>
      <c r="O263" t="n">
        <v>0</v>
      </c>
      <c r="P263" t="inlineStr"/>
      <c r="Q263" t="inlineStr">
        <is>
          <t>Page found, being read</t>
        </is>
      </c>
      <c r="S263" t="inlineStr"/>
      <c r="T263" t="inlineStr">
        <is>
          <t>Held: double degree (its parts are at different levels)</t>
        </is>
      </c>
      <c r="U263" t="inlineStr"/>
      <c r="V263" t="inlineStr">
        <is>
          <t>Page found, being read</t>
        </is>
      </c>
      <c r="W263" t="inlineStr"/>
      <c r="X263" t="inlineStr"/>
      <c r="Y263" t="n">
        <v>0</v>
      </c>
      <c r="Z263" t="inlineStr">
        <is>
          <t>No</t>
        </is>
      </c>
      <c r="AA263" t="inlineStr">
        <is>
          <t>Not stated on course page</t>
        </is>
      </c>
      <c r="AB263" t="inlineStr"/>
      <c r="AC263" t="inlineStr">
        <is>
          <t>Skipped: no allowed source had a value</t>
        </is>
      </c>
      <c r="AD263" t="n">
        <v>0</v>
      </c>
      <c r="AE263" t="inlineStr"/>
      <c r="AF263" t="inlineStr"/>
      <c r="AG263" t="inlineStr"/>
      <c r="AH263" t="inlineStr"/>
      <c r="AI263" t="inlineStr"/>
      <c r="AJ263" t="inlineStr">
        <is>
          <t>Yes</t>
        </is>
      </c>
      <c r="AK263" t="inlineStr"/>
      <c r="AL263" t="inlineStr"/>
      <c r="AM263" t="inlineStr"/>
    </row>
    <row r="264">
      <c r="A264" t="inlineStr">
        <is>
          <t>0100922</t>
        </is>
      </c>
      <c r="B264" t="inlineStr">
        <is>
          <t>Master of Combined Studies in Commerce / Management</t>
        </is>
      </c>
      <c r="C264" t="inlineStr">
        <is>
          <t>Masters Degree (Coursework)</t>
        </is>
      </c>
      <c r="D264" t="inlineStr">
        <is>
          <t>Postgraduate coursework</t>
        </is>
      </c>
      <c r="E264" t="inlineStr">
        <is>
          <t>Advertised: official page in place</t>
        </is>
      </c>
      <c r="F264" t="inlineStr">
        <is>
          <t>https://coursehandbook.mq.edu.au/2026/doubledegree/d000997</t>
        </is>
      </c>
      <c r="G264" t="inlineStr">
        <is>
          <t>https://coursehandbook.mq.edu.au/2026/doubledegree/d000997</t>
        </is>
      </c>
      <c r="H264" t="inlineStr">
        <is>
          <t>Read</t>
        </is>
      </c>
      <c r="I264" t="inlineStr">
        <is>
          <t>University adapter (code)</t>
        </is>
      </c>
      <c r="J264" t="inlineStr"/>
      <c r="K264" t="inlineStr">
        <is>
          <t>Not sent to re-link</t>
        </is>
      </c>
      <c r="L264" t="inlineStr">
        <is>
          <t>Filled</t>
        </is>
      </c>
      <c r="M264" t="inlineStr">
        <is>
          <t>Not stated on course page</t>
        </is>
      </c>
      <c r="N264" t="inlineStr"/>
      <c r="O264" t="n">
        <v>0</v>
      </c>
      <c r="P264" t="inlineStr"/>
      <c r="Q264" t="inlineStr">
        <is>
          <t>Filled</t>
        </is>
      </c>
      <c r="R264" t="n">
        <v>6.5</v>
      </c>
      <c r="S264" t="inlineStr">
        <is>
          <t>University adapter</t>
        </is>
      </c>
      <c r="T264" t="inlineStr">
        <is>
          <t>Held: double degree (its parts are at different levels)</t>
        </is>
      </c>
      <c r="U264" t="inlineStr"/>
      <c r="V264" t="inlineStr">
        <is>
          <t>Not stated on course page</t>
        </is>
      </c>
      <c r="W264" t="inlineStr"/>
      <c r="X264" t="inlineStr"/>
      <c r="Y264" t="n">
        <v>0</v>
      </c>
      <c r="Z264" t="inlineStr">
        <is>
          <t>No</t>
        </is>
      </c>
      <c r="AA264" t="inlineStr">
        <is>
          <t>Not stated on course page</t>
        </is>
      </c>
      <c r="AB264" t="inlineStr"/>
      <c r="AC264" t="inlineStr">
        <is>
          <t>Skipped: the page does not state it</t>
        </is>
      </c>
      <c r="AD264" t="n">
        <v>0</v>
      </c>
      <c r="AE264" t="inlineStr"/>
      <c r="AF264" t="inlineStr"/>
      <c r="AG264" t="inlineStr"/>
      <c r="AH264" t="inlineStr"/>
      <c r="AI264" t="inlineStr"/>
      <c r="AJ264" t="inlineStr"/>
      <c r="AK264" t="inlineStr"/>
      <c r="AL264" t="inlineStr"/>
      <c r="AM264" t="inlineStr"/>
    </row>
    <row r="265">
      <c r="A265" t="inlineStr">
        <is>
          <t>099546C</t>
        </is>
      </c>
      <c r="B265" t="inlineStr">
        <is>
          <t>Master of Combined Studies in Commerce / Media and Communications</t>
        </is>
      </c>
      <c r="C265" t="inlineStr">
        <is>
          <t>Masters Degree (Coursework)</t>
        </is>
      </c>
      <c r="D265" t="inlineStr">
        <is>
          <t>Postgraduate coursework</t>
        </is>
      </c>
      <c r="E265" t="inlineStr">
        <is>
          <t>Advertised: official page in place</t>
        </is>
      </c>
      <c r="F265" t="inlineStr">
        <is>
          <t>https://coursehandbook.mq.edu.au/2026/doubledegree/D000098</t>
        </is>
      </c>
      <c r="G265" t="inlineStr">
        <is>
          <t>https://coursehandbook.mq.edu.au/2026/doubledegree/D000098</t>
        </is>
      </c>
      <c r="H265" t="inlineStr">
        <is>
          <t>Read</t>
        </is>
      </c>
      <c r="I265" t="inlineStr">
        <is>
          <t>University adapter (code)</t>
        </is>
      </c>
      <c r="J265" t="inlineStr"/>
      <c r="K265" t="inlineStr">
        <is>
          <t>Not sent to re-link</t>
        </is>
      </c>
      <c r="L265" t="inlineStr">
        <is>
          <t>Filled</t>
        </is>
      </c>
      <c r="M265" t="inlineStr">
        <is>
          <t>Not stated on course page</t>
        </is>
      </c>
      <c r="N265" t="inlineStr"/>
      <c r="O265" t="n">
        <v>0</v>
      </c>
      <c r="P265" t="inlineStr"/>
      <c r="Q265" t="inlineStr">
        <is>
          <t>Filled</t>
        </is>
      </c>
      <c r="R265" t="n">
        <v>6.5</v>
      </c>
      <c r="S265" t="inlineStr">
        <is>
          <t>University adapter</t>
        </is>
      </c>
      <c r="T265" t="inlineStr">
        <is>
          <t>Held: double degree (its parts are at different levels)</t>
        </is>
      </c>
      <c r="U265" t="inlineStr"/>
      <c r="V265" t="inlineStr">
        <is>
          <t>Not stated on course page</t>
        </is>
      </c>
      <c r="W265" t="inlineStr"/>
      <c r="X265" t="inlineStr"/>
      <c r="Y265" t="n">
        <v>0</v>
      </c>
      <c r="Z265" t="inlineStr">
        <is>
          <t>No</t>
        </is>
      </c>
      <c r="AA265" t="inlineStr">
        <is>
          <t>Not stated on course page</t>
        </is>
      </c>
      <c r="AB265" t="inlineStr"/>
      <c r="AC265" t="inlineStr">
        <is>
          <t>Skipped: the page does not state it</t>
        </is>
      </c>
      <c r="AD265" t="n">
        <v>0</v>
      </c>
      <c r="AE265" t="inlineStr"/>
      <c r="AF265" t="inlineStr"/>
      <c r="AG265" t="inlineStr"/>
      <c r="AH265" t="inlineStr"/>
      <c r="AI265" t="inlineStr"/>
      <c r="AJ265" t="inlineStr"/>
      <c r="AK265" t="inlineStr"/>
      <c r="AL265" t="inlineStr"/>
      <c r="AM265" t="inlineStr"/>
    </row>
    <row r="266">
      <c r="A266" t="inlineStr">
        <is>
          <t>099591J</t>
        </is>
      </c>
      <c r="B266" t="inlineStr">
        <is>
          <t>Master of Combined Studies in Counter Terrorism / Criminology</t>
        </is>
      </c>
      <c r="C266" t="inlineStr">
        <is>
          <t>Masters Degree (Coursework)</t>
        </is>
      </c>
      <c r="D266" t="inlineStr">
        <is>
          <t>Postgraduate coursework</t>
        </is>
      </c>
      <c r="E266" t="inlineStr">
        <is>
          <t>Page address no longer works</t>
        </is>
      </c>
      <c r="F266" t="inlineStr"/>
      <c r="G266" t="inlineStr">
        <is>
          <t>https://coursehandbook.mq.edu.au/2026/doubledegree/d000133</t>
        </is>
      </c>
      <c r="H266" t="inlineStr">
        <is>
          <t>Address no longer works</t>
        </is>
      </c>
      <c r="I266" t="inlineStr"/>
      <c r="J266" t="inlineStr"/>
      <c r="K266" t="inlineStr">
        <is>
          <t>Not sent to re-link</t>
        </is>
      </c>
      <c r="L266" t="inlineStr">
        <is>
          <t>Page found, being read</t>
        </is>
      </c>
      <c r="M266" t="inlineStr">
        <is>
          <t>Page found, being read</t>
        </is>
      </c>
      <c r="N266" t="inlineStr"/>
      <c r="O266" t="n">
        <v>0</v>
      </c>
      <c r="P266" t="inlineStr"/>
      <c r="Q266" t="inlineStr">
        <is>
          <t>Page found, being read</t>
        </is>
      </c>
      <c r="S266" t="inlineStr"/>
      <c r="T266" t="inlineStr">
        <is>
          <t>Held: double degree (its parts are at different levels)</t>
        </is>
      </c>
      <c r="U266" t="inlineStr"/>
      <c r="V266" t="inlineStr">
        <is>
          <t>Page found, being read</t>
        </is>
      </c>
      <c r="W266" t="inlineStr"/>
      <c r="X266" t="inlineStr"/>
      <c r="Y266" t="n">
        <v>0</v>
      </c>
      <c r="Z266" t="inlineStr">
        <is>
          <t>No</t>
        </is>
      </c>
      <c r="AA266" t="inlineStr">
        <is>
          <t>Not stated on course page</t>
        </is>
      </c>
      <c r="AB266" t="inlineStr"/>
      <c r="AC266" t="inlineStr">
        <is>
          <t>Skipped: no allowed source had a value</t>
        </is>
      </c>
      <c r="AD266" t="n">
        <v>0</v>
      </c>
      <c r="AE266" t="inlineStr"/>
      <c r="AF266" t="inlineStr"/>
      <c r="AG266" t="inlineStr"/>
      <c r="AH266" t="inlineStr"/>
      <c r="AI266" t="inlineStr"/>
      <c r="AJ266" t="inlineStr">
        <is>
          <t>Yes</t>
        </is>
      </c>
      <c r="AK266" t="inlineStr"/>
      <c r="AL266" t="inlineStr"/>
      <c r="AM266" t="inlineStr"/>
    </row>
    <row r="267">
      <c r="A267" t="inlineStr">
        <is>
          <t>099592G</t>
        </is>
      </c>
      <c r="B267" t="inlineStr">
        <is>
          <t>Master of Combined Studies in Counter Terrorism / Cyber Security Analysis</t>
        </is>
      </c>
      <c r="C267" t="inlineStr">
        <is>
          <t>Masters Degree (Coursework)</t>
        </is>
      </c>
      <c r="D267" t="inlineStr">
        <is>
          <t>Postgraduate coursework</t>
        </is>
      </c>
      <c r="E267" t="inlineStr">
        <is>
          <t>Page address no longer works</t>
        </is>
      </c>
      <c r="F267" t="inlineStr"/>
      <c r="G267" t="inlineStr">
        <is>
          <t>https://coursehandbook.mq.edu.au/2026/doubledegree/d000110</t>
        </is>
      </c>
      <c r="H267" t="inlineStr">
        <is>
          <t>Address no longer works</t>
        </is>
      </c>
      <c r="I267" t="inlineStr"/>
      <c r="J267" t="inlineStr"/>
      <c r="K267" t="inlineStr">
        <is>
          <t>Not sent to re-link</t>
        </is>
      </c>
      <c r="L267" t="inlineStr">
        <is>
          <t>Page found, being read</t>
        </is>
      </c>
      <c r="M267" t="inlineStr">
        <is>
          <t>Page found, being read</t>
        </is>
      </c>
      <c r="N267" t="inlineStr"/>
      <c r="O267" t="n">
        <v>0</v>
      </c>
      <c r="P267" t="inlineStr"/>
      <c r="Q267" t="inlineStr">
        <is>
          <t>Page found, being read</t>
        </is>
      </c>
      <c r="S267" t="inlineStr"/>
      <c r="T267" t="inlineStr">
        <is>
          <t>Held: double degree (its parts are at different levels)</t>
        </is>
      </c>
      <c r="U267" t="inlineStr"/>
      <c r="V267" t="inlineStr">
        <is>
          <t>Page found, being read</t>
        </is>
      </c>
      <c r="W267" t="inlineStr"/>
      <c r="X267" t="inlineStr"/>
      <c r="Y267" t="n">
        <v>0</v>
      </c>
      <c r="Z267" t="inlineStr">
        <is>
          <t>No</t>
        </is>
      </c>
      <c r="AA267" t="inlineStr">
        <is>
          <t>Not stated on course page</t>
        </is>
      </c>
      <c r="AB267" t="inlineStr"/>
      <c r="AC267" t="inlineStr">
        <is>
          <t>Skipped: no allowed source had a value</t>
        </is>
      </c>
      <c r="AD267" t="n">
        <v>0</v>
      </c>
      <c r="AE267" t="inlineStr"/>
      <c r="AF267" t="inlineStr"/>
      <c r="AG267" t="inlineStr"/>
      <c r="AH267" t="inlineStr"/>
      <c r="AI267" t="inlineStr"/>
      <c r="AJ267" t="inlineStr">
        <is>
          <t>Yes</t>
        </is>
      </c>
      <c r="AK267" t="inlineStr"/>
      <c r="AL267" t="inlineStr"/>
      <c r="AM267" t="inlineStr"/>
    </row>
    <row r="268">
      <c r="A268" t="inlineStr">
        <is>
          <t>099593G</t>
        </is>
      </c>
      <c r="B268" t="inlineStr">
        <is>
          <t>Master of Combined Studies in Counter Terrorism / Intelligence</t>
        </is>
      </c>
      <c r="C268" t="inlineStr">
        <is>
          <t>Masters Degree (Coursework)</t>
        </is>
      </c>
      <c r="D268" t="inlineStr">
        <is>
          <t>Postgraduate coursework</t>
        </is>
      </c>
      <c r="E268" t="inlineStr">
        <is>
          <t>Page address no longer works</t>
        </is>
      </c>
      <c r="F268" t="inlineStr"/>
      <c r="G268" t="inlineStr">
        <is>
          <t>https://coursehandbook.mq.edu.au/2026/doubledegree/d000133</t>
        </is>
      </c>
      <c r="H268" t="inlineStr">
        <is>
          <t>Address no longer works</t>
        </is>
      </c>
      <c r="I268" t="inlineStr"/>
      <c r="J268" t="inlineStr"/>
      <c r="K268" t="inlineStr">
        <is>
          <t>Not sent to re-link</t>
        </is>
      </c>
      <c r="L268" t="inlineStr">
        <is>
          <t>Page found, being read</t>
        </is>
      </c>
      <c r="M268" t="inlineStr">
        <is>
          <t>Page found, being read</t>
        </is>
      </c>
      <c r="N268" t="inlineStr"/>
      <c r="O268" t="n">
        <v>0</v>
      </c>
      <c r="P268" t="inlineStr"/>
      <c r="Q268" t="inlineStr">
        <is>
          <t>Page found, being read</t>
        </is>
      </c>
      <c r="S268" t="inlineStr"/>
      <c r="T268" t="inlineStr">
        <is>
          <t>Held: double degree (its parts are at different levels)</t>
        </is>
      </c>
      <c r="U268" t="inlineStr"/>
      <c r="V268" t="inlineStr">
        <is>
          <t>Page found, being read</t>
        </is>
      </c>
      <c r="W268" t="inlineStr"/>
      <c r="X268" t="inlineStr"/>
      <c r="Y268" t="n">
        <v>0</v>
      </c>
      <c r="Z268" t="inlineStr">
        <is>
          <t>No</t>
        </is>
      </c>
      <c r="AA268" t="inlineStr">
        <is>
          <t>Not stated on course page</t>
        </is>
      </c>
      <c r="AB268" t="inlineStr"/>
      <c r="AC268" t="inlineStr">
        <is>
          <t>Skipped: no allowed source had a value</t>
        </is>
      </c>
      <c r="AD268" t="n">
        <v>0</v>
      </c>
      <c r="AE268" t="inlineStr"/>
      <c r="AF268" t="inlineStr"/>
      <c r="AG268" t="inlineStr"/>
      <c r="AH268" t="inlineStr"/>
      <c r="AI268" t="inlineStr"/>
      <c r="AJ268" t="inlineStr">
        <is>
          <t>Yes</t>
        </is>
      </c>
      <c r="AK268" t="inlineStr"/>
      <c r="AL268" t="inlineStr"/>
      <c r="AM268" t="inlineStr"/>
    </row>
    <row r="269">
      <c r="A269" t="inlineStr">
        <is>
          <t>099594F</t>
        </is>
      </c>
      <c r="B269" t="inlineStr">
        <is>
          <t>Master of Combined Studies in Counter Terrorism / Security and Strategic Studies</t>
        </is>
      </c>
      <c r="C269" t="inlineStr">
        <is>
          <t>Masters Degree (Coursework)</t>
        </is>
      </c>
      <c r="D269" t="inlineStr">
        <is>
          <t>Postgraduate coursework</t>
        </is>
      </c>
      <c r="E269" t="inlineStr">
        <is>
          <t>Page address no longer works</t>
        </is>
      </c>
      <c r="F269" t="inlineStr"/>
      <c r="G269" t="inlineStr">
        <is>
          <t>https://coursehandbook.mq.edu.au/2026/courses/C000206</t>
        </is>
      </c>
      <c r="H269" t="inlineStr">
        <is>
          <t>Address no longer works</t>
        </is>
      </c>
      <c r="I269" t="inlineStr"/>
      <c r="J269" t="inlineStr"/>
      <c r="K269" t="inlineStr">
        <is>
          <t>Not sent to re-link</t>
        </is>
      </c>
      <c r="L269" t="inlineStr">
        <is>
          <t>Page found, being read</t>
        </is>
      </c>
      <c r="M269" t="inlineStr">
        <is>
          <t>Page found, being read</t>
        </is>
      </c>
      <c r="N269" t="inlineStr"/>
      <c r="O269" t="n">
        <v>0</v>
      </c>
      <c r="P269" t="inlineStr"/>
      <c r="Q269" t="inlineStr">
        <is>
          <t>Page found, being read</t>
        </is>
      </c>
      <c r="S269" t="inlineStr"/>
      <c r="T269" t="inlineStr">
        <is>
          <t>Held: double degree (its parts are at different levels)</t>
        </is>
      </c>
      <c r="U269" t="inlineStr"/>
      <c r="V269" t="inlineStr">
        <is>
          <t>Page found, being read</t>
        </is>
      </c>
      <c r="W269" t="inlineStr"/>
      <c r="X269" t="inlineStr"/>
      <c r="Y269" t="n">
        <v>0</v>
      </c>
      <c r="Z269" t="inlineStr">
        <is>
          <t>No</t>
        </is>
      </c>
      <c r="AA269" t="inlineStr">
        <is>
          <t>Not stated on course page</t>
        </is>
      </c>
      <c r="AB269" t="inlineStr"/>
      <c r="AC269" t="inlineStr">
        <is>
          <t>Skipped: no allowed source had a value</t>
        </is>
      </c>
      <c r="AD269" t="n">
        <v>0</v>
      </c>
      <c r="AE269" t="inlineStr"/>
      <c r="AF269" t="inlineStr"/>
      <c r="AG269" t="inlineStr"/>
      <c r="AH269" t="inlineStr"/>
      <c r="AI269" t="inlineStr"/>
      <c r="AJ269" t="inlineStr">
        <is>
          <t>Yes</t>
        </is>
      </c>
      <c r="AK269" t="inlineStr"/>
      <c r="AL269" t="inlineStr"/>
      <c r="AM269" t="inlineStr"/>
    </row>
    <row r="270">
      <c r="A270" t="inlineStr">
        <is>
          <t>099547B</t>
        </is>
      </c>
      <c r="B270" t="inlineStr">
        <is>
          <t>Master of Combined Studies in Creative Industries / International Relations</t>
        </is>
      </c>
      <c r="C270" t="inlineStr">
        <is>
          <t>Masters Degree (Coursework)</t>
        </is>
      </c>
      <c r="D270" t="inlineStr">
        <is>
          <t>Postgraduate coursework</t>
        </is>
      </c>
      <c r="E270" t="inlineStr">
        <is>
          <t>Page address no longer works</t>
        </is>
      </c>
      <c r="F270" t="inlineStr"/>
      <c r="G270" t="inlineStr">
        <is>
          <t>https://coursehandbook.mq.edu.au/2026/doubledegree/d000106</t>
        </is>
      </c>
      <c r="H270" t="inlineStr">
        <is>
          <t>Address no longer works</t>
        </is>
      </c>
      <c r="I270" t="inlineStr"/>
      <c r="J270" t="inlineStr"/>
      <c r="K270" t="inlineStr">
        <is>
          <t>Finished, no page: no address from the university's address forms or stored lis</t>
        </is>
      </c>
      <c r="L270" t="inlineStr">
        <is>
          <t>Page found, being read</t>
        </is>
      </c>
      <c r="M270" t="inlineStr">
        <is>
          <t>Page found, being read</t>
        </is>
      </c>
      <c r="N270" t="inlineStr"/>
      <c r="O270" t="n">
        <v>0</v>
      </c>
      <c r="P270" t="inlineStr"/>
      <c r="Q270" t="inlineStr">
        <is>
          <t>Page found, being read</t>
        </is>
      </c>
      <c r="S270" t="inlineStr"/>
      <c r="T270" t="inlineStr">
        <is>
          <t>Held: double degree (its parts are at different levels)</t>
        </is>
      </c>
      <c r="U270" t="inlineStr"/>
      <c r="V270" t="inlineStr">
        <is>
          <t>Page found, being read</t>
        </is>
      </c>
      <c r="W270" t="inlineStr"/>
      <c r="X270" t="inlineStr"/>
      <c r="Y270" t="n">
        <v>0</v>
      </c>
      <c r="Z270" t="inlineStr">
        <is>
          <t>No</t>
        </is>
      </c>
      <c r="AA270" t="inlineStr">
        <is>
          <t>Not stated on course page</t>
        </is>
      </c>
      <c r="AB270" t="inlineStr"/>
      <c r="AC270" t="inlineStr">
        <is>
          <t>Skipped: no allowed source had a value</t>
        </is>
      </c>
      <c r="AD270" t="n">
        <v>0</v>
      </c>
      <c r="AE270" t="inlineStr"/>
      <c r="AF270" t="inlineStr"/>
      <c r="AG270" t="inlineStr"/>
      <c r="AH270" t="inlineStr"/>
      <c r="AI270" t="inlineStr"/>
      <c r="AJ270" t="inlineStr">
        <is>
          <t>Yes</t>
        </is>
      </c>
      <c r="AK270" t="inlineStr"/>
      <c r="AL270" t="inlineStr"/>
      <c r="AM270" t="inlineStr"/>
    </row>
    <row r="271">
      <c r="A271" t="inlineStr">
        <is>
          <t>0100923</t>
        </is>
      </c>
      <c r="B271" t="inlineStr">
        <is>
          <t>Master of Combined Studies in Creative Industries / Management</t>
        </is>
      </c>
      <c r="C271" t="inlineStr">
        <is>
          <t>Masters Degree (Coursework)</t>
        </is>
      </c>
      <c r="D271" t="inlineStr">
        <is>
          <t>Postgraduate coursework</t>
        </is>
      </c>
      <c r="E271" t="inlineStr">
        <is>
          <t>Advertised: official page in place</t>
        </is>
      </c>
      <c r="F271" t="inlineStr">
        <is>
          <t>https://coursehandbook.mq.edu.au/2026/doubledegree/d001003</t>
        </is>
      </c>
      <c r="G271" t="inlineStr">
        <is>
          <t>https://coursehandbook.mq.edu.au/2026/doubledegree/d001003</t>
        </is>
      </c>
      <c r="H271" t="inlineStr">
        <is>
          <t>Read</t>
        </is>
      </c>
      <c r="I271" t="inlineStr">
        <is>
          <t>University adapter (code)</t>
        </is>
      </c>
      <c r="J271" t="inlineStr"/>
      <c r="K271" t="inlineStr">
        <is>
          <t>Not sent to re-link</t>
        </is>
      </c>
      <c r="L271" t="inlineStr">
        <is>
          <t>Filled</t>
        </is>
      </c>
      <c r="M271" t="inlineStr">
        <is>
          <t>Not stated on course page</t>
        </is>
      </c>
      <c r="N271" t="inlineStr"/>
      <c r="O271" t="n">
        <v>0</v>
      </c>
      <c r="P271" t="inlineStr"/>
      <c r="Q271" t="inlineStr">
        <is>
          <t>Filled</t>
        </is>
      </c>
      <c r="R271" t="n">
        <v>6.5</v>
      </c>
      <c r="S271" t="inlineStr">
        <is>
          <t>University adapter</t>
        </is>
      </c>
      <c r="T271" t="inlineStr">
        <is>
          <t>Held: double degree (its parts are at different levels)</t>
        </is>
      </c>
      <c r="U271" t="inlineStr"/>
      <c r="V271" t="inlineStr">
        <is>
          <t>Not stated on course page</t>
        </is>
      </c>
      <c r="W271" t="inlineStr"/>
      <c r="X271" t="inlineStr"/>
      <c r="Y271" t="n">
        <v>0</v>
      </c>
      <c r="Z271" t="inlineStr">
        <is>
          <t>No</t>
        </is>
      </c>
      <c r="AA271" t="inlineStr">
        <is>
          <t>Not stated on course page</t>
        </is>
      </c>
      <c r="AB271" t="inlineStr"/>
      <c r="AC271" t="inlineStr">
        <is>
          <t>Skipped: the page does not state it</t>
        </is>
      </c>
      <c r="AD271" t="n">
        <v>0</v>
      </c>
      <c r="AE271" t="inlineStr"/>
      <c r="AF271" t="inlineStr"/>
      <c r="AG271" t="inlineStr"/>
      <c r="AH271" t="inlineStr"/>
      <c r="AI271" t="inlineStr"/>
      <c r="AJ271" t="inlineStr"/>
      <c r="AK271" t="inlineStr"/>
      <c r="AL271" t="inlineStr"/>
      <c r="AM271" t="inlineStr"/>
    </row>
    <row r="272">
      <c r="A272" t="inlineStr">
        <is>
          <t>099586F</t>
        </is>
      </c>
      <c r="B272" t="inlineStr">
        <is>
          <t>Master of Combined Studies in Criminology / Cyber Security Analysis</t>
        </is>
      </c>
      <c r="C272" t="inlineStr">
        <is>
          <t>Masters Degree (Coursework)</t>
        </is>
      </c>
      <c r="D272" t="inlineStr">
        <is>
          <t>Postgraduate coursework</t>
        </is>
      </c>
      <c r="E272" t="inlineStr">
        <is>
          <t>Page address no longer works</t>
        </is>
      </c>
      <c r="F272" t="inlineStr"/>
      <c r="G272" t="inlineStr">
        <is>
          <t>https://coursehandbook.mq.edu.au/2026/courses/C000173</t>
        </is>
      </c>
      <c r="H272" t="inlineStr">
        <is>
          <t>Address no longer works</t>
        </is>
      </c>
      <c r="I272" t="inlineStr"/>
      <c r="J272" t="inlineStr"/>
      <c r="K272" t="inlineStr">
        <is>
          <t>Not sent to re-link</t>
        </is>
      </c>
      <c r="L272" t="inlineStr">
        <is>
          <t>Page found, being read</t>
        </is>
      </c>
      <c r="M272" t="inlineStr">
        <is>
          <t>Page found, being read</t>
        </is>
      </c>
      <c r="N272" t="inlineStr"/>
      <c r="O272" t="n">
        <v>0</v>
      </c>
      <c r="P272" t="inlineStr"/>
      <c r="Q272" t="inlineStr">
        <is>
          <t>Page found, being read</t>
        </is>
      </c>
      <c r="S272" t="inlineStr"/>
      <c r="T272" t="inlineStr">
        <is>
          <t>Held: double degree (its parts are at different levels)</t>
        </is>
      </c>
      <c r="U272" t="inlineStr"/>
      <c r="V272" t="inlineStr">
        <is>
          <t>Page found, being read</t>
        </is>
      </c>
      <c r="W272" t="inlineStr"/>
      <c r="X272" t="inlineStr"/>
      <c r="Y272" t="n">
        <v>0</v>
      </c>
      <c r="Z272" t="inlineStr">
        <is>
          <t>No</t>
        </is>
      </c>
      <c r="AA272" t="inlineStr">
        <is>
          <t>Not stated on course page</t>
        </is>
      </c>
      <c r="AB272" t="inlineStr"/>
      <c r="AC272" t="inlineStr">
        <is>
          <t>Skipped: no allowed source had a value</t>
        </is>
      </c>
      <c r="AD272" t="n">
        <v>0</v>
      </c>
      <c r="AE272" t="inlineStr"/>
      <c r="AF272" t="inlineStr"/>
      <c r="AG272" t="inlineStr"/>
      <c r="AH272" t="inlineStr"/>
      <c r="AI272" t="inlineStr"/>
      <c r="AJ272" t="inlineStr">
        <is>
          <t>Yes</t>
        </is>
      </c>
      <c r="AK272" t="inlineStr"/>
      <c r="AL272" t="inlineStr"/>
      <c r="AM272" t="inlineStr"/>
    </row>
    <row r="273">
      <c r="A273" t="inlineStr">
        <is>
          <t>099587E</t>
        </is>
      </c>
      <c r="B273" t="inlineStr">
        <is>
          <t>Master of Combined Studies in Criminology / Intelligence</t>
        </is>
      </c>
      <c r="C273" t="inlineStr">
        <is>
          <t>Masters Degree (Coursework)</t>
        </is>
      </c>
      <c r="D273" t="inlineStr">
        <is>
          <t>Postgraduate coursework</t>
        </is>
      </c>
      <c r="E273" t="inlineStr">
        <is>
          <t>Page address no longer works</t>
        </is>
      </c>
      <c r="F273" t="inlineStr"/>
      <c r="G273" t="inlineStr">
        <is>
          <t>https://coursehandbook.mq.edu.au/2026/doubledegree/d000108</t>
        </is>
      </c>
      <c r="H273" t="inlineStr">
        <is>
          <t>Address no longer works</t>
        </is>
      </c>
      <c r="I273" t="inlineStr"/>
      <c r="J273" t="inlineStr"/>
      <c r="K273" t="inlineStr">
        <is>
          <t>Not sent to re-link</t>
        </is>
      </c>
      <c r="L273" t="inlineStr">
        <is>
          <t>Page found, being read</t>
        </is>
      </c>
      <c r="M273" t="inlineStr">
        <is>
          <t>Page found, being read</t>
        </is>
      </c>
      <c r="N273" t="inlineStr"/>
      <c r="O273" t="n">
        <v>0</v>
      </c>
      <c r="P273" t="inlineStr"/>
      <c r="Q273" t="inlineStr">
        <is>
          <t>Page found, being read</t>
        </is>
      </c>
      <c r="S273" t="inlineStr"/>
      <c r="T273" t="inlineStr">
        <is>
          <t>Held: double degree (its parts are at different levels)</t>
        </is>
      </c>
      <c r="U273" t="inlineStr"/>
      <c r="V273" t="inlineStr">
        <is>
          <t>Page found, being read</t>
        </is>
      </c>
      <c r="W273" t="inlineStr"/>
      <c r="X273" t="inlineStr"/>
      <c r="Y273" t="n">
        <v>0</v>
      </c>
      <c r="Z273" t="inlineStr">
        <is>
          <t>No</t>
        </is>
      </c>
      <c r="AA273" t="inlineStr">
        <is>
          <t>Not stated on course page</t>
        </is>
      </c>
      <c r="AB273" t="inlineStr"/>
      <c r="AC273" t="inlineStr">
        <is>
          <t>Skipped: no allowed source had a value</t>
        </is>
      </c>
      <c r="AD273" t="n">
        <v>0</v>
      </c>
      <c r="AE273" t="inlineStr"/>
      <c r="AF273" t="inlineStr"/>
      <c r="AG273" t="inlineStr"/>
      <c r="AH273" t="inlineStr"/>
      <c r="AI273" t="inlineStr"/>
      <c r="AJ273" t="inlineStr">
        <is>
          <t>Yes</t>
        </is>
      </c>
      <c r="AK273" t="inlineStr"/>
      <c r="AL273" t="inlineStr"/>
      <c r="AM273" t="inlineStr"/>
    </row>
    <row r="274">
      <c r="A274" t="inlineStr">
        <is>
          <t>099588D</t>
        </is>
      </c>
      <c r="B274" t="inlineStr">
        <is>
          <t>Master of Combined Studies in Criminology / Security and Strategic Studies</t>
        </is>
      </c>
      <c r="C274" t="inlineStr">
        <is>
          <t>Masters Degree (Coursework)</t>
        </is>
      </c>
      <c r="D274" t="inlineStr">
        <is>
          <t>Postgraduate coursework</t>
        </is>
      </c>
      <c r="E274" t="inlineStr">
        <is>
          <t>Page address no longer works</t>
        </is>
      </c>
      <c r="F274" t="inlineStr"/>
      <c r="G274" t="inlineStr">
        <is>
          <t>https://coursehandbook.mq.edu.au/2026/courses/c000230</t>
        </is>
      </c>
      <c r="H274" t="inlineStr">
        <is>
          <t>Address no longer works</t>
        </is>
      </c>
      <c r="I274" t="inlineStr"/>
      <c r="J274" t="inlineStr"/>
      <c r="K274" t="inlineStr">
        <is>
          <t>Not sent to re-link</t>
        </is>
      </c>
      <c r="L274" t="inlineStr">
        <is>
          <t>Page found, being read</t>
        </is>
      </c>
      <c r="M274" t="inlineStr">
        <is>
          <t>Page found, being read</t>
        </is>
      </c>
      <c r="N274" t="inlineStr"/>
      <c r="O274" t="n">
        <v>0</v>
      </c>
      <c r="P274" t="inlineStr"/>
      <c r="Q274" t="inlineStr">
        <is>
          <t>Page found, being read</t>
        </is>
      </c>
      <c r="S274" t="inlineStr"/>
      <c r="T274" t="inlineStr">
        <is>
          <t>Held: double degree (its parts are at different levels)</t>
        </is>
      </c>
      <c r="U274" t="inlineStr"/>
      <c r="V274" t="inlineStr">
        <is>
          <t>Page found, being read</t>
        </is>
      </c>
      <c r="W274" t="inlineStr"/>
      <c r="X274" t="inlineStr"/>
      <c r="Y274" t="n">
        <v>0</v>
      </c>
      <c r="Z274" t="inlineStr">
        <is>
          <t>No</t>
        </is>
      </c>
      <c r="AA274" t="inlineStr">
        <is>
          <t>Not stated on course page</t>
        </is>
      </c>
      <c r="AB274" t="inlineStr"/>
      <c r="AC274" t="inlineStr">
        <is>
          <t>Skipped: no allowed source had a value</t>
        </is>
      </c>
      <c r="AD274" t="n">
        <v>0</v>
      </c>
      <c r="AE274" t="inlineStr"/>
      <c r="AF274" t="inlineStr"/>
      <c r="AG274" t="inlineStr"/>
      <c r="AH274" t="inlineStr"/>
      <c r="AI274" t="inlineStr"/>
      <c r="AJ274" t="inlineStr">
        <is>
          <t>Yes</t>
        </is>
      </c>
      <c r="AK274" t="inlineStr"/>
      <c r="AL274" t="inlineStr"/>
      <c r="AM274" t="inlineStr"/>
    </row>
    <row r="275">
      <c r="A275" t="inlineStr">
        <is>
          <t>099583J</t>
        </is>
      </c>
      <c r="B275" t="inlineStr">
        <is>
          <t>Master of Combined Studies in Cyber Security Analysis / Intelligence</t>
        </is>
      </c>
      <c r="C275" t="inlineStr">
        <is>
          <t>Masters Degree (Coursework)</t>
        </is>
      </c>
      <c r="D275" t="inlineStr">
        <is>
          <t>Postgraduate coursework</t>
        </is>
      </c>
      <c r="E275" t="inlineStr">
        <is>
          <t>Page address no longer works</t>
        </is>
      </c>
      <c r="F275" t="inlineStr"/>
      <c r="G275" t="inlineStr">
        <is>
          <t>https://coursehandbook.mq.edu.au/2026/courses/c000209</t>
        </is>
      </c>
      <c r="H275" t="inlineStr">
        <is>
          <t>Address no longer works</t>
        </is>
      </c>
      <c r="I275" t="inlineStr"/>
      <c r="J275" t="inlineStr"/>
      <c r="K275" t="inlineStr">
        <is>
          <t>Not sent to re-link</t>
        </is>
      </c>
      <c r="L275" t="inlineStr">
        <is>
          <t>Page found, being read</t>
        </is>
      </c>
      <c r="M275" t="inlineStr">
        <is>
          <t>Page found, being read</t>
        </is>
      </c>
      <c r="N275" t="inlineStr"/>
      <c r="O275" t="n">
        <v>0</v>
      </c>
      <c r="P275" t="inlineStr"/>
      <c r="Q275" t="inlineStr">
        <is>
          <t>Page found, being read</t>
        </is>
      </c>
      <c r="S275" t="inlineStr"/>
      <c r="T275" t="inlineStr">
        <is>
          <t>Held: double degree (its parts are at different levels)</t>
        </is>
      </c>
      <c r="U275" t="inlineStr"/>
      <c r="V275" t="inlineStr">
        <is>
          <t>Page found, being read</t>
        </is>
      </c>
      <c r="W275" t="inlineStr"/>
      <c r="X275" t="inlineStr"/>
      <c r="Y275" t="n">
        <v>0</v>
      </c>
      <c r="Z275" t="inlineStr">
        <is>
          <t>No</t>
        </is>
      </c>
      <c r="AA275" t="inlineStr">
        <is>
          <t>Not stated on course page</t>
        </is>
      </c>
      <c r="AB275" t="inlineStr"/>
      <c r="AC275" t="inlineStr">
        <is>
          <t>Skipped: no allowed source had a value</t>
        </is>
      </c>
      <c r="AD275" t="n">
        <v>0</v>
      </c>
      <c r="AE275" t="inlineStr"/>
      <c r="AF275" t="inlineStr"/>
      <c r="AG275" t="inlineStr"/>
      <c r="AH275" t="inlineStr"/>
      <c r="AI275" t="inlineStr"/>
      <c r="AJ275" t="inlineStr">
        <is>
          <t>Yes</t>
        </is>
      </c>
      <c r="AK275" t="inlineStr"/>
      <c r="AL275" t="inlineStr"/>
      <c r="AM275" t="inlineStr"/>
    </row>
    <row r="276">
      <c r="A276" t="inlineStr">
        <is>
          <t>099584G</t>
        </is>
      </c>
      <c r="B276" t="inlineStr">
        <is>
          <t>Master of Combined Studies in Cyber Security Analysis / Security and Strategic Studies</t>
        </is>
      </c>
      <c r="C276" t="inlineStr">
        <is>
          <t>Masters Degree (Coursework)</t>
        </is>
      </c>
      <c r="D276" t="inlineStr">
        <is>
          <t>Postgraduate coursework</t>
        </is>
      </c>
      <c r="E276" t="inlineStr">
        <is>
          <t>Page address no longer works</t>
        </is>
      </c>
      <c r="F276" t="inlineStr"/>
      <c r="G276" t="inlineStr">
        <is>
          <t>https://coursehandbook.mq.edu.au/2026/courses/c000189</t>
        </is>
      </c>
      <c r="H276" t="inlineStr">
        <is>
          <t>Address no longer works</t>
        </is>
      </c>
      <c r="I276" t="inlineStr"/>
      <c r="J276" t="inlineStr"/>
      <c r="K276" t="inlineStr">
        <is>
          <t>Not sent to re-link</t>
        </is>
      </c>
      <c r="L276" t="inlineStr">
        <is>
          <t>Page found, being read</t>
        </is>
      </c>
      <c r="M276" t="inlineStr">
        <is>
          <t>Page found, being read</t>
        </is>
      </c>
      <c r="N276" t="inlineStr"/>
      <c r="O276" t="n">
        <v>0</v>
      </c>
      <c r="P276" t="inlineStr"/>
      <c r="Q276" t="inlineStr">
        <is>
          <t>Page found, being read</t>
        </is>
      </c>
      <c r="S276" t="inlineStr"/>
      <c r="T276" t="inlineStr">
        <is>
          <t>Held: double degree (its parts are at different levels)</t>
        </is>
      </c>
      <c r="U276" t="inlineStr"/>
      <c r="V276" t="inlineStr">
        <is>
          <t>Page found, being read</t>
        </is>
      </c>
      <c r="W276" t="inlineStr"/>
      <c r="X276" t="inlineStr"/>
      <c r="Y276" t="n">
        <v>0</v>
      </c>
      <c r="Z276" t="inlineStr">
        <is>
          <t>No</t>
        </is>
      </c>
      <c r="AA276" t="inlineStr">
        <is>
          <t>Not stated on course page</t>
        </is>
      </c>
      <c r="AB276" t="inlineStr"/>
      <c r="AC276" t="inlineStr">
        <is>
          <t>Skipped: no allowed source had a value</t>
        </is>
      </c>
      <c r="AD276" t="n">
        <v>0</v>
      </c>
      <c r="AE276" t="inlineStr"/>
      <c r="AF276" t="inlineStr"/>
      <c r="AG276" t="inlineStr"/>
      <c r="AH276" t="inlineStr"/>
      <c r="AI276" t="inlineStr"/>
      <c r="AJ276" t="inlineStr">
        <is>
          <t>Yes</t>
        </is>
      </c>
      <c r="AK276" t="inlineStr"/>
      <c r="AL276" t="inlineStr"/>
      <c r="AM276" t="inlineStr"/>
    </row>
    <row r="277">
      <c r="A277" t="inlineStr">
        <is>
          <t>0100924</t>
        </is>
      </c>
      <c r="B277" t="inlineStr">
        <is>
          <t>Master of Combined Studies in Cybergovernance and Management / Management</t>
        </is>
      </c>
      <c r="C277" t="inlineStr">
        <is>
          <t>Masters Degree (Coursework)</t>
        </is>
      </c>
      <c r="D277" t="inlineStr">
        <is>
          <t>Postgraduate coursework</t>
        </is>
      </c>
      <c r="E277" t="inlineStr">
        <is>
          <t>Page address no longer works</t>
        </is>
      </c>
      <c r="F277" t="inlineStr"/>
      <c r="G277" t="inlineStr">
        <is>
          <t>https://coursehandbook.mq.edu.au/2026/courses/c000065</t>
        </is>
      </c>
      <c r="H277" t="inlineStr">
        <is>
          <t>Address no longer works</t>
        </is>
      </c>
      <c r="I277" t="inlineStr"/>
      <c r="J277" t="inlineStr"/>
      <c r="K277" t="inlineStr">
        <is>
          <t>Not sent to re-link</t>
        </is>
      </c>
      <c r="L277" t="inlineStr">
        <is>
          <t>Page found, being read</t>
        </is>
      </c>
      <c r="M277" t="inlineStr">
        <is>
          <t>Page found, being read</t>
        </is>
      </c>
      <c r="N277" t="inlineStr"/>
      <c r="O277" t="n">
        <v>0</v>
      </c>
      <c r="P277" t="inlineStr"/>
      <c r="Q277" t="inlineStr">
        <is>
          <t>Page found, being read</t>
        </is>
      </c>
      <c r="S277" t="inlineStr"/>
      <c r="T277" t="inlineStr">
        <is>
          <t>Held: double degree (its parts are at different levels)</t>
        </is>
      </c>
      <c r="U277" t="inlineStr"/>
      <c r="V277" t="inlineStr">
        <is>
          <t>Page found, being read</t>
        </is>
      </c>
      <c r="W277" t="inlineStr"/>
      <c r="X277" t="inlineStr"/>
      <c r="Y277" t="n">
        <v>0</v>
      </c>
      <c r="Z277" t="inlineStr">
        <is>
          <t>No</t>
        </is>
      </c>
      <c r="AA277" t="inlineStr">
        <is>
          <t>Not stated on course page</t>
        </is>
      </c>
      <c r="AB277" t="inlineStr"/>
      <c r="AC277" t="inlineStr">
        <is>
          <t>Skipped: no allowed source had a value</t>
        </is>
      </c>
      <c r="AD277" t="n">
        <v>0</v>
      </c>
      <c r="AE277" t="inlineStr"/>
      <c r="AF277" t="inlineStr"/>
      <c r="AG277" t="inlineStr"/>
      <c r="AH277" t="inlineStr"/>
      <c r="AI277" t="inlineStr"/>
      <c r="AJ277" t="inlineStr">
        <is>
          <t>Yes</t>
        </is>
      </c>
      <c r="AK277" t="inlineStr"/>
      <c r="AL277" t="inlineStr"/>
      <c r="AM277" t="inlineStr"/>
    </row>
    <row r="278">
      <c r="A278" t="inlineStr">
        <is>
          <t>099548A</t>
        </is>
      </c>
      <c r="B278" t="inlineStr">
        <is>
          <t>Master of Combined Studies in Environment / Conservation Biology</t>
        </is>
      </c>
      <c r="C278" t="inlineStr">
        <is>
          <t>Masters Degree (Coursework)</t>
        </is>
      </c>
      <c r="D278" t="inlineStr">
        <is>
          <t>Postgraduate coursework</t>
        </is>
      </c>
      <c r="E278" t="inlineStr">
        <is>
          <t>Page address no longer works</t>
        </is>
      </c>
      <c r="F278" t="inlineStr"/>
      <c r="G278" t="inlineStr">
        <is>
          <t>https://coursehandbook.mq.edu.au/2026/doubledegree/d003515</t>
        </is>
      </c>
      <c r="H278" t="inlineStr">
        <is>
          <t>Address no longer works</t>
        </is>
      </c>
      <c r="I278" t="inlineStr"/>
      <c r="J278" t="inlineStr"/>
      <c r="K278" t="inlineStr">
        <is>
          <t>Finished, no page: no address from the university's address forms or stored lis</t>
        </is>
      </c>
      <c r="L278" t="inlineStr">
        <is>
          <t>Page found, being read</t>
        </is>
      </c>
      <c r="M278" t="inlineStr">
        <is>
          <t>Page found, being read</t>
        </is>
      </c>
      <c r="N278" t="inlineStr"/>
      <c r="O278" t="n">
        <v>0</v>
      </c>
      <c r="P278" t="inlineStr"/>
      <c r="Q278" t="inlineStr">
        <is>
          <t>Page found, being read</t>
        </is>
      </c>
      <c r="S278" t="inlineStr"/>
      <c r="T278" t="inlineStr">
        <is>
          <t>Held: double degree (its parts are at different levels)</t>
        </is>
      </c>
      <c r="U278" t="inlineStr"/>
      <c r="V278" t="inlineStr">
        <is>
          <t>Page found, being read</t>
        </is>
      </c>
      <c r="W278" t="inlineStr"/>
      <c r="X278" t="inlineStr"/>
      <c r="Y278" t="n">
        <v>0</v>
      </c>
      <c r="Z278" t="inlineStr">
        <is>
          <t>No</t>
        </is>
      </c>
      <c r="AA278" t="inlineStr">
        <is>
          <t>Not stated on course page</t>
        </is>
      </c>
      <c r="AB278" t="inlineStr"/>
      <c r="AC278" t="inlineStr">
        <is>
          <t>Skipped: no allowed source had a value</t>
        </is>
      </c>
      <c r="AD278" t="n">
        <v>0</v>
      </c>
      <c r="AE278" t="inlineStr"/>
      <c r="AF278" t="inlineStr"/>
      <c r="AG278" t="inlineStr"/>
      <c r="AH278" t="inlineStr"/>
      <c r="AI278" t="inlineStr"/>
      <c r="AJ278" t="inlineStr">
        <is>
          <t>Yes</t>
        </is>
      </c>
      <c r="AK278" t="inlineStr"/>
      <c r="AL278" t="inlineStr"/>
      <c r="AM278" t="inlineStr"/>
    </row>
    <row r="279">
      <c r="A279" t="inlineStr">
        <is>
          <t>099549M</t>
        </is>
      </c>
      <c r="B279" t="inlineStr">
        <is>
          <t>Master of Combined Studies in Environment / Marine Science and Management</t>
        </is>
      </c>
      <c r="C279" t="inlineStr">
        <is>
          <t>Masters Degree (Coursework)</t>
        </is>
      </c>
      <c r="D279" t="inlineStr">
        <is>
          <t>Postgraduate coursework</t>
        </is>
      </c>
      <c r="E279" t="inlineStr">
        <is>
          <t>Page address no longer works</t>
        </is>
      </c>
      <c r="F279" t="inlineStr"/>
      <c r="G279" t="inlineStr">
        <is>
          <t>https://coursehandbook.mq.edu.au/2026/courses/c000202</t>
        </is>
      </c>
      <c r="H279" t="inlineStr">
        <is>
          <t>Address no longer works</t>
        </is>
      </c>
      <c r="I279" t="inlineStr"/>
      <c r="J279" t="inlineStr"/>
      <c r="K279" t="inlineStr">
        <is>
          <t>Not sent to re-link</t>
        </is>
      </c>
      <c r="L279" t="inlineStr">
        <is>
          <t>Page found, being read</t>
        </is>
      </c>
      <c r="M279" t="inlineStr">
        <is>
          <t>Page found, being read</t>
        </is>
      </c>
      <c r="N279" t="inlineStr"/>
      <c r="O279" t="n">
        <v>0</v>
      </c>
      <c r="P279" t="inlineStr"/>
      <c r="Q279" t="inlineStr">
        <is>
          <t>Page found, being read</t>
        </is>
      </c>
      <c r="S279" t="inlineStr"/>
      <c r="T279" t="inlineStr">
        <is>
          <t>Held: double degree (its parts are at different levels)</t>
        </is>
      </c>
      <c r="U279" t="inlineStr"/>
      <c r="V279" t="inlineStr">
        <is>
          <t>Page found, being read</t>
        </is>
      </c>
      <c r="W279" t="inlineStr"/>
      <c r="X279" t="inlineStr"/>
      <c r="Y279" t="n">
        <v>0</v>
      </c>
      <c r="Z279" t="inlineStr">
        <is>
          <t>No</t>
        </is>
      </c>
      <c r="AA279" t="inlineStr">
        <is>
          <t>Not stated on course page</t>
        </is>
      </c>
      <c r="AB279" t="inlineStr"/>
      <c r="AC279" t="inlineStr">
        <is>
          <t>Skipped: no allowed source had a value</t>
        </is>
      </c>
      <c r="AD279" t="n">
        <v>0</v>
      </c>
      <c r="AE279" t="inlineStr"/>
      <c r="AF279" t="inlineStr"/>
      <c r="AG279" t="inlineStr"/>
      <c r="AH279" t="inlineStr"/>
      <c r="AI279" t="inlineStr"/>
      <c r="AJ279" t="inlineStr">
        <is>
          <t>Yes</t>
        </is>
      </c>
      <c r="AK279" t="inlineStr"/>
      <c r="AL279" t="inlineStr"/>
      <c r="AM279" t="inlineStr"/>
    </row>
    <row r="280">
      <c r="A280" t="inlineStr">
        <is>
          <t>099550G</t>
        </is>
      </c>
      <c r="B280" t="inlineStr">
        <is>
          <t>Master of Combined Studies in Environment / Sustainable Development</t>
        </is>
      </c>
      <c r="C280" t="inlineStr">
        <is>
          <t>Masters Degree (Coursework)</t>
        </is>
      </c>
      <c r="D280" t="inlineStr">
        <is>
          <t>Postgraduate coursework</t>
        </is>
      </c>
      <c r="E280" t="inlineStr">
        <is>
          <t>Held: page found is for another course</t>
        </is>
      </c>
      <c r="F280" t="inlineStr"/>
      <c r="G280" t="inlineStr">
        <is>
          <t>https://coursehandbook.mq.edu.au/2026/courses/C000078</t>
        </is>
      </c>
      <c r="H280" t="inlineStr">
        <is>
          <t>Page is for another course</t>
        </is>
      </c>
      <c r="I280" t="inlineStr"/>
      <c r="J280" t="inlineStr"/>
      <c r="K280" t="inlineStr">
        <is>
          <t>Finished, no page: no address from the university's address forms or stored lis</t>
        </is>
      </c>
      <c r="L280" t="inlineStr">
        <is>
          <t>Searching for course page</t>
        </is>
      </c>
      <c r="M280" t="inlineStr">
        <is>
          <t>Searching for course page</t>
        </is>
      </c>
      <c r="N280" t="inlineStr"/>
      <c r="O280" t="n">
        <v>0</v>
      </c>
      <c r="P280" t="inlineStr"/>
      <c r="Q280" t="inlineStr">
        <is>
          <t>Searching for course page</t>
        </is>
      </c>
      <c r="S280" t="inlineStr"/>
      <c r="T280" t="inlineStr">
        <is>
          <t>Held: double degree (its parts are at different levels)</t>
        </is>
      </c>
      <c r="U280" t="inlineStr"/>
      <c r="V280" t="inlineStr">
        <is>
          <t>Searching for course page</t>
        </is>
      </c>
      <c r="W280" t="inlineStr"/>
      <c r="X280" t="inlineStr"/>
      <c r="Y280" t="n">
        <v>0</v>
      </c>
      <c r="Z280" t="inlineStr">
        <is>
          <t>No</t>
        </is>
      </c>
      <c r="AA280" t="inlineStr">
        <is>
          <t>Not stated on course page</t>
        </is>
      </c>
      <c r="AB280" t="inlineStr"/>
      <c r="AC280" t="inlineStr">
        <is>
          <t>Skipped: no correct course page: the page found is for another course</t>
        </is>
      </c>
      <c r="AD280" t="n">
        <v>1</v>
      </c>
      <c r="AE280" t="inlineStr"/>
      <c r="AF280" t="inlineStr"/>
      <c r="AG280" t="inlineStr"/>
      <c r="AH280" t="inlineStr"/>
      <c r="AI280" t="inlineStr"/>
      <c r="AJ280" t="inlineStr">
        <is>
          <t>Yes</t>
        </is>
      </c>
      <c r="AK280" t="inlineStr"/>
      <c r="AL280" t="inlineStr"/>
      <c r="AM280" t="inlineStr"/>
    </row>
    <row r="281">
      <c r="A281" t="inlineStr">
        <is>
          <t>099551F</t>
        </is>
      </c>
      <c r="B281" t="inlineStr">
        <is>
          <t>Master of Combined Studies in Finance / Commerce</t>
        </is>
      </c>
      <c r="C281" t="inlineStr">
        <is>
          <t>Masters Degree (Coursework)</t>
        </is>
      </c>
      <c r="D281" t="inlineStr">
        <is>
          <t>Postgraduate coursework</t>
        </is>
      </c>
      <c r="E281" t="inlineStr">
        <is>
          <t>No-page record (conjoint), awaiting review</t>
        </is>
      </c>
      <c r="F281" t="inlineStr"/>
      <c r="G281" t="inlineStr">
        <is>
          <t>https://www.mq.edu.au/study/find-a-course/courses/master-of-banking-and-finance-and-master-of-management</t>
        </is>
      </c>
      <c r="H281" t="inlineStr">
        <is>
          <t>Page is for another course</t>
        </is>
      </c>
      <c r="I281" t="inlineStr"/>
      <c r="J281" t="inlineStr">
        <is>
          <t>Conjoint (proposed)</t>
        </is>
      </c>
      <c r="K281" t="inlineStr">
        <is>
          <t>Finished, no page: no address from the university's address forms or stored lis</t>
        </is>
      </c>
      <c r="L281" t="inlineStr">
        <is>
          <t>Searching for course page</t>
        </is>
      </c>
      <c r="M281" t="inlineStr">
        <is>
          <t>Searching for course page</t>
        </is>
      </c>
      <c r="N281" t="inlineStr"/>
      <c r="O281" t="n">
        <v>0</v>
      </c>
      <c r="P281" t="inlineStr"/>
      <c r="Q281" t="inlineStr">
        <is>
          <t>Searching for course page</t>
        </is>
      </c>
      <c r="S281" t="inlineStr"/>
      <c r="T281" t="inlineStr">
        <is>
          <t>Held: double degree (its parts are at different levels)</t>
        </is>
      </c>
      <c r="U281" t="inlineStr"/>
      <c r="V281" t="inlineStr">
        <is>
          <t>Searching for course page</t>
        </is>
      </c>
      <c r="W281" t="inlineStr"/>
      <c r="X281" t="inlineStr"/>
      <c r="Y281" t="n">
        <v>0</v>
      </c>
      <c r="Z281" t="inlineStr">
        <is>
          <t>No</t>
        </is>
      </c>
      <c r="AA281" t="inlineStr">
        <is>
          <t>Not stated on course page</t>
        </is>
      </c>
      <c r="AB281" t="inlineStr"/>
      <c r="AC281" t="inlineStr">
        <is>
          <t>Skipped: no correct course page: the page found is for another course</t>
        </is>
      </c>
      <c r="AD281" t="n">
        <v>1</v>
      </c>
      <c r="AE281" t="inlineStr"/>
      <c r="AF281" t="inlineStr"/>
      <c r="AG281" t="inlineStr"/>
      <c r="AH281" t="inlineStr"/>
      <c r="AI281" t="inlineStr"/>
      <c r="AJ281" t="inlineStr">
        <is>
          <t>Yes</t>
        </is>
      </c>
      <c r="AK281" t="inlineStr"/>
      <c r="AL281" t="inlineStr"/>
      <c r="AM281" t="inlineStr">
        <is>
          <t>Yes</t>
        </is>
      </c>
    </row>
    <row r="282">
      <c r="A282" t="inlineStr">
        <is>
          <t>099552E</t>
        </is>
      </c>
      <c r="B282" t="inlineStr">
        <is>
          <t>Master of Combined Studies in Finance / International Business</t>
        </is>
      </c>
      <c r="C282" t="inlineStr">
        <is>
          <t>Masters Degree (Coursework)</t>
        </is>
      </c>
      <c r="D282" t="inlineStr">
        <is>
          <t>Postgraduate coursework</t>
        </is>
      </c>
      <c r="E282" t="inlineStr">
        <is>
          <t>Page address no longer works</t>
        </is>
      </c>
      <c r="F282" t="inlineStr"/>
      <c r="G282" t="inlineStr">
        <is>
          <t>https://coursehandbook.mq.edu.au/2026/doubledegree/d000117</t>
        </is>
      </c>
      <c r="H282" t="inlineStr">
        <is>
          <t>Address no longer works</t>
        </is>
      </c>
      <c r="I282" t="inlineStr"/>
      <c r="J282" t="inlineStr"/>
      <c r="K282" t="inlineStr">
        <is>
          <t>Finished, no page: no address from the university's address forms or stored lis</t>
        </is>
      </c>
      <c r="L282" t="inlineStr">
        <is>
          <t>Page found, being read</t>
        </is>
      </c>
      <c r="M282" t="inlineStr">
        <is>
          <t>Page found, being read</t>
        </is>
      </c>
      <c r="N282" t="inlineStr"/>
      <c r="O282" t="n">
        <v>0</v>
      </c>
      <c r="P282" t="inlineStr"/>
      <c r="Q282" t="inlineStr">
        <is>
          <t>Page found, being read</t>
        </is>
      </c>
      <c r="S282" t="inlineStr"/>
      <c r="T282" t="inlineStr">
        <is>
          <t>Held: double degree (its parts are at different levels)</t>
        </is>
      </c>
      <c r="U282" t="inlineStr"/>
      <c r="V282" t="inlineStr">
        <is>
          <t>Page found, being read</t>
        </is>
      </c>
      <c r="W282" t="inlineStr"/>
      <c r="X282" t="inlineStr"/>
      <c r="Y282" t="n">
        <v>0</v>
      </c>
      <c r="Z282" t="inlineStr">
        <is>
          <t>No</t>
        </is>
      </c>
      <c r="AA282" t="inlineStr">
        <is>
          <t>Not stated on course page</t>
        </is>
      </c>
      <c r="AB282" t="inlineStr"/>
      <c r="AC282" t="inlineStr">
        <is>
          <t>Skipped: no allowed source had a value</t>
        </is>
      </c>
      <c r="AD282" t="n">
        <v>0</v>
      </c>
      <c r="AE282" t="inlineStr"/>
      <c r="AF282" t="inlineStr"/>
      <c r="AG282" t="inlineStr"/>
      <c r="AH282" t="inlineStr"/>
      <c r="AI282" t="inlineStr"/>
      <c r="AJ282" t="inlineStr">
        <is>
          <t>Yes</t>
        </is>
      </c>
      <c r="AK282" t="inlineStr"/>
      <c r="AL282" t="inlineStr"/>
      <c r="AM282" t="inlineStr"/>
    </row>
    <row r="283">
      <c r="A283" t="inlineStr">
        <is>
          <t>0100925</t>
        </is>
      </c>
      <c r="B283" t="inlineStr">
        <is>
          <t>Master of Combined Studies in Finance / Management</t>
        </is>
      </c>
      <c r="C283" t="inlineStr">
        <is>
          <t>Masters Degree (Coursework)</t>
        </is>
      </c>
      <c r="D283" t="inlineStr">
        <is>
          <t>Postgraduate coursework</t>
        </is>
      </c>
      <c r="E283" t="inlineStr">
        <is>
          <t>Advertised: official page in place</t>
        </is>
      </c>
      <c r="F283" t="inlineStr">
        <is>
          <t>https://coursehandbook.mq.edu.au/2024/doubledegree/D000999?year=2024</t>
        </is>
      </c>
      <c r="G283" t="inlineStr">
        <is>
          <t>https://coursehandbook.mq.edu.au/2024/doubledegree/D000999?year=2024</t>
        </is>
      </c>
      <c r="H283" t="inlineStr">
        <is>
          <t>Read</t>
        </is>
      </c>
      <c r="I283" t="inlineStr">
        <is>
          <t>University adapter (code)</t>
        </is>
      </c>
      <c r="J283" t="inlineStr"/>
      <c r="K283" t="inlineStr">
        <is>
          <t>Not sent to re-link</t>
        </is>
      </c>
      <c r="L283" t="inlineStr">
        <is>
          <t>Filled</t>
        </is>
      </c>
      <c r="M283" t="inlineStr">
        <is>
          <t>Not stated on course page</t>
        </is>
      </c>
      <c r="N283" t="inlineStr"/>
      <c r="O283" t="n">
        <v>0</v>
      </c>
      <c r="P283" t="inlineStr"/>
      <c r="Q283" t="inlineStr">
        <is>
          <t>Filled</t>
        </is>
      </c>
      <c r="R283" t="n">
        <v>6.5</v>
      </c>
      <c r="S283" t="inlineStr">
        <is>
          <t>University adapter</t>
        </is>
      </c>
      <c r="T283" t="inlineStr">
        <is>
          <t>Held: double degree (its parts are at different levels)</t>
        </is>
      </c>
      <c r="U283" t="inlineStr"/>
      <c r="V283" t="inlineStr">
        <is>
          <t>Not stated on course page</t>
        </is>
      </c>
      <c r="W283" t="inlineStr"/>
      <c r="X283" t="inlineStr"/>
      <c r="Y283" t="n">
        <v>0</v>
      </c>
      <c r="Z283" t="inlineStr">
        <is>
          <t>No</t>
        </is>
      </c>
      <c r="AA283" t="inlineStr">
        <is>
          <t>Not stated on course page</t>
        </is>
      </c>
      <c r="AB283" t="inlineStr"/>
      <c r="AC283" t="inlineStr">
        <is>
          <t>Skipped: the page does not state it</t>
        </is>
      </c>
      <c r="AD283" t="n">
        <v>0</v>
      </c>
      <c r="AE283" t="inlineStr"/>
      <c r="AF283" t="inlineStr"/>
      <c r="AG283" t="inlineStr"/>
      <c r="AH283" t="inlineStr"/>
      <c r="AI283" t="inlineStr"/>
      <c r="AJ283" t="inlineStr"/>
      <c r="AK283" t="inlineStr"/>
      <c r="AL283" t="inlineStr"/>
      <c r="AM283" t="inlineStr"/>
    </row>
    <row r="284">
      <c r="A284" t="inlineStr">
        <is>
          <t>099553D</t>
        </is>
      </c>
      <c r="B284" t="inlineStr">
        <is>
          <t>Master of Combined Studies in Finance / Marketing</t>
        </is>
      </c>
      <c r="C284" t="inlineStr">
        <is>
          <t>Masters Degree (Coursework)</t>
        </is>
      </c>
      <c r="D284" t="inlineStr">
        <is>
          <t>Postgraduate coursework</t>
        </is>
      </c>
      <c r="E284" t="inlineStr">
        <is>
          <t>Page address no longer works</t>
        </is>
      </c>
      <c r="F284" t="inlineStr"/>
      <c r="G284" t="inlineStr">
        <is>
          <t>https://coursehandbook.mq.edu.au/2026/doubledegree/d000118</t>
        </is>
      </c>
      <c r="H284" t="inlineStr">
        <is>
          <t>Address no longer works</t>
        </is>
      </c>
      <c r="I284" t="inlineStr"/>
      <c r="J284" t="inlineStr"/>
      <c r="K284" t="inlineStr">
        <is>
          <t>Finished, no page: no address from the university's address forms or stored lis</t>
        </is>
      </c>
      <c r="L284" t="inlineStr">
        <is>
          <t>Page found, being read</t>
        </is>
      </c>
      <c r="M284" t="inlineStr">
        <is>
          <t>Page found, being read</t>
        </is>
      </c>
      <c r="N284" t="inlineStr"/>
      <c r="O284" t="n">
        <v>0</v>
      </c>
      <c r="P284" t="inlineStr"/>
      <c r="Q284" t="inlineStr">
        <is>
          <t>Page found, being read</t>
        </is>
      </c>
      <c r="S284" t="inlineStr"/>
      <c r="T284" t="inlineStr">
        <is>
          <t>Held: double degree (its parts are at different levels)</t>
        </is>
      </c>
      <c r="U284" t="inlineStr"/>
      <c r="V284" t="inlineStr">
        <is>
          <t>Page found, being read</t>
        </is>
      </c>
      <c r="W284" t="inlineStr"/>
      <c r="X284" t="inlineStr"/>
      <c r="Y284" t="n">
        <v>0</v>
      </c>
      <c r="Z284" t="inlineStr">
        <is>
          <t>No</t>
        </is>
      </c>
      <c r="AA284" t="inlineStr">
        <is>
          <t>Not stated on course page</t>
        </is>
      </c>
      <c r="AB284" t="inlineStr"/>
      <c r="AC284" t="inlineStr">
        <is>
          <t>Skipped: no allowed source had a value</t>
        </is>
      </c>
      <c r="AD284" t="n">
        <v>0</v>
      </c>
      <c r="AE284" t="inlineStr"/>
      <c r="AF284" t="inlineStr"/>
      <c r="AG284" t="inlineStr"/>
      <c r="AH284" t="inlineStr"/>
      <c r="AI284" t="inlineStr"/>
      <c r="AJ284" t="inlineStr">
        <is>
          <t>Yes</t>
        </is>
      </c>
      <c r="AK284" t="inlineStr"/>
      <c r="AL284" t="inlineStr"/>
      <c r="AM284" t="inlineStr"/>
    </row>
    <row r="285">
      <c r="A285" t="inlineStr">
        <is>
          <t>099554C</t>
        </is>
      </c>
      <c r="B285" t="inlineStr">
        <is>
          <t>Master of Combined Studies in Information Systems Management / Business Analytics</t>
        </is>
      </c>
      <c r="C285" t="inlineStr">
        <is>
          <t>Masters Degree (Coursework)</t>
        </is>
      </c>
      <c r="D285" t="inlineStr">
        <is>
          <t>Postgraduate coursework</t>
        </is>
      </c>
      <c r="E285" t="inlineStr">
        <is>
          <t>Page address no longer works</t>
        </is>
      </c>
      <c r="F285" t="inlineStr"/>
      <c r="G285" t="inlineStr">
        <is>
          <t>https://coursehandbook.mq.edu.au/2026/doubledegree/d001007</t>
        </is>
      </c>
      <c r="H285" t="inlineStr">
        <is>
          <t>Address no longer works</t>
        </is>
      </c>
      <c r="I285" t="inlineStr"/>
      <c r="J285" t="inlineStr"/>
      <c r="K285" t="inlineStr">
        <is>
          <t>Not sent to re-link</t>
        </is>
      </c>
      <c r="L285" t="inlineStr">
        <is>
          <t>Page found, being read</t>
        </is>
      </c>
      <c r="M285" t="inlineStr">
        <is>
          <t>Page found, being read</t>
        </is>
      </c>
      <c r="N285" t="inlineStr"/>
      <c r="O285" t="n">
        <v>0</v>
      </c>
      <c r="P285" t="inlineStr"/>
      <c r="Q285" t="inlineStr">
        <is>
          <t>Page found, being read</t>
        </is>
      </c>
      <c r="S285" t="inlineStr"/>
      <c r="T285" t="inlineStr">
        <is>
          <t>Held: double degree (its parts are at different levels)</t>
        </is>
      </c>
      <c r="U285" t="inlineStr"/>
      <c r="V285" t="inlineStr">
        <is>
          <t>Page found, being read</t>
        </is>
      </c>
      <c r="W285" t="inlineStr"/>
      <c r="X285" t="inlineStr"/>
      <c r="Y285" t="n">
        <v>0</v>
      </c>
      <c r="Z285" t="inlineStr">
        <is>
          <t>No</t>
        </is>
      </c>
      <c r="AA285" t="inlineStr">
        <is>
          <t>Not stated on course page</t>
        </is>
      </c>
      <c r="AB285" t="inlineStr"/>
      <c r="AC285" t="inlineStr">
        <is>
          <t>Skipped: no allowed source had a value</t>
        </is>
      </c>
      <c r="AD285" t="n">
        <v>0</v>
      </c>
      <c r="AE285" t="inlineStr"/>
      <c r="AF285" t="inlineStr"/>
      <c r="AG285" t="inlineStr"/>
      <c r="AH285" t="inlineStr"/>
      <c r="AI285" t="inlineStr"/>
      <c r="AJ285" t="inlineStr">
        <is>
          <t>Yes</t>
        </is>
      </c>
      <c r="AK285" t="inlineStr"/>
      <c r="AL285" t="inlineStr"/>
      <c r="AM285" t="inlineStr"/>
    </row>
    <row r="286">
      <c r="A286" t="inlineStr">
        <is>
          <t>099555B</t>
        </is>
      </c>
      <c r="B286" t="inlineStr">
        <is>
          <t>Master of Combined Studies in Information Technology in Cyber Security / Business Analytics</t>
        </is>
      </c>
      <c r="C286" t="inlineStr">
        <is>
          <t>Masters Degree (Coursework)</t>
        </is>
      </c>
      <c r="D286" t="inlineStr">
        <is>
          <t>Postgraduate coursework</t>
        </is>
      </c>
      <c r="E286" t="inlineStr">
        <is>
          <t>Page address no longer works</t>
        </is>
      </c>
      <c r="F286" t="inlineStr"/>
      <c r="G286" t="inlineStr">
        <is>
          <t>https://coursehandbook.mq.edu.au/2026/doubledegree/d004235</t>
        </is>
      </c>
      <c r="H286" t="inlineStr">
        <is>
          <t>Address no longer works</t>
        </is>
      </c>
      <c r="I286" t="inlineStr"/>
      <c r="J286" t="inlineStr"/>
      <c r="K286" t="inlineStr">
        <is>
          <t>Finished, no page: no address from the university's address forms or stored lis</t>
        </is>
      </c>
      <c r="L286" t="inlineStr">
        <is>
          <t>Page found, being read</t>
        </is>
      </c>
      <c r="M286" t="inlineStr">
        <is>
          <t>Page found, being read</t>
        </is>
      </c>
      <c r="N286" t="inlineStr"/>
      <c r="O286" t="n">
        <v>0</v>
      </c>
      <c r="P286" t="inlineStr"/>
      <c r="Q286" t="inlineStr">
        <is>
          <t>Page found, being read</t>
        </is>
      </c>
      <c r="S286" t="inlineStr"/>
      <c r="T286" t="inlineStr">
        <is>
          <t>Held: double degree (its parts are at different levels)</t>
        </is>
      </c>
      <c r="U286" t="inlineStr"/>
      <c r="V286" t="inlineStr">
        <is>
          <t>Page found, being read</t>
        </is>
      </c>
      <c r="W286" t="inlineStr"/>
      <c r="X286" t="inlineStr"/>
      <c r="Y286" t="n">
        <v>0</v>
      </c>
      <c r="Z286" t="inlineStr">
        <is>
          <t>No</t>
        </is>
      </c>
      <c r="AA286" t="inlineStr">
        <is>
          <t>Not stated on course page</t>
        </is>
      </c>
      <c r="AB286" t="inlineStr"/>
      <c r="AC286" t="inlineStr">
        <is>
          <t>Skipped: no allowed source had a value</t>
        </is>
      </c>
      <c r="AD286" t="n">
        <v>1</v>
      </c>
      <c r="AE286" t="inlineStr"/>
      <c r="AF286" t="inlineStr"/>
      <c r="AG286" t="inlineStr"/>
      <c r="AH286" t="inlineStr"/>
      <c r="AI286" t="inlineStr"/>
      <c r="AJ286" t="inlineStr">
        <is>
          <t>Yes</t>
        </is>
      </c>
      <c r="AK286" t="inlineStr"/>
      <c r="AL286" t="inlineStr"/>
      <c r="AM286" t="inlineStr"/>
    </row>
    <row r="287">
      <c r="A287" t="inlineStr">
        <is>
          <t>099556A</t>
        </is>
      </c>
      <c r="B287" t="inlineStr">
        <is>
          <t>Master of Combined Studies in Information Technology in Networking / Business Analytics</t>
        </is>
      </c>
      <c r="C287" t="inlineStr">
        <is>
          <t>Masters Degree (Coursework)</t>
        </is>
      </c>
      <c r="D287" t="inlineStr">
        <is>
          <t>Postgraduate coursework</t>
        </is>
      </c>
      <c r="E287" t="inlineStr">
        <is>
          <t>Page address no longer works</t>
        </is>
      </c>
      <c r="F287" t="inlineStr"/>
      <c r="G287" t="inlineStr">
        <is>
          <t>https://coursehandbook.mq.edu.au/2026/doubledegree/d000122</t>
        </is>
      </c>
      <c r="H287" t="inlineStr">
        <is>
          <t>Address no longer works</t>
        </is>
      </c>
      <c r="I287" t="inlineStr"/>
      <c r="J287" t="inlineStr"/>
      <c r="K287" t="inlineStr">
        <is>
          <t>Not sent to re-link</t>
        </is>
      </c>
      <c r="L287" t="inlineStr">
        <is>
          <t>Page found, being read</t>
        </is>
      </c>
      <c r="M287" t="inlineStr">
        <is>
          <t>Page found, being read</t>
        </is>
      </c>
      <c r="N287" t="inlineStr"/>
      <c r="O287" t="n">
        <v>0</v>
      </c>
      <c r="P287" t="inlineStr"/>
      <c r="Q287" t="inlineStr">
        <is>
          <t>Page found, being read</t>
        </is>
      </c>
      <c r="S287" t="inlineStr"/>
      <c r="T287" t="inlineStr">
        <is>
          <t>Held: double degree (its parts are at different levels)</t>
        </is>
      </c>
      <c r="U287" t="inlineStr"/>
      <c r="V287" t="inlineStr">
        <is>
          <t>Page found, being read</t>
        </is>
      </c>
      <c r="W287" t="inlineStr"/>
      <c r="X287" t="inlineStr"/>
      <c r="Y287" t="n">
        <v>0</v>
      </c>
      <c r="Z287" t="inlineStr">
        <is>
          <t>No</t>
        </is>
      </c>
      <c r="AA287" t="inlineStr">
        <is>
          <t>Not stated on course page</t>
        </is>
      </c>
      <c r="AB287" t="inlineStr"/>
      <c r="AC287" t="inlineStr">
        <is>
          <t>Skipped: no allowed source had a value</t>
        </is>
      </c>
      <c r="AD287" t="n">
        <v>0</v>
      </c>
      <c r="AE287" t="inlineStr"/>
      <c r="AF287" t="inlineStr"/>
      <c r="AG287" t="inlineStr"/>
      <c r="AH287" t="inlineStr"/>
      <c r="AI287" t="inlineStr"/>
      <c r="AJ287" t="inlineStr">
        <is>
          <t>Yes</t>
        </is>
      </c>
      <c r="AK287" t="inlineStr"/>
      <c r="AL287" t="inlineStr"/>
      <c r="AM287" t="inlineStr"/>
    </row>
    <row r="288">
      <c r="A288" t="inlineStr">
        <is>
          <t>099585G</t>
        </is>
      </c>
      <c r="B288" t="inlineStr">
        <is>
          <t>Master of Combined Studies in Intelligence / Security and Strategic Studies</t>
        </is>
      </c>
      <c r="C288" t="inlineStr">
        <is>
          <t>Masters Degree (Coursework)</t>
        </is>
      </c>
      <c r="D288" t="inlineStr">
        <is>
          <t>Postgraduate coursework</t>
        </is>
      </c>
      <c r="E288" t="inlineStr">
        <is>
          <t>Page address no longer works</t>
        </is>
      </c>
      <c r="F288" t="inlineStr"/>
      <c r="G288" t="inlineStr">
        <is>
          <t>https://coursehandbook.mq.edu.au/2026/doubledegree/D000124</t>
        </is>
      </c>
      <c r="H288" t="inlineStr">
        <is>
          <t>Address no longer works</t>
        </is>
      </c>
      <c r="I288" t="inlineStr"/>
      <c r="J288" t="inlineStr"/>
      <c r="K288" t="inlineStr">
        <is>
          <t>Not sent to re-link</t>
        </is>
      </c>
      <c r="L288" t="inlineStr">
        <is>
          <t>Page found, being read</t>
        </is>
      </c>
      <c r="M288" t="inlineStr">
        <is>
          <t>Page found, being read</t>
        </is>
      </c>
      <c r="N288" t="inlineStr"/>
      <c r="O288" t="n">
        <v>0</v>
      </c>
      <c r="P288" t="inlineStr"/>
      <c r="Q288" t="inlineStr">
        <is>
          <t>Page found, being read</t>
        </is>
      </c>
      <c r="S288" t="inlineStr"/>
      <c r="T288" t="inlineStr">
        <is>
          <t>Held: double degree (its parts are at different levels)</t>
        </is>
      </c>
      <c r="U288" t="inlineStr"/>
      <c r="V288" t="inlineStr">
        <is>
          <t>Page found, being read</t>
        </is>
      </c>
      <c r="W288" t="inlineStr"/>
      <c r="X288" t="inlineStr"/>
      <c r="Y288" t="n">
        <v>0</v>
      </c>
      <c r="Z288" t="inlineStr">
        <is>
          <t>No</t>
        </is>
      </c>
      <c r="AA288" t="inlineStr">
        <is>
          <t>Not stated on course page</t>
        </is>
      </c>
      <c r="AB288" t="inlineStr"/>
      <c r="AC288" t="inlineStr">
        <is>
          <t>Skipped: no allowed source had a value</t>
        </is>
      </c>
      <c r="AD288" t="n">
        <v>0</v>
      </c>
      <c r="AE288" t="inlineStr"/>
      <c r="AF288" t="inlineStr"/>
      <c r="AG288" t="inlineStr"/>
      <c r="AH288" t="inlineStr"/>
      <c r="AI288" t="inlineStr"/>
      <c r="AJ288" t="inlineStr">
        <is>
          <t>Yes</t>
        </is>
      </c>
      <c r="AK288" t="inlineStr"/>
      <c r="AL288" t="inlineStr"/>
      <c r="AM288" t="inlineStr"/>
    </row>
    <row r="289">
      <c r="A289" t="inlineStr">
        <is>
          <t>099557M</t>
        </is>
      </c>
      <c r="B289" t="inlineStr">
        <is>
          <t>Master of Combined Studies in International Business / Commerce</t>
        </is>
      </c>
      <c r="C289" t="inlineStr">
        <is>
          <t>Masters Degree (Coursework)</t>
        </is>
      </c>
      <c r="D289" t="inlineStr">
        <is>
          <t>Postgraduate coursework</t>
        </is>
      </c>
      <c r="E289" t="inlineStr">
        <is>
          <t>Advertised: official page in place</t>
        </is>
      </c>
      <c r="F289" t="inlineStr">
        <is>
          <t>https://coursehandbook.mq.edu.au/2026/doubledegree/d000125</t>
        </is>
      </c>
      <c r="G289" t="inlineStr">
        <is>
          <t>https://coursehandbook.mq.edu.au/2026/doubledegree/d000125</t>
        </is>
      </c>
      <c r="H289" t="inlineStr">
        <is>
          <t>Read</t>
        </is>
      </c>
      <c r="I289" t="inlineStr">
        <is>
          <t>University adapter (code)</t>
        </is>
      </c>
      <c r="J289" t="inlineStr"/>
      <c r="K289" t="inlineStr">
        <is>
          <t>Not sent to re-link</t>
        </is>
      </c>
      <c r="L289" t="inlineStr">
        <is>
          <t>Filled</t>
        </is>
      </c>
      <c r="M289" t="inlineStr">
        <is>
          <t>Not stated on course page</t>
        </is>
      </c>
      <c r="N289" t="inlineStr"/>
      <c r="O289" t="n">
        <v>0</v>
      </c>
      <c r="P289" t="inlineStr"/>
      <c r="Q289" t="inlineStr">
        <is>
          <t>Filled</t>
        </is>
      </c>
      <c r="R289" t="n">
        <v>6.5</v>
      </c>
      <c r="S289" t="inlineStr">
        <is>
          <t>University adapter</t>
        </is>
      </c>
      <c r="T289" t="inlineStr">
        <is>
          <t>Held: double degree (its parts are at different levels)</t>
        </is>
      </c>
      <c r="U289" t="inlineStr"/>
      <c r="V289" t="inlineStr">
        <is>
          <t>Not stated on course page</t>
        </is>
      </c>
      <c r="W289" t="inlineStr"/>
      <c r="X289" t="inlineStr"/>
      <c r="Y289" t="n">
        <v>0</v>
      </c>
      <c r="Z289" t="inlineStr">
        <is>
          <t>No</t>
        </is>
      </c>
      <c r="AA289" t="inlineStr">
        <is>
          <t>Not stated on course page</t>
        </is>
      </c>
      <c r="AB289" t="inlineStr"/>
      <c r="AC289" t="inlineStr">
        <is>
          <t>Skipped: the page does not state it</t>
        </is>
      </c>
      <c r="AD289" t="n">
        <v>0</v>
      </c>
      <c r="AE289" t="inlineStr"/>
      <c r="AF289" t="inlineStr"/>
      <c r="AG289" t="inlineStr"/>
      <c r="AH289" t="inlineStr"/>
      <c r="AI289" t="inlineStr"/>
      <c r="AJ289" t="inlineStr"/>
      <c r="AK289" t="inlineStr"/>
      <c r="AL289" t="inlineStr"/>
      <c r="AM289" t="inlineStr"/>
    </row>
    <row r="290">
      <c r="A290" t="inlineStr">
        <is>
          <t>099558K</t>
        </is>
      </c>
      <c r="B290" t="inlineStr">
        <is>
          <t>Master of Combined Studies in International Business / International Relations</t>
        </is>
      </c>
      <c r="C290" t="inlineStr">
        <is>
          <t>Masters Degree (Coursework)</t>
        </is>
      </c>
      <c r="D290" t="inlineStr">
        <is>
          <t>Postgraduate coursework</t>
        </is>
      </c>
      <c r="E290" t="inlineStr">
        <is>
          <t>Advertised: official page in place</t>
        </is>
      </c>
      <c r="F290" t="inlineStr">
        <is>
          <t>https://coursehandbook.mq.edu.au/2026/doubledegree/D000126</t>
        </is>
      </c>
      <c r="G290" t="inlineStr">
        <is>
          <t>https://coursehandbook.mq.edu.au/2026/doubledegree/D000126</t>
        </is>
      </c>
      <c r="H290" t="inlineStr">
        <is>
          <t>Read</t>
        </is>
      </c>
      <c r="I290" t="inlineStr">
        <is>
          <t>University adapter (code)</t>
        </is>
      </c>
      <c r="J290" t="inlineStr"/>
      <c r="K290" t="inlineStr">
        <is>
          <t>Not sent to re-link</t>
        </is>
      </c>
      <c r="L290" t="inlineStr">
        <is>
          <t>Filled</t>
        </is>
      </c>
      <c r="M290" t="inlineStr">
        <is>
          <t>Not stated on course page</t>
        </is>
      </c>
      <c r="N290" t="inlineStr"/>
      <c r="O290" t="n">
        <v>0</v>
      </c>
      <c r="P290" t="inlineStr"/>
      <c r="Q290" t="inlineStr">
        <is>
          <t>Filled</t>
        </is>
      </c>
      <c r="R290" t="n">
        <v>6.5</v>
      </c>
      <c r="S290" t="inlineStr">
        <is>
          <t>University adapter</t>
        </is>
      </c>
      <c r="T290" t="inlineStr">
        <is>
          <t>Held: double degree (its parts are at different levels)</t>
        </is>
      </c>
      <c r="U290" t="inlineStr"/>
      <c r="V290" t="inlineStr">
        <is>
          <t>Not stated on course page</t>
        </is>
      </c>
      <c r="W290" t="inlineStr"/>
      <c r="X290" t="inlineStr"/>
      <c r="Y290" t="n">
        <v>0</v>
      </c>
      <c r="Z290" t="inlineStr">
        <is>
          <t>No</t>
        </is>
      </c>
      <c r="AA290" t="inlineStr">
        <is>
          <t>Not stated on course page</t>
        </is>
      </c>
      <c r="AB290" t="inlineStr"/>
      <c r="AC290" t="inlineStr">
        <is>
          <t>Skipped: the page does not state it</t>
        </is>
      </c>
      <c r="AD290" t="n">
        <v>0</v>
      </c>
      <c r="AE290" t="inlineStr"/>
      <c r="AF290" t="inlineStr"/>
      <c r="AG290" t="inlineStr"/>
      <c r="AH290" t="inlineStr"/>
      <c r="AI290" t="inlineStr"/>
      <c r="AJ290" t="inlineStr"/>
      <c r="AK290" t="inlineStr"/>
      <c r="AL290" t="inlineStr"/>
      <c r="AM290" t="inlineStr"/>
    </row>
    <row r="291">
      <c r="A291" t="inlineStr">
        <is>
          <t>0100926</t>
        </is>
      </c>
      <c r="B291" t="inlineStr">
        <is>
          <t>Master of Combined Studies in International Business / Management</t>
        </is>
      </c>
      <c r="C291" t="inlineStr">
        <is>
          <t>Masters Degree (Coursework)</t>
        </is>
      </c>
      <c r="D291" t="inlineStr">
        <is>
          <t>Postgraduate coursework</t>
        </is>
      </c>
      <c r="E291" t="inlineStr">
        <is>
          <t>Advertised: official page in place</t>
        </is>
      </c>
      <c r="F291" t="inlineStr">
        <is>
          <t>https://coursehandbook.mq.edu.au/2026/doubledegree/D001006</t>
        </is>
      </c>
      <c r="G291" t="inlineStr">
        <is>
          <t>https://coursehandbook.mq.edu.au/2026/doubledegree/D001006</t>
        </is>
      </c>
      <c r="H291" t="inlineStr">
        <is>
          <t>Read</t>
        </is>
      </c>
      <c r="I291" t="inlineStr">
        <is>
          <t>University adapter (code)</t>
        </is>
      </c>
      <c r="J291" t="inlineStr"/>
      <c r="K291" t="inlineStr">
        <is>
          <t>Not sent to re-link</t>
        </is>
      </c>
      <c r="L291" t="inlineStr">
        <is>
          <t>Filled</t>
        </is>
      </c>
      <c r="M291" t="inlineStr">
        <is>
          <t>Not stated on course page</t>
        </is>
      </c>
      <c r="N291" t="inlineStr"/>
      <c r="O291" t="n">
        <v>0</v>
      </c>
      <c r="P291" t="inlineStr"/>
      <c r="Q291" t="inlineStr">
        <is>
          <t>Filled</t>
        </is>
      </c>
      <c r="R291" t="n">
        <v>6.5</v>
      </c>
      <c r="S291" t="inlineStr">
        <is>
          <t>University adapter</t>
        </is>
      </c>
      <c r="T291" t="inlineStr">
        <is>
          <t>Held: double degree (its parts are at different levels)</t>
        </is>
      </c>
      <c r="U291" t="inlineStr"/>
      <c r="V291" t="inlineStr">
        <is>
          <t>Not stated on course page</t>
        </is>
      </c>
      <c r="W291" t="inlineStr"/>
      <c r="X291" t="inlineStr"/>
      <c r="Y291" t="n">
        <v>0</v>
      </c>
      <c r="Z291" t="inlineStr">
        <is>
          <t>No</t>
        </is>
      </c>
      <c r="AA291" t="inlineStr">
        <is>
          <t>Not stated on course page</t>
        </is>
      </c>
      <c r="AB291" t="inlineStr"/>
      <c r="AC291" t="inlineStr">
        <is>
          <t>Skipped: the page does not state it</t>
        </is>
      </c>
      <c r="AD291" t="n">
        <v>0</v>
      </c>
      <c r="AE291" t="inlineStr"/>
      <c r="AF291" t="inlineStr"/>
      <c r="AG291" t="inlineStr"/>
      <c r="AH291" t="inlineStr"/>
      <c r="AI291" t="inlineStr"/>
      <c r="AJ291" t="inlineStr"/>
      <c r="AK291" t="inlineStr"/>
      <c r="AL291" t="inlineStr"/>
      <c r="AM291" t="inlineStr"/>
    </row>
    <row r="292">
      <c r="A292" t="inlineStr">
        <is>
          <t>099559J</t>
        </is>
      </c>
      <c r="B292" t="inlineStr">
        <is>
          <t>Master of Combined Studies in International Business / Media and Communications</t>
        </is>
      </c>
      <c r="C292" t="inlineStr">
        <is>
          <t>Masters Degree (Coursework)</t>
        </is>
      </c>
      <c r="D292" t="inlineStr">
        <is>
          <t>Postgraduate coursework</t>
        </is>
      </c>
      <c r="E292" t="inlineStr">
        <is>
          <t>Advertised: official page in place</t>
        </is>
      </c>
      <c r="F292" t="inlineStr">
        <is>
          <t>https://coursehandbook.mq.edu.au/2026/doubledegree/D000128</t>
        </is>
      </c>
      <c r="G292" t="inlineStr">
        <is>
          <t>https://coursehandbook.mq.edu.au/2026/doubledegree/D000128</t>
        </is>
      </c>
      <c r="H292" t="inlineStr">
        <is>
          <t>Read</t>
        </is>
      </c>
      <c r="I292" t="inlineStr">
        <is>
          <t>University adapter (code)</t>
        </is>
      </c>
      <c r="J292" t="inlineStr"/>
      <c r="K292" t="inlineStr">
        <is>
          <t>Not sent to re-link</t>
        </is>
      </c>
      <c r="L292" t="inlineStr">
        <is>
          <t>Filled</t>
        </is>
      </c>
      <c r="M292" t="inlineStr">
        <is>
          <t>Not stated on course page</t>
        </is>
      </c>
      <c r="N292" t="inlineStr"/>
      <c r="O292" t="n">
        <v>0</v>
      </c>
      <c r="P292" t="inlineStr"/>
      <c r="Q292" t="inlineStr">
        <is>
          <t>Filled</t>
        </is>
      </c>
      <c r="R292" t="n">
        <v>6.5</v>
      </c>
      <c r="S292" t="inlineStr">
        <is>
          <t>University adapter</t>
        </is>
      </c>
      <c r="T292" t="inlineStr">
        <is>
          <t>Held: double degree (its parts are at different levels)</t>
        </is>
      </c>
      <c r="U292" t="inlineStr"/>
      <c r="V292" t="inlineStr">
        <is>
          <t>Not stated on course page</t>
        </is>
      </c>
      <c r="W292" t="inlineStr"/>
      <c r="X292" t="inlineStr"/>
      <c r="Y292" t="n">
        <v>0</v>
      </c>
      <c r="Z292" t="inlineStr">
        <is>
          <t>No</t>
        </is>
      </c>
      <c r="AA292" t="inlineStr">
        <is>
          <t>Not stated on course page</t>
        </is>
      </c>
      <c r="AB292" t="inlineStr"/>
      <c r="AC292" t="inlineStr">
        <is>
          <t>Skipped: the page does not state it</t>
        </is>
      </c>
      <c r="AD292" t="n">
        <v>0</v>
      </c>
      <c r="AE292" t="inlineStr"/>
      <c r="AF292" t="inlineStr"/>
      <c r="AG292" t="inlineStr"/>
      <c r="AH292" t="inlineStr"/>
      <c r="AI292" t="inlineStr"/>
      <c r="AJ292" t="inlineStr"/>
      <c r="AK292" t="inlineStr"/>
      <c r="AL292" t="inlineStr"/>
      <c r="AM292" t="inlineStr"/>
    </row>
    <row r="293">
      <c r="A293" t="inlineStr">
        <is>
          <t>099561D</t>
        </is>
      </c>
      <c r="B293" t="inlineStr">
        <is>
          <t>Master of Combined Studies in International Relations / Counter Terrorism</t>
        </is>
      </c>
      <c r="C293" t="inlineStr">
        <is>
          <t>Masters Degree (Coursework)</t>
        </is>
      </c>
      <c r="D293" t="inlineStr">
        <is>
          <t>Postgraduate coursework</t>
        </is>
      </c>
      <c r="E293" t="inlineStr">
        <is>
          <t>No-page record (conjoint), awaiting review</t>
        </is>
      </c>
      <c r="F293" t="inlineStr"/>
      <c r="G293" t="inlineStr">
        <is>
          <t>https://coursehandbook.mq.edu.au/2026/doubledegree/d008585</t>
        </is>
      </c>
      <c r="H293" t="inlineStr">
        <is>
          <t>Page is for another course</t>
        </is>
      </c>
      <c r="I293" t="inlineStr"/>
      <c r="J293" t="inlineStr">
        <is>
          <t>Conjoint (proposed)</t>
        </is>
      </c>
      <c r="K293" t="inlineStr">
        <is>
          <t>Finished, no page: no address from the university's address forms or stored lis</t>
        </is>
      </c>
      <c r="L293" t="inlineStr">
        <is>
          <t>Searching for course page</t>
        </is>
      </c>
      <c r="M293" t="inlineStr">
        <is>
          <t>Searching for course page</t>
        </is>
      </c>
      <c r="N293" t="inlineStr"/>
      <c r="O293" t="n">
        <v>0</v>
      </c>
      <c r="P293" t="inlineStr"/>
      <c r="Q293" t="inlineStr">
        <is>
          <t>Searching for course page</t>
        </is>
      </c>
      <c r="S293" t="inlineStr"/>
      <c r="T293" t="inlineStr">
        <is>
          <t>Held: double degree (its parts are at different levels)</t>
        </is>
      </c>
      <c r="U293" t="inlineStr"/>
      <c r="V293" t="inlineStr">
        <is>
          <t>Searching for course page</t>
        </is>
      </c>
      <c r="W293" t="inlineStr"/>
      <c r="X293" t="inlineStr"/>
      <c r="Y293" t="n">
        <v>0</v>
      </c>
      <c r="Z293" t="inlineStr">
        <is>
          <t>No</t>
        </is>
      </c>
      <c r="AA293" t="inlineStr">
        <is>
          <t>Not stated on course page</t>
        </is>
      </c>
      <c r="AB293" t="inlineStr"/>
      <c r="AC293" t="inlineStr">
        <is>
          <t>Skipped: no correct course page: the page found is for another course</t>
        </is>
      </c>
      <c r="AD293" t="n">
        <v>0</v>
      </c>
      <c r="AE293" t="inlineStr"/>
      <c r="AF293" t="inlineStr"/>
      <c r="AG293" t="inlineStr"/>
      <c r="AH293" t="inlineStr"/>
      <c r="AI293" t="inlineStr"/>
      <c r="AJ293" t="inlineStr">
        <is>
          <t>Yes</t>
        </is>
      </c>
      <c r="AK293" t="inlineStr"/>
      <c r="AL293" t="inlineStr"/>
      <c r="AM293" t="inlineStr">
        <is>
          <t>Yes</t>
        </is>
      </c>
    </row>
    <row r="294">
      <c r="A294" t="inlineStr">
        <is>
          <t>099560E</t>
        </is>
      </c>
      <c r="B294" t="inlineStr">
        <is>
          <t>Master of Combined Studies in International Relations / Criminology</t>
        </is>
      </c>
      <c r="C294" t="inlineStr">
        <is>
          <t>Masters Degree (Coursework)</t>
        </is>
      </c>
      <c r="D294" t="inlineStr">
        <is>
          <t>Postgraduate coursework</t>
        </is>
      </c>
      <c r="E294" t="inlineStr">
        <is>
          <t>Held: page found is for another course</t>
        </is>
      </c>
      <c r="F294" t="inlineStr"/>
      <c r="G294" t="inlineStr">
        <is>
          <t>https://coursehandbook.mq.edu.au/2026/doubledegree/d008647</t>
        </is>
      </c>
      <c r="H294" t="inlineStr">
        <is>
          <t>Page is for another course</t>
        </is>
      </c>
      <c r="I294" t="inlineStr"/>
      <c r="J294" t="inlineStr"/>
      <c r="K294" t="inlineStr">
        <is>
          <t>Finished, no page: no address from the university's address forms or stored lis</t>
        </is>
      </c>
      <c r="L294" t="inlineStr">
        <is>
          <t>Searching for course page</t>
        </is>
      </c>
      <c r="M294" t="inlineStr">
        <is>
          <t>Searching for course page</t>
        </is>
      </c>
      <c r="N294" t="inlineStr"/>
      <c r="O294" t="n">
        <v>0</v>
      </c>
      <c r="P294" t="inlineStr"/>
      <c r="Q294" t="inlineStr">
        <is>
          <t>Searching for course page</t>
        </is>
      </c>
      <c r="S294" t="inlineStr"/>
      <c r="T294" t="inlineStr">
        <is>
          <t>Held: double degree (its parts are at different levels)</t>
        </is>
      </c>
      <c r="U294" t="inlineStr"/>
      <c r="V294" t="inlineStr">
        <is>
          <t>Searching for course page</t>
        </is>
      </c>
      <c r="W294" t="inlineStr"/>
      <c r="X294" t="inlineStr"/>
      <c r="Y294" t="n">
        <v>0</v>
      </c>
      <c r="Z294" t="inlineStr">
        <is>
          <t>No</t>
        </is>
      </c>
      <c r="AA294" t="inlineStr">
        <is>
          <t>Not stated on course page</t>
        </is>
      </c>
      <c r="AB294" t="inlineStr"/>
      <c r="AC294" t="inlineStr">
        <is>
          <t>Skipped: no correct course page: the page found is for another course</t>
        </is>
      </c>
      <c r="AD294" t="n">
        <v>0</v>
      </c>
      <c r="AE294" t="inlineStr"/>
      <c r="AF294" t="inlineStr"/>
      <c r="AG294" t="inlineStr"/>
      <c r="AH294" t="inlineStr"/>
      <c r="AI294" t="inlineStr"/>
      <c r="AJ294" t="inlineStr">
        <is>
          <t>Yes</t>
        </is>
      </c>
      <c r="AK294" t="inlineStr"/>
      <c r="AL294" t="inlineStr"/>
      <c r="AM294" t="inlineStr"/>
    </row>
    <row r="295">
      <c r="A295" t="inlineStr">
        <is>
          <t>099562C</t>
        </is>
      </c>
      <c r="B295" t="inlineStr">
        <is>
          <t>Master of Combined Studies in International Relations / Cyber Security Analysis</t>
        </is>
      </c>
      <c r="C295" t="inlineStr">
        <is>
          <t>Masters Degree (Coursework)</t>
        </is>
      </c>
      <c r="D295" t="inlineStr">
        <is>
          <t>Postgraduate coursework</t>
        </is>
      </c>
      <c r="E295" t="inlineStr">
        <is>
          <t>Page address no longer works</t>
        </is>
      </c>
      <c r="F295" t="inlineStr"/>
      <c r="G295" t="inlineStr">
        <is>
          <t>https://coursehandbook.mq.edu.au/2026/courses/C000173</t>
        </is>
      </c>
      <c r="H295" t="inlineStr">
        <is>
          <t>Address no longer works</t>
        </is>
      </c>
      <c r="I295" t="inlineStr"/>
      <c r="J295" t="inlineStr"/>
      <c r="K295" t="inlineStr">
        <is>
          <t>Not sent to re-link</t>
        </is>
      </c>
      <c r="L295" t="inlineStr">
        <is>
          <t>Page found, being read</t>
        </is>
      </c>
      <c r="M295" t="inlineStr">
        <is>
          <t>Page found, being read</t>
        </is>
      </c>
      <c r="N295" t="inlineStr"/>
      <c r="O295" t="n">
        <v>0</v>
      </c>
      <c r="P295" t="inlineStr"/>
      <c r="Q295" t="inlineStr">
        <is>
          <t>Page found, being read</t>
        </is>
      </c>
      <c r="S295" t="inlineStr"/>
      <c r="T295" t="inlineStr">
        <is>
          <t>Held: double degree (its parts are at different levels)</t>
        </is>
      </c>
      <c r="U295" t="inlineStr"/>
      <c r="V295" t="inlineStr">
        <is>
          <t>Page found, being read</t>
        </is>
      </c>
      <c r="W295" t="inlineStr"/>
      <c r="X295" t="inlineStr"/>
      <c r="Y295" t="n">
        <v>0</v>
      </c>
      <c r="Z295" t="inlineStr">
        <is>
          <t>No</t>
        </is>
      </c>
      <c r="AA295" t="inlineStr">
        <is>
          <t>Not stated on course page</t>
        </is>
      </c>
      <c r="AB295" t="inlineStr"/>
      <c r="AC295" t="inlineStr">
        <is>
          <t>Skipped: no allowed source had a value</t>
        </is>
      </c>
      <c r="AD295" t="n">
        <v>0</v>
      </c>
      <c r="AE295" t="inlineStr"/>
      <c r="AF295" t="inlineStr"/>
      <c r="AG295" t="inlineStr"/>
      <c r="AH295" t="inlineStr"/>
      <c r="AI295" t="inlineStr"/>
      <c r="AJ295" t="inlineStr">
        <is>
          <t>Yes</t>
        </is>
      </c>
      <c r="AK295" t="inlineStr"/>
      <c r="AL295" t="inlineStr"/>
      <c r="AM295" t="inlineStr"/>
    </row>
    <row r="296">
      <c r="A296" t="inlineStr">
        <is>
          <t>099563B</t>
        </is>
      </c>
      <c r="B296" t="inlineStr">
        <is>
          <t>Master of Combined Studies in International Relations / Intelligence</t>
        </is>
      </c>
      <c r="C296" t="inlineStr">
        <is>
          <t>Masters Degree (Coursework)</t>
        </is>
      </c>
      <c r="D296" t="inlineStr">
        <is>
          <t>Postgraduate coursework</t>
        </is>
      </c>
      <c r="E296" t="inlineStr">
        <is>
          <t>Page address no longer works</t>
        </is>
      </c>
      <c r="F296" t="inlineStr"/>
      <c r="G296" t="inlineStr">
        <is>
          <t>https://coursehandbook.mq.edu.au/2026/doubledegree/d000130</t>
        </is>
      </c>
      <c r="H296" t="inlineStr">
        <is>
          <t>Address no longer works</t>
        </is>
      </c>
      <c r="I296" t="inlineStr"/>
      <c r="J296" t="inlineStr"/>
      <c r="K296" t="inlineStr">
        <is>
          <t>Not sent to re-link</t>
        </is>
      </c>
      <c r="L296" t="inlineStr">
        <is>
          <t>Page found, being read</t>
        </is>
      </c>
      <c r="M296" t="inlineStr">
        <is>
          <t>Page found, being read</t>
        </is>
      </c>
      <c r="N296" t="inlineStr"/>
      <c r="O296" t="n">
        <v>0</v>
      </c>
      <c r="P296" t="inlineStr"/>
      <c r="Q296" t="inlineStr">
        <is>
          <t>Page found, being read</t>
        </is>
      </c>
      <c r="S296" t="inlineStr"/>
      <c r="T296" t="inlineStr">
        <is>
          <t>Held: double degree (its parts are at different levels)</t>
        </is>
      </c>
      <c r="U296" t="inlineStr"/>
      <c r="V296" t="inlineStr">
        <is>
          <t>Page found, being read</t>
        </is>
      </c>
      <c r="W296" t="inlineStr"/>
      <c r="X296" t="inlineStr"/>
      <c r="Y296" t="n">
        <v>0</v>
      </c>
      <c r="Z296" t="inlineStr">
        <is>
          <t>No</t>
        </is>
      </c>
      <c r="AA296" t="inlineStr">
        <is>
          <t>Not stated on course page</t>
        </is>
      </c>
      <c r="AB296" t="inlineStr"/>
      <c r="AC296" t="inlineStr">
        <is>
          <t>Skipped: no allowed source had a value</t>
        </is>
      </c>
      <c r="AD296" t="n">
        <v>0</v>
      </c>
      <c r="AE296" t="inlineStr"/>
      <c r="AF296" t="inlineStr"/>
      <c r="AG296" t="inlineStr"/>
      <c r="AH296" t="inlineStr"/>
      <c r="AI296" t="inlineStr"/>
      <c r="AJ296" t="inlineStr">
        <is>
          <t>Yes</t>
        </is>
      </c>
      <c r="AK296" t="inlineStr"/>
      <c r="AL296" t="inlineStr"/>
      <c r="AM296" t="inlineStr"/>
    </row>
    <row r="297">
      <c r="A297" t="inlineStr">
        <is>
          <t>0100927</t>
        </is>
      </c>
      <c r="B297" t="inlineStr">
        <is>
          <t>Master of Combined Studies in International Relations / Management</t>
        </is>
      </c>
      <c r="C297" t="inlineStr">
        <is>
          <t>Masters Degree (Coursework)</t>
        </is>
      </c>
      <c r="D297" t="inlineStr">
        <is>
          <t>Postgraduate coursework</t>
        </is>
      </c>
      <c r="E297" t="inlineStr">
        <is>
          <t>Held: page found is for another course</t>
        </is>
      </c>
      <c r="F297" t="inlineStr"/>
      <c r="G297" t="inlineStr">
        <is>
          <t>https://coursehandbook.mq.edu.au/2026/doubledegree/D000126</t>
        </is>
      </c>
      <c r="H297" t="inlineStr">
        <is>
          <t>Page is for another course</t>
        </is>
      </c>
      <c r="I297" t="inlineStr"/>
      <c r="J297" t="inlineStr"/>
      <c r="K297" t="inlineStr">
        <is>
          <t>Finished, no page: no address from the university's address forms or stored lis</t>
        </is>
      </c>
      <c r="L297" t="inlineStr">
        <is>
          <t>Searching for course page</t>
        </is>
      </c>
      <c r="M297" t="inlineStr">
        <is>
          <t>Searching for course page</t>
        </is>
      </c>
      <c r="N297" t="inlineStr"/>
      <c r="O297" t="n">
        <v>0</v>
      </c>
      <c r="P297" t="inlineStr"/>
      <c r="Q297" t="inlineStr">
        <is>
          <t>Searching for course page</t>
        </is>
      </c>
      <c r="S297" t="inlineStr"/>
      <c r="T297" t="inlineStr">
        <is>
          <t>Held: double degree (its parts are at different levels)</t>
        </is>
      </c>
      <c r="U297" t="inlineStr"/>
      <c r="V297" t="inlineStr">
        <is>
          <t>Searching for course page</t>
        </is>
      </c>
      <c r="W297" t="inlineStr"/>
      <c r="X297" t="inlineStr"/>
      <c r="Y297" t="n">
        <v>0</v>
      </c>
      <c r="Z297" t="inlineStr">
        <is>
          <t>No</t>
        </is>
      </c>
      <c r="AA297" t="inlineStr">
        <is>
          <t>Not stated on course page</t>
        </is>
      </c>
      <c r="AB297" t="inlineStr"/>
      <c r="AC297" t="inlineStr">
        <is>
          <t>Skipped: no correct course page: the page found is for another course</t>
        </is>
      </c>
      <c r="AD297" t="n">
        <v>0</v>
      </c>
      <c r="AE297" t="inlineStr"/>
      <c r="AF297" t="inlineStr"/>
      <c r="AG297" t="inlineStr"/>
      <c r="AH297" t="inlineStr"/>
      <c r="AI297" t="inlineStr"/>
      <c r="AJ297" t="inlineStr">
        <is>
          <t>Yes</t>
        </is>
      </c>
      <c r="AK297" t="inlineStr"/>
      <c r="AL297" t="inlineStr"/>
      <c r="AM297" t="inlineStr"/>
    </row>
    <row r="298">
      <c r="A298" t="inlineStr">
        <is>
          <t>099564A</t>
        </is>
      </c>
      <c r="B298" t="inlineStr">
        <is>
          <t>Master of Combined Studies in International Relations / Security and Strategic Studies</t>
        </is>
      </c>
      <c r="C298" t="inlineStr">
        <is>
          <t>Masters Degree (Coursework)</t>
        </is>
      </c>
      <c r="D298" t="inlineStr">
        <is>
          <t>Postgraduate coursework</t>
        </is>
      </c>
      <c r="E298" t="inlineStr">
        <is>
          <t>Page address no longer works</t>
        </is>
      </c>
      <c r="F298" t="inlineStr"/>
      <c r="G298" t="inlineStr">
        <is>
          <t>https://coursehandbook.mq.edu.au/2026/courses/c000230</t>
        </is>
      </c>
      <c r="H298" t="inlineStr">
        <is>
          <t>Address no longer works</t>
        </is>
      </c>
      <c r="I298" t="inlineStr"/>
      <c r="J298" t="inlineStr"/>
      <c r="K298" t="inlineStr">
        <is>
          <t>Finished, no page: no address from the university's address forms or stored lis</t>
        </is>
      </c>
      <c r="L298" t="inlineStr">
        <is>
          <t>Page found, being read</t>
        </is>
      </c>
      <c r="M298" t="inlineStr">
        <is>
          <t>Page found, being read</t>
        </is>
      </c>
      <c r="N298" t="inlineStr"/>
      <c r="O298" t="n">
        <v>0</v>
      </c>
      <c r="P298" t="inlineStr"/>
      <c r="Q298" t="inlineStr">
        <is>
          <t>Page found, being read</t>
        </is>
      </c>
      <c r="S298" t="inlineStr"/>
      <c r="T298" t="inlineStr">
        <is>
          <t>Held: double degree (its parts are at different levels)</t>
        </is>
      </c>
      <c r="U298" t="inlineStr"/>
      <c r="V298" t="inlineStr">
        <is>
          <t>Page found, being read</t>
        </is>
      </c>
      <c r="W298" t="inlineStr"/>
      <c r="X298" t="inlineStr"/>
      <c r="Y298" t="n">
        <v>0</v>
      </c>
      <c r="Z298" t="inlineStr">
        <is>
          <t>No</t>
        </is>
      </c>
      <c r="AA298" t="inlineStr">
        <is>
          <t>Not stated on course page</t>
        </is>
      </c>
      <c r="AB298" t="inlineStr"/>
      <c r="AC298" t="inlineStr">
        <is>
          <t>Skipped: no allowed source had a value</t>
        </is>
      </c>
      <c r="AD298" t="n">
        <v>0</v>
      </c>
      <c r="AE298" t="inlineStr"/>
      <c r="AF298" t="inlineStr"/>
      <c r="AG298" t="inlineStr"/>
      <c r="AH298" t="inlineStr"/>
      <c r="AI298" t="inlineStr"/>
      <c r="AJ298" t="inlineStr">
        <is>
          <t>Yes</t>
        </is>
      </c>
      <c r="AK298" t="inlineStr"/>
      <c r="AL298" t="inlineStr"/>
      <c r="AM298" t="inlineStr"/>
    </row>
    <row r="299">
      <c r="A299" t="inlineStr">
        <is>
          <t>099565M</t>
        </is>
      </c>
      <c r="B299" t="inlineStr">
        <is>
          <t>Master of Combined Studies in International Trade and Commerce Law / Applied Economics</t>
        </is>
      </c>
      <c r="C299" t="inlineStr">
        <is>
          <t>Masters Degree (Coursework)</t>
        </is>
      </c>
      <c r="D299" t="inlineStr">
        <is>
          <t>Postgraduate coursework</t>
        </is>
      </c>
      <c r="E299" t="inlineStr">
        <is>
          <t>Page address no longer works</t>
        </is>
      </c>
      <c r="F299" t="inlineStr"/>
      <c r="G299" t="inlineStr">
        <is>
          <t>https://coursehandbook.mq.edu.au/2026/doubledegree/D000143</t>
        </is>
      </c>
      <c r="H299" t="inlineStr">
        <is>
          <t>Address no longer works</t>
        </is>
      </c>
      <c r="I299" t="inlineStr"/>
      <c r="J299" t="inlineStr"/>
      <c r="K299" t="inlineStr">
        <is>
          <t>Not sent to re-link</t>
        </is>
      </c>
      <c r="L299" t="inlineStr">
        <is>
          <t>Page found, being read</t>
        </is>
      </c>
      <c r="M299" t="inlineStr">
        <is>
          <t>Page found, being read</t>
        </is>
      </c>
      <c r="N299" t="inlineStr"/>
      <c r="O299" t="n">
        <v>0</v>
      </c>
      <c r="P299" t="inlineStr"/>
      <c r="Q299" t="inlineStr">
        <is>
          <t>Page found, being read</t>
        </is>
      </c>
      <c r="S299" t="inlineStr"/>
      <c r="T299" t="inlineStr">
        <is>
          <t>Held: double degree (its parts are at different levels)</t>
        </is>
      </c>
      <c r="U299" t="inlineStr"/>
      <c r="V299" t="inlineStr">
        <is>
          <t>Page found, being read</t>
        </is>
      </c>
      <c r="W299" t="inlineStr"/>
      <c r="X299" t="inlineStr"/>
      <c r="Y299" t="n">
        <v>0</v>
      </c>
      <c r="Z299" t="inlineStr">
        <is>
          <t>No</t>
        </is>
      </c>
      <c r="AA299" t="inlineStr">
        <is>
          <t>Not stated on course page</t>
        </is>
      </c>
      <c r="AB299" t="inlineStr"/>
      <c r="AC299" t="inlineStr">
        <is>
          <t>Skipped: no allowed source had a value</t>
        </is>
      </c>
      <c r="AD299" t="n">
        <v>0</v>
      </c>
      <c r="AE299" t="inlineStr"/>
      <c r="AF299" t="inlineStr"/>
      <c r="AG299" t="inlineStr"/>
      <c r="AH299" t="inlineStr"/>
      <c r="AI299" t="inlineStr"/>
      <c r="AJ299" t="inlineStr">
        <is>
          <t>Yes</t>
        </is>
      </c>
      <c r="AK299" t="inlineStr"/>
      <c r="AL299" t="inlineStr"/>
      <c r="AM299" t="inlineStr"/>
    </row>
    <row r="300">
      <c r="A300" t="inlineStr">
        <is>
          <t>099570C</t>
        </is>
      </c>
      <c r="B300" t="inlineStr">
        <is>
          <t>Master of Combined Studies in International Trade and Commerce Law / Counter Terrorism</t>
        </is>
      </c>
      <c r="C300" t="inlineStr">
        <is>
          <t>Masters Degree (Coursework)</t>
        </is>
      </c>
      <c r="D300" t="inlineStr">
        <is>
          <t>Postgraduate coursework</t>
        </is>
      </c>
      <c r="E300" t="inlineStr">
        <is>
          <t>Page address no longer works</t>
        </is>
      </c>
      <c r="F300" t="inlineStr"/>
      <c r="G300" t="inlineStr">
        <is>
          <t>https://coursehandbook.mq.edu.au/2026/courses/C000168</t>
        </is>
      </c>
      <c r="H300" t="inlineStr">
        <is>
          <t>Address no longer works</t>
        </is>
      </c>
      <c r="I300" t="inlineStr"/>
      <c r="J300" t="inlineStr"/>
      <c r="K300" t="inlineStr">
        <is>
          <t>Not sent to re-link</t>
        </is>
      </c>
      <c r="L300" t="inlineStr">
        <is>
          <t>Page found, being read</t>
        </is>
      </c>
      <c r="M300" t="inlineStr">
        <is>
          <t>Page found, being read</t>
        </is>
      </c>
      <c r="N300" t="inlineStr"/>
      <c r="O300" t="n">
        <v>0</v>
      </c>
      <c r="P300" t="inlineStr"/>
      <c r="Q300" t="inlineStr">
        <is>
          <t>Page found, being read</t>
        </is>
      </c>
      <c r="S300" t="inlineStr"/>
      <c r="T300" t="inlineStr">
        <is>
          <t>Held: double degree (its parts are at different levels)</t>
        </is>
      </c>
      <c r="U300" t="inlineStr"/>
      <c r="V300" t="inlineStr">
        <is>
          <t>Page found, being read</t>
        </is>
      </c>
      <c r="W300" t="inlineStr"/>
      <c r="X300" t="inlineStr"/>
      <c r="Y300" t="n">
        <v>0</v>
      </c>
      <c r="Z300" t="inlineStr">
        <is>
          <t>No</t>
        </is>
      </c>
      <c r="AA300" t="inlineStr">
        <is>
          <t>Not stated on course page</t>
        </is>
      </c>
      <c r="AB300" t="inlineStr"/>
      <c r="AC300" t="inlineStr">
        <is>
          <t>Skipped: no allowed source had a value</t>
        </is>
      </c>
      <c r="AD300" t="n">
        <v>0</v>
      </c>
      <c r="AE300" t="inlineStr"/>
      <c r="AF300" t="inlineStr"/>
      <c r="AG300" t="inlineStr"/>
      <c r="AH300" t="inlineStr"/>
      <c r="AI300" t="inlineStr"/>
      <c r="AJ300" t="inlineStr">
        <is>
          <t>Yes</t>
        </is>
      </c>
      <c r="AK300" t="inlineStr"/>
      <c r="AL300" t="inlineStr"/>
      <c r="AM300" t="inlineStr"/>
    </row>
    <row r="301">
      <c r="A301" t="inlineStr">
        <is>
          <t>099566K</t>
        </is>
      </c>
      <c r="B301" t="inlineStr">
        <is>
          <t>Master of Combined Studies in International Trade and Commerce Law / Criminology</t>
        </is>
      </c>
      <c r="C301" t="inlineStr">
        <is>
          <t>Masters Degree (Coursework)</t>
        </is>
      </c>
      <c r="D301" t="inlineStr">
        <is>
          <t>Postgraduate coursework</t>
        </is>
      </c>
      <c r="E301" t="inlineStr">
        <is>
          <t>Page address no longer works</t>
        </is>
      </c>
      <c r="F301" t="inlineStr"/>
      <c r="G301" t="inlineStr">
        <is>
          <t>https://coursehandbook.mq.edu.au/2026/doubledegree/d000144</t>
        </is>
      </c>
      <c r="H301" t="inlineStr">
        <is>
          <t>Address no longer works</t>
        </is>
      </c>
      <c r="I301" t="inlineStr"/>
      <c r="J301" t="inlineStr"/>
      <c r="K301" t="inlineStr">
        <is>
          <t>Not sent to re-link</t>
        </is>
      </c>
      <c r="L301" t="inlineStr">
        <is>
          <t>Page found, being read</t>
        </is>
      </c>
      <c r="M301" t="inlineStr">
        <is>
          <t>Page found, being read</t>
        </is>
      </c>
      <c r="N301" t="inlineStr"/>
      <c r="O301" t="n">
        <v>0</v>
      </c>
      <c r="P301" t="inlineStr"/>
      <c r="Q301" t="inlineStr">
        <is>
          <t>Page found, being read</t>
        </is>
      </c>
      <c r="S301" t="inlineStr"/>
      <c r="T301" t="inlineStr">
        <is>
          <t>Held: double degree (its parts are at different levels)</t>
        </is>
      </c>
      <c r="U301" t="inlineStr"/>
      <c r="V301" t="inlineStr">
        <is>
          <t>Page found, being read</t>
        </is>
      </c>
      <c r="W301" t="inlineStr"/>
      <c r="X301" t="inlineStr"/>
      <c r="Y301" t="n">
        <v>0</v>
      </c>
      <c r="Z301" t="inlineStr">
        <is>
          <t>No</t>
        </is>
      </c>
      <c r="AA301" t="inlineStr">
        <is>
          <t>Not stated on course page</t>
        </is>
      </c>
      <c r="AB301" t="inlineStr"/>
      <c r="AC301" t="inlineStr">
        <is>
          <t>Skipped: no allowed source had a value</t>
        </is>
      </c>
      <c r="AD301" t="n">
        <v>0</v>
      </c>
      <c r="AE301" t="inlineStr"/>
      <c r="AF301" t="inlineStr"/>
      <c r="AG301" t="inlineStr"/>
      <c r="AH301" t="inlineStr"/>
      <c r="AI301" t="inlineStr"/>
      <c r="AJ301" t="inlineStr">
        <is>
          <t>Yes</t>
        </is>
      </c>
      <c r="AK301" t="inlineStr"/>
      <c r="AL301" t="inlineStr"/>
      <c r="AM301" t="inlineStr"/>
    </row>
    <row r="302">
      <c r="A302" t="inlineStr">
        <is>
          <t>099571B</t>
        </is>
      </c>
      <c r="B302" t="inlineStr">
        <is>
          <t>Master of Combined Studies in International Trade and Commerce Law / Cyber Security Analysis</t>
        </is>
      </c>
      <c r="C302" t="inlineStr">
        <is>
          <t>Masters Degree (Coursework)</t>
        </is>
      </c>
      <c r="D302" t="inlineStr">
        <is>
          <t>Postgraduate coursework</t>
        </is>
      </c>
      <c r="E302" t="inlineStr">
        <is>
          <t>Page address no longer works</t>
        </is>
      </c>
      <c r="F302" t="inlineStr"/>
      <c r="G302" t="inlineStr">
        <is>
          <t>https://coursehandbook.mq.edu.au/2026/courses/C000173</t>
        </is>
      </c>
      <c r="H302" t="inlineStr">
        <is>
          <t>Address no longer works</t>
        </is>
      </c>
      <c r="I302" t="inlineStr"/>
      <c r="J302" t="inlineStr"/>
      <c r="K302" t="inlineStr">
        <is>
          <t>Not sent to re-link</t>
        </is>
      </c>
      <c r="L302" t="inlineStr">
        <is>
          <t>Page found, being read</t>
        </is>
      </c>
      <c r="M302" t="inlineStr">
        <is>
          <t>Page found, being read</t>
        </is>
      </c>
      <c r="N302" t="inlineStr"/>
      <c r="O302" t="n">
        <v>0</v>
      </c>
      <c r="P302" t="inlineStr"/>
      <c r="Q302" t="inlineStr">
        <is>
          <t>Page found, being read</t>
        </is>
      </c>
      <c r="S302" t="inlineStr"/>
      <c r="T302" t="inlineStr">
        <is>
          <t>Held: double degree (its parts are at different levels)</t>
        </is>
      </c>
      <c r="U302" t="inlineStr"/>
      <c r="V302" t="inlineStr">
        <is>
          <t>Page found, being read</t>
        </is>
      </c>
      <c r="W302" t="inlineStr"/>
      <c r="X302" t="inlineStr"/>
      <c r="Y302" t="n">
        <v>0</v>
      </c>
      <c r="Z302" t="inlineStr">
        <is>
          <t>No</t>
        </is>
      </c>
      <c r="AA302" t="inlineStr">
        <is>
          <t>Not stated on course page</t>
        </is>
      </c>
      <c r="AB302" t="inlineStr"/>
      <c r="AC302" t="inlineStr">
        <is>
          <t>Skipped: no allowed source had a value</t>
        </is>
      </c>
      <c r="AD302" t="n">
        <v>0</v>
      </c>
      <c r="AE302" t="inlineStr"/>
      <c r="AF302" t="inlineStr"/>
      <c r="AG302" t="inlineStr"/>
      <c r="AH302" t="inlineStr"/>
      <c r="AI302" t="inlineStr"/>
      <c r="AJ302" t="inlineStr">
        <is>
          <t>Yes</t>
        </is>
      </c>
      <c r="AK302" t="inlineStr"/>
      <c r="AL302" t="inlineStr"/>
      <c r="AM302" t="inlineStr"/>
    </row>
    <row r="303">
      <c r="A303" t="inlineStr">
        <is>
          <t>099572A</t>
        </is>
      </c>
      <c r="B303" t="inlineStr">
        <is>
          <t>Master of Combined Studies in International Trade and Commerce Law / Intelligence</t>
        </is>
      </c>
      <c r="C303" t="inlineStr">
        <is>
          <t>Masters Degree (Coursework)</t>
        </is>
      </c>
      <c r="D303" t="inlineStr">
        <is>
          <t>Postgraduate coursework</t>
        </is>
      </c>
      <c r="E303" t="inlineStr">
        <is>
          <t>Page address no longer works</t>
        </is>
      </c>
      <c r="F303" t="inlineStr"/>
      <c r="G303" t="inlineStr">
        <is>
          <t>https://coursehandbook.mq.edu.au/2026/doubledegree/D000140</t>
        </is>
      </c>
      <c r="H303" t="inlineStr">
        <is>
          <t>Address no longer works</t>
        </is>
      </c>
      <c r="I303" t="inlineStr"/>
      <c r="J303" t="inlineStr"/>
      <c r="K303" t="inlineStr">
        <is>
          <t>Not sent to re-link</t>
        </is>
      </c>
      <c r="L303" t="inlineStr">
        <is>
          <t>Page found, being read</t>
        </is>
      </c>
      <c r="M303" t="inlineStr">
        <is>
          <t>Page found, being read</t>
        </is>
      </c>
      <c r="N303" t="inlineStr"/>
      <c r="O303" t="n">
        <v>0</v>
      </c>
      <c r="P303" t="inlineStr"/>
      <c r="Q303" t="inlineStr">
        <is>
          <t>Page found, being read</t>
        </is>
      </c>
      <c r="S303" t="inlineStr"/>
      <c r="T303" t="inlineStr">
        <is>
          <t>Held: double degree (its parts are at different levels)</t>
        </is>
      </c>
      <c r="U303" t="inlineStr"/>
      <c r="V303" t="inlineStr">
        <is>
          <t>Page found, being read</t>
        </is>
      </c>
      <c r="W303" t="inlineStr"/>
      <c r="X303" t="inlineStr"/>
      <c r="Y303" t="n">
        <v>0</v>
      </c>
      <c r="Z303" t="inlineStr">
        <is>
          <t>No</t>
        </is>
      </c>
      <c r="AA303" t="inlineStr">
        <is>
          <t>Not stated on course page</t>
        </is>
      </c>
      <c r="AB303" t="inlineStr"/>
      <c r="AC303" t="inlineStr">
        <is>
          <t>Skipped: no allowed source had a value</t>
        </is>
      </c>
      <c r="AD303" t="n">
        <v>0</v>
      </c>
      <c r="AE303" t="inlineStr"/>
      <c r="AF303" t="inlineStr"/>
      <c r="AG303" t="inlineStr"/>
      <c r="AH303" t="inlineStr"/>
      <c r="AI303" t="inlineStr"/>
      <c r="AJ303" t="inlineStr">
        <is>
          <t>Yes</t>
        </is>
      </c>
      <c r="AK303" t="inlineStr"/>
      <c r="AL303" t="inlineStr"/>
      <c r="AM303" t="inlineStr"/>
    </row>
    <row r="304">
      <c r="A304" t="inlineStr">
        <is>
          <t>099568G</t>
        </is>
      </c>
      <c r="B304" t="inlineStr">
        <is>
          <t>Master of Combined Studies in International Trade and Commerce Law / International Business</t>
        </is>
      </c>
      <c r="C304" t="inlineStr">
        <is>
          <t>Masters Degree (Coursework)</t>
        </is>
      </c>
      <c r="D304" t="inlineStr">
        <is>
          <t>Postgraduate coursework</t>
        </is>
      </c>
      <c r="E304" t="inlineStr">
        <is>
          <t>Page address no longer works</t>
        </is>
      </c>
      <c r="F304" t="inlineStr"/>
      <c r="G304" t="inlineStr">
        <is>
          <t>https://coursehandbook.mq.edu.au/2026/doubledegree/D000148</t>
        </is>
      </c>
      <c r="H304" t="inlineStr">
        <is>
          <t>Address no longer works</t>
        </is>
      </c>
      <c r="I304" t="inlineStr"/>
      <c r="J304" t="inlineStr"/>
      <c r="K304" t="inlineStr">
        <is>
          <t>Not sent to re-link</t>
        </is>
      </c>
      <c r="L304" t="inlineStr">
        <is>
          <t>Page found, being read</t>
        </is>
      </c>
      <c r="M304" t="inlineStr">
        <is>
          <t>Page found, being read</t>
        </is>
      </c>
      <c r="N304" t="inlineStr"/>
      <c r="O304" t="n">
        <v>0</v>
      </c>
      <c r="P304" t="inlineStr"/>
      <c r="Q304" t="inlineStr">
        <is>
          <t>Page found, being read</t>
        </is>
      </c>
      <c r="S304" t="inlineStr"/>
      <c r="T304" t="inlineStr">
        <is>
          <t>Held: double degree (its parts are at different levels)</t>
        </is>
      </c>
      <c r="U304" t="inlineStr"/>
      <c r="V304" t="inlineStr">
        <is>
          <t>Page found, being read</t>
        </is>
      </c>
      <c r="W304" t="inlineStr"/>
      <c r="X304" t="inlineStr"/>
      <c r="Y304" t="n">
        <v>0</v>
      </c>
      <c r="Z304" t="inlineStr">
        <is>
          <t>No</t>
        </is>
      </c>
      <c r="AA304" t="inlineStr">
        <is>
          <t>Not stated on course page</t>
        </is>
      </c>
      <c r="AB304" t="inlineStr"/>
      <c r="AC304" t="inlineStr">
        <is>
          <t>Skipped: no allowed source had a value</t>
        </is>
      </c>
      <c r="AD304" t="n">
        <v>0</v>
      </c>
      <c r="AE304" t="inlineStr"/>
      <c r="AF304" t="inlineStr"/>
      <c r="AG304" t="inlineStr"/>
      <c r="AH304" t="inlineStr"/>
      <c r="AI304" t="inlineStr"/>
      <c r="AJ304" t="inlineStr">
        <is>
          <t>Yes</t>
        </is>
      </c>
      <c r="AK304" t="inlineStr"/>
      <c r="AL304" t="inlineStr"/>
      <c r="AM304" t="inlineStr"/>
    </row>
    <row r="305">
      <c r="A305" t="inlineStr">
        <is>
          <t>099569G</t>
        </is>
      </c>
      <c r="B305" t="inlineStr">
        <is>
          <t>Master of Combined Studies in International Trade and Commerce Law / International Relations</t>
        </is>
      </c>
      <c r="C305" t="inlineStr">
        <is>
          <t>Masters Degree (Coursework)</t>
        </is>
      </c>
      <c r="D305" t="inlineStr">
        <is>
          <t>Postgraduate coursework</t>
        </is>
      </c>
      <c r="E305" t="inlineStr">
        <is>
          <t>Page address no longer works</t>
        </is>
      </c>
      <c r="F305" t="inlineStr"/>
      <c r="G305" t="inlineStr">
        <is>
          <t>https://coursehandbook.mq.edu.au/2026/doubledegree/D000149</t>
        </is>
      </c>
      <c r="H305" t="inlineStr">
        <is>
          <t>Address no longer works</t>
        </is>
      </c>
      <c r="I305" t="inlineStr"/>
      <c r="J305" t="inlineStr"/>
      <c r="K305" t="inlineStr">
        <is>
          <t>Not sent to re-link</t>
        </is>
      </c>
      <c r="L305" t="inlineStr">
        <is>
          <t>Page found, being read</t>
        </is>
      </c>
      <c r="M305" t="inlineStr">
        <is>
          <t>Page found, being read</t>
        </is>
      </c>
      <c r="N305" t="inlineStr"/>
      <c r="O305" t="n">
        <v>0</v>
      </c>
      <c r="P305" t="inlineStr"/>
      <c r="Q305" t="inlineStr">
        <is>
          <t>Page found, being read</t>
        </is>
      </c>
      <c r="S305" t="inlineStr"/>
      <c r="T305" t="inlineStr">
        <is>
          <t>Held: double degree (its parts are at different levels)</t>
        </is>
      </c>
      <c r="U305" t="inlineStr"/>
      <c r="V305" t="inlineStr">
        <is>
          <t>Page found, being read</t>
        </is>
      </c>
      <c r="W305" t="inlineStr"/>
      <c r="X305" t="inlineStr"/>
      <c r="Y305" t="n">
        <v>0</v>
      </c>
      <c r="Z305" t="inlineStr">
        <is>
          <t>No</t>
        </is>
      </c>
      <c r="AA305" t="inlineStr">
        <is>
          <t>Not stated on course page</t>
        </is>
      </c>
      <c r="AB305" t="inlineStr"/>
      <c r="AC305" t="inlineStr">
        <is>
          <t>Skipped: no allowed source had a value</t>
        </is>
      </c>
      <c r="AD305" t="n">
        <v>0</v>
      </c>
      <c r="AE305" t="inlineStr"/>
      <c r="AF305" t="inlineStr"/>
      <c r="AG305" t="inlineStr"/>
      <c r="AH305" t="inlineStr"/>
      <c r="AI305" t="inlineStr"/>
      <c r="AJ305" t="inlineStr">
        <is>
          <t>Yes</t>
        </is>
      </c>
      <c r="AK305" t="inlineStr"/>
      <c r="AL305" t="inlineStr"/>
      <c r="AM305" t="inlineStr"/>
    </row>
    <row r="306">
      <c r="A306" t="inlineStr">
        <is>
          <t>0100928</t>
        </is>
      </c>
      <c r="B306" t="inlineStr">
        <is>
          <t>Master of Combined Studies in International Trade and Commerce Law / Management</t>
        </is>
      </c>
      <c r="C306" t="inlineStr">
        <is>
          <t>Masters Degree (Coursework)</t>
        </is>
      </c>
      <c r="D306" t="inlineStr">
        <is>
          <t>Postgraduate coursework</t>
        </is>
      </c>
      <c r="E306" t="inlineStr">
        <is>
          <t>Page address no longer works</t>
        </is>
      </c>
      <c r="F306" t="inlineStr"/>
      <c r="G306" t="inlineStr">
        <is>
          <t>https://coursehandbook.mq.edu.au/2026/doubledegree/d001005</t>
        </is>
      </c>
      <c r="H306" t="inlineStr">
        <is>
          <t>Address no longer works</t>
        </is>
      </c>
      <c r="I306" t="inlineStr"/>
      <c r="J306" t="inlineStr"/>
      <c r="K306" t="inlineStr">
        <is>
          <t>Not sent to re-link</t>
        </is>
      </c>
      <c r="L306" t="inlineStr">
        <is>
          <t>Page found, being read</t>
        </is>
      </c>
      <c r="M306" t="inlineStr">
        <is>
          <t>Page found, being read</t>
        </is>
      </c>
      <c r="N306" t="inlineStr"/>
      <c r="O306" t="n">
        <v>0</v>
      </c>
      <c r="P306" t="inlineStr"/>
      <c r="Q306" t="inlineStr">
        <is>
          <t>Page found, being read</t>
        </is>
      </c>
      <c r="S306" t="inlineStr"/>
      <c r="T306" t="inlineStr">
        <is>
          <t>Held: double degree (its parts are at different levels)</t>
        </is>
      </c>
      <c r="U306" t="inlineStr"/>
      <c r="V306" t="inlineStr">
        <is>
          <t>Page found, being read</t>
        </is>
      </c>
      <c r="W306" t="inlineStr"/>
      <c r="X306" t="inlineStr"/>
      <c r="Y306" t="n">
        <v>0</v>
      </c>
      <c r="Z306" t="inlineStr">
        <is>
          <t>No</t>
        </is>
      </c>
      <c r="AA306" t="inlineStr">
        <is>
          <t>Not stated on course page</t>
        </is>
      </c>
      <c r="AB306" t="inlineStr"/>
      <c r="AC306" t="inlineStr">
        <is>
          <t>Skipped: no allowed source had a value</t>
        </is>
      </c>
      <c r="AD306" t="n">
        <v>0</v>
      </c>
      <c r="AE306" t="inlineStr"/>
      <c r="AF306" t="inlineStr"/>
      <c r="AG306" t="inlineStr"/>
      <c r="AH306" t="inlineStr"/>
      <c r="AI306" t="inlineStr"/>
      <c r="AJ306" t="inlineStr">
        <is>
          <t>Yes</t>
        </is>
      </c>
      <c r="AK306" t="inlineStr"/>
      <c r="AL306" t="inlineStr"/>
      <c r="AM306" t="inlineStr"/>
    </row>
    <row r="307">
      <c r="A307" t="inlineStr">
        <is>
          <t>099573M</t>
        </is>
      </c>
      <c r="B307" t="inlineStr">
        <is>
          <t>Master of Combined Studies in International Trade and Commerce Law / Security and Strategic Studies</t>
        </is>
      </c>
      <c r="C307" t="inlineStr">
        <is>
          <t>Masters Degree (Coursework)</t>
        </is>
      </c>
      <c r="D307" t="inlineStr">
        <is>
          <t>Postgraduate coursework</t>
        </is>
      </c>
      <c r="E307" t="inlineStr">
        <is>
          <t>Page address no longer works</t>
        </is>
      </c>
      <c r="F307" t="inlineStr"/>
      <c r="G307" t="inlineStr">
        <is>
          <t>https://coursehandbook.mq.edu.au/2026/doubledegree/D000155</t>
        </is>
      </c>
      <c r="H307" t="inlineStr">
        <is>
          <t>Address no longer works</t>
        </is>
      </c>
      <c r="I307" t="inlineStr"/>
      <c r="J307" t="inlineStr"/>
      <c r="K307" t="inlineStr">
        <is>
          <t>Finished, no page: no address from the university's address forms or stored lis</t>
        </is>
      </c>
      <c r="L307" t="inlineStr">
        <is>
          <t>Page found, being read</t>
        </is>
      </c>
      <c r="M307" t="inlineStr">
        <is>
          <t>Page found, being read</t>
        </is>
      </c>
      <c r="N307" t="inlineStr"/>
      <c r="O307" t="n">
        <v>0</v>
      </c>
      <c r="P307" t="inlineStr"/>
      <c r="Q307" t="inlineStr">
        <is>
          <t>Page found, being read</t>
        </is>
      </c>
      <c r="S307" t="inlineStr"/>
      <c r="T307" t="inlineStr">
        <is>
          <t>Held: double degree (its parts are at different levels)</t>
        </is>
      </c>
      <c r="U307" t="inlineStr"/>
      <c r="V307" t="inlineStr">
        <is>
          <t>Page found, being read</t>
        </is>
      </c>
      <c r="W307" t="inlineStr"/>
      <c r="X307" t="inlineStr"/>
      <c r="Y307" t="n">
        <v>0</v>
      </c>
      <c r="Z307" t="inlineStr">
        <is>
          <t>No</t>
        </is>
      </c>
      <c r="AA307" t="inlineStr">
        <is>
          <t>Not stated on course page</t>
        </is>
      </c>
      <c r="AB307" t="inlineStr"/>
      <c r="AC307" t="inlineStr">
        <is>
          <t>Skipped: no allowed source had a value</t>
        </is>
      </c>
      <c r="AD307" t="n">
        <v>0</v>
      </c>
      <c r="AE307" t="inlineStr"/>
      <c r="AF307" t="inlineStr"/>
      <c r="AG307" t="inlineStr"/>
      <c r="AH307" t="inlineStr"/>
      <c r="AI307" t="inlineStr"/>
      <c r="AJ307" t="inlineStr">
        <is>
          <t>Yes</t>
        </is>
      </c>
      <c r="AK307" t="inlineStr"/>
      <c r="AL307" t="inlineStr"/>
      <c r="AM307" t="inlineStr"/>
    </row>
    <row r="308">
      <c r="A308" t="inlineStr">
        <is>
          <t>099574K</t>
        </is>
      </c>
      <c r="B308" t="inlineStr">
        <is>
          <t>Master of Combined Studies in Laws / Counter Terrorism</t>
        </is>
      </c>
      <c r="C308" t="inlineStr">
        <is>
          <t>Masters Degree (Coursework)</t>
        </is>
      </c>
      <c r="D308" t="inlineStr">
        <is>
          <t>Postgraduate coursework</t>
        </is>
      </c>
      <c r="E308" t="inlineStr">
        <is>
          <t>Page address no longer works</t>
        </is>
      </c>
      <c r="F308" t="inlineStr"/>
      <c r="G308" t="inlineStr">
        <is>
          <t>https://coursehandbook.mq.edu.au/2026/courses/c000226</t>
        </is>
      </c>
      <c r="H308" t="inlineStr">
        <is>
          <t>Address no longer works</t>
        </is>
      </c>
      <c r="I308" t="inlineStr"/>
      <c r="J308" t="inlineStr"/>
      <c r="K308" t="inlineStr">
        <is>
          <t>Not sent to re-link</t>
        </is>
      </c>
      <c r="L308" t="inlineStr">
        <is>
          <t>Page found, being read</t>
        </is>
      </c>
      <c r="M308" t="inlineStr">
        <is>
          <t>Page found, being read</t>
        </is>
      </c>
      <c r="N308" t="inlineStr"/>
      <c r="O308" t="n">
        <v>0</v>
      </c>
      <c r="P308" t="inlineStr"/>
      <c r="Q308" t="inlineStr">
        <is>
          <t>Page found, being read</t>
        </is>
      </c>
      <c r="S308" t="inlineStr"/>
      <c r="T308" t="inlineStr">
        <is>
          <t>Held: double degree (its parts are at different levels)</t>
        </is>
      </c>
      <c r="U308" t="inlineStr"/>
      <c r="V308" t="inlineStr">
        <is>
          <t>Page found, being read</t>
        </is>
      </c>
      <c r="W308" t="inlineStr"/>
      <c r="X308" t="inlineStr"/>
      <c r="Y308" t="n">
        <v>0</v>
      </c>
      <c r="Z308" t="inlineStr">
        <is>
          <t>No</t>
        </is>
      </c>
      <c r="AA308" t="inlineStr">
        <is>
          <t>Not stated on course page</t>
        </is>
      </c>
      <c r="AB308" t="inlineStr"/>
      <c r="AC308" t="inlineStr">
        <is>
          <t>Skipped: no allowed source had a value</t>
        </is>
      </c>
      <c r="AD308" t="n">
        <v>0</v>
      </c>
      <c r="AE308" t="inlineStr"/>
      <c r="AF308" t="inlineStr"/>
      <c r="AG308" t="inlineStr"/>
      <c r="AH308" t="inlineStr"/>
      <c r="AI308" t="inlineStr"/>
      <c r="AJ308" t="inlineStr">
        <is>
          <t>Yes</t>
        </is>
      </c>
      <c r="AK308" t="inlineStr"/>
      <c r="AL308" t="inlineStr"/>
      <c r="AM308" t="inlineStr"/>
    </row>
    <row r="309">
      <c r="A309" t="inlineStr">
        <is>
          <t>099567J</t>
        </is>
      </c>
      <c r="B309" t="inlineStr">
        <is>
          <t>Master of Combined Studies in Laws / Criminology</t>
        </is>
      </c>
      <c r="C309" t="inlineStr">
        <is>
          <t>Masters Degree (Coursework)</t>
        </is>
      </c>
      <c r="D309" t="inlineStr">
        <is>
          <t>Postgraduate coursework</t>
        </is>
      </c>
      <c r="E309" t="inlineStr">
        <is>
          <t>Page address no longer works</t>
        </is>
      </c>
      <c r="F309" t="inlineStr"/>
      <c r="G309" t="inlineStr">
        <is>
          <t>https://coursehandbook.mq.edu.au/2026/doubledegree/d000152</t>
        </is>
      </c>
      <c r="H309" t="inlineStr">
        <is>
          <t>Address no longer works</t>
        </is>
      </c>
      <c r="I309" t="inlineStr"/>
      <c r="J309" t="inlineStr"/>
      <c r="K309" t="inlineStr">
        <is>
          <t>Not sent to re-link</t>
        </is>
      </c>
      <c r="L309" t="inlineStr">
        <is>
          <t>Page found, being read</t>
        </is>
      </c>
      <c r="M309" t="inlineStr">
        <is>
          <t>Page found, being read</t>
        </is>
      </c>
      <c r="N309" t="inlineStr"/>
      <c r="O309" t="n">
        <v>0</v>
      </c>
      <c r="P309" t="inlineStr"/>
      <c r="Q309" t="inlineStr">
        <is>
          <t>Page found, being read</t>
        </is>
      </c>
      <c r="S309" t="inlineStr"/>
      <c r="T309" t="inlineStr">
        <is>
          <t>Held: double degree (its parts are at different levels)</t>
        </is>
      </c>
      <c r="U309" t="inlineStr"/>
      <c r="V309" t="inlineStr">
        <is>
          <t>Page found, being read</t>
        </is>
      </c>
      <c r="W309" t="inlineStr"/>
      <c r="X309" t="inlineStr"/>
      <c r="Y309" t="n">
        <v>0</v>
      </c>
      <c r="Z309" t="inlineStr">
        <is>
          <t>No</t>
        </is>
      </c>
      <c r="AA309" t="inlineStr">
        <is>
          <t>Not stated on course page</t>
        </is>
      </c>
      <c r="AB309" t="inlineStr"/>
      <c r="AC309" t="inlineStr">
        <is>
          <t>Skipped: no allowed source had a value</t>
        </is>
      </c>
      <c r="AD309" t="n">
        <v>0</v>
      </c>
      <c r="AE309" t="inlineStr"/>
      <c r="AF309" t="inlineStr"/>
      <c r="AG309" t="inlineStr"/>
      <c r="AH309" t="inlineStr"/>
      <c r="AI309" t="inlineStr"/>
      <c r="AJ309" t="inlineStr">
        <is>
          <t>Yes</t>
        </is>
      </c>
      <c r="AK309" t="inlineStr"/>
      <c r="AL309" t="inlineStr"/>
      <c r="AM309" t="inlineStr"/>
    </row>
    <row r="310">
      <c r="A310" t="inlineStr">
        <is>
          <t>099575J</t>
        </is>
      </c>
      <c r="B310" t="inlineStr">
        <is>
          <t>Master of Combined Studies in Laws / Cyber Security Analysis</t>
        </is>
      </c>
      <c r="C310" t="inlineStr">
        <is>
          <t>Masters Degree (Coursework)</t>
        </is>
      </c>
      <c r="D310" t="inlineStr">
        <is>
          <t>Postgraduate coursework</t>
        </is>
      </c>
      <c r="E310" t="inlineStr">
        <is>
          <t>Page address no longer works</t>
        </is>
      </c>
      <c r="F310" t="inlineStr"/>
      <c r="G310" t="inlineStr">
        <is>
          <t>https://coursehandbook.mq.edu.au/2026/doubledegree/d000130</t>
        </is>
      </c>
      <c r="H310" t="inlineStr">
        <is>
          <t>Address no longer works</t>
        </is>
      </c>
      <c r="I310" t="inlineStr"/>
      <c r="J310" t="inlineStr"/>
      <c r="K310" t="inlineStr">
        <is>
          <t>Not sent to re-link</t>
        </is>
      </c>
      <c r="L310" t="inlineStr">
        <is>
          <t>Page found, being read</t>
        </is>
      </c>
      <c r="M310" t="inlineStr">
        <is>
          <t>Page found, being read</t>
        </is>
      </c>
      <c r="N310" t="inlineStr"/>
      <c r="O310" t="n">
        <v>0</v>
      </c>
      <c r="P310" t="inlineStr"/>
      <c r="Q310" t="inlineStr">
        <is>
          <t>Page found, being read</t>
        </is>
      </c>
      <c r="S310" t="inlineStr"/>
      <c r="T310" t="inlineStr">
        <is>
          <t>Held: double degree (its parts are at different levels)</t>
        </is>
      </c>
      <c r="U310" t="inlineStr"/>
      <c r="V310" t="inlineStr">
        <is>
          <t>Page found, being read</t>
        </is>
      </c>
      <c r="W310" t="inlineStr"/>
      <c r="X310" t="inlineStr"/>
      <c r="Y310" t="n">
        <v>0</v>
      </c>
      <c r="Z310" t="inlineStr">
        <is>
          <t>No</t>
        </is>
      </c>
      <c r="AA310" t="inlineStr">
        <is>
          <t>Not stated on course page</t>
        </is>
      </c>
      <c r="AB310" t="inlineStr"/>
      <c r="AC310" t="inlineStr">
        <is>
          <t>Skipped: no allowed source had a value</t>
        </is>
      </c>
      <c r="AD310" t="n">
        <v>0</v>
      </c>
      <c r="AE310" t="inlineStr"/>
      <c r="AF310" t="inlineStr"/>
      <c r="AG310" t="inlineStr"/>
      <c r="AH310" t="inlineStr"/>
      <c r="AI310" t="inlineStr"/>
      <c r="AJ310" t="inlineStr">
        <is>
          <t>Yes</t>
        </is>
      </c>
      <c r="AK310" t="inlineStr"/>
      <c r="AL310" t="inlineStr"/>
      <c r="AM310" t="inlineStr"/>
    </row>
    <row r="311">
      <c r="A311" t="inlineStr">
        <is>
          <t>099576G</t>
        </is>
      </c>
      <c r="B311" t="inlineStr">
        <is>
          <t>Master of Combined Studies in Laws / Intelligence</t>
        </is>
      </c>
      <c r="C311" t="inlineStr">
        <is>
          <t>Masters Degree (Coursework)</t>
        </is>
      </c>
      <c r="D311" t="inlineStr">
        <is>
          <t>Postgraduate coursework</t>
        </is>
      </c>
      <c r="E311" t="inlineStr">
        <is>
          <t>Page address no longer works</t>
        </is>
      </c>
      <c r="F311" t="inlineStr"/>
      <c r="G311" t="inlineStr">
        <is>
          <t>https://coursehandbook.mq.edu.au/2026/doubledegree/d000137</t>
        </is>
      </c>
      <c r="H311" t="inlineStr">
        <is>
          <t>Address no longer works</t>
        </is>
      </c>
      <c r="I311" t="inlineStr"/>
      <c r="J311" t="inlineStr"/>
      <c r="K311" t="inlineStr">
        <is>
          <t>Finished, no page: no address from the university's address forms or stored lis</t>
        </is>
      </c>
      <c r="L311" t="inlineStr">
        <is>
          <t>Page found, being read</t>
        </is>
      </c>
      <c r="M311" t="inlineStr">
        <is>
          <t>Page found, being read</t>
        </is>
      </c>
      <c r="N311" t="inlineStr"/>
      <c r="O311" t="n">
        <v>0</v>
      </c>
      <c r="P311" t="inlineStr"/>
      <c r="Q311" t="inlineStr">
        <is>
          <t>Page found, being read</t>
        </is>
      </c>
      <c r="S311" t="inlineStr"/>
      <c r="T311" t="inlineStr">
        <is>
          <t>Held: double degree (its parts are at different levels)</t>
        </is>
      </c>
      <c r="U311" t="inlineStr"/>
      <c r="V311" t="inlineStr">
        <is>
          <t>Page found, being read</t>
        </is>
      </c>
      <c r="W311" t="inlineStr"/>
      <c r="X311" t="inlineStr"/>
      <c r="Y311" t="n">
        <v>0</v>
      </c>
      <c r="Z311" t="inlineStr">
        <is>
          <t>No</t>
        </is>
      </c>
      <c r="AA311" t="inlineStr">
        <is>
          <t>Not stated on course page</t>
        </is>
      </c>
      <c r="AB311" t="inlineStr"/>
      <c r="AC311" t="inlineStr">
        <is>
          <t>Skipped: no allowed source had a value</t>
        </is>
      </c>
      <c r="AD311" t="n">
        <v>0</v>
      </c>
      <c r="AE311" t="inlineStr"/>
      <c r="AF311" t="inlineStr"/>
      <c r="AG311" t="inlineStr"/>
      <c r="AH311" t="inlineStr"/>
      <c r="AI311" t="inlineStr"/>
      <c r="AJ311" t="inlineStr">
        <is>
          <t>Yes</t>
        </is>
      </c>
      <c r="AK311" t="inlineStr"/>
      <c r="AL311" t="inlineStr"/>
      <c r="AM311" t="inlineStr"/>
    </row>
    <row r="312">
      <c r="A312" t="inlineStr">
        <is>
          <t>099599A</t>
        </is>
      </c>
      <c r="B312" t="inlineStr">
        <is>
          <t>Master of Combined Studies in Laws / Security and Strategic Studies</t>
        </is>
      </c>
      <c r="C312" t="inlineStr">
        <is>
          <t>Masters Degree (Coursework)</t>
        </is>
      </c>
      <c r="D312" t="inlineStr">
        <is>
          <t>Postgraduate coursework</t>
        </is>
      </c>
      <c r="E312" t="inlineStr">
        <is>
          <t>Page address no longer works</t>
        </is>
      </c>
      <c r="F312" t="inlineStr"/>
      <c r="G312" t="inlineStr">
        <is>
          <t>https://coursehandbook.mq.edu.au/2026/courses/C000207</t>
        </is>
      </c>
      <c r="H312" t="inlineStr">
        <is>
          <t>Address no longer works</t>
        </is>
      </c>
      <c r="I312" t="inlineStr"/>
      <c r="J312" t="inlineStr"/>
      <c r="K312" t="inlineStr">
        <is>
          <t>Not sent to re-link</t>
        </is>
      </c>
      <c r="L312" t="inlineStr">
        <is>
          <t>Page found, being read</t>
        </is>
      </c>
      <c r="M312" t="inlineStr">
        <is>
          <t>Page found, being read</t>
        </is>
      </c>
      <c r="N312" t="inlineStr"/>
      <c r="O312" t="n">
        <v>0</v>
      </c>
      <c r="P312" t="inlineStr"/>
      <c r="Q312" t="inlineStr">
        <is>
          <t>Page found, being read</t>
        </is>
      </c>
      <c r="S312" t="inlineStr"/>
      <c r="T312" t="inlineStr">
        <is>
          <t>Held: double degree (its parts are at different levels)</t>
        </is>
      </c>
      <c r="U312" t="inlineStr"/>
      <c r="V312" t="inlineStr">
        <is>
          <t>Page found, being read</t>
        </is>
      </c>
      <c r="W312" t="inlineStr"/>
      <c r="X312" t="inlineStr"/>
      <c r="Y312" t="n">
        <v>0</v>
      </c>
      <c r="Z312" t="inlineStr">
        <is>
          <t>No</t>
        </is>
      </c>
      <c r="AA312" t="inlineStr">
        <is>
          <t>Not stated on course page</t>
        </is>
      </c>
      <c r="AB312" t="inlineStr"/>
      <c r="AC312" t="inlineStr">
        <is>
          <t>Skipped: no allowed source had a value</t>
        </is>
      </c>
      <c r="AD312" t="n">
        <v>0</v>
      </c>
      <c r="AE312" t="inlineStr"/>
      <c r="AF312" t="inlineStr"/>
      <c r="AG312" t="inlineStr"/>
      <c r="AH312" t="inlineStr"/>
      <c r="AI312" t="inlineStr"/>
      <c r="AJ312" t="inlineStr">
        <is>
          <t>Yes</t>
        </is>
      </c>
      <c r="AK312" t="inlineStr"/>
      <c r="AL312" t="inlineStr"/>
      <c r="AM312" t="inlineStr"/>
    </row>
    <row r="313">
      <c r="A313" t="inlineStr">
        <is>
          <t>0100929</t>
        </is>
      </c>
      <c r="B313" t="inlineStr">
        <is>
          <t>Master of Combined Studies in Management / Marketing</t>
        </is>
      </c>
      <c r="C313" t="inlineStr">
        <is>
          <t>Masters Degree (Coursework)</t>
        </is>
      </c>
      <c r="D313" t="inlineStr">
        <is>
          <t>Postgraduate coursework</t>
        </is>
      </c>
      <c r="E313" t="inlineStr">
        <is>
          <t>Advertised: official page in place</t>
        </is>
      </c>
      <c r="F313" t="inlineStr">
        <is>
          <t>https://coursehandbook.mq.edu.au/2026/doubledegree/D001000</t>
        </is>
      </c>
      <c r="G313" t="inlineStr">
        <is>
          <t>https://coursehandbook.mq.edu.au/2026/doubledegree/D001000</t>
        </is>
      </c>
      <c r="H313" t="inlineStr">
        <is>
          <t>Read</t>
        </is>
      </c>
      <c r="I313" t="inlineStr">
        <is>
          <t>University adapter (code)</t>
        </is>
      </c>
      <c r="J313" t="inlineStr"/>
      <c r="K313" t="inlineStr">
        <is>
          <t>Not sent to re-link</t>
        </is>
      </c>
      <c r="L313" t="inlineStr">
        <is>
          <t>Filled</t>
        </is>
      </c>
      <c r="M313" t="inlineStr">
        <is>
          <t>Not stated on course page</t>
        </is>
      </c>
      <c r="N313" t="inlineStr"/>
      <c r="O313" t="n">
        <v>0</v>
      </c>
      <c r="P313" t="inlineStr"/>
      <c r="Q313" t="inlineStr">
        <is>
          <t>Filled</t>
        </is>
      </c>
      <c r="R313" t="n">
        <v>6.5</v>
      </c>
      <c r="S313" t="inlineStr">
        <is>
          <t>University adapter</t>
        </is>
      </c>
      <c r="T313" t="inlineStr">
        <is>
          <t>Held: double degree (its parts are at different levels)</t>
        </is>
      </c>
      <c r="U313" t="inlineStr"/>
      <c r="V313" t="inlineStr">
        <is>
          <t>Not stated on course page</t>
        </is>
      </c>
      <c r="W313" t="inlineStr"/>
      <c r="X313" t="inlineStr"/>
      <c r="Y313" t="n">
        <v>0</v>
      </c>
      <c r="Z313" t="inlineStr">
        <is>
          <t>No</t>
        </is>
      </c>
      <c r="AA313" t="inlineStr">
        <is>
          <t>Not stated on course page</t>
        </is>
      </c>
      <c r="AB313" t="inlineStr"/>
      <c r="AC313" t="inlineStr">
        <is>
          <t>Skipped: the page does not state it</t>
        </is>
      </c>
      <c r="AD313" t="n">
        <v>0</v>
      </c>
      <c r="AE313" t="inlineStr"/>
      <c r="AF313" t="inlineStr"/>
      <c r="AG313" t="inlineStr"/>
      <c r="AH313" t="inlineStr"/>
      <c r="AI313" t="inlineStr"/>
      <c r="AJ313" t="inlineStr"/>
      <c r="AK313" t="inlineStr"/>
      <c r="AL313" t="inlineStr"/>
      <c r="AM313" t="inlineStr"/>
    </row>
    <row r="314">
      <c r="A314" t="inlineStr">
        <is>
          <t>0100930</t>
        </is>
      </c>
      <c r="B314" t="inlineStr">
        <is>
          <t>Master of Combined Studies in Management / Media and Communications</t>
        </is>
      </c>
      <c r="C314" t="inlineStr">
        <is>
          <t>Masters Degree (Coursework)</t>
        </is>
      </c>
      <c r="D314" t="inlineStr">
        <is>
          <t>Postgraduate coursework</t>
        </is>
      </c>
      <c r="E314" t="inlineStr">
        <is>
          <t>Advertised: official page in place</t>
        </is>
      </c>
      <c r="F314" t="inlineStr">
        <is>
          <t>https://coursehandbook.mq.edu.au/2026/doubledegree/d001002</t>
        </is>
      </c>
      <c r="G314" t="inlineStr">
        <is>
          <t>https://coursehandbook.mq.edu.au/2026/doubledegree/d001002</t>
        </is>
      </c>
      <c r="H314" t="inlineStr">
        <is>
          <t>Read</t>
        </is>
      </c>
      <c r="I314" t="inlineStr">
        <is>
          <t>University adapter (code)</t>
        </is>
      </c>
      <c r="J314" t="inlineStr"/>
      <c r="K314" t="inlineStr">
        <is>
          <t>Not sent to re-link</t>
        </is>
      </c>
      <c r="L314" t="inlineStr">
        <is>
          <t>Filled</t>
        </is>
      </c>
      <c r="M314" t="inlineStr">
        <is>
          <t>Not stated on course page</t>
        </is>
      </c>
      <c r="N314" t="inlineStr"/>
      <c r="O314" t="n">
        <v>0</v>
      </c>
      <c r="P314" t="inlineStr"/>
      <c r="Q314" t="inlineStr">
        <is>
          <t>Filled</t>
        </is>
      </c>
      <c r="R314" t="n">
        <v>6.5</v>
      </c>
      <c r="S314" t="inlineStr">
        <is>
          <t>University adapter</t>
        </is>
      </c>
      <c r="T314" t="inlineStr">
        <is>
          <t>Held: double degree (its parts are at different levels)</t>
        </is>
      </c>
      <c r="U314" t="inlineStr"/>
      <c r="V314" t="inlineStr">
        <is>
          <t>Not stated on course page</t>
        </is>
      </c>
      <c r="W314" t="inlineStr"/>
      <c r="X314" t="inlineStr"/>
      <c r="Y314" t="n">
        <v>0</v>
      </c>
      <c r="Z314" t="inlineStr">
        <is>
          <t>No</t>
        </is>
      </c>
      <c r="AA314" t="inlineStr">
        <is>
          <t>Not stated on course page</t>
        </is>
      </c>
      <c r="AB314" t="inlineStr"/>
      <c r="AC314" t="inlineStr">
        <is>
          <t>Skipped: the page does not state it</t>
        </is>
      </c>
      <c r="AD314" t="n">
        <v>0</v>
      </c>
      <c r="AE314" t="inlineStr"/>
      <c r="AF314" t="inlineStr"/>
      <c r="AG314" t="inlineStr"/>
      <c r="AH314" t="inlineStr"/>
      <c r="AI314" t="inlineStr"/>
      <c r="AJ314" t="inlineStr"/>
      <c r="AK314" t="inlineStr"/>
      <c r="AL314" t="inlineStr"/>
      <c r="AM314" t="inlineStr"/>
    </row>
    <row r="315">
      <c r="A315" t="inlineStr">
        <is>
          <t>0100931</t>
        </is>
      </c>
      <c r="B315" t="inlineStr">
        <is>
          <t>Master of Combined Studies in Management / Public and Social Policy</t>
        </is>
      </c>
      <c r="C315" t="inlineStr">
        <is>
          <t>Masters Degree (Coursework)</t>
        </is>
      </c>
      <c r="D315" t="inlineStr">
        <is>
          <t>Postgraduate coursework</t>
        </is>
      </c>
      <c r="E315" t="inlineStr">
        <is>
          <t>Page address no longer works</t>
        </is>
      </c>
      <c r="F315" t="inlineStr"/>
      <c r="G315" t="inlineStr">
        <is>
          <t>https://coursehandbook.mq.edu.au/2026/courses/C000188</t>
        </is>
      </c>
      <c r="H315" t="inlineStr">
        <is>
          <t>Address no longer works</t>
        </is>
      </c>
      <c r="I315" t="inlineStr"/>
      <c r="J315" t="inlineStr"/>
      <c r="K315" t="inlineStr">
        <is>
          <t>Not sent to re-link</t>
        </is>
      </c>
      <c r="L315" t="inlineStr">
        <is>
          <t>Page found, being read</t>
        </is>
      </c>
      <c r="M315" t="inlineStr">
        <is>
          <t>Page found, being read</t>
        </is>
      </c>
      <c r="N315" t="inlineStr"/>
      <c r="O315" t="n">
        <v>0</v>
      </c>
      <c r="P315" t="inlineStr"/>
      <c r="Q315" t="inlineStr">
        <is>
          <t>Page found, being read</t>
        </is>
      </c>
      <c r="S315" t="inlineStr"/>
      <c r="T315" t="inlineStr">
        <is>
          <t>Held: double degree (its parts are at different levels)</t>
        </is>
      </c>
      <c r="U315" t="inlineStr"/>
      <c r="V315" t="inlineStr">
        <is>
          <t>Page found, being read</t>
        </is>
      </c>
      <c r="W315" t="inlineStr"/>
      <c r="X315" t="inlineStr"/>
      <c r="Y315" t="n">
        <v>0</v>
      </c>
      <c r="Z315" t="inlineStr">
        <is>
          <t>No</t>
        </is>
      </c>
      <c r="AA315" t="inlineStr">
        <is>
          <t>Not stated on course page</t>
        </is>
      </c>
      <c r="AB315" t="inlineStr"/>
      <c r="AC315" t="inlineStr">
        <is>
          <t>Skipped: no allowed source had a value</t>
        </is>
      </c>
      <c r="AD315" t="n">
        <v>0</v>
      </c>
      <c r="AE315" t="inlineStr"/>
      <c r="AF315" t="inlineStr"/>
      <c r="AG315" t="inlineStr"/>
      <c r="AH315" t="inlineStr"/>
      <c r="AI315" t="inlineStr"/>
      <c r="AJ315" t="inlineStr">
        <is>
          <t>Yes</t>
        </is>
      </c>
      <c r="AK315" t="inlineStr"/>
      <c r="AL315" t="inlineStr"/>
      <c r="AM315" t="inlineStr"/>
    </row>
    <row r="316">
      <c r="A316" t="inlineStr">
        <is>
          <t>099600B</t>
        </is>
      </c>
      <c r="B316" t="inlineStr">
        <is>
          <t>Master of Combined Studies in Marketing / Commerce</t>
        </is>
      </c>
      <c r="C316" t="inlineStr">
        <is>
          <t>Masters Degree (Coursework)</t>
        </is>
      </c>
      <c r="D316" t="inlineStr">
        <is>
          <t>Postgraduate coursework</t>
        </is>
      </c>
      <c r="E316" t="inlineStr">
        <is>
          <t>Advertised: official page in place</t>
        </is>
      </c>
      <c r="F316" t="inlineStr">
        <is>
          <t>https://coursehandbook.mq.edu.au/2026/doubledegree/d000136</t>
        </is>
      </c>
      <c r="G316" t="inlineStr">
        <is>
          <t>https://coursehandbook.mq.edu.au/2026/doubledegree/d000136</t>
        </is>
      </c>
      <c r="H316" t="inlineStr">
        <is>
          <t>Read</t>
        </is>
      </c>
      <c r="I316" t="inlineStr">
        <is>
          <t>University adapter (code)</t>
        </is>
      </c>
      <c r="J316" t="inlineStr"/>
      <c r="K316" t="inlineStr">
        <is>
          <t>Not sent to re-link</t>
        </is>
      </c>
      <c r="L316" t="inlineStr">
        <is>
          <t>Filled</t>
        </is>
      </c>
      <c r="M316" t="inlineStr">
        <is>
          <t>Not stated on course page</t>
        </is>
      </c>
      <c r="N316" t="inlineStr"/>
      <c r="O316" t="n">
        <v>0</v>
      </c>
      <c r="P316" t="inlineStr"/>
      <c r="Q316" t="inlineStr">
        <is>
          <t>Filled</t>
        </is>
      </c>
      <c r="R316" t="n">
        <v>6.5</v>
      </c>
      <c r="S316" t="inlineStr">
        <is>
          <t>University adapter</t>
        </is>
      </c>
      <c r="T316" t="inlineStr">
        <is>
          <t>Held: double degree (its parts are at different levels)</t>
        </is>
      </c>
      <c r="U316" t="inlineStr"/>
      <c r="V316" t="inlineStr">
        <is>
          <t>Not stated on course page</t>
        </is>
      </c>
      <c r="W316" t="inlineStr"/>
      <c r="X316" t="inlineStr"/>
      <c r="Y316" t="n">
        <v>0</v>
      </c>
      <c r="Z316" t="inlineStr">
        <is>
          <t>No</t>
        </is>
      </c>
      <c r="AA316" t="inlineStr">
        <is>
          <t>Not stated on course page</t>
        </is>
      </c>
      <c r="AB316" t="inlineStr"/>
      <c r="AC316" t="inlineStr">
        <is>
          <t>Skipped: the page does not state it</t>
        </is>
      </c>
      <c r="AD316" t="n">
        <v>0</v>
      </c>
      <c r="AE316" t="inlineStr"/>
      <c r="AF316" t="inlineStr"/>
      <c r="AG316" t="inlineStr"/>
      <c r="AH316" t="inlineStr"/>
      <c r="AI316" t="inlineStr"/>
      <c r="AJ316" t="inlineStr"/>
      <c r="AK316" t="inlineStr"/>
      <c r="AL316" t="inlineStr"/>
      <c r="AM316" t="inlineStr"/>
    </row>
    <row r="317">
      <c r="A317" t="inlineStr">
        <is>
          <t>099601A</t>
        </is>
      </c>
      <c r="B317" t="inlineStr">
        <is>
          <t>Master of Combined Studies in Marketing / Creative Industries</t>
        </is>
      </c>
      <c r="C317" t="inlineStr">
        <is>
          <t>Masters Degree (Coursework)</t>
        </is>
      </c>
      <c r="D317" t="inlineStr">
        <is>
          <t>Postgraduate coursework</t>
        </is>
      </c>
      <c r="E317" t="inlineStr">
        <is>
          <t>Advertised: official page in place</t>
        </is>
      </c>
      <c r="F317" t="inlineStr">
        <is>
          <t>https://coursehandbook.mq.edu.au/2026/doubledegree/d000100</t>
        </is>
      </c>
      <c r="G317" t="inlineStr">
        <is>
          <t>https://coursehandbook.mq.edu.au/2026/doubledegree/d000100</t>
        </is>
      </c>
      <c r="H317" t="inlineStr">
        <is>
          <t>Read</t>
        </is>
      </c>
      <c r="I317" t="inlineStr">
        <is>
          <t>University adapter (code)</t>
        </is>
      </c>
      <c r="J317" t="inlineStr"/>
      <c r="K317" t="inlineStr">
        <is>
          <t>Not sent to re-link</t>
        </is>
      </c>
      <c r="L317" t="inlineStr">
        <is>
          <t>Filled</t>
        </is>
      </c>
      <c r="M317" t="inlineStr">
        <is>
          <t>Not stated on course page</t>
        </is>
      </c>
      <c r="N317" t="inlineStr"/>
      <c r="O317" t="n">
        <v>0</v>
      </c>
      <c r="P317" t="inlineStr"/>
      <c r="Q317" t="inlineStr">
        <is>
          <t>Filled</t>
        </is>
      </c>
      <c r="R317" t="n">
        <v>6.5</v>
      </c>
      <c r="S317" t="inlineStr">
        <is>
          <t>University adapter</t>
        </is>
      </c>
      <c r="T317" t="inlineStr">
        <is>
          <t>Held: double degree (its parts are at different levels)</t>
        </is>
      </c>
      <c r="U317" t="inlineStr"/>
      <c r="V317" t="inlineStr">
        <is>
          <t>Not stated on course page</t>
        </is>
      </c>
      <c r="W317" t="inlineStr"/>
      <c r="X317" t="inlineStr"/>
      <c r="Y317" t="n">
        <v>0</v>
      </c>
      <c r="Z317" t="inlineStr">
        <is>
          <t>No</t>
        </is>
      </c>
      <c r="AA317" t="inlineStr">
        <is>
          <t>Not stated on course page</t>
        </is>
      </c>
      <c r="AB317" t="inlineStr"/>
      <c r="AC317" t="inlineStr">
        <is>
          <t>Skipped: the page does not state it</t>
        </is>
      </c>
      <c r="AD317" t="n">
        <v>0</v>
      </c>
      <c r="AE317" t="inlineStr"/>
      <c r="AF317" t="inlineStr"/>
      <c r="AG317" t="inlineStr"/>
      <c r="AH317" t="inlineStr"/>
      <c r="AI317" t="inlineStr"/>
      <c r="AJ317" t="inlineStr"/>
      <c r="AK317" t="inlineStr"/>
      <c r="AL317" t="inlineStr"/>
      <c r="AM317" t="inlineStr"/>
    </row>
    <row r="318">
      <c r="A318" t="inlineStr">
        <is>
          <t>099602M</t>
        </is>
      </c>
      <c r="B318" t="inlineStr">
        <is>
          <t>Master of Combined Studies in Marketing / International Business</t>
        </is>
      </c>
      <c r="C318" t="inlineStr">
        <is>
          <t>Masters Degree (Coursework)</t>
        </is>
      </c>
      <c r="D318" t="inlineStr">
        <is>
          <t>Postgraduate coursework</t>
        </is>
      </c>
      <c r="E318" t="inlineStr">
        <is>
          <t>Advertised: official page in place</t>
        </is>
      </c>
      <c r="F318" t="inlineStr">
        <is>
          <t>https://coursehandbook.mq.edu.au/2026/doubledegree/d000138</t>
        </is>
      </c>
      <c r="G318" t="inlineStr">
        <is>
          <t>https://coursehandbook.mq.edu.au/2026/doubledegree/d000138</t>
        </is>
      </c>
      <c r="H318" t="inlineStr">
        <is>
          <t>Read</t>
        </is>
      </c>
      <c r="I318" t="inlineStr">
        <is>
          <t>University adapter (code)</t>
        </is>
      </c>
      <c r="J318" t="inlineStr"/>
      <c r="K318" t="inlineStr">
        <is>
          <t>Not sent to re-link</t>
        </is>
      </c>
      <c r="L318" t="inlineStr">
        <is>
          <t>Filled</t>
        </is>
      </c>
      <c r="M318" t="inlineStr">
        <is>
          <t>Not stated on course page</t>
        </is>
      </c>
      <c r="N318" t="inlineStr"/>
      <c r="O318" t="n">
        <v>0</v>
      </c>
      <c r="P318" t="inlineStr"/>
      <c r="Q318" t="inlineStr">
        <is>
          <t>Filled</t>
        </is>
      </c>
      <c r="R318" t="n">
        <v>6.5</v>
      </c>
      <c r="S318" t="inlineStr">
        <is>
          <t>University adapter</t>
        </is>
      </c>
      <c r="T318" t="inlineStr">
        <is>
          <t>Held: double degree (its parts are at different levels)</t>
        </is>
      </c>
      <c r="U318" t="inlineStr"/>
      <c r="V318" t="inlineStr">
        <is>
          <t>Not stated on course page</t>
        </is>
      </c>
      <c r="W318" t="inlineStr"/>
      <c r="X318" t="inlineStr"/>
      <c r="Y318" t="n">
        <v>0</v>
      </c>
      <c r="Z318" t="inlineStr">
        <is>
          <t>No</t>
        </is>
      </c>
      <c r="AA318" t="inlineStr">
        <is>
          <t>Not stated on course page</t>
        </is>
      </c>
      <c r="AB318" t="inlineStr"/>
      <c r="AC318" t="inlineStr">
        <is>
          <t>Skipped: the page does not state it</t>
        </is>
      </c>
      <c r="AD318" t="n">
        <v>0</v>
      </c>
      <c r="AE318" t="inlineStr"/>
      <c r="AF318" t="inlineStr"/>
      <c r="AG318" t="inlineStr"/>
      <c r="AH318" t="inlineStr"/>
      <c r="AI318" t="inlineStr"/>
      <c r="AJ318" t="inlineStr"/>
      <c r="AK318" t="inlineStr"/>
      <c r="AL318" t="inlineStr"/>
      <c r="AM318" t="inlineStr"/>
    </row>
    <row r="319">
      <c r="A319" t="inlineStr">
        <is>
          <t>099603K</t>
        </is>
      </c>
      <c r="B319" t="inlineStr">
        <is>
          <t>Master of Combined Studies in Marketing / International Relations</t>
        </is>
      </c>
      <c r="C319" t="inlineStr">
        <is>
          <t>Masters Degree (Coursework)</t>
        </is>
      </c>
      <c r="D319" t="inlineStr">
        <is>
          <t>Postgraduate coursework</t>
        </is>
      </c>
      <c r="E319" t="inlineStr">
        <is>
          <t>Page address no longer works</t>
        </is>
      </c>
      <c r="F319" t="inlineStr"/>
      <c r="G319" t="inlineStr">
        <is>
          <t>https://coursehandbook.mq.edu.au/2026/doubledegree/d000139</t>
        </is>
      </c>
      <c r="H319" t="inlineStr">
        <is>
          <t>Address no longer works</t>
        </is>
      </c>
      <c r="I319" t="inlineStr"/>
      <c r="J319" t="inlineStr"/>
      <c r="K319" t="inlineStr">
        <is>
          <t>Finished, no page: no address from the university's address forms or stored lis</t>
        </is>
      </c>
      <c r="L319" t="inlineStr">
        <is>
          <t>Page found, being read</t>
        </is>
      </c>
      <c r="M319" t="inlineStr">
        <is>
          <t>Page found, being read</t>
        </is>
      </c>
      <c r="N319" t="inlineStr"/>
      <c r="O319" t="n">
        <v>0</v>
      </c>
      <c r="P319" t="inlineStr"/>
      <c r="Q319" t="inlineStr">
        <is>
          <t>Page found, being read</t>
        </is>
      </c>
      <c r="S319" t="inlineStr"/>
      <c r="T319" t="inlineStr">
        <is>
          <t>Held: double degree (its parts are at different levels)</t>
        </is>
      </c>
      <c r="U319" t="inlineStr"/>
      <c r="V319" t="inlineStr">
        <is>
          <t>Page found, being read</t>
        </is>
      </c>
      <c r="W319" t="inlineStr"/>
      <c r="X319" t="inlineStr"/>
      <c r="Y319" t="n">
        <v>0</v>
      </c>
      <c r="Z319" t="inlineStr">
        <is>
          <t>No</t>
        </is>
      </c>
      <c r="AA319" t="inlineStr">
        <is>
          <t>Not stated on course page</t>
        </is>
      </c>
      <c r="AB319" t="inlineStr"/>
      <c r="AC319" t="inlineStr">
        <is>
          <t>Skipped: no allowed source had a value</t>
        </is>
      </c>
      <c r="AD319" t="n">
        <v>0</v>
      </c>
      <c r="AE319" t="inlineStr"/>
      <c r="AF319" t="inlineStr"/>
      <c r="AG319" t="inlineStr"/>
      <c r="AH319" t="inlineStr"/>
      <c r="AI319" t="inlineStr"/>
      <c r="AJ319" t="inlineStr">
        <is>
          <t>Yes</t>
        </is>
      </c>
      <c r="AK319" t="inlineStr"/>
      <c r="AL319" t="inlineStr"/>
      <c r="AM319" t="inlineStr"/>
    </row>
    <row r="320">
      <c r="A320" t="inlineStr">
        <is>
          <t>099604J</t>
        </is>
      </c>
      <c r="B320" t="inlineStr">
        <is>
          <t>Master of Combined Studies in Marketing / Media and Communications</t>
        </is>
      </c>
      <c r="C320" t="inlineStr">
        <is>
          <t>Masters Degree (Coursework)</t>
        </is>
      </c>
      <c r="D320" t="inlineStr">
        <is>
          <t>Postgraduate coursework</t>
        </is>
      </c>
      <c r="E320" t="inlineStr">
        <is>
          <t>Advertised: official page in place</t>
        </is>
      </c>
      <c r="F320" t="inlineStr">
        <is>
          <t>https://coursehandbook.mq.edu.au/2026/doubledegree/d000156</t>
        </is>
      </c>
      <c r="G320" t="inlineStr">
        <is>
          <t>https://coursehandbook.mq.edu.au/2026/doubledegree/d000156</t>
        </is>
      </c>
      <c r="H320" t="inlineStr">
        <is>
          <t>Read</t>
        </is>
      </c>
      <c r="I320" t="inlineStr">
        <is>
          <t>University adapter (code)</t>
        </is>
      </c>
      <c r="J320" t="inlineStr"/>
      <c r="K320" t="inlineStr">
        <is>
          <t>Not sent to re-link</t>
        </is>
      </c>
      <c r="L320" t="inlineStr">
        <is>
          <t>Filled</t>
        </is>
      </c>
      <c r="M320" t="inlineStr">
        <is>
          <t>Not stated on course page</t>
        </is>
      </c>
      <c r="N320" t="inlineStr"/>
      <c r="O320" t="n">
        <v>0</v>
      </c>
      <c r="P320" t="inlineStr"/>
      <c r="Q320" t="inlineStr">
        <is>
          <t>Filled</t>
        </is>
      </c>
      <c r="R320" t="n">
        <v>6.5</v>
      </c>
      <c r="S320" t="inlineStr">
        <is>
          <t>University adapter</t>
        </is>
      </c>
      <c r="T320" t="inlineStr">
        <is>
          <t>Held: double degree (its parts are at different levels)</t>
        </is>
      </c>
      <c r="U320" t="inlineStr"/>
      <c r="V320" t="inlineStr">
        <is>
          <t>Not stated on course page</t>
        </is>
      </c>
      <c r="W320" t="inlineStr"/>
      <c r="X320" t="inlineStr"/>
      <c r="Y320" t="n">
        <v>0</v>
      </c>
      <c r="Z320" t="inlineStr">
        <is>
          <t>No</t>
        </is>
      </c>
      <c r="AA320" t="inlineStr">
        <is>
          <t>Not stated on course page</t>
        </is>
      </c>
      <c r="AB320" t="inlineStr"/>
      <c r="AC320" t="inlineStr">
        <is>
          <t>Skipped: the page does not state it</t>
        </is>
      </c>
      <c r="AD320" t="n">
        <v>0</v>
      </c>
      <c r="AE320" t="inlineStr"/>
      <c r="AF320" t="inlineStr"/>
      <c r="AG320" t="inlineStr"/>
      <c r="AH320" t="inlineStr"/>
      <c r="AI320" t="inlineStr"/>
      <c r="AJ320" t="inlineStr"/>
      <c r="AK320" t="inlineStr"/>
      <c r="AL320" t="inlineStr"/>
      <c r="AM320" t="inlineStr"/>
    </row>
    <row r="321">
      <c r="A321" t="inlineStr">
        <is>
          <t>099606G</t>
        </is>
      </c>
      <c r="B321" t="inlineStr">
        <is>
          <t>Master of Combined Studies in Media and Communications / Creative Industries</t>
        </is>
      </c>
      <c r="C321" t="inlineStr">
        <is>
          <t>Masters Degree (Coursework)</t>
        </is>
      </c>
      <c r="D321" t="inlineStr">
        <is>
          <t>Postgraduate coursework</t>
        </is>
      </c>
      <c r="E321" t="inlineStr">
        <is>
          <t>Advertised: official page in place</t>
        </is>
      </c>
      <c r="F321" t="inlineStr">
        <is>
          <t>https://coursehandbook.mq.edu.au/2026/doubledegree/D000151</t>
        </is>
      </c>
      <c r="G321" t="inlineStr">
        <is>
          <t>https://coursehandbook.mq.edu.au/2026/doubledegree/D000151</t>
        </is>
      </c>
      <c r="H321" t="inlineStr">
        <is>
          <t>Read</t>
        </is>
      </c>
      <c r="I321" t="inlineStr">
        <is>
          <t>University adapter (code)</t>
        </is>
      </c>
      <c r="J321" t="inlineStr"/>
      <c r="K321" t="inlineStr">
        <is>
          <t>Not sent to re-link</t>
        </is>
      </c>
      <c r="L321" t="inlineStr">
        <is>
          <t>Filled</t>
        </is>
      </c>
      <c r="M321" t="inlineStr">
        <is>
          <t>Not stated on course page</t>
        </is>
      </c>
      <c r="N321" t="inlineStr"/>
      <c r="O321" t="n">
        <v>0</v>
      </c>
      <c r="P321" t="inlineStr"/>
      <c r="Q321" t="inlineStr">
        <is>
          <t>Filled</t>
        </is>
      </c>
      <c r="R321" t="n">
        <v>6.5</v>
      </c>
      <c r="S321" t="inlineStr">
        <is>
          <t>University adapter</t>
        </is>
      </c>
      <c r="T321" t="inlineStr">
        <is>
          <t>Held: double degree (its parts are at different levels)</t>
        </is>
      </c>
      <c r="U321" t="inlineStr"/>
      <c r="V321" t="inlineStr">
        <is>
          <t>Not stated on course page</t>
        </is>
      </c>
      <c r="W321" t="inlineStr"/>
      <c r="X321" t="inlineStr"/>
      <c r="Y321" t="n">
        <v>0</v>
      </c>
      <c r="Z321" t="inlineStr">
        <is>
          <t>No</t>
        </is>
      </c>
      <c r="AA321" t="inlineStr">
        <is>
          <t>Not stated on course page</t>
        </is>
      </c>
      <c r="AB321" t="inlineStr"/>
      <c r="AC321" t="inlineStr">
        <is>
          <t>Skipped: the page does not state it</t>
        </is>
      </c>
      <c r="AD321" t="n">
        <v>0</v>
      </c>
      <c r="AE321" t="inlineStr"/>
      <c r="AF321" t="inlineStr"/>
      <c r="AG321" t="inlineStr"/>
      <c r="AH321" t="inlineStr"/>
      <c r="AI321" t="inlineStr"/>
      <c r="AJ321" t="inlineStr"/>
      <c r="AK321" t="inlineStr"/>
      <c r="AL321" t="inlineStr"/>
      <c r="AM321" t="inlineStr"/>
    </row>
    <row r="322">
      <c r="A322" t="inlineStr">
        <is>
          <t>099607F</t>
        </is>
      </c>
      <c r="B322" t="inlineStr">
        <is>
          <t>Master of Combined Studies in Media and Communications / International Relations</t>
        </is>
      </c>
      <c r="C322" t="inlineStr">
        <is>
          <t>Masters Degree (Coursework)</t>
        </is>
      </c>
      <c r="D322" t="inlineStr">
        <is>
          <t>Postgraduate coursework</t>
        </is>
      </c>
      <c r="E322" t="inlineStr">
        <is>
          <t>No-page record (conjoint), awaiting review</t>
        </is>
      </c>
      <c r="F322" t="inlineStr"/>
      <c r="G322" t="inlineStr">
        <is>
          <t>https://www.mq.edu.au/study/find-a-course/courses/master-of-creative-industries-and-master-of-media-and-communications</t>
        </is>
      </c>
      <c r="H322" t="inlineStr">
        <is>
          <t>Page is for another course</t>
        </is>
      </c>
      <c r="I322" t="inlineStr"/>
      <c r="J322" t="inlineStr">
        <is>
          <t>Conjoint (proposed)</t>
        </is>
      </c>
      <c r="K322" t="inlineStr">
        <is>
          <t>Finished, no page: no address from the university's address forms or stored lis</t>
        </is>
      </c>
      <c r="L322" t="inlineStr">
        <is>
          <t>Searching for course page</t>
        </is>
      </c>
      <c r="M322" t="inlineStr">
        <is>
          <t>Searching for course page</t>
        </is>
      </c>
      <c r="N322" t="inlineStr"/>
      <c r="O322" t="n">
        <v>0</v>
      </c>
      <c r="P322" t="inlineStr"/>
      <c r="Q322" t="inlineStr">
        <is>
          <t>Searching for course page</t>
        </is>
      </c>
      <c r="S322" t="inlineStr"/>
      <c r="T322" t="inlineStr">
        <is>
          <t>Held: double degree (its parts are at different levels)</t>
        </is>
      </c>
      <c r="U322" t="inlineStr"/>
      <c r="V322" t="inlineStr">
        <is>
          <t>Searching for course page</t>
        </is>
      </c>
      <c r="W322" t="inlineStr"/>
      <c r="X322" t="inlineStr"/>
      <c r="Y322" t="n">
        <v>0</v>
      </c>
      <c r="Z322" t="inlineStr">
        <is>
          <t>No</t>
        </is>
      </c>
      <c r="AA322" t="inlineStr">
        <is>
          <t>Not stated on course page</t>
        </is>
      </c>
      <c r="AB322" t="inlineStr"/>
      <c r="AC322" t="inlineStr">
        <is>
          <t>Skipped: no correct course page: the page found is for another course</t>
        </is>
      </c>
      <c r="AD322" t="n">
        <v>1</v>
      </c>
      <c r="AE322" t="inlineStr"/>
      <c r="AF322" t="inlineStr"/>
      <c r="AG322" t="inlineStr"/>
      <c r="AH322" t="inlineStr"/>
      <c r="AI322" t="inlineStr"/>
      <c r="AJ322" t="inlineStr">
        <is>
          <t>Yes</t>
        </is>
      </c>
      <c r="AK322" t="inlineStr"/>
      <c r="AL322" t="inlineStr"/>
      <c r="AM322" t="inlineStr">
        <is>
          <t>Yes</t>
        </is>
      </c>
    </row>
    <row r="323">
      <c r="A323" t="inlineStr">
        <is>
          <t>099613G</t>
        </is>
      </c>
      <c r="B323" t="inlineStr">
        <is>
          <t>Master of Combined Studies in Public and Social Policy / Counter Terrorism</t>
        </is>
      </c>
      <c r="C323" t="inlineStr">
        <is>
          <t>Masters Degree (Coursework)</t>
        </is>
      </c>
      <c r="D323" t="inlineStr">
        <is>
          <t>Postgraduate coursework</t>
        </is>
      </c>
      <c r="E323" t="inlineStr">
        <is>
          <t>Page address no longer works</t>
        </is>
      </c>
      <c r="F323" t="inlineStr"/>
      <c r="G323" t="inlineStr">
        <is>
          <t>https://coursehandbook.mq.edu.au/2026/courses/C000206</t>
        </is>
      </c>
      <c r="H323" t="inlineStr">
        <is>
          <t>Address no longer works</t>
        </is>
      </c>
      <c r="I323" t="inlineStr"/>
      <c r="J323" t="inlineStr"/>
      <c r="K323" t="inlineStr">
        <is>
          <t>Not sent to re-link</t>
        </is>
      </c>
      <c r="L323" t="inlineStr">
        <is>
          <t>Page found, being read</t>
        </is>
      </c>
      <c r="M323" t="inlineStr">
        <is>
          <t>Page found, being read</t>
        </is>
      </c>
      <c r="N323" t="inlineStr"/>
      <c r="O323" t="n">
        <v>0</v>
      </c>
      <c r="P323" t="inlineStr"/>
      <c r="Q323" t="inlineStr">
        <is>
          <t>Page found, being read</t>
        </is>
      </c>
      <c r="S323" t="inlineStr"/>
      <c r="T323" t="inlineStr">
        <is>
          <t>Held: double degree (its parts are at different levels)</t>
        </is>
      </c>
      <c r="U323" t="inlineStr"/>
      <c r="V323" t="inlineStr">
        <is>
          <t>Page found, being read</t>
        </is>
      </c>
      <c r="W323" t="inlineStr"/>
      <c r="X323" t="inlineStr"/>
      <c r="Y323" t="n">
        <v>0</v>
      </c>
      <c r="Z323" t="inlineStr">
        <is>
          <t>No</t>
        </is>
      </c>
      <c r="AA323" t="inlineStr">
        <is>
          <t>Not stated on course page</t>
        </is>
      </c>
      <c r="AB323" t="inlineStr"/>
      <c r="AC323" t="inlineStr">
        <is>
          <t>Skipped: no allowed source had a value</t>
        </is>
      </c>
      <c r="AD323" t="n">
        <v>0</v>
      </c>
      <c r="AE323" t="inlineStr"/>
      <c r="AF323" t="inlineStr"/>
      <c r="AG323" t="inlineStr"/>
      <c r="AH323" t="inlineStr"/>
      <c r="AI323" t="inlineStr"/>
      <c r="AJ323" t="inlineStr">
        <is>
          <t>Yes</t>
        </is>
      </c>
      <c r="AK323" t="inlineStr"/>
      <c r="AL323" t="inlineStr"/>
      <c r="AM323" t="inlineStr"/>
    </row>
    <row r="324">
      <c r="A324" t="inlineStr">
        <is>
          <t>099608E</t>
        </is>
      </c>
      <c r="B324" t="inlineStr">
        <is>
          <t>Master of Combined Studies in Public and Social Policy / Criminology</t>
        </is>
      </c>
      <c r="C324" t="inlineStr">
        <is>
          <t>Masters Degree (Coursework)</t>
        </is>
      </c>
      <c r="D324" t="inlineStr">
        <is>
          <t>Postgraduate coursework</t>
        </is>
      </c>
      <c r="E324" t="inlineStr">
        <is>
          <t>Page address no longer works</t>
        </is>
      </c>
      <c r="F324" t="inlineStr"/>
      <c r="G324" t="inlineStr">
        <is>
          <t>https://coursehandbook.mq.edu.au/2026/doubledegree/d000104</t>
        </is>
      </c>
      <c r="H324" t="inlineStr">
        <is>
          <t>Address no longer works</t>
        </is>
      </c>
      <c r="I324" t="inlineStr"/>
      <c r="J324" t="inlineStr"/>
      <c r="K324" t="inlineStr">
        <is>
          <t>Not sent to re-link</t>
        </is>
      </c>
      <c r="L324" t="inlineStr">
        <is>
          <t>Page found, being read</t>
        </is>
      </c>
      <c r="M324" t="inlineStr">
        <is>
          <t>Page found, being read</t>
        </is>
      </c>
      <c r="N324" t="inlineStr"/>
      <c r="O324" t="n">
        <v>0</v>
      </c>
      <c r="P324" t="inlineStr"/>
      <c r="Q324" t="inlineStr">
        <is>
          <t>Page found, being read</t>
        </is>
      </c>
      <c r="S324" t="inlineStr"/>
      <c r="T324" t="inlineStr">
        <is>
          <t>Held: double degree (its parts are at different levels)</t>
        </is>
      </c>
      <c r="U324" t="inlineStr"/>
      <c r="V324" t="inlineStr">
        <is>
          <t>Page found, being read</t>
        </is>
      </c>
      <c r="W324" t="inlineStr"/>
      <c r="X324" t="inlineStr"/>
      <c r="Y324" t="n">
        <v>0</v>
      </c>
      <c r="Z324" t="inlineStr">
        <is>
          <t>No</t>
        </is>
      </c>
      <c r="AA324" t="inlineStr">
        <is>
          <t>Not stated on course page</t>
        </is>
      </c>
      <c r="AB324" t="inlineStr"/>
      <c r="AC324" t="inlineStr">
        <is>
          <t>Skipped: no allowed source had a value</t>
        </is>
      </c>
      <c r="AD324" t="n">
        <v>0</v>
      </c>
      <c r="AE324" t="inlineStr"/>
      <c r="AF324" t="inlineStr"/>
      <c r="AG324" t="inlineStr"/>
      <c r="AH324" t="inlineStr"/>
      <c r="AI324" t="inlineStr"/>
      <c r="AJ324" t="inlineStr">
        <is>
          <t>Yes</t>
        </is>
      </c>
      <c r="AK324" t="inlineStr"/>
      <c r="AL324" t="inlineStr"/>
      <c r="AM324" t="inlineStr"/>
    </row>
    <row r="325">
      <c r="A325" t="inlineStr">
        <is>
          <t>099614G</t>
        </is>
      </c>
      <c r="B325" t="inlineStr">
        <is>
          <t>Master of Combined Studies in Public and Social Policy / Cyber Security Analysis</t>
        </is>
      </c>
      <c r="C325" t="inlineStr">
        <is>
          <t>Masters Degree (Coursework)</t>
        </is>
      </c>
      <c r="D325" t="inlineStr">
        <is>
          <t>Postgraduate coursework</t>
        </is>
      </c>
      <c r="E325" t="inlineStr">
        <is>
          <t>Page address no longer works</t>
        </is>
      </c>
      <c r="F325" t="inlineStr"/>
      <c r="G325" t="inlineStr">
        <is>
          <t>https://coursehandbook.mq.edu.au/2026/courses/c000228</t>
        </is>
      </c>
      <c r="H325" t="inlineStr">
        <is>
          <t>Address no longer works</t>
        </is>
      </c>
      <c r="I325" t="inlineStr"/>
      <c r="J325" t="inlineStr"/>
      <c r="K325" t="inlineStr">
        <is>
          <t>Not sent to re-link</t>
        </is>
      </c>
      <c r="L325" t="inlineStr">
        <is>
          <t>Page found, being read</t>
        </is>
      </c>
      <c r="M325" t="inlineStr">
        <is>
          <t>Page found, being read</t>
        </is>
      </c>
      <c r="N325" t="inlineStr"/>
      <c r="O325" t="n">
        <v>0</v>
      </c>
      <c r="P325" t="inlineStr"/>
      <c r="Q325" t="inlineStr">
        <is>
          <t>Page found, being read</t>
        </is>
      </c>
      <c r="S325" t="inlineStr"/>
      <c r="T325" t="inlineStr">
        <is>
          <t>Held: double degree (its parts are at different levels)</t>
        </is>
      </c>
      <c r="U325" t="inlineStr"/>
      <c r="V325" t="inlineStr">
        <is>
          <t>Page found, being read</t>
        </is>
      </c>
      <c r="W325" t="inlineStr"/>
      <c r="X325" t="inlineStr"/>
      <c r="Y325" t="n">
        <v>0</v>
      </c>
      <c r="Z325" t="inlineStr">
        <is>
          <t>No</t>
        </is>
      </c>
      <c r="AA325" t="inlineStr">
        <is>
          <t>Not stated on course page</t>
        </is>
      </c>
      <c r="AB325" t="inlineStr"/>
      <c r="AC325" t="inlineStr">
        <is>
          <t>Skipped: no allowed source had a value</t>
        </is>
      </c>
      <c r="AD325" t="n">
        <v>0</v>
      </c>
      <c r="AE325" t="inlineStr"/>
      <c r="AF325" t="inlineStr"/>
      <c r="AG325" t="inlineStr"/>
      <c r="AH325" t="inlineStr"/>
      <c r="AI325" t="inlineStr"/>
      <c r="AJ325" t="inlineStr">
        <is>
          <t>Yes</t>
        </is>
      </c>
      <c r="AK325" t="inlineStr"/>
      <c r="AL325" t="inlineStr"/>
      <c r="AM325" t="inlineStr"/>
    </row>
    <row r="326">
      <c r="A326" t="inlineStr">
        <is>
          <t>099616E</t>
        </is>
      </c>
      <c r="B326" t="inlineStr">
        <is>
          <t>Master of Combined Studies in Public and Social Policy / Intelligence</t>
        </is>
      </c>
      <c r="C326" t="inlineStr">
        <is>
          <t>Masters Degree (Coursework)</t>
        </is>
      </c>
      <c r="D326" t="inlineStr">
        <is>
          <t>Postgraduate coursework</t>
        </is>
      </c>
      <c r="E326" t="inlineStr">
        <is>
          <t>Page address no longer works</t>
        </is>
      </c>
      <c r="F326" t="inlineStr"/>
      <c r="G326" t="inlineStr">
        <is>
          <t>https://coursehandbook.mq.edu.au/2026/doubledegree/d000104</t>
        </is>
      </c>
      <c r="H326" t="inlineStr">
        <is>
          <t>Address no longer works</t>
        </is>
      </c>
      <c r="I326" t="inlineStr"/>
      <c r="J326" t="inlineStr"/>
      <c r="K326" t="inlineStr">
        <is>
          <t>Not sent to re-link</t>
        </is>
      </c>
      <c r="L326" t="inlineStr">
        <is>
          <t>Page found, being read</t>
        </is>
      </c>
      <c r="M326" t="inlineStr">
        <is>
          <t>Page found, being read</t>
        </is>
      </c>
      <c r="N326" t="inlineStr"/>
      <c r="O326" t="n">
        <v>0</v>
      </c>
      <c r="P326" t="inlineStr"/>
      <c r="Q326" t="inlineStr">
        <is>
          <t>Page found, being read</t>
        </is>
      </c>
      <c r="S326" t="inlineStr"/>
      <c r="T326" t="inlineStr">
        <is>
          <t>Held: double degree (its parts are at different levels)</t>
        </is>
      </c>
      <c r="U326" t="inlineStr"/>
      <c r="V326" t="inlineStr">
        <is>
          <t>Page found, being read</t>
        </is>
      </c>
      <c r="W326" t="inlineStr"/>
      <c r="X326" t="inlineStr"/>
      <c r="Y326" t="n">
        <v>0</v>
      </c>
      <c r="Z326" t="inlineStr">
        <is>
          <t>No</t>
        </is>
      </c>
      <c r="AA326" t="inlineStr">
        <is>
          <t>Not stated on course page</t>
        </is>
      </c>
      <c r="AB326" t="inlineStr"/>
      <c r="AC326" t="inlineStr">
        <is>
          <t>Skipped: no allowed source had a value</t>
        </is>
      </c>
      <c r="AD326" t="n">
        <v>0</v>
      </c>
      <c r="AE326" t="inlineStr"/>
      <c r="AF326" t="inlineStr"/>
      <c r="AG326" t="inlineStr"/>
      <c r="AH326" t="inlineStr"/>
      <c r="AI326" t="inlineStr"/>
      <c r="AJ326" t="inlineStr">
        <is>
          <t>Yes</t>
        </is>
      </c>
      <c r="AK326" t="inlineStr"/>
      <c r="AL326" t="inlineStr"/>
      <c r="AM326" t="inlineStr"/>
    </row>
    <row r="327">
      <c r="A327" t="inlineStr">
        <is>
          <t>099609D</t>
        </is>
      </c>
      <c r="B327" t="inlineStr">
        <is>
          <t>Master of Combined Studies in Public and Social Policy / International Relations</t>
        </is>
      </c>
      <c r="C327" t="inlineStr">
        <is>
          <t>Masters Degree (Coursework)</t>
        </is>
      </c>
      <c r="D327" t="inlineStr">
        <is>
          <t>Postgraduate coursework</t>
        </is>
      </c>
      <c r="E327" t="inlineStr">
        <is>
          <t>Held: page found is for another course</t>
        </is>
      </c>
      <c r="F327" t="inlineStr"/>
      <c r="G327" t="inlineStr">
        <is>
          <t>https://coursehandbook.mq.edu.au/2026/courses/C000179</t>
        </is>
      </c>
      <c r="H327" t="inlineStr">
        <is>
          <t>Page is for another course</t>
        </is>
      </c>
      <c r="I327" t="inlineStr"/>
      <c r="J327" t="inlineStr"/>
      <c r="K327" t="inlineStr">
        <is>
          <t>Finished, no page: no address from the university's address forms or stored lis</t>
        </is>
      </c>
      <c r="L327" t="inlineStr">
        <is>
          <t>Searching for course page</t>
        </is>
      </c>
      <c r="M327" t="inlineStr">
        <is>
          <t>Searching for course page</t>
        </is>
      </c>
      <c r="N327" t="inlineStr"/>
      <c r="O327" t="n">
        <v>0</v>
      </c>
      <c r="P327" t="inlineStr"/>
      <c r="Q327" t="inlineStr">
        <is>
          <t>Searching for course page</t>
        </is>
      </c>
      <c r="S327" t="inlineStr"/>
      <c r="T327" t="inlineStr">
        <is>
          <t>Held: double degree (its parts are at different levels)</t>
        </is>
      </c>
      <c r="U327" t="inlineStr"/>
      <c r="V327" t="inlineStr">
        <is>
          <t>Searching for course page</t>
        </is>
      </c>
      <c r="W327" t="inlineStr"/>
      <c r="X327" t="inlineStr"/>
      <c r="Y327" t="n">
        <v>0</v>
      </c>
      <c r="Z327" t="inlineStr">
        <is>
          <t>No</t>
        </is>
      </c>
      <c r="AA327" t="inlineStr">
        <is>
          <t>Not stated on course page</t>
        </is>
      </c>
      <c r="AB327" t="inlineStr"/>
      <c r="AC327" t="inlineStr">
        <is>
          <t>Skipped: no correct course page: the page found is for another course</t>
        </is>
      </c>
      <c r="AD327" t="n">
        <v>0</v>
      </c>
      <c r="AE327" t="inlineStr"/>
      <c r="AF327" t="inlineStr"/>
      <c r="AG327" t="inlineStr"/>
      <c r="AH327" t="inlineStr"/>
      <c r="AI327" t="inlineStr"/>
      <c r="AJ327" t="inlineStr">
        <is>
          <t>Yes</t>
        </is>
      </c>
      <c r="AK327" t="inlineStr"/>
      <c r="AL327" t="inlineStr"/>
      <c r="AM327" t="inlineStr"/>
    </row>
    <row r="328">
      <c r="A328" t="inlineStr">
        <is>
          <t>099610M</t>
        </is>
      </c>
      <c r="B328" t="inlineStr">
        <is>
          <t>Master of Combined Studies in Public and Social Policy / International Trade and Commerce Law</t>
        </is>
      </c>
      <c r="C328" t="inlineStr">
        <is>
          <t>Masters Degree (Coursework)</t>
        </is>
      </c>
      <c r="D328" t="inlineStr">
        <is>
          <t>Postgraduate coursework</t>
        </is>
      </c>
      <c r="E328" t="inlineStr">
        <is>
          <t>Page address no longer works</t>
        </is>
      </c>
      <c r="F328" t="inlineStr"/>
      <c r="G328" t="inlineStr">
        <is>
          <t>https://coursehandbook.mq.edu.au/2026/doubledegree/d000120</t>
        </is>
      </c>
      <c r="H328" t="inlineStr">
        <is>
          <t>Address no longer works</t>
        </is>
      </c>
      <c r="I328" t="inlineStr"/>
      <c r="J328" t="inlineStr"/>
      <c r="K328" t="inlineStr">
        <is>
          <t>Not sent to re-link</t>
        </is>
      </c>
      <c r="L328" t="inlineStr">
        <is>
          <t>Page found, being read</t>
        </is>
      </c>
      <c r="M328" t="inlineStr">
        <is>
          <t>Page found, being read</t>
        </is>
      </c>
      <c r="N328" t="inlineStr"/>
      <c r="O328" t="n">
        <v>0</v>
      </c>
      <c r="P328" t="inlineStr"/>
      <c r="Q328" t="inlineStr">
        <is>
          <t>Page found, being read</t>
        </is>
      </c>
      <c r="S328" t="inlineStr"/>
      <c r="T328" t="inlineStr">
        <is>
          <t>Held: double degree (its parts are at different levels)</t>
        </is>
      </c>
      <c r="U328" t="inlineStr"/>
      <c r="V328" t="inlineStr">
        <is>
          <t>Page found, being read</t>
        </is>
      </c>
      <c r="W328" t="inlineStr"/>
      <c r="X328" t="inlineStr"/>
      <c r="Y328" t="n">
        <v>0</v>
      </c>
      <c r="Z328" t="inlineStr">
        <is>
          <t>No</t>
        </is>
      </c>
      <c r="AA328" t="inlineStr">
        <is>
          <t>Not stated on course page</t>
        </is>
      </c>
      <c r="AB328" t="inlineStr"/>
      <c r="AC328" t="inlineStr">
        <is>
          <t>Skipped: no allowed source had a value</t>
        </is>
      </c>
      <c r="AD328" t="n">
        <v>0</v>
      </c>
      <c r="AE328" t="inlineStr"/>
      <c r="AF328" t="inlineStr"/>
      <c r="AG328" t="inlineStr"/>
      <c r="AH328" t="inlineStr"/>
      <c r="AI328" t="inlineStr"/>
      <c r="AJ328" t="inlineStr">
        <is>
          <t>Yes</t>
        </is>
      </c>
      <c r="AK328" t="inlineStr"/>
      <c r="AL328" t="inlineStr"/>
      <c r="AM328" t="inlineStr"/>
    </row>
    <row r="329">
      <c r="A329" t="inlineStr">
        <is>
          <t>099617D</t>
        </is>
      </c>
      <c r="B329" t="inlineStr">
        <is>
          <t>Master of Combined Studies in Public and Social Policy / Security and Strategic Studies</t>
        </is>
      </c>
      <c r="C329" t="inlineStr">
        <is>
          <t>Masters Degree (Coursework)</t>
        </is>
      </c>
      <c r="D329" t="inlineStr">
        <is>
          <t>Postgraduate coursework</t>
        </is>
      </c>
      <c r="E329" t="inlineStr">
        <is>
          <t>Page address no longer works</t>
        </is>
      </c>
      <c r="F329" t="inlineStr"/>
      <c r="G329" t="inlineStr">
        <is>
          <t>https://coursehandbook.mq.edu.au/2026/doubledegree/D000147</t>
        </is>
      </c>
      <c r="H329" t="inlineStr">
        <is>
          <t>Address no longer works</t>
        </is>
      </c>
      <c r="I329" t="inlineStr"/>
      <c r="J329" t="inlineStr"/>
      <c r="K329" t="inlineStr">
        <is>
          <t>Not sent to re-link</t>
        </is>
      </c>
      <c r="L329" t="inlineStr">
        <is>
          <t>Page found, being read</t>
        </is>
      </c>
      <c r="M329" t="inlineStr">
        <is>
          <t>Page found, being read</t>
        </is>
      </c>
      <c r="N329" t="inlineStr"/>
      <c r="O329" t="n">
        <v>0</v>
      </c>
      <c r="P329" t="inlineStr"/>
      <c r="Q329" t="inlineStr">
        <is>
          <t>Page found, being read</t>
        </is>
      </c>
      <c r="S329" t="inlineStr"/>
      <c r="T329" t="inlineStr">
        <is>
          <t>Held: double degree (its parts are at different levels)</t>
        </is>
      </c>
      <c r="U329" t="inlineStr"/>
      <c r="V329" t="inlineStr">
        <is>
          <t>Page found, being read</t>
        </is>
      </c>
      <c r="W329" t="inlineStr"/>
      <c r="X329" t="inlineStr"/>
      <c r="Y329" t="n">
        <v>0</v>
      </c>
      <c r="Z329" t="inlineStr">
        <is>
          <t>No</t>
        </is>
      </c>
      <c r="AA329" t="inlineStr">
        <is>
          <t>Not stated on course page</t>
        </is>
      </c>
      <c r="AB329" t="inlineStr"/>
      <c r="AC329" t="inlineStr">
        <is>
          <t>Skipped: no allowed source had a value</t>
        </is>
      </c>
      <c r="AD329" t="n">
        <v>0</v>
      </c>
      <c r="AE329" t="inlineStr"/>
      <c r="AF329" t="inlineStr"/>
      <c r="AG329" t="inlineStr"/>
      <c r="AH329" t="inlineStr"/>
      <c r="AI329" t="inlineStr"/>
      <c r="AJ329" t="inlineStr">
        <is>
          <t>Yes</t>
        </is>
      </c>
      <c r="AK329" t="inlineStr"/>
      <c r="AL329" t="inlineStr"/>
      <c r="AM329" t="inlineStr"/>
    </row>
    <row r="330">
      <c r="A330" t="inlineStr">
        <is>
          <t>099581M</t>
        </is>
      </c>
      <c r="B330" t="inlineStr">
        <is>
          <t>Master of Combined Studies in Translation and Interpreting Studies / Applied Linguistics and TESOL</t>
        </is>
      </c>
      <c r="C330" t="inlineStr">
        <is>
          <t>Masters Degree (Coursework)</t>
        </is>
      </c>
      <c r="D330" t="inlineStr">
        <is>
          <t>Postgraduate coursework</t>
        </is>
      </c>
      <c r="E330" t="inlineStr">
        <is>
          <t>Page address no longer works</t>
        </is>
      </c>
      <c r="F330" t="inlineStr"/>
      <c r="G330" t="inlineStr">
        <is>
          <t>https://coursehandbook.mq.edu.au/2026/doubledegree/d000103</t>
        </is>
      </c>
      <c r="H330" t="inlineStr">
        <is>
          <t>Address no longer works</t>
        </is>
      </c>
      <c r="I330" t="inlineStr"/>
      <c r="J330" t="inlineStr"/>
      <c r="K330" t="inlineStr">
        <is>
          <t>Not sent to re-link</t>
        </is>
      </c>
      <c r="L330" t="inlineStr">
        <is>
          <t>Page found, being read</t>
        </is>
      </c>
      <c r="M330" t="inlineStr">
        <is>
          <t>Page found, being read</t>
        </is>
      </c>
      <c r="N330" t="inlineStr"/>
      <c r="O330" t="n">
        <v>0</v>
      </c>
      <c r="P330" t="inlineStr"/>
      <c r="Q330" t="inlineStr">
        <is>
          <t>Page found, being read</t>
        </is>
      </c>
      <c r="S330" t="inlineStr"/>
      <c r="T330" t="inlineStr">
        <is>
          <t>Held: double degree (its parts are at different levels)</t>
        </is>
      </c>
      <c r="U330" t="inlineStr"/>
      <c r="V330" t="inlineStr">
        <is>
          <t>Page found, being read</t>
        </is>
      </c>
      <c r="W330" t="inlineStr"/>
      <c r="X330" t="inlineStr"/>
      <c r="Y330" t="n">
        <v>0</v>
      </c>
      <c r="Z330" t="inlineStr">
        <is>
          <t>No</t>
        </is>
      </c>
      <c r="AA330" t="inlineStr">
        <is>
          <t>Not stated on course page</t>
        </is>
      </c>
      <c r="AB330" t="inlineStr"/>
      <c r="AC330" t="inlineStr">
        <is>
          <t>Skipped: no allowed source had a value</t>
        </is>
      </c>
      <c r="AD330" t="n">
        <v>0</v>
      </c>
      <c r="AE330" t="inlineStr"/>
      <c r="AF330" t="inlineStr"/>
      <c r="AG330" t="inlineStr"/>
      <c r="AH330" t="inlineStr"/>
      <c r="AI330" t="inlineStr"/>
      <c r="AJ330" t="inlineStr">
        <is>
          <t>Yes</t>
        </is>
      </c>
      <c r="AK330" t="inlineStr"/>
      <c r="AL330" t="inlineStr"/>
      <c r="AM330" t="inlineStr"/>
    </row>
    <row r="331">
      <c r="A331" t="inlineStr">
        <is>
          <t>099582K</t>
        </is>
      </c>
      <c r="B331" t="inlineStr">
        <is>
          <t>Master of Combined Studies in Translation and Interpreting Studies / International Relations</t>
        </is>
      </c>
      <c r="C331" t="inlineStr">
        <is>
          <t>Masters Degree (Coursework)</t>
        </is>
      </c>
      <c r="D331" t="inlineStr">
        <is>
          <t>Postgraduate coursework</t>
        </is>
      </c>
      <c r="E331" t="inlineStr">
        <is>
          <t>Held: page found is for another course</t>
        </is>
      </c>
      <c r="F331" t="inlineStr"/>
      <c r="G331" t="inlineStr">
        <is>
          <t>https://coursehandbook.mq.edu.au/2026/courses/C000193</t>
        </is>
      </c>
      <c r="H331" t="inlineStr">
        <is>
          <t>Page is for another course</t>
        </is>
      </c>
      <c r="I331" t="inlineStr"/>
      <c r="J331" t="inlineStr"/>
      <c r="K331" t="inlineStr">
        <is>
          <t>Finished, no page: no address from the university's address forms or stored lis</t>
        </is>
      </c>
      <c r="L331" t="inlineStr">
        <is>
          <t>Searching for course page</t>
        </is>
      </c>
      <c r="M331" t="inlineStr">
        <is>
          <t>Searching for course page</t>
        </is>
      </c>
      <c r="N331" t="inlineStr"/>
      <c r="O331" t="n">
        <v>0</v>
      </c>
      <c r="P331" t="inlineStr"/>
      <c r="Q331" t="inlineStr">
        <is>
          <t>Searching for course page</t>
        </is>
      </c>
      <c r="S331" t="inlineStr"/>
      <c r="T331" t="inlineStr">
        <is>
          <t>Held: double degree (its parts are at different levels)</t>
        </is>
      </c>
      <c r="U331" t="inlineStr"/>
      <c r="V331" t="inlineStr">
        <is>
          <t>Searching for course page</t>
        </is>
      </c>
      <c r="W331" t="inlineStr"/>
      <c r="X331" t="inlineStr"/>
      <c r="Y331" t="n">
        <v>0</v>
      </c>
      <c r="Z331" t="inlineStr">
        <is>
          <t>No</t>
        </is>
      </c>
      <c r="AA331" t="inlineStr">
        <is>
          <t>Not stated on course page</t>
        </is>
      </c>
      <c r="AB331" t="inlineStr"/>
      <c r="AC331" t="inlineStr">
        <is>
          <t>Skipped: no correct course page: the page found is for another course</t>
        </is>
      </c>
      <c r="AD331" t="n">
        <v>1</v>
      </c>
      <c r="AE331" t="inlineStr"/>
      <c r="AF331" t="inlineStr"/>
      <c r="AG331" t="inlineStr"/>
      <c r="AH331" t="inlineStr"/>
      <c r="AI331" t="inlineStr"/>
      <c r="AJ331" t="inlineStr">
        <is>
          <t>Yes</t>
        </is>
      </c>
      <c r="AK331" t="inlineStr"/>
      <c r="AL331" t="inlineStr"/>
      <c r="AM331" t="inlineStr"/>
    </row>
    <row r="332">
      <c r="A332" t="inlineStr">
        <is>
          <t>083782M</t>
        </is>
      </c>
      <c r="B332" t="inlineStr">
        <is>
          <t>Master of Commerce</t>
        </is>
      </c>
      <c r="C332" t="inlineStr">
        <is>
          <t>Masters Degree (Coursework)</t>
        </is>
      </c>
      <c r="D332" t="inlineStr">
        <is>
          <t>Postgraduate coursework</t>
        </is>
      </c>
      <c r="E332" t="inlineStr">
        <is>
          <t>Advertised: official page in place</t>
        </is>
      </c>
      <c r="F332" t="inlineStr">
        <is>
          <t>https://coursehandbook.mq.edu.au/2026/courses/C000121</t>
        </is>
      </c>
      <c r="G332" t="inlineStr">
        <is>
          <t>https://coursehandbook.mq.edu.au/2026/courses/C000121</t>
        </is>
      </c>
      <c r="H332" t="inlineStr">
        <is>
          <t>Read</t>
        </is>
      </c>
      <c r="I332" t="inlineStr">
        <is>
          <t>Exact title match</t>
        </is>
      </c>
      <c r="J332" t="inlineStr"/>
      <c r="K332" t="inlineStr">
        <is>
          <t>Not sent to re-link</t>
        </is>
      </c>
      <c r="L332" t="inlineStr">
        <is>
          <t>Filled</t>
        </is>
      </c>
      <c r="M332" t="inlineStr">
        <is>
          <t>Not stated on course page</t>
        </is>
      </c>
      <c r="N332" t="inlineStr"/>
      <c r="O332" t="n">
        <v>0</v>
      </c>
      <c r="P332" t="inlineStr"/>
      <c r="Q332" t="inlineStr">
        <is>
          <t>Filled</t>
        </is>
      </c>
      <c r="R332" t="n">
        <v>6.5</v>
      </c>
      <c r="S332" t="inlineStr">
        <is>
          <t>University adapter</t>
        </is>
      </c>
      <c r="T332" t="inlineStr">
        <is>
          <t>Central rule applies (value agrees)</t>
        </is>
      </c>
      <c r="U332" t="inlineStr"/>
      <c r="V332" t="inlineStr">
        <is>
          <t>Not stated on course page</t>
        </is>
      </c>
      <c r="W332" t="inlineStr"/>
      <c r="X332" t="inlineStr"/>
      <c r="Y332" t="n">
        <v>0</v>
      </c>
      <c r="Z332" t="inlineStr">
        <is>
          <t>No</t>
        </is>
      </c>
      <c r="AA332" t="inlineStr">
        <is>
          <t>Not stated on course page</t>
        </is>
      </c>
      <c r="AB332" t="inlineStr"/>
      <c r="AC332" t="inlineStr">
        <is>
          <t>Skipped: the page does not state it</t>
        </is>
      </c>
      <c r="AD332" t="n">
        <v>0</v>
      </c>
      <c r="AE332" t="inlineStr"/>
      <c r="AF332" t="inlineStr"/>
      <c r="AG332" t="inlineStr"/>
      <c r="AH332" t="inlineStr"/>
      <c r="AI332" t="inlineStr"/>
      <c r="AJ332" t="inlineStr"/>
      <c r="AK332" t="inlineStr"/>
      <c r="AL332" t="inlineStr"/>
      <c r="AM332" t="inlineStr"/>
    </row>
    <row r="333">
      <c r="A333" t="inlineStr">
        <is>
          <t>097386G</t>
        </is>
      </c>
      <c r="B333" t="inlineStr">
        <is>
          <t>Master of Conference Interpreting</t>
        </is>
      </c>
      <c r="C333" t="inlineStr">
        <is>
          <t>Masters Degree (Coursework)</t>
        </is>
      </c>
      <c r="D333" t="inlineStr">
        <is>
          <t>Postgraduate coursework</t>
        </is>
      </c>
      <c r="E333" t="inlineStr">
        <is>
          <t>Advertised: official page in place</t>
        </is>
      </c>
      <c r="F333" t="inlineStr">
        <is>
          <t>https://coursehandbook.mq.edu.au/2026/courses/C000167</t>
        </is>
      </c>
      <c r="G333" t="inlineStr">
        <is>
          <t>https://coursehandbook.mq.edu.au/2026/courses/C000167</t>
        </is>
      </c>
      <c r="H333" t="inlineStr">
        <is>
          <t>Read</t>
        </is>
      </c>
      <c r="I333" t="inlineStr">
        <is>
          <t>Exact title match</t>
        </is>
      </c>
      <c r="J333" t="inlineStr"/>
      <c r="K333" t="inlineStr">
        <is>
          <t>Not sent to re-link</t>
        </is>
      </c>
      <c r="L333" t="inlineStr">
        <is>
          <t>Filled</t>
        </is>
      </c>
      <c r="M333" t="inlineStr">
        <is>
          <t>Not stated on course page</t>
        </is>
      </c>
      <c r="N333" t="inlineStr"/>
      <c r="O333" t="n">
        <v>0</v>
      </c>
      <c r="P333" t="inlineStr"/>
      <c r="Q333" t="inlineStr">
        <is>
          <t>Filled</t>
        </is>
      </c>
      <c r="R333" t="n">
        <v>6.5</v>
      </c>
      <c r="S333" t="inlineStr">
        <is>
          <t>University adapter</t>
        </is>
      </c>
      <c r="T333" t="inlineStr">
        <is>
          <t>Central rule applies (value agrees)</t>
        </is>
      </c>
      <c r="U333" t="inlineStr"/>
      <c r="V333" t="inlineStr">
        <is>
          <t>Not stated on course page</t>
        </is>
      </c>
      <c r="W333" t="inlineStr"/>
      <c r="X333" t="inlineStr"/>
      <c r="Y333" t="n">
        <v>0</v>
      </c>
      <c r="Z333" t="inlineStr">
        <is>
          <t>No</t>
        </is>
      </c>
      <c r="AA333" t="inlineStr">
        <is>
          <t>Not stated on course page</t>
        </is>
      </c>
      <c r="AB333" t="inlineStr"/>
      <c r="AC333" t="inlineStr">
        <is>
          <t>Skipped: the page does not state it</t>
        </is>
      </c>
      <c r="AD333" t="n">
        <v>0</v>
      </c>
      <c r="AE333" t="inlineStr"/>
      <c r="AF333" t="inlineStr"/>
      <c r="AG333" t="inlineStr"/>
      <c r="AH333" t="inlineStr"/>
      <c r="AI333" t="inlineStr"/>
      <c r="AJ333" t="inlineStr"/>
      <c r="AK333" t="inlineStr"/>
      <c r="AL333" t="inlineStr"/>
      <c r="AM333" t="inlineStr"/>
    </row>
    <row r="334">
      <c r="A334" t="inlineStr">
        <is>
          <t>086079K</t>
        </is>
      </c>
      <c r="B334" t="inlineStr">
        <is>
          <t>Master of Conservation Biology</t>
        </is>
      </c>
      <c r="C334" t="inlineStr">
        <is>
          <t>Masters Degree (Coursework)</t>
        </is>
      </c>
      <c r="D334" t="inlineStr">
        <is>
          <t>Postgraduate coursework</t>
        </is>
      </c>
      <c r="E334" t="inlineStr">
        <is>
          <t>Advertised: official page in place</t>
        </is>
      </c>
      <c r="F334" t="inlineStr">
        <is>
          <t>https://coursehandbook.mq.edu.au/2026/courses/C000063</t>
        </is>
      </c>
      <c r="G334" t="inlineStr">
        <is>
          <t>https://coursehandbook.mq.edu.au/2026/courses/C000063</t>
        </is>
      </c>
      <c r="H334" t="inlineStr">
        <is>
          <t>Read</t>
        </is>
      </c>
      <c r="I334" t="inlineStr">
        <is>
          <t>Exact title match</t>
        </is>
      </c>
      <c r="J334" t="inlineStr"/>
      <c r="K334" t="inlineStr">
        <is>
          <t>Not sent to re-link</t>
        </is>
      </c>
      <c r="L334" t="inlineStr">
        <is>
          <t>Filled</t>
        </is>
      </c>
      <c r="M334" t="inlineStr">
        <is>
          <t>Not stated on course page</t>
        </is>
      </c>
      <c r="N334" t="inlineStr"/>
      <c r="O334" t="n">
        <v>0</v>
      </c>
      <c r="P334" t="inlineStr"/>
      <c r="Q334" t="inlineStr">
        <is>
          <t>Filled</t>
        </is>
      </c>
      <c r="R334" t="n">
        <v>6.5</v>
      </c>
      <c r="S334" t="inlineStr">
        <is>
          <t>University adapter</t>
        </is>
      </c>
      <c r="T334" t="inlineStr">
        <is>
          <t>Central rule applies (value agrees)</t>
        </is>
      </c>
      <c r="U334" t="inlineStr"/>
      <c r="V334" t="inlineStr">
        <is>
          <t>Not stated on course page</t>
        </is>
      </c>
      <c r="W334" t="inlineStr"/>
      <c r="X334" t="inlineStr"/>
      <c r="Y334" t="n">
        <v>0</v>
      </c>
      <c r="Z334" t="inlineStr">
        <is>
          <t>No</t>
        </is>
      </c>
      <c r="AA334" t="inlineStr">
        <is>
          <t>Not stated on course page</t>
        </is>
      </c>
      <c r="AB334" t="inlineStr"/>
      <c r="AC334" t="inlineStr">
        <is>
          <t>Skipped: the page does not state it</t>
        </is>
      </c>
      <c r="AD334" t="n">
        <v>0</v>
      </c>
      <c r="AE334" t="inlineStr"/>
      <c r="AF334" t="inlineStr"/>
      <c r="AG334" t="inlineStr"/>
      <c r="AH334" t="inlineStr"/>
      <c r="AI334" t="inlineStr"/>
      <c r="AJ334" t="inlineStr"/>
      <c r="AK334" t="inlineStr"/>
      <c r="AL334" t="inlineStr"/>
      <c r="AM334" t="inlineStr"/>
    </row>
    <row r="335">
      <c r="A335" t="inlineStr">
        <is>
          <t>095113E</t>
        </is>
      </c>
      <c r="B335" t="inlineStr">
        <is>
          <t>Master of Counter Terrorism</t>
        </is>
      </c>
      <c r="C335" t="inlineStr">
        <is>
          <t>Masters Degree (Coursework)</t>
        </is>
      </c>
      <c r="D335" t="inlineStr">
        <is>
          <t>Postgraduate coursework</t>
        </is>
      </c>
      <c r="E335" t="inlineStr">
        <is>
          <t>Page address no longer works</t>
        </is>
      </c>
      <c r="F335" t="inlineStr"/>
      <c r="G335" t="inlineStr">
        <is>
          <t>https://coursehandbook.mq.edu.au/2026/doubledegree/D000099</t>
        </is>
      </c>
      <c r="H335" t="inlineStr">
        <is>
          <t>Address no longer works</t>
        </is>
      </c>
      <c r="I335" t="inlineStr"/>
      <c r="J335" t="inlineStr"/>
      <c r="K335" t="inlineStr">
        <is>
          <t>Not sent to re-link</t>
        </is>
      </c>
      <c r="L335" t="inlineStr">
        <is>
          <t>Page found, being read</t>
        </is>
      </c>
      <c r="M335" t="inlineStr">
        <is>
          <t>Page found, being read</t>
        </is>
      </c>
      <c r="N335" t="inlineStr"/>
      <c r="O335" t="n">
        <v>0</v>
      </c>
      <c r="P335" t="inlineStr"/>
      <c r="Q335" t="inlineStr">
        <is>
          <t>Filled</t>
        </is>
      </c>
      <c r="R335" t="n">
        <v>6.5</v>
      </c>
      <c r="S335" t="inlineStr">
        <is>
          <t>Central English policy</t>
        </is>
      </c>
      <c r="T335" t="inlineStr">
        <is>
          <t>Central rule applies (value agrees)</t>
        </is>
      </c>
      <c r="U335" t="inlineStr"/>
      <c r="V335" t="inlineStr">
        <is>
          <t>Page found, being read</t>
        </is>
      </c>
      <c r="W335" t="inlineStr"/>
      <c r="X335" t="inlineStr"/>
      <c r="Y335" t="n">
        <v>0</v>
      </c>
      <c r="Z335" t="inlineStr">
        <is>
          <t>No</t>
        </is>
      </c>
      <c r="AA335" t="inlineStr">
        <is>
          <t>Not stated on course page</t>
        </is>
      </c>
      <c r="AB335" t="inlineStr"/>
      <c r="AC335" t="inlineStr">
        <is>
          <t>Skipped: no allowed source had a value</t>
        </is>
      </c>
      <c r="AD335" t="n">
        <v>0</v>
      </c>
      <c r="AE335" t="inlineStr"/>
      <c r="AF335" t="inlineStr"/>
      <c r="AG335" t="inlineStr"/>
      <c r="AH335" t="inlineStr"/>
      <c r="AI335" t="inlineStr"/>
      <c r="AJ335" t="inlineStr"/>
      <c r="AK335" t="inlineStr"/>
      <c r="AL335" t="inlineStr"/>
      <c r="AM335" t="inlineStr"/>
    </row>
    <row r="336">
      <c r="A336" t="inlineStr">
        <is>
          <t>099159C</t>
        </is>
      </c>
      <c r="B336" t="inlineStr">
        <is>
          <t>Master of Creative Industries</t>
        </is>
      </c>
      <c r="C336" t="inlineStr">
        <is>
          <t>Masters Degree (Coursework)</t>
        </is>
      </c>
      <c r="D336" t="inlineStr">
        <is>
          <t>Postgraduate coursework</t>
        </is>
      </c>
      <c r="E336" t="inlineStr">
        <is>
          <t>Advertised: official page in place</t>
        </is>
      </c>
      <c r="F336" t="inlineStr">
        <is>
          <t>https://coursehandbook.mq.edu.au/2026/courses/C000171</t>
        </is>
      </c>
      <c r="G336" t="inlineStr">
        <is>
          <t>https://coursehandbook.mq.edu.au/2026/courses/C000171</t>
        </is>
      </c>
      <c r="H336" t="inlineStr">
        <is>
          <t>Read</t>
        </is>
      </c>
      <c r="I336" t="inlineStr">
        <is>
          <t>Exact title match</t>
        </is>
      </c>
      <c r="J336" t="inlineStr"/>
      <c r="K336" t="inlineStr">
        <is>
          <t>Not sent to re-link</t>
        </is>
      </c>
      <c r="L336" t="inlineStr">
        <is>
          <t>Filled</t>
        </is>
      </c>
      <c r="M336" t="inlineStr">
        <is>
          <t>Not stated on course page</t>
        </is>
      </c>
      <c r="N336" t="inlineStr"/>
      <c r="O336" t="n">
        <v>0</v>
      </c>
      <c r="P336" t="inlineStr"/>
      <c r="Q336" t="inlineStr">
        <is>
          <t>Filled</t>
        </is>
      </c>
      <c r="R336" t="n">
        <v>6.5</v>
      </c>
      <c r="S336" t="inlineStr">
        <is>
          <t>University adapter</t>
        </is>
      </c>
      <c r="T336" t="inlineStr">
        <is>
          <t>Central rule applies (value agrees)</t>
        </is>
      </c>
      <c r="U336" t="inlineStr"/>
      <c r="V336" t="inlineStr">
        <is>
          <t>Not stated on course page</t>
        </is>
      </c>
      <c r="W336" t="inlineStr"/>
      <c r="X336" t="inlineStr"/>
      <c r="Y336" t="n">
        <v>0</v>
      </c>
      <c r="Z336" t="inlineStr">
        <is>
          <t>No</t>
        </is>
      </c>
      <c r="AA336" t="inlineStr">
        <is>
          <t>Not stated on course page</t>
        </is>
      </c>
      <c r="AB336" t="inlineStr"/>
      <c r="AC336" t="inlineStr">
        <is>
          <t>Skipped: the page does not state it</t>
        </is>
      </c>
      <c r="AD336" t="n">
        <v>0</v>
      </c>
      <c r="AE336" t="inlineStr"/>
      <c r="AF336" t="inlineStr"/>
      <c r="AG336" t="inlineStr"/>
      <c r="AH336" t="inlineStr"/>
      <c r="AI336" t="inlineStr"/>
      <c r="AJ336" t="inlineStr"/>
      <c r="AK336" t="inlineStr"/>
      <c r="AL336" t="inlineStr"/>
      <c r="AM336" t="inlineStr"/>
    </row>
    <row r="337">
      <c r="A337" t="inlineStr">
        <is>
          <t>092010C</t>
        </is>
      </c>
      <c r="B337" t="inlineStr">
        <is>
          <t>Master of Creative Industries with the degree of Master of Future Journalism</t>
        </is>
      </c>
      <c r="C337" t="inlineStr">
        <is>
          <t>Masters Degree (Coursework)</t>
        </is>
      </c>
      <c r="D337" t="inlineStr">
        <is>
          <t>Postgraduate coursework</t>
        </is>
      </c>
      <c r="E337" t="inlineStr">
        <is>
          <t>Advertised: official page in place</t>
        </is>
      </c>
      <c r="F337" t="inlineStr">
        <is>
          <t>https://handbook.mq.edu.au/2017/DegreesDiplomas/PGDegree/Master+of+Creative+Industries+with+the+degree+of+Master+of+Future+Journalism</t>
        </is>
      </c>
      <c r="G337" t="inlineStr">
        <is>
          <t>https://handbook.mq.edu.au/2017/DegreesDiplomas/PGDegree/Master+of+Creative+Industries+with+the+degree+of+Master+of+Future+Journalism</t>
        </is>
      </c>
      <c r="H337" t="inlineStr">
        <is>
          <t>Read</t>
        </is>
      </c>
      <c r="I337" t="inlineStr">
        <is>
          <t>CRICOS code on page</t>
        </is>
      </c>
      <c r="J337" t="inlineStr"/>
      <c r="K337" t="inlineStr">
        <is>
          <t>Not sent to re-link</t>
        </is>
      </c>
      <c r="L337" t="inlineStr">
        <is>
          <t>Filled</t>
        </is>
      </c>
      <c r="M337" t="inlineStr">
        <is>
          <t>Not stated on course page</t>
        </is>
      </c>
      <c r="N337" t="inlineStr"/>
      <c r="O337" t="n">
        <v>0</v>
      </c>
      <c r="P337" t="inlineStr"/>
      <c r="Q337" t="inlineStr">
        <is>
          <t>Filled</t>
        </is>
      </c>
      <c r="R337" t="n">
        <v>6.5</v>
      </c>
      <c r="S337" t="inlineStr">
        <is>
          <t>Other</t>
        </is>
      </c>
      <c r="T337" t="inlineStr">
        <is>
          <t>Central rule applies (value agrees)</t>
        </is>
      </c>
      <c r="U337" t="inlineStr"/>
      <c r="V337" t="inlineStr">
        <is>
          <t>Filled</t>
        </is>
      </c>
      <c r="W337" t="inlineStr">
        <is>
          <t>February, July</t>
        </is>
      </c>
      <c r="X337" t="inlineStr">
        <is>
          <t>Other</t>
        </is>
      </c>
      <c r="Y337" t="n">
        <v>0</v>
      </c>
      <c r="Z337" t="inlineStr">
        <is>
          <t>No</t>
        </is>
      </c>
      <c r="AA337" t="inlineStr">
        <is>
          <t>Filled</t>
        </is>
      </c>
      <c r="AB337" t="inlineStr">
        <is>
          <t>on campus</t>
        </is>
      </c>
      <c r="AC337" t="inlineStr">
        <is>
          <t>Filled</t>
        </is>
      </c>
      <c r="AD337" t="n">
        <v>0</v>
      </c>
      <c r="AE337" t="inlineStr"/>
      <c r="AF337" t="inlineStr"/>
      <c r="AG337" t="inlineStr"/>
      <c r="AH337" t="inlineStr"/>
      <c r="AI337" t="inlineStr"/>
      <c r="AJ337" t="inlineStr"/>
      <c r="AK337" t="inlineStr"/>
      <c r="AL337" t="inlineStr"/>
      <c r="AM337" t="inlineStr"/>
    </row>
    <row r="338">
      <c r="A338" t="inlineStr">
        <is>
          <t>099160K</t>
        </is>
      </c>
      <c r="B338" t="inlineStr">
        <is>
          <t>Master of Creative Writing</t>
        </is>
      </c>
      <c r="C338" t="inlineStr">
        <is>
          <t>Masters Degree (Coursework)</t>
        </is>
      </c>
      <c r="D338" t="inlineStr">
        <is>
          <t>Postgraduate coursework</t>
        </is>
      </c>
      <c r="E338" t="inlineStr">
        <is>
          <t>Advertised: official page in place</t>
        </is>
      </c>
      <c r="F338" t="inlineStr">
        <is>
          <t>https://coursehandbook.mq.edu.au/2026/courses/c000320</t>
        </is>
      </c>
      <c r="G338" t="inlineStr">
        <is>
          <t>https://coursehandbook.mq.edu.au/2026/courses/c000320</t>
        </is>
      </c>
      <c r="H338" t="inlineStr">
        <is>
          <t>Read</t>
        </is>
      </c>
      <c r="I338" t="inlineStr">
        <is>
          <t>Exact title match</t>
        </is>
      </c>
      <c r="J338" t="inlineStr"/>
      <c r="K338" t="inlineStr">
        <is>
          <t>Not sent to re-link</t>
        </is>
      </c>
      <c r="L338" t="inlineStr">
        <is>
          <t>Filled</t>
        </is>
      </c>
      <c r="M338" t="inlineStr">
        <is>
          <t>Not stated on course page</t>
        </is>
      </c>
      <c r="N338" t="inlineStr"/>
      <c r="O338" t="n">
        <v>0</v>
      </c>
      <c r="P338" t="inlineStr"/>
      <c r="Q338" t="inlineStr">
        <is>
          <t>Filled</t>
        </is>
      </c>
      <c r="R338" t="n">
        <v>7</v>
      </c>
      <c r="S338" t="inlineStr">
        <is>
          <t>University adapter</t>
        </is>
      </c>
      <c r="T338" t="inlineStr">
        <is>
          <t>Central rule applies (course value differs)</t>
        </is>
      </c>
      <c r="U338" t="inlineStr">
        <is>
          <t>Yes: course has IELTS 7.00, central rule says 6.5</t>
        </is>
      </c>
      <c r="V338" t="inlineStr">
        <is>
          <t>Not stated on course page</t>
        </is>
      </c>
      <c r="W338" t="inlineStr"/>
      <c r="X338" t="inlineStr"/>
      <c r="Y338" t="n">
        <v>0</v>
      </c>
      <c r="Z338" t="inlineStr">
        <is>
          <t>No</t>
        </is>
      </c>
      <c r="AA338" t="inlineStr">
        <is>
          <t>Not stated on course page</t>
        </is>
      </c>
      <c r="AB338" t="inlineStr"/>
      <c r="AC338" t="inlineStr">
        <is>
          <t>Skipped: the page does not state it</t>
        </is>
      </c>
      <c r="AD338" t="n">
        <v>0</v>
      </c>
      <c r="AE338" t="inlineStr"/>
      <c r="AF338" t="inlineStr"/>
      <c r="AG338" t="inlineStr"/>
      <c r="AH338" t="inlineStr"/>
      <c r="AI338" t="inlineStr"/>
      <c r="AJ338" t="inlineStr"/>
      <c r="AK338" t="inlineStr"/>
      <c r="AL338" t="inlineStr"/>
      <c r="AM338" t="inlineStr"/>
    </row>
    <row r="339">
      <c r="A339" t="inlineStr">
        <is>
          <t>084546D</t>
        </is>
      </c>
      <c r="B339" t="inlineStr">
        <is>
          <t>Master of Creative Writing</t>
        </is>
      </c>
      <c r="C339" t="inlineStr">
        <is>
          <t>Masters Degree (Coursework)</t>
        </is>
      </c>
      <c r="D339" t="inlineStr">
        <is>
          <t>Postgraduate coursework</t>
        </is>
      </c>
      <c r="E339" t="inlineStr">
        <is>
          <t>Advertised: official page in place</t>
        </is>
      </c>
      <c r="F339" t="inlineStr">
        <is>
          <t>https://www.mq.edu.au/study/find-a-course/courses/master-of-creative-writing</t>
        </is>
      </c>
      <c r="G339" t="inlineStr">
        <is>
          <t>https://www.mq.edu.au/study/find-a-course/courses/master-of-creative-writing</t>
        </is>
      </c>
      <c r="H339" t="inlineStr">
        <is>
          <t>Read</t>
        </is>
      </c>
      <c r="I339" t="inlineStr">
        <is>
          <t>Exact title match</t>
        </is>
      </c>
      <c r="J339" t="inlineStr"/>
      <c r="K339" t="inlineStr">
        <is>
          <t>Not sent to re-link</t>
        </is>
      </c>
      <c r="L339" t="inlineStr">
        <is>
          <t>Filled</t>
        </is>
      </c>
      <c r="M339" t="inlineStr">
        <is>
          <t>Not stated on course page</t>
        </is>
      </c>
      <c r="N339" t="inlineStr"/>
      <c r="O339" t="n">
        <v>0</v>
      </c>
      <c r="P339" t="inlineStr"/>
      <c r="Q339" t="inlineStr">
        <is>
          <t>Filled</t>
        </is>
      </c>
      <c r="R339" t="n">
        <v>7</v>
      </c>
      <c r="S339" t="inlineStr">
        <is>
          <t>Other</t>
        </is>
      </c>
      <c r="T339" t="inlineStr">
        <is>
          <t>Central rule applies (course value differs)</t>
        </is>
      </c>
      <c r="U339" t="inlineStr">
        <is>
          <t>Yes: course has IELTS 7.00, central rule says 6.5</t>
        </is>
      </c>
      <c r="V339" t="inlineStr">
        <is>
          <t>Filled</t>
        </is>
      </c>
      <c r="W339" t="inlineStr">
        <is>
          <t>February, July</t>
        </is>
      </c>
      <c r="X339" t="inlineStr">
        <is>
          <t>Other</t>
        </is>
      </c>
      <c r="Y339" t="n">
        <v>0</v>
      </c>
      <c r="Z339" t="inlineStr">
        <is>
          <t>No</t>
        </is>
      </c>
      <c r="AA339" t="inlineStr">
        <is>
          <t>Filled</t>
        </is>
      </c>
      <c r="AB339" t="inlineStr">
        <is>
          <t>on campus</t>
        </is>
      </c>
      <c r="AC339" t="inlineStr">
        <is>
          <t>Filled</t>
        </is>
      </c>
      <c r="AD339" t="n">
        <v>0</v>
      </c>
      <c r="AE339" t="inlineStr"/>
      <c r="AF339" t="inlineStr"/>
      <c r="AG339" t="inlineStr"/>
      <c r="AH339" t="inlineStr"/>
      <c r="AI339" t="inlineStr"/>
      <c r="AJ339" t="inlineStr"/>
      <c r="AK339" t="inlineStr"/>
      <c r="AL339" t="inlineStr"/>
      <c r="AM339" t="inlineStr"/>
    </row>
    <row r="340">
      <c r="A340" t="inlineStr">
        <is>
          <t>092009G</t>
        </is>
      </c>
      <c r="B340" t="inlineStr">
        <is>
          <t>Master of Criminology</t>
        </is>
      </c>
      <c r="C340" t="inlineStr">
        <is>
          <t>Masters Degree (Coursework)</t>
        </is>
      </c>
      <c r="D340" t="inlineStr">
        <is>
          <t>Postgraduate coursework</t>
        </is>
      </c>
      <c r="E340" t="inlineStr">
        <is>
          <t>Advertised: official page in place</t>
        </is>
      </c>
      <c r="F340" t="inlineStr">
        <is>
          <t>https://www.mq.edu.au/study/find-a-course/courses/master-of-criminology</t>
        </is>
      </c>
      <c r="G340" t="inlineStr">
        <is>
          <t>https://www.mq.edu.au/study/find-a-course/courses/master-of-criminology</t>
        </is>
      </c>
      <c r="H340" t="inlineStr">
        <is>
          <t>Read</t>
        </is>
      </c>
      <c r="I340" t="inlineStr">
        <is>
          <t>Exact title match</t>
        </is>
      </c>
      <c r="J340" t="inlineStr"/>
      <c r="K340" t="inlineStr">
        <is>
          <t>Not sent to re-link</t>
        </is>
      </c>
      <c r="L340" t="inlineStr">
        <is>
          <t>Filled</t>
        </is>
      </c>
      <c r="M340" t="inlineStr">
        <is>
          <t>Not stated on course page</t>
        </is>
      </c>
      <c r="N340" t="inlineStr"/>
      <c r="O340" t="n">
        <v>0</v>
      </c>
      <c r="P340" t="inlineStr"/>
      <c r="Q340" t="inlineStr">
        <is>
          <t>Filled</t>
        </is>
      </c>
      <c r="R340" t="n">
        <v>6.5</v>
      </c>
      <c r="S340" t="inlineStr">
        <is>
          <t>Other</t>
        </is>
      </c>
      <c r="T340" t="inlineStr">
        <is>
          <t>Central rule applies (value agrees)</t>
        </is>
      </c>
      <c r="U340" t="inlineStr"/>
      <c r="V340" t="inlineStr">
        <is>
          <t>Filled</t>
        </is>
      </c>
      <c r="W340" t="inlineStr">
        <is>
          <t>February, July</t>
        </is>
      </c>
      <c r="X340" t="inlineStr">
        <is>
          <t>Other</t>
        </is>
      </c>
      <c r="Y340" t="n">
        <v>0</v>
      </c>
      <c r="Z340" t="inlineStr">
        <is>
          <t>No</t>
        </is>
      </c>
      <c r="AA340" t="inlineStr">
        <is>
          <t>Filled</t>
        </is>
      </c>
      <c r="AB340" t="inlineStr">
        <is>
          <t>on campus</t>
        </is>
      </c>
      <c r="AC340" t="inlineStr">
        <is>
          <t>Filled</t>
        </is>
      </c>
      <c r="AD340" t="n">
        <v>0</v>
      </c>
      <c r="AE340" t="inlineStr"/>
      <c r="AF340" t="inlineStr"/>
      <c r="AG340" t="inlineStr"/>
      <c r="AH340" t="inlineStr"/>
      <c r="AI340" t="inlineStr"/>
      <c r="AJ340" t="inlineStr"/>
      <c r="AK340" t="inlineStr"/>
      <c r="AL340" t="inlineStr"/>
      <c r="AM340" t="inlineStr"/>
    </row>
    <row r="341">
      <c r="A341" t="inlineStr">
        <is>
          <t>118469E</t>
        </is>
      </c>
      <c r="B341" t="inlineStr">
        <is>
          <t>Master of Criminology</t>
        </is>
      </c>
      <c r="C341" t="inlineStr">
        <is>
          <t>Masters Degree (Coursework)</t>
        </is>
      </c>
      <c r="D341" t="inlineStr">
        <is>
          <t>Postgraduate coursework</t>
        </is>
      </c>
      <c r="E341" t="inlineStr">
        <is>
          <t>Advertised: official page in place</t>
        </is>
      </c>
      <c r="F341" t="inlineStr">
        <is>
          <t>https://coursehandbook.mq.edu.au/2026/courses/c000450</t>
        </is>
      </c>
      <c r="G341" t="inlineStr">
        <is>
          <t>https://coursehandbook.mq.edu.au/2026/courses/c000450</t>
        </is>
      </c>
      <c r="H341" t="inlineStr">
        <is>
          <t>Read</t>
        </is>
      </c>
      <c r="I341" t="inlineStr">
        <is>
          <t>Exact title match</t>
        </is>
      </c>
      <c r="J341" t="inlineStr"/>
      <c r="K341" t="inlineStr">
        <is>
          <t>Not sent to re-link</t>
        </is>
      </c>
      <c r="L341" t="inlineStr">
        <is>
          <t>Filled</t>
        </is>
      </c>
      <c r="M341" t="inlineStr">
        <is>
          <t>Not stated on course page</t>
        </is>
      </c>
      <c r="N341" t="inlineStr"/>
      <c r="O341" t="n">
        <v>0</v>
      </c>
      <c r="P341" t="inlineStr"/>
      <c r="Q341" t="inlineStr">
        <is>
          <t>Filled</t>
        </is>
      </c>
      <c r="R341" t="n">
        <v>6.5</v>
      </c>
      <c r="S341" t="inlineStr">
        <is>
          <t>University adapter</t>
        </is>
      </c>
      <c r="T341" t="inlineStr">
        <is>
          <t>Central rule applies (value agrees)</t>
        </is>
      </c>
      <c r="U341" t="inlineStr"/>
      <c r="V341" t="inlineStr">
        <is>
          <t>Not stated on course page</t>
        </is>
      </c>
      <c r="W341" t="inlineStr"/>
      <c r="X341" t="inlineStr"/>
      <c r="Y341" t="n">
        <v>0</v>
      </c>
      <c r="Z341" t="inlineStr">
        <is>
          <t>No</t>
        </is>
      </c>
      <c r="AA341" t="inlineStr">
        <is>
          <t>Not stated on course page</t>
        </is>
      </c>
      <c r="AB341" t="inlineStr"/>
      <c r="AC341" t="inlineStr">
        <is>
          <t>Skipped: the page does not state it</t>
        </is>
      </c>
      <c r="AD341" t="n">
        <v>0</v>
      </c>
      <c r="AE341" t="inlineStr"/>
      <c r="AF341" t="inlineStr"/>
      <c r="AG341" t="inlineStr"/>
      <c r="AH341" t="inlineStr"/>
      <c r="AI341" t="inlineStr"/>
      <c r="AJ341" t="inlineStr"/>
      <c r="AK341" t="inlineStr"/>
      <c r="AL341" t="inlineStr"/>
      <c r="AM341" t="inlineStr"/>
    </row>
    <row r="342">
      <c r="A342" t="inlineStr">
        <is>
          <t>095114D</t>
        </is>
      </c>
      <c r="B342" t="inlineStr">
        <is>
          <t>Master of Cyber Security</t>
        </is>
      </c>
      <c r="C342" t="inlineStr">
        <is>
          <t>Masters Degree (Coursework)</t>
        </is>
      </c>
      <c r="D342" t="inlineStr">
        <is>
          <t>Postgraduate coursework</t>
        </is>
      </c>
      <c r="E342" t="inlineStr">
        <is>
          <t>Advertised: official page in place</t>
        </is>
      </c>
      <c r="F342" t="inlineStr">
        <is>
          <t>https://www.mq.edu.au/study/find-a-course/courses/master-of-cyber-security</t>
        </is>
      </c>
      <c r="G342" t="inlineStr">
        <is>
          <t>https://www.mq.edu.au/study/find-a-course/courses/master-of-cyber-security</t>
        </is>
      </c>
      <c r="H342" t="inlineStr">
        <is>
          <t>Read</t>
        </is>
      </c>
      <c r="I342" t="inlineStr">
        <is>
          <t>Exact title match</t>
        </is>
      </c>
      <c r="J342" t="inlineStr"/>
      <c r="K342" t="inlineStr">
        <is>
          <t>Not sent to re-link</t>
        </is>
      </c>
      <c r="L342" t="inlineStr">
        <is>
          <t>Filled</t>
        </is>
      </c>
      <c r="M342" t="inlineStr">
        <is>
          <t>Not stated on course page</t>
        </is>
      </c>
      <c r="N342" t="inlineStr"/>
      <c r="O342" t="n">
        <v>0</v>
      </c>
      <c r="P342" t="inlineStr"/>
      <c r="Q342" t="inlineStr">
        <is>
          <t>Filled</t>
        </is>
      </c>
      <c r="R342" t="n">
        <v>6.5</v>
      </c>
      <c r="S342" t="inlineStr">
        <is>
          <t>Other</t>
        </is>
      </c>
      <c r="T342" t="inlineStr">
        <is>
          <t>Central rule applies (value agrees)</t>
        </is>
      </c>
      <c r="U342" t="inlineStr"/>
      <c r="V342" t="inlineStr">
        <is>
          <t>Filled</t>
        </is>
      </c>
      <c r="W342" t="inlineStr">
        <is>
          <t>February, July</t>
        </is>
      </c>
      <c r="X342" t="inlineStr">
        <is>
          <t>Other</t>
        </is>
      </c>
      <c r="Y342" t="n">
        <v>0</v>
      </c>
      <c r="Z342" t="inlineStr">
        <is>
          <t>No</t>
        </is>
      </c>
      <c r="AA342" t="inlineStr">
        <is>
          <t>Filled</t>
        </is>
      </c>
      <c r="AB342" t="inlineStr">
        <is>
          <t>on campus</t>
        </is>
      </c>
      <c r="AC342" t="inlineStr">
        <is>
          <t>Filled</t>
        </is>
      </c>
      <c r="AD342" t="n">
        <v>0</v>
      </c>
      <c r="AE342" t="inlineStr"/>
      <c r="AF342" t="inlineStr"/>
      <c r="AG342" t="inlineStr"/>
      <c r="AH342" t="inlineStr"/>
      <c r="AI342" t="inlineStr"/>
      <c r="AJ342" t="inlineStr"/>
      <c r="AK342" t="inlineStr"/>
      <c r="AL342" t="inlineStr"/>
      <c r="AM342" t="inlineStr"/>
    </row>
    <row r="343">
      <c r="A343" t="inlineStr">
        <is>
          <t>120160H</t>
        </is>
      </c>
      <c r="B343" t="inlineStr">
        <is>
          <t>Master of Cyber Security</t>
        </is>
      </c>
      <c r="C343" t="inlineStr">
        <is>
          <t>Masters Degree (Coursework)</t>
        </is>
      </c>
      <c r="D343" t="inlineStr">
        <is>
          <t>Postgraduate coursework</t>
        </is>
      </c>
      <c r="E343" t="inlineStr">
        <is>
          <t>Advertised: official page in place</t>
        </is>
      </c>
      <c r="F343" t="inlineStr">
        <is>
          <t>https://www.mq.edu.au/study/find-a-course/courses/master-of-cyber-security</t>
        </is>
      </c>
      <c r="G343" t="inlineStr">
        <is>
          <t>https://www.mq.edu.au/study/find-a-course/courses/master-of-cyber-security</t>
        </is>
      </c>
      <c r="H343" t="inlineStr">
        <is>
          <t>Read</t>
        </is>
      </c>
      <c r="I343" t="inlineStr">
        <is>
          <t>Exact title match</t>
        </is>
      </c>
      <c r="J343" t="inlineStr"/>
      <c r="K343" t="inlineStr">
        <is>
          <t>Not sent to re-link</t>
        </is>
      </c>
      <c r="L343" t="inlineStr">
        <is>
          <t>Filled</t>
        </is>
      </c>
      <c r="M343" t="inlineStr">
        <is>
          <t>Not stated on course page</t>
        </is>
      </c>
      <c r="N343" t="inlineStr"/>
      <c r="O343" t="n">
        <v>0</v>
      </c>
      <c r="P343" t="inlineStr"/>
      <c r="Q343" t="inlineStr">
        <is>
          <t>Filled</t>
        </is>
      </c>
      <c r="R343" t="n">
        <v>6.5</v>
      </c>
      <c r="S343" t="inlineStr">
        <is>
          <t>Other</t>
        </is>
      </c>
      <c r="T343" t="inlineStr">
        <is>
          <t>Central rule applies (value agrees)</t>
        </is>
      </c>
      <c r="U343" t="inlineStr"/>
      <c r="V343" t="inlineStr">
        <is>
          <t>Filled</t>
        </is>
      </c>
      <c r="W343" t="inlineStr">
        <is>
          <t>February, July</t>
        </is>
      </c>
      <c r="X343" t="inlineStr">
        <is>
          <t>Other</t>
        </is>
      </c>
      <c r="Y343" t="n">
        <v>0</v>
      </c>
      <c r="Z343" t="inlineStr">
        <is>
          <t>No</t>
        </is>
      </c>
      <c r="AA343" t="inlineStr">
        <is>
          <t>Filled</t>
        </is>
      </c>
      <c r="AB343" t="inlineStr">
        <is>
          <t>on campus</t>
        </is>
      </c>
      <c r="AC343" t="inlineStr">
        <is>
          <t>Filled</t>
        </is>
      </c>
      <c r="AD343" t="n">
        <v>0</v>
      </c>
      <c r="AE343" t="inlineStr"/>
      <c r="AF343" t="inlineStr"/>
      <c r="AG343" t="inlineStr"/>
      <c r="AH343" t="inlineStr"/>
      <c r="AI343" t="inlineStr"/>
      <c r="AJ343" t="inlineStr"/>
      <c r="AK343" t="inlineStr"/>
      <c r="AL343" t="inlineStr"/>
      <c r="AM343" t="inlineStr"/>
    </row>
    <row r="344">
      <c r="A344" t="inlineStr">
        <is>
          <t>099508J</t>
        </is>
      </c>
      <c r="B344" t="inlineStr">
        <is>
          <t>Master of Cyber Security Analysis</t>
        </is>
      </c>
      <c r="C344" t="inlineStr">
        <is>
          <t>Masters Degree (Coursework)</t>
        </is>
      </c>
      <c r="D344" t="inlineStr">
        <is>
          <t>Postgraduate coursework</t>
        </is>
      </c>
      <c r="E344" t="inlineStr">
        <is>
          <t>Page address no longer works</t>
        </is>
      </c>
      <c r="F344" t="inlineStr"/>
      <c r="G344" t="inlineStr">
        <is>
          <t>https://coursehandbook.mq.edu.au/2026/doubledegree/D000111</t>
        </is>
      </c>
      <c r="H344" t="inlineStr">
        <is>
          <t>Address no longer works</t>
        </is>
      </c>
      <c r="I344" t="inlineStr"/>
      <c r="J344" t="inlineStr"/>
      <c r="K344" t="inlineStr">
        <is>
          <t>Not sent to re-link</t>
        </is>
      </c>
      <c r="L344" t="inlineStr">
        <is>
          <t>Page found, being read</t>
        </is>
      </c>
      <c r="M344" t="inlineStr">
        <is>
          <t>Page found, being read</t>
        </is>
      </c>
      <c r="N344" t="inlineStr"/>
      <c r="O344" t="n">
        <v>0</v>
      </c>
      <c r="P344" t="inlineStr"/>
      <c r="Q344" t="inlineStr">
        <is>
          <t>Filled</t>
        </is>
      </c>
      <c r="R344" t="n">
        <v>6.5</v>
      </c>
      <c r="S344" t="inlineStr">
        <is>
          <t>Central English policy</t>
        </is>
      </c>
      <c r="T344" t="inlineStr">
        <is>
          <t>Central rule applies (value agrees)</t>
        </is>
      </c>
      <c r="U344" t="inlineStr"/>
      <c r="V344" t="inlineStr">
        <is>
          <t>Page found, being read</t>
        </is>
      </c>
      <c r="W344" t="inlineStr"/>
      <c r="X344" t="inlineStr"/>
      <c r="Y344" t="n">
        <v>0</v>
      </c>
      <c r="Z344" t="inlineStr">
        <is>
          <t>No</t>
        </is>
      </c>
      <c r="AA344" t="inlineStr">
        <is>
          <t>Not stated on course page</t>
        </is>
      </c>
      <c r="AB344" t="inlineStr"/>
      <c r="AC344" t="inlineStr">
        <is>
          <t>Skipped: no allowed source had a value</t>
        </is>
      </c>
      <c r="AD344" t="n">
        <v>0</v>
      </c>
      <c r="AE344" t="inlineStr"/>
      <c r="AF344" t="inlineStr"/>
      <c r="AG344" t="inlineStr"/>
      <c r="AH344" t="inlineStr"/>
      <c r="AI344" t="inlineStr"/>
      <c r="AJ344" t="inlineStr"/>
      <c r="AK344" t="inlineStr"/>
      <c r="AL344" t="inlineStr"/>
      <c r="AM344" t="inlineStr"/>
    </row>
    <row r="345">
      <c r="A345" t="inlineStr">
        <is>
          <t>099161J</t>
        </is>
      </c>
      <c r="B345" t="inlineStr">
        <is>
          <t>Master of Cybergovernance and Management</t>
        </is>
      </c>
      <c r="C345" t="inlineStr">
        <is>
          <t>Masters Degree (Coursework)</t>
        </is>
      </c>
      <c r="D345" t="inlineStr">
        <is>
          <t>Postgraduate coursework</t>
        </is>
      </c>
      <c r="E345" t="inlineStr">
        <is>
          <t>Page address no longer works</t>
        </is>
      </c>
      <c r="F345" t="inlineStr"/>
      <c r="G345" t="inlineStr">
        <is>
          <t>https://coursehandbook.mq.edu.au/2026/courses/c000065</t>
        </is>
      </c>
      <c r="H345" t="inlineStr">
        <is>
          <t>Address no longer works</t>
        </is>
      </c>
      <c r="I345" t="inlineStr"/>
      <c r="J345" t="inlineStr"/>
      <c r="K345" t="inlineStr">
        <is>
          <t>Not sent to re-link</t>
        </is>
      </c>
      <c r="L345" t="inlineStr">
        <is>
          <t>Page found, being read</t>
        </is>
      </c>
      <c r="M345" t="inlineStr">
        <is>
          <t>Page found, being read</t>
        </is>
      </c>
      <c r="N345" t="inlineStr"/>
      <c r="O345" t="n">
        <v>0</v>
      </c>
      <c r="P345" t="inlineStr"/>
      <c r="Q345" t="inlineStr">
        <is>
          <t>Filled</t>
        </is>
      </c>
      <c r="R345" t="n">
        <v>6.5</v>
      </c>
      <c r="S345" t="inlineStr">
        <is>
          <t>Central English policy</t>
        </is>
      </c>
      <c r="T345" t="inlineStr">
        <is>
          <t>Central rule applies (value agrees)</t>
        </is>
      </c>
      <c r="U345" t="inlineStr"/>
      <c r="V345" t="inlineStr">
        <is>
          <t>Page found, being read</t>
        </is>
      </c>
      <c r="W345" t="inlineStr"/>
      <c r="X345" t="inlineStr"/>
      <c r="Y345" t="n">
        <v>0</v>
      </c>
      <c r="Z345" t="inlineStr">
        <is>
          <t>No</t>
        </is>
      </c>
      <c r="AA345" t="inlineStr">
        <is>
          <t>Not stated on course page</t>
        </is>
      </c>
      <c r="AB345" t="inlineStr"/>
      <c r="AC345" t="inlineStr">
        <is>
          <t>Skipped: no allowed source had a value</t>
        </is>
      </c>
      <c r="AD345" t="n">
        <v>0</v>
      </c>
      <c r="AE345" t="inlineStr"/>
      <c r="AF345" t="inlineStr"/>
      <c r="AG345" t="inlineStr"/>
      <c r="AH345" t="inlineStr"/>
      <c r="AI345" t="inlineStr"/>
      <c r="AJ345" t="inlineStr"/>
      <c r="AK345" t="inlineStr"/>
      <c r="AL345" t="inlineStr"/>
      <c r="AM345" t="inlineStr"/>
    </row>
    <row r="346">
      <c r="A346" t="inlineStr">
        <is>
          <t>080284J</t>
        </is>
      </c>
      <c r="B346" t="inlineStr">
        <is>
          <t>Master of Data Science</t>
        </is>
      </c>
      <c r="C346" t="inlineStr">
        <is>
          <t>Masters Degree (Coursework)</t>
        </is>
      </c>
      <c r="D346" t="inlineStr">
        <is>
          <t>Postgraduate coursework</t>
        </is>
      </c>
      <c r="E346" t="inlineStr">
        <is>
          <t>Advertised: official page in place</t>
        </is>
      </c>
      <c r="F346" t="inlineStr">
        <is>
          <t>https://coursehandbook.mq.edu.au/2026/courses/C000082</t>
        </is>
      </c>
      <c r="G346" t="inlineStr">
        <is>
          <t>https://coursehandbook.mq.edu.au/2026/courses/C000082</t>
        </is>
      </c>
      <c r="H346" t="inlineStr">
        <is>
          <t>Read</t>
        </is>
      </c>
      <c r="I346" t="inlineStr">
        <is>
          <t>Exact title match</t>
        </is>
      </c>
      <c r="J346" t="inlineStr"/>
      <c r="K346" t="inlineStr">
        <is>
          <t>Not sent to re-link</t>
        </is>
      </c>
      <c r="L346" t="inlineStr">
        <is>
          <t>Filled</t>
        </is>
      </c>
      <c r="M346" t="inlineStr">
        <is>
          <t>Not stated on course page</t>
        </is>
      </c>
      <c r="N346" t="inlineStr"/>
      <c r="O346" t="n">
        <v>0</v>
      </c>
      <c r="P346" t="inlineStr"/>
      <c r="Q346" t="inlineStr">
        <is>
          <t>Filled</t>
        </is>
      </c>
      <c r="R346" t="n">
        <v>6.5</v>
      </c>
      <c r="S346" t="inlineStr">
        <is>
          <t>University adapter</t>
        </is>
      </c>
      <c r="T346" t="inlineStr">
        <is>
          <t>Central rule applies (value agrees)</t>
        </is>
      </c>
      <c r="U346" t="inlineStr"/>
      <c r="V346" t="inlineStr">
        <is>
          <t>Not stated on course page</t>
        </is>
      </c>
      <c r="W346" t="inlineStr"/>
      <c r="X346" t="inlineStr"/>
      <c r="Y346" t="n">
        <v>0</v>
      </c>
      <c r="Z346" t="inlineStr">
        <is>
          <t>No</t>
        </is>
      </c>
      <c r="AA346" t="inlineStr">
        <is>
          <t>Not stated on course page</t>
        </is>
      </c>
      <c r="AB346" t="inlineStr"/>
      <c r="AC346" t="inlineStr">
        <is>
          <t>Skipped: the page does not state it</t>
        </is>
      </c>
      <c r="AD346" t="n">
        <v>0</v>
      </c>
      <c r="AE346" t="inlineStr"/>
      <c r="AF346" t="inlineStr"/>
      <c r="AG346" t="inlineStr"/>
      <c r="AH346" t="inlineStr"/>
      <c r="AI346" t="inlineStr"/>
      <c r="AJ346" t="inlineStr"/>
      <c r="AK346" t="inlineStr"/>
      <c r="AL346" t="inlineStr"/>
      <c r="AM346" t="inlineStr"/>
    </row>
    <row r="347">
      <c r="A347" t="inlineStr">
        <is>
          <t>092113G</t>
        </is>
      </c>
      <c r="B347" t="inlineStr">
        <is>
          <t>Master of Development Studies</t>
        </is>
      </c>
      <c r="C347" t="inlineStr">
        <is>
          <t>Masters Degree (Coursework)</t>
        </is>
      </c>
      <c r="D347" t="inlineStr">
        <is>
          <t>Postgraduate coursework</t>
        </is>
      </c>
      <c r="E347" t="inlineStr">
        <is>
          <t>Advertised: official page in place</t>
        </is>
      </c>
      <c r="F347" t="inlineStr">
        <is>
          <t>https://handbook.mq.edu.au/2019/DegreesDiplomas/PGDegree/Master+of+Development+Studies</t>
        </is>
      </c>
      <c r="G347" t="inlineStr">
        <is>
          <t>https://handbook.mq.edu.au/2019/DegreesDiplomas/PGDegree/Master+of+Development+Studies</t>
        </is>
      </c>
      <c r="H347" t="inlineStr">
        <is>
          <t>Read</t>
        </is>
      </c>
      <c r="I347" t="inlineStr">
        <is>
          <t>CRICOS code on page</t>
        </is>
      </c>
      <c r="J347" t="inlineStr"/>
      <c r="K347" t="inlineStr">
        <is>
          <t>Not sent to re-link</t>
        </is>
      </c>
      <c r="L347" t="inlineStr">
        <is>
          <t>Filled</t>
        </is>
      </c>
      <c r="M347" t="inlineStr">
        <is>
          <t>Not stated on course page</t>
        </is>
      </c>
      <c r="N347" t="inlineStr"/>
      <c r="O347" t="n">
        <v>0</v>
      </c>
      <c r="P347" t="inlineStr"/>
      <c r="Q347" t="inlineStr">
        <is>
          <t>Filled</t>
        </is>
      </c>
      <c r="R347" t="n">
        <v>6.5</v>
      </c>
      <c r="S347" t="inlineStr">
        <is>
          <t>Other</t>
        </is>
      </c>
      <c r="T347" t="inlineStr">
        <is>
          <t>Central rule applies (value agrees)</t>
        </is>
      </c>
      <c r="U347" t="inlineStr"/>
      <c r="V347" t="inlineStr">
        <is>
          <t>Filled</t>
        </is>
      </c>
      <c r="W347" t="inlineStr">
        <is>
          <t>February</t>
        </is>
      </c>
      <c r="X347" t="inlineStr">
        <is>
          <t>Other</t>
        </is>
      </c>
      <c r="Y347" t="n">
        <v>0</v>
      </c>
      <c r="Z347" t="inlineStr">
        <is>
          <t>No</t>
        </is>
      </c>
      <c r="AA347" t="inlineStr">
        <is>
          <t>Filled</t>
        </is>
      </c>
      <c r="AB347" t="inlineStr">
        <is>
          <t>on campus</t>
        </is>
      </c>
      <c r="AC347" t="inlineStr">
        <is>
          <t>Filled</t>
        </is>
      </c>
      <c r="AD347" t="n">
        <v>0</v>
      </c>
      <c r="AE347" t="inlineStr"/>
      <c r="AF347" t="inlineStr"/>
      <c r="AG347" t="inlineStr"/>
      <c r="AH347" t="inlineStr"/>
      <c r="AI347" t="inlineStr"/>
      <c r="AJ347" t="inlineStr"/>
      <c r="AK347" t="inlineStr"/>
      <c r="AL347" t="inlineStr"/>
      <c r="AM347" t="inlineStr"/>
    </row>
    <row r="348">
      <c r="A348" t="inlineStr">
        <is>
          <t>083783K</t>
        </is>
      </c>
      <c r="B348" t="inlineStr">
        <is>
          <t>Master of Early Childhood</t>
        </is>
      </c>
      <c r="C348" t="inlineStr">
        <is>
          <t>Masters Degree (Coursework)</t>
        </is>
      </c>
      <c r="D348" t="inlineStr">
        <is>
          <t>Postgraduate coursework</t>
        </is>
      </c>
      <c r="E348" t="inlineStr">
        <is>
          <t>Page address no longer works</t>
        </is>
      </c>
      <c r="F348" t="inlineStr"/>
      <c r="G348" t="inlineStr">
        <is>
          <t>https://coursehandbook.mq.edu.au/2026/doubledegree/d002958</t>
        </is>
      </c>
      <c r="H348" t="inlineStr">
        <is>
          <t>Address no longer works</t>
        </is>
      </c>
      <c r="I348" t="inlineStr"/>
      <c r="J348" t="inlineStr"/>
      <c r="K348" t="inlineStr">
        <is>
          <t>Not sent to re-link</t>
        </is>
      </c>
      <c r="L348" t="inlineStr">
        <is>
          <t>Page found, being read</t>
        </is>
      </c>
      <c r="M348" t="inlineStr">
        <is>
          <t>Page found, being read</t>
        </is>
      </c>
      <c r="N348" t="inlineStr"/>
      <c r="O348" t="n">
        <v>0</v>
      </c>
      <c r="P348" t="inlineStr"/>
      <c r="Q348" t="inlineStr">
        <is>
          <t>Filled</t>
        </is>
      </c>
      <c r="R348" t="n">
        <v>6.5</v>
      </c>
      <c r="S348" t="inlineStr">
        <is>
          <t>Central English policy</t>
        </is>
      </c>
      <c r="T348" t="inlineStr">
        <is>
          <t>Central rule applies (value agrees)</t>
        </is>
      </c>
      <c r="U348" t="inlineStr"/>
      <c r="V348" t="inlineStr">
        <is>
          <t>Page found, being read</t>
        </is>
      </c>
      <c r="W348" t="inlineStr"/>
      <c r="X348" t="inlineStr"/>
      <c r="Y348" t="n">
        <v>0</v>
      </c>
      <c r="Z348" t="inlineStr">
        <is>
          <t>No</t>
        </is>
      </c>
      <c r="AA348" t="inlineStr">
        <is>
          <t>Not stated on course page</t>
        </is>
      </c>
      <c r="AB348" t="inlineStr"/>
      <c r="AC348" t="inlineStr">
        <is>
          <t>Skipped: no allowed source had a value</t>
        </is>
      </c>
      <c r="AD348" t="n">
        <v>0</v>
      </c>
      <c r="AE348" t="inlineStr"/>
      <c r="AF348" t="inlineStr"/>
      <c r="AG348" t="inlineStr"/>
      <c r="AH348" t="inlineStr"/>
      <c r="AI348" t="inlineStr"/>
      <c r="AJ348" t="inlineStr"/>
      <c r="AK348" t="inlineStr"/>
      <c r="AL348" t="inlineStr"/>
      <c r="AM348" t="inlineStr"/>
    </row>
    <row r="349">
      <c r="A349" t="inlineStr">
        <is>
          <t>083785G</t>
        </is>
      </c>
      <c r="B349" t="inlineStr">
        <is>
          <t>Master of Education</t>
        </is>
      </c>
      <c r="C349" t="inlineStr">
        <is>
          <t>Masters Degree (Coursework)</t>
        </is>
      </c>
      <c r="D349" t="inlineStr">
        <is>
          <t>Postgraduate coursework</t>
        </is>
      </c>
      <c r="E349" t="inlineStr">
        <is>
          <t>Advertised: official page in place</t>
        </is>
      </c>
      <c r="F349" t="inlineStr">
        <is>
          <t>https://coursehandbook.mq.edu.au/2026/courses/C000475</t>
        </is>
      </c>
      <c r="G349" t="inlineStr">
        <is>
          <t>https://coursehandbook.mq.edu.au/2026/courses/C000475</t>
        </is>
      </c>
      <c r="H349" t="inlineStr">
        <is>
          <t>Read</t>
        </is>
      </c>
      <c r="I349" t="inlineStr">
        <is>
          <t>Exact title match</t>
        </is>
      </c>
      <c r="J349" t="inlineStr"/>
      <c r="K349" t="inlineStr">
        <is>
          <t>Not sent to re-link</t>
        </is>
      </c>
      <c r="L349" t="inlineStr">
        <is>
          <t>Filled</t>
        </is>
      </c>
      <c r="M349" t="inlineStr">
        <is>
          <t>Not stated on course page</t>
        </is>
      </c>
      <c r="N349" t="inlineStr"/>
      <c r="O349" t="n">
        <v>0</v>
      </c>
      <c r="P349" t="inlineStr"/>
      <c r="Q349" t="inlineStr">
        <is>
          <t>Filled</t>
        </is>
      </c>
      <c r="R349" t="n">
        <v>6.5</v>
      </c>
      <c r="S349" t="inlineStr">
        <is>
          <t>University adapter</t>
        </is>
      </c>
      <c r="T349" t="inlineStr">
        <is>
          <t>Central rule applies (value agrees)</t>
        </is>
      </c>
      <c r="U349" t="inlineStr"/>
      <c r="V349" t="inlineStr">
        <is>
          <t>Not stated on course page</t>
        </is>
      </c>
      <c r="W349" t="inlineStr"/>
      <c r="X349" t="inlineStr"/>
      <c r="Y349" t="n">
        <v>0</v>
      </c>
      <c r="Z349" t="inlineStr">
        <is>
          <t>No</t>
        </is>
      </c>
      <c r="AA349" t="inlineStr">
        <is>
          <t>Not stated on course page</t>
        </is>
      </c>
      <c r="AB349" t="inlineStr"/>
      <c r="AC349" t="inlineStr">
        <is>
          <t>Skipped: the page does not state it</t>
        </is>
      </c>
      <c r="AD349" t="n">
        <v>0</v>
      </c>
      <c r="AE349" t="inlineStr"/>
      <c r="AF349" t="inlineStr"/>
      <c r="AG349" t="inlineStr"/>
      <c r="AH349" t="inlineStr"/>
      <c r="AI349" t="inlineStr"/>
      <c r="AJ349" t="inlineStr"/>
      <c r="AK349" t="inlineStr"/>
      <c r="AL349" t="inlineStr"/>
      <c r="AM349" t="inlineStr"/>
    </row>
    <row r="350">
      <c r="A350" t="inlineStr">
        <is>
          <t>118458H</t>
        </is>
      </c>
      <c r="B350" t="inlineStr">
        <is>
          <t>Master of Education</t>
        </is>
      </c>
      <c r="C350" t="inlineStr">
        <is>
          <t>Masters Degree (Coursework)</t>
        </is>
      </c>
      <c r="D350" t="inlineStr">
        <is>
          <t>Postgraduate coursework</t>
        </is>
      </c>
      <c r="E350" t="inlineStr">
        <is>
          <t>Advertised: official page in place</t>
        </is>
      </c>
      <c r="F350" t="inlineStr">
        <is>
          <t>https://coursehandbook.mq.edu.au/2026/courses/C000449</t>
        </is>
      </c>
      <c r="G350" t="inlineStr">
        <is>
          <t>https://coursehandbook.mq.edu.au/2026/courses/C000449</t>
        </is>
      </c>
      <c r="H350" t="inlineStr">
        <is>
          <t>Read</t>
        </is>
      </c>
      <c r="I350" t="inlineStr">
        <is>
          <t>Exact title match</t>
        </is>
      </c>
      <c r="J350" t="inlineStr"/>
      <c r="K350" t="inlineStr">
        <is>
          <t>Not sent to re-link</t>
        </is>
      </c>
      <c r="L350" t="inlineStr">
        <is>
          <t>Filled</t>
        </is>
      </c>
      <c r="M350" t="inlineStr">
        <is>
          <t>Not stated on course page</t>
        </is>
      </c>
      <c r="N350" t="inlineStr"/>
      <c r="O350" t="n">
        <v>0</v>
      </c>
      <c r="P350" t="inlineStr"/>
      <c r="Q350" t="inlineStr">
        <is>
          <t>Filled</t>
        </is>
      </c>
      <c r="R350" t="n">
        <v>6.5</v>
      </c>
      <c r="S350" t="inlineStr">
        <is>
          <t>University adapter</t>
        </is>
      </c>
      <c r="T350" t="inlineStr">
        <is>
          <t>Central rule applies (value agrees)</t>
        </is>
      </c>
      <c r="U350" t="inlineStr"/>
      <c r="V350" t="inlineStr">
        <is>
          <t>Not stated on course page</t>
        </is>
      </c>
      <c r="W350" t="inlineStr"/>
      <c r="X350" t="inlineStr"/>
      <c r="Y350" t="n">
        <v>0</v>
      </c>
      <c r="Z350" t="inlineStr">
        <is>
          <t>No</t>
        </is>
      </c>
      <c r="AA350" t="inlineStr">
        <is>
          <t>Not stated on course page</t>
        </is>
      </c>
      <c r="AB350" t="inlineStr"/>
      <c r="AC350" t="inlineStr">
        <is>
          <t>Skipped: the page does not state it</t>
        </is>
      </c>
      <c r="AD350" t="n">
        <v>0</v>
      </c>
      <c r="AE350" t="inlineStr"/>
      <c r="AF350" t="inlineStr"/>
      <c r="AG350" t="inlineStr"/>
      <c r="AH350" t="inlineStr"/>
      <c r="AI350" t="inlineStr"/>
      <c r="AJ350" t="inlineStr"/>
      <c r="AK350" t="inlineStr"/>
      <c r="AL350" t="inlineStr"/>
      <c r="AM350" t="inlineStr"/>
    </row>
    <row r="351">
      <c r="A351" t="inlineStr">
        <is>
          <t>085030B</t>
        </is>
      </c>
      <c r="B351" t="inlineStr">
        <is>
          <t>Master of Engineering</t>
        </is>
      </c>
      <c r="C351" t="inlineStr">
        <is>
          <t>Masters Degree (Coursework)</t>
        </is>
      </c>
      <c r="D351" t="inlineStr">
        <is>
          <t>Postgraduate coursework</t>
        </is>
      </c>
      <c r="E351" t="inlineStr">
        <is>
          <t>Advertised: official page in place</t>
        </is>
      </c>
      <c r="F351" t="inlineStr">
        <is>
          <t>https://coursehandbook.mq.edu.au/2026/courses/C000399</t>
        </is>
      </c>
      <c r="G351" t="inlineStr">
        <is>
          <t>https://coursehandbook.mq.edu.au/2026/courses/C000399</t>
        </is>
      </c>
      <c r="H351" t="inlineStr">
        <is>
          <t>Read</t>
        </is>
      </c>
      <c r="I351" t="inlineStr">
        <is>
          <t>Exact title match</t>
        </is>
      </c>
      <c r="J351" t="inlineStr"/>
      <c r="K351" t="inlineStr">
        <is>
          <t>Not sent to re-link</t>
        </is>
      </c>
      <c r="L351" t="inlineStr">
        <is>
          <t>Filled</t>
        </is>
      </c>
      <c r="M351" t="inlineStr">
        <is>
          <t>Not stated on course page</t>
        </is>
      </c>
      <c r="N351" t="inlineStr"/>
      <c r="O351" t="n">
        <v>0</v>
      </c>
      <c r="P351" t="inlineStr"/>
      <c r="Q351" t="inlineStr">
        <is>
          <t>Filled</t>
        </is>
      </c>
      <c r="R351" t="n">
        <v>6.5</v>
      </c>
      <c r="S351" t="inlineStr">
        <is>
          <t>University adapter</t>
        </is>
      </c>
      <c r="T351" t="inlineStr">
        <is>
          <t>Central rule applies (value agrees)</t>
        </is>
      </c>
      <c r="U351" t="inlineStr"/>
      <c r="V351" t="inlineStr">
        <is>
          <t>Not stated on course page</t>
        </is>
      </c>
      <c r="W351" t="inlineStr"/>
      <c r="X351" t="inlineStr"/>
      <c r="Y351" t="n">
        <v>0</v>
      </c>
      <c r="Z351" t="inlineStr">
        <is>
          <t>No</t>
        </is>
      </c>
      <c r="AA351" t="inlineStr">
        <is>
          <t>Not stated on course page</t>
        </is>
      </c>
      <c r="AB351" t="inlineStr"/>
      <c r="AC351" t="inlineStr">
        <is>
          <t>Skipped: the page does not state it</t>
        </is>
      </c>
      <c r="AD351" t="n">
        <v>0</v>
      </c>
      <c r="AE351" t="inlineStr"/>
      <c r="AF351" t="inlineStr"/>
      <c r="AG351" t="inlineStr"/>
      <c r="AH351" t="inlineStr"/>
      <c r="AI351" t="inlineStr"/>
      <c r="AJ351" t="inlineStr"/>
      <c r="AK351" t="inlineStr"/>
      <c r="AL351" t="inlineStr"/>
      <c r="AM351" t="inlineStr"/>
    </row>
    <row r="352">
      <c r="A352" t="inlineStr">
        <is>
          <t>118470A</t>
        </is>
      </c>
      <c r="B352" t="inlineStr">
        <is>
          <t>Master of Engineering (Professional)</t>
        </is>
      </c>
      <c r="C352" t="inlineStr">
        <is>
          <t>Masters Degree (Coursework)</t>
        </is>
      </c>
      <c r="D352" t="inlineStr">
        <is>
          <t>Postgraduate coursework</t>
        </is>
      </c>
      <c r="E352" t="inlineStr">
        <is>
          <t>Advertised: official page in place</t>
        </is>
      </c>
      <c r="F352" t="inlineStr">
        <is>
          <t>https://coursehandbook.mq.edu.au/2026/courses/C000447</t>
        </is>
      </c>
      <c r="G352" t="inlineStr">
        <is>
          <t>https://coursehandbook.mq.edu.au/2026/courses/C000447</t>
        </is>
      </c>
      <c r="H352" t="inlineStr">
        <is>
          <t>Read</t>
        </is>
      </c>
      <c r="I352" t="inlineStr">
        <is>
          <t>Exact title match</t>
        </is>
      </c>
      <c r="J352" t="inlineStr"/>
      <c r="K352" t="inlineStr">
        <is>
          <t>Not sent to re-link</t>
        </is>
      </c>
      <c r="L352" t="inlineStr">
        <is>
          <t>Filled</t>
        </is>
      </c>
      <c r="M352" t="inlineStr">
        <is>
          <t>Not stated on course page</t>
        </is>
      </c>
      <c r="N352" t="inlineStr"/>
      <c r="O352" t="n">
        <v>0</v>
      </c>
      <c r="P352" t="inlineStr"/>
      <c r="Q352" t="inlineStr">
        <is>
          <t>Filled</t>
        </is>
      </c>
      <c r="R352" t="n">
        <v>6.5</v>
      </c>
      <c r="S352" t="inlineStr">
        <is>
          <t>University adapter</t>
        </is>
      </c>
      <c r="T352" t="inlineStr">
        <is>
          <t>Central rule applies (value agrees)</t>
        </is>
      </c>
      <c r="U352" t="inlineStr"/>
      <c r="V352" t="inlineStr">
        <is>
          <t>Not stated on course page</t>
        </is>
      </c>
      <c r="W352" t="inlineStr"/>
      <c r="X352" t="inlineStr"/>
      <c r="Y352" t="n">
        <v>0</v>
      </c>
      <c r="Z352" t="inlineStr">
        <is>
          <t>No</t>
        </is>
      </c>
      <c r="AA352" t="inlineStr">
        <is>
          <t>Not stated on course page</t>
        </is>
      </c>
      <c r="AB352" t="inlineStr"/>
      <c r="AC352" t="inlineStr">
        <is>
          <t>Skipped: the page does not state it</t>
        </is>
      </c>
      <c r="AD352" t="n">
        <v>0</v>
      </c>
      <c r="AE352" t="inlineStr"/>
      <c r="AF352" t="inlineStr"/>
      <c r="AG352" t="inlineStr"/>
      <c r="AH352" t="inlineStr"/>
      <c r="AI352" t="inlineStr"/>
      <c r="AJ352" t="inlineStr"/>
      <c r="AK352" t="inlineStr"/>
      <c r="AL352" t="inlineStr"/>
      <c r="AM352" t="inlineStr"/>
    </row>
    <row r="353">
      <c r="A353" t="inlineStr">
        <is>
          <t>114481H</t>
        </is>
      </c>
      <c r="B353" t="inlineStr">
        <is>
          <t>Master of Engineering (Professional) in Civil and Construction Engineering</t>
        </is>
      </c>
      <c r="C353" t="inlineStr">
        <is>
          <t>Masters Degree (Coursework)</t>
        </is>
      </c>
      <c r="D353" t="inlineStr">
        <is>
          <t>Postgraduate coursework</t>
        </is>
      </c>
      <c r="E353" t="inlineStr">
        <is>
          <t>Advertised: official page in place</t>
        </is>
      </c>
      <c r="F353" t="inlineStr">
        <is>
          <t>https://coursehandbook.mq.edu.au/2026/courses/c000398</t>
        </is>
      </c>
      <c r="G353" t="inlineStr">
        <is>
          <t>https://coursehandbook.mq.edu.au/2026/courses/c000398</t>
        </is>
      </c>
      <c r="H353" t="inlineStr">
        <is>
          <t>Read</t>
        </is>
      </c>
      <c r="I353" t="inlineStr">
        <is>
          <t>Exact title match</t>
        </is>
      </c>
      <c r="J353" t="inlineStr"/>
      <c r="K353" t="inlineStr">
        <is>
          <t>Not sent to re-link</t>
        </is>
      </c>
      <c r="L353" t="inlineStr">
        <is>
          <t>Filled</t>
        </is>
      </c>
      <c r="M353" t="inlineStr">
        <is>
          <t>Not stated on course page</t>
        </is>
      </c>
      <c r="N353" t="inlineStr"/>
      <c r="O353" t="n">
        <v>0</v>
      </c>
      <c r="P353" t="inlineStr"/>
      <c r="Q353" t="inlineStr">
        <is>
          <t>Filled</t>
        </is>
      </c>
      <c r="R353" t="n">
        <v>6.5</v>
      </c>
      <c r="S353" t="inlineStr">
        <is>
          <t>University adapter</t>
        </is>
      </c>
      <c r="T353" t="inlineStr">
        <is>
          <t>Central rule applies (value agrees)</t>
        </is>
      </c>
      <c r="U353" t="inlineStr"/>
      <c r="V353" t="inlineStr">
        <is>
          <t>Not stated on course page</t>
        </is>
      </c>
      <c r="W353" t="inlineStr"/>
      <c r="X353" t="inlineStr"/>
      <c r="Y353" t="n">
        <v>0</v>
      </c>
      <c r="Z353" t="inlineStr">
        <is>
          <t>No</t>
        </is>
      </c>
      <c r="AA353" t="inlineStr">
        <is>
          <t>Not stated on course page</t>
        </is>
      </c>
      <c r="AB353" t="inlineStr"/>
      <c r="AC353" t="inlineStr">
        <is>
          <t>Skipped: the page does not state it</t>
        </is>
      </c>
      <c r="AD353" t="n">
        <v>0</v>
      </c>
      <c r="AE353" t="inlineStr"/>
      <c r="AF353" t="inlineStr"/>
      <c r="AG353" t="inlineStr"/>
      <c r="AH353" t="inlineStr"/>
      <c r="AI353" t="inlineStr"/>
      <c r="AJ353" t="inlineStr"/>
      <c r="AK353" t="inlineStr"/>
      <c r="AL353" t="inlineStr"/>
      <c r="AM353" t="inlineStr"/>
    </row>
    <row r="354">
      <c r="A354" t="inlineStr">
        <is>
          <t>114482G</t>
        </is>
      </c>
      <c r="B354" t="inlineStr">
        <is>
          <t>Master of Engineering (Professional) in Environmental Engineering</t>
        </is>
      </c>
      <c r="C354" t="inlineStr">
        <is>
          <t>Masters Degree (Coursework)</t>
        </is>
      </c>
      <c r="D354" t="inlineStr">
        <is>
          <t>Postgraduate coursework</t>
        </is>
      </c>
      <c r="E354" t="inlineStr">
        <is>
          <t>Advertised: official page in place</t>
        </is>
      </c>
      <c r="F354" t="inlineStr">
        <is>
          <t>https://coursehandbook.mq.edu.au/2026/courses/C000399</t>
        </is>
      </c>
      <c r="G354" t="inlineStr">
        <is>
          <t>https://coursehandbook.mq.edu.au/2026/courses/C000399</t>
        </is>
      </c>
      <c r="H354" t="inlineStr">
        <is>
          <t>Read</t>
        </is>
      </c>
      <c r="I354" t="inlineStr">
        <is>
          <t>Exact title match</t>
        </is>
      </c>
      <c r="J354" t="inlineStr"/>
      <c r="K354" t="inlineStr">
        <is>
          <t>Not sent to re-link</t>
        </is>
      </c>
      <c r="L354" t="inlineStr">
        <is>
          <t>Filled</t>
        </is>
      </c>
      <c r="M354" t="inlineStr">
        <is>
          <t>Not stated on course page</t>
        </is>
      </c>
      <c r="N354" t="inlineStr"/>
      <c r="O354" t="n">
        <v>0</v>
      </c>
      <c r="P354" t="inlineStr"/>
      <c r="Q354" t="inlineStr">
        <is>
          <t>Filled</t>
        </is>
      </c>
      <c r="R354" t="n">
        <v>6.5</v>
      </c>
      <c r="S354" t="inlineStr">
        <is>
          <t>University adapter</t>
        </is>
      </c>
      <c r="T354" t="inlineStr">
        <is>
          <t>Central rule applies (value agrees)</t>
        </is>
      </c>
      <c r="U354" t="inlineStr"/>
      <c r="V354" t="inlineStr">
        <is>
          <t>Not stated on course page</t>
        </is>
      </c>
      <c r="W354" t="inlineStr"/>
      <c r="X354" t="inlineStr"/>
      <c r="Y354" t="n">
        <v>0</v>
      </c>
      <c r="Z354" t="inlineStr">
        <is>
          <t>No</t>
        </is>
      </c>
      <c r="AA354" t="inlineStr">
        <is>
          <t>Not stated on course page</t>
        </is>
      </c>
      <c r="AB354" t="inlineStr"/>
      <c r="AC354" t="inlineStr">
        <is>
          <t>Skipped: the page does not state it</t>
        </is>
      </c>
      <c r="AD354" t="n">
        <v>0</v>
      </c>
      <c r="AE354" t="inlineStr"/>
      <c r="AF354" t="inlineStr"/>
      <c r="AG354" t="inlineStr"/>
      <c r="AH354" t="inlineStr"/>
      <c r="AI354" t="inlineStr"/>
      <c r="AJ354" t="inlineStr"/>
      <c r="AK354" t="inlineStr"/>
      <c r="AL354" t="inlineStr"/>
      <c r="AM354" t="inlineStr"/>
    </row>
    <row r="355">
      <c r="A355" t="inlineStr">
        <is>
          <t>114483F</t>
        </is>
      </c>
      <c r="B355" t="inlineStr">
        <is>
          <t>Master of Engineering (Professional) in Mechanical Engineering</t>
        </is>
      </c>
      <c r="C355" t="inlineStr">
        <is>
          <t>Masters Degree (Coursework)</t>
        </is>
      </c>
      <c r="D355" t="inlineStr">
        <is>
          <t>Postgraduate coursework</t>
        </is>
      </c>
      <c r="E355" t="inlineStr">
        <is>
          <t>Advertised: official page in place</t>
        </is>
      </c>
      <c r="F355" t="inlineStr">
        <is>
          <t>https://coursehandbook.mq.edu.au/2026/courses/c000397</t>
        </is>
      </c>
      <c r="G355" t="inlineStr">
        <is>
          <t>https://coursehandbook.mq.edu.au/2026/courses/c000397</t>
        </is>
      </c>
      <c r="H355" t="inlineStr">
        <is>
          <t>Read</t>
        </is>
      </c>
      <c r="I355" t="inlineStr">
        <is>
          <t>Exact title match</t>
        </is>
      </c>
      <c r="J355" t="inlineStr"/>
      <c r="K355" t="inlineStr">
        <is>
          <t>Not sent to re-link</t>
        </is>
      </c>
      <c r="L355" t="inlineStr">
        <is>
          <t>Filled</t>
        </is>
      </c>
      <c r="M355" t="inlineStr">
        <is>
          <t>Not stated on course page</t>
        </is>
      </c>
      <c r="N355" t="inlineStr"/>
      <c r="O355" t="n">
        <v>0</v>
      </c>
      <c r="P355" t="inlineStr"/>
      <c r="Q355" t="inlineStr">
        <is>
          <t>Filled</t>
        </is>
      </c>
      <c r="R355" t="n">
        <v>6.5</v>
      </c>
      <c r="S355" t="inlineStr">
        <is>
          <t>University adapter</t>
        </is>
      </c>
      <c r="T355" t="inlineStr">
        <is>
          <t>Central rule applies (value agrees)</t>
        </is>
      </c>
      <c r="U355" t="inlineStr"/>
      <c r="V355" t="inlineStr">
        <is>
          <t>Not stated on course page</t>
        </is>
      </c>
      <c r="W355" t="inlineStr"/>
      <c r="X355" t="inlineStr"/>
      <c r="Y355" t="n">
        <v>0</v>
      </c>
      <c r="Z355" t="inlineStr">
        <is>
          <t>No</t>
        </is>
      </c>
      <c r="AA355" t="inlineStr">
        <is>
          <t>Not stated on course page</t>
        </is>
      </c>
      <c r="AB355" t="inlineStr"/>
      <c r="AC355" t="inlineStr">
        <is>
          <t>Skipped: the page does not state it</t>
        </is>
      </c>
      <c r="AD355" t="n">
        <v>0</v>
      </c>
      <c r="AE355" t="inlineStr"/>
      <c r="AF355" t="inlineStr"/>
      <c r="AG355" t="inlineStr"/>
      <c r="AH355" t="inlineStr"/>
      <c r="AI355" t="inlineStr"/>
      <c r="AJ355" t="inlineStr"/>
      <c r="AK355" t="inlineStr"/>
      <c r="AL355" t="inlineStr"/>
      <c r="AM355" t="inlineStr"/>
    </row>
    <row r="356">
      <c r="A356" t="inlineStr">
        <is>
          <t>114484E</t>
        </is>
      </c>
      <c r="B356" t="inlineStr">
        <is>
          <t>Master of Engineering (Professional) in Mechatronics and Automation Engineering</t>
        </is>
      </c>
      <c r="C356" t="inlineStr">
        <is>
          <t>Masters Degree (Coursework)</t>
        </is>
      </c>
      <c r="D356" t="inlineStr">
        <is>
          <t>Postgraduate coursework</t>
        </is>
      </c>
      <c r="E356" t="inlineStr">
        <is>
          <t>Advertised: official page in place</t>
        </is>
      </c>
      <c r="F356" t="inlineStr">
        <is>
          <t>https://coursehandbook.mq.edu.au/2026/courses/C000401</t>
        </is>
      </c>
      <c r="G356" t="inlineStr">
        <is>
          <t>https://coursehandbook.mq.edu.au/2026/courses/C000401</t>
        </is>
      </c>
      <c r="H356" t="inlineStr">
        <is>
          <t>Read</t>
        </is>
      </c>
      <c r="I356" t="inlineStr">
        <is>
          <t>Exact title match</t>
        </is>
      </c>
      <c r="J356" t="inlineStr"/>
      <c r="K356" t="inlineStr">
        <is>
          <t>Not sent to re-link</t>
        </is>
      </c>
      <c r="L356" t="inlineStr">
        <is>
          <t>Filled</t>
        </is>
      </c>
      <c r="M356" t="inlineStr">
        <is>
          <t>Not stated on course page</t>
        </is>
      </c>
      <c r="N356" t="inlineStr"/>
      <c r="O356" t="n">
        <v>0</v>
      </c>
      <c r="P356" t="inlineStr"/>
      <c r="Q356" t="inlineStr">
        <is>
          <t>Filled</t>
        </is>
      </c>
      <c r="R356" t="n">
        <v>6.5</v>
      </c>
      <c r="S356" t="inlineStr">
        <is>
          <t>University adapter</t>
        </is>
      </c>
      <c r="T356" t="inlineStr">
        <is>
          <t>Central rule applies (value agrees)</t>
        </is>
      </c>
      <c r="U356" t="inlineStr"/>
      <c r="V356" t="inlineStr">
        <is>
          <t>Not stated on course page</t>
        </is>
      </c>
      <c r="W356" t="inlineStr"/>
      <c r="X356" t="inlineStr"/>
      <c r="Y356" t="n">
        <v>0</v>
      </c>
      <c r="Z356" t="inlineStr">
        <is>
          <t>No</t>
        </is>
      </c>
      <c r="AA356" t="inlineStr">
        <is>
          <t>Not stated on course page</t>
        </is>
      </c>
      <c r="AB356" t="inlineStr"/>
      <c r="AC356" t="inlineStr">
        <is>
          <t>Skipped: the page does not state it</t>
        </is>
      </c>
      <c r="AD356" t="n">
        <v>0</v>
      </c>
      <c r="AE356" t="inlineStr"/>
      <c r="AF356" t="inlineStr"/>
      <c r="AG356" t="inlineStr"/>
      <c r="AH356" t="inlineStr"/>
      <c r="AI356" t="inlineStr"/>
      <c r="AJ356" t="inlineStr"/>
      <c r="AK356" t="inlineStr"/>
      <c r="AL356" t="inlineStr"/>
      <c r="AM356" t="inlineStr"/>
    </row>
    <row r="357">
      <c r="A357" t="inlineStr">
        <is>
          <t>114485D</t>
        </is>
      </c>
      <c r="B357" t="inlineStr">
        <is>
          <t>Master of Engineering (Professional) in Renewable Energy and Electrical Engineering</t>
        </is>
      </c>
      <c r="C357" t="inlineStr">
        <is>
          <t>Masters Degree (Coursework)</t>
        </is>
      </c>
      <c r="D357" t="inlineStr">
        <is>
          <t>Postgraduate coursework</t>
        </is>
      </c>
      <c r="E357" t="inlineStr">
        <is>
          <t>Advertised: official page in place</t>
        </is>
      </c>
      <c r="F357" t="inlineStr">
        <is>
          <t>https://coursehandbook.mq.edu.au/2026/courses/C000400</t>
        </is>
      </c>
      <c r="G357" t="inlineStr">
        <is>
          <t>https://coursehandbook.mq.edu.au/2026/courses/C000400</t>
        </is>
      </c>
      <c r="H357" t="inlineStr">
        <is>
          <t>Read</t>
        </is>
      </c>
      <c r="I357" t="inlineStr">
        <is>
          <t>Exact title match</t>
        </is>
      </c>
      <c r="J357" t="inlineStr"/>
      <c r="K357" t="inlineStr">
        <is>
          <t>Not sent to re-link</t>
        </is>
      </c>
      <c r="L357" t="inlineStr">
        <is>
          <t>Filled</t>
        </is>
      </c>
      <c r="M357" t="inlineStr">
        <is>
          <t>Not stated on course page</t>
        </is>
      </c>
      <c r="N357" t="inlineStr"/>
      <c r="O357" t="n">
        <v>0</v>
      </c>
      <c r="P357" t="inlineStr"/>
      <c r="Q357" t="inlineStr">
        <is>
          <t>Filled</t>
        </is>
      </c>
      <c r="R357" t="n">
        <v>6.5</v>
      </c>
      <c r="S357" t="inlineStr">
        <is>
          <t>University adapter</t>
        </is>
      </c>
      <c r="T357" t="inlineStr">
        <is>
          <t>Central rule applies (value agrees)</t>
        </is>
      </c>
      <c r="U357" t="inlineStr"/>
      <c r="V357" t="inlineStr">
        <is>
          <t>Not stated on course page</t>
        </is>
      </c>
      <c r="W357" t="inlineStr"/>
      <c r="X357" t="inlineStr"/>
      <c r="Y357" t="n">
        <v>0</v>
      </c>
      <c r="Z357" t="inlineStr">
        <is>
          <t>No</t>
        </is>
      </c>
      <c r="AA357" t="inlineStr">
        <is>
          <t>Not stated on course page</t>
        </is>
      </c>
      <c r="AB357" t="inlineStr"/>
      <c r="AC357" t="inlineStr">
        <is>
          <t>Skipped: the page does not state it</t>
        </is>
      </c>
      <c r="AD357" t="n">
        <v>0</v>
      </c>
      <c r="AE357" t="inlineStr"/>
      <c r="AF357" t="inlineStr"/>
      <c r="AG357" t="inlineStr"/>
      <c r="AH357" t="inlineStr"/>
      <c r="AI357" t="inlineStr"/>
      <c r="AJ357" t="inlineStr"/>
      <c r="AK357" t="inlineStr"/>
      <c r="AL357" t="inlineStr"/>
      <c r="AM357" t="inlineStr"/>
    </row>
    <row r="358">
      <c r="A358" t="inlineStr">
        <is>
          <t>099162G</t>
        </is>
      </c>
      <c r="B358" t="inlineStr">
        <is>
          <t>Master of Engineering in Biomedical Engineering</t>
        </is>
      </c>
      <c r="C358" t="inlineStr">
        <is>
          <t>Masters Degree (Coursework)</t>
        </is>
      </c>
      <c r="D358" t="inlineStr">
        <is>
          <t>Postgraduate coursework</t>
        </is>
      </c>
      <c r="E358" t="inlineStr">
        <is>
          <t>Held: page found is for another course</t>
        </is>
      </c>
      <c r="F358" t="inlineStr"/>
      <c r="G358" t="inlineStr">
        <is>
          <t>https://coursehandbook.mq.edu.au/2026/courses/C000177</t>
        </is>
      </c>
      <c r="H358" t="inlineStr">
        <is>
          <t>Page is for another course</t>
        </is>
      </c>
      <c r="I358" t="inlineStr"/>
      <c r="J358" t="inlineStr"/>
      <c r="K358" t="inlineStr">
        <is>
          <t>Finished, no page: no address from the university's address forms or stored lis</t>
        </is>
      </c>
      <c r="L358" t="inlineStr">
        <is>
          <t>Searching for course page</t>
        </is>
      </c>
      <c r="M358" t="inlineStr">
        <is>
          <t>Searching for course page</t>
        </is>
      </c>
      <c r="N358" t="inlineStr"/>
      <c r="O358" t="n">
        <v>0</v>
      </c>
      <c r="P358" t="inlineStr"/>
      <c r="Q358" t="inlineStr">
        <is>
          <t>Filled</t>
        </is>
      </c>
      <c r="R358" t="n">
        <v>6.5</v>
      </c>
      <c r="S358" t="inlineStr">
        <is>
          <t>Central English policy</t>
        </is>
      </c>
      <c r="T358" t="inlineStr">
        <is>
          <t>Central rule applies (value agrees)</t>
        </is>
      </c>
      <c r="U358" t="inlineStr"/>
      <c r="V358" t="inlineStr">
        <is>
          <t>Searching for course page</t>
        </is>
      </c>
      <c r="W358" t="inlineStr"/>
      <c r="X358" t="inlineStr"/>
      <c r="Y358" t="n">
        <v>0</v>
      </c>
      <c r="Z358" t="inlineStr">
        <is>
          <t>No</t>
        </is>
      </c>
      <c r="AA358" t="inlineStr">
        <is>
          <t>Not stated on course page</t>
        </is>
      </c>
      <c r="AB358" t="inlineStr"/>
      <c r="AC358" t="inlineStr">
        <is>
          <t>Skipped: no correct course page: the page found is for another course</t>
        </is>
      </c>
      <c r="AD358" t="n">
        <v>0</v>
      </c>
      <c r="AE358" t="inlineStr"/>
      <c r="AF358" t="inlineStr"/>
      <c r="AG358" t="inlineStr"/>
      <c r="AH358" t="inlineStr"/>
      <c r="AI358" t="inlineStr"/>
      <c r="AJ358" t="inlineStr"/>
      <c r="AK358" t="inlineStr"/>
      <c r="AL358" t="inlineStr"/>
      <c r="AM358" t="inlineStr"/>
    </row>
    <row r="359">
      <c r="A359" t="inlineStr">
        <is>
          <t>099163G</t>
        </is>
      </c>
      <c r="B359" t="inlineStr">
        <is>
          <t>Master of Engineering in Electronics Engineering</t>
        </is>
      </c>
      <c r="C359" t="inlineStr">
        <is>
          <t>Masters Degree (Coursework)</t>
        </is>
      </c>
      <c r="D359" t="inlineStr">
        <is>
          <t>Postgraduate coursework</t>
        </is>
      </c>
      <c r="E359" t="inlineStr">
        <is>
          <t>Page address no longer works</t>
        </is>
      </c>
      <c r="F359" t="inlineStr"/>
      <c r="G359" t="inlineStr">
        <is>
          <t>https://coursehandbook.mq.edu.au/2026/doubledegree/d006502</t>
        </is>
      </c>
      <c r="H359" t="inlineStr">
        <is>
          <t>Address no longer works</t>
        </is>
      </c>
      <c r="I359" t="inlineStr"/>
      <c r="J359" t="inlineStr"/>
      <c r="K359" t="inlineStr">
        <is>
          <t>Not sent to re-link</t>
        </is>
      </c>
      <c r="L359" t="inlineStr">
        <is>
          <t>Page found, being read</t>
        </is>
      </c>
      <c r="M359" t="inlineStr">
        <is>
          <t>Page found, being read</t>
        </is>
      </c>
      <c r="N359" t="inlineStr"/>
      <c r="O359" t="n">
        <v>0</v>
      </c>
      <c r="P359" t="inlineStr"/>
      <c r="Q359" t="inlineStr">
        <is>
          <t>Filled</t>
        </is>
      </c>
      <c r="R359" t="n">
        <v>6.5</v>
      </c>
      <c r="S359" t="inlineStr">
        <is>
          <t>Central English policy</t>
        </is>
      </c>
      <c r="T359" t="inlineStr">
        <is>
          <t>Central rule applies (value agrees)</t>
        </is>
      </c>
      <c r="U359" t="inlineStr"/>
      <c r="V359" t="inlineStr">
        <is>
          <t>Page found, being read</t>
        </is>
      </c>
      <c r="W359" t="inlineStr"/>
      <c r="X359" t="inlineStr"/>
      <c r="Y359" t="n">
        <v>0</v>
      </c>
      <c r="Z359" t="inlineStr">
        <is>
          <t>No</t>
        </is>
      </c>
      <c r="AA359" t="inlineStr">
        <is>
          <t>Not stated on course page</t>
        </is>
      </c>
      <c r="AB359" t="inlineStr"/>
      <c r="AC359" t="inlineStr">
        <is>
          <t>Skipped: no allowed source had a value</t>
        </is>
      </c>
      <c r="AD359" t="n">
        <v>0</v>
      </c>
      <c r="AE359" t="inlineStr"/>
      <c r="AF359" t="inlineStr"/>
      <c r="AG359" t="inlineStr"/>
      <c r="AH359" t="inlineStr"/>
      <c r="AI359" t="inlineStr"/>
      <c r="AJ359" t="inlineStr"/>
      <c r="AK359" t="inlineStr"/>
      <c r="AL359" t="inlineStr"/>
      <c r="AM359" t="inlineStr"/>
    </row>
    <row r="360">
      <c r="A360" t="inlineStr">
        <is>
          <t>099164F</t>
        </is>
      </c>
      <c r="B360" t="inlineStr">
        <is>
          <t>Master of Engineering in Environmental and Safety Engineering</t>
        </is>
      </c>
      <c r="C360" t="inlineStr">
        <is>
          <t>Masters Degree (Coursework)</t>
        </is>
      </c>
      <c r="D360" t="inlineStr">
        <is>
          <t>Postgraduate coursework</t>
        </is>
      </c>
      <c r="E360" t="inlineStr">
        <is>
          <t>Page address no longer works</t>
        </is>
      </c>
      <c r="F360" t="inlineStr"/>
      <c r="G360" t="inlineStr">
        <is>
          <t>https://coursehandbook.mq.edu.au/2026/courses/C000181</t>
        </is>
      </c>
      <c r="H360" t="inlineStr">
        <is>
          <t>Address no longer works</t>
        </is>
      </c>
      <c r="I360" t="inlineStr"/>
      <c r="J360" t="inlineStr"/>
      <c r="K360" t="inlineStr">
        <is>
          <t>Not sent to re-link</t>
        </is>
      </c>
      <c r="L360" t="inlineStr">
        <is>
          <t>Page found, being read</t>
        </is>
      </c>
      <c r="M360" t="inlineStr">
        <is>
          <t>Page found, being read</t>
        </is>
      </c>
      <c r="N360" t="inlineStr"/>
      <c r="O360" t="n">
        <v>0</v>
      </c>
      <c r="P360" t="inlineStr"/>
      <c r="Q360" t="inlineStr">
        <is>
          <t>Filled</t>
        </is>
      </c>
      <c r="R360" t="n">
        <v>6.5</v>
      </c>
      <c r="S360" t="inlineStr">
        <is>
          <t>Central English policy</t>
        </is>
      </c>
      <c r="T360" t="inlineStr">
        <is>
          <t>Central rule applies (value agrees)</t>
        </is>
      </c>
      <c r="U360" t="inlineStr"/>
      <c r="V360" t="inlineStr">
        <is>
          <t>Page found, being read</t>
        </is>
      </c>
      <c r="W360" t="inlineStr"/>
      <c r="X360" t="inlineStr"/>
      <c r="Y360" t="n">
        <v>0</v>
      </c>
      <c r="Z360" t="inlineStr">
        <is>
          <t>No</t>
        </is>
      </c>
      <c r="AA360" t="inlineStr">
        <is>
          <t>Not stated on course page</t>
        </is>
      </c>
      <c r="AB360" t="inlineStr"/>
      <c r="AC360" t="inlineStr">
        <is>
          <t>Skipped: no allowed source had a value</t>
        </is>
      </c>
      <c r="AD360" t="n">
        <v>0</v>
      </c>
      <c r="AE360" t="inlineStr"/>
      <c r="AF360" t="inlineStr"/>
      <c r="AG360" t="inlineStr"/>
      <c r="AH360" t="inlineStr"/>
      <c r="AI360" t="inlineStr"/>
      <c r="AJ360" t="inlineStr"/>
      <c r="AK360" t="inlineStr"/>
      <c r="AL360" t="inlineStr"/>
      <c r="AM360" t="inlineStr"/>
    </row>
    <row r="361">
      <c r="A361" t="inlineStr">
        <is>
          <t>099165E</t>
        </is>
      </c>
      <c r="B361" t="inlineStr">
        <is>
          <t>Master of Engineering in Mechanical Engineering</t>
        </is>
      </c>
      <c r="C361" t="inlineStr">
        <is>
          <t>Masters Degree (Coursework)</t>
        </is>
      </c>
      <c r="D361" t="inlineStr">
        <is>
          <t>Postgraduate coursework</t>
        </is>
      </c>
      <c r="E361" t="inlineStr">
        <is>
          <t>Page address no longer works</t>
        </is>
      </c>
      <c r="F361" t="inlineStr"/>
      <c r="G361" t="inlineStr">
        <is>
          <t>https://coursehandbook.mq.edu.au/2026/courses/c000182</t>
        </is>
      </c>
      <c r="H361" t="inlineStr">
        <is>
          <t>Address no longer works</t>
        </is>
      </c>
      <c r="I361" t="inlineStr"/>
      <c r="J361" t="inlineStr"/>
      <c r="K361" t="inlineStr">
        <is>
          <t>Not sent to re-link</t>
        </is>
      </c>
      <c r="L361" t="inlineStr">
        <is>
          <t>Page found, being read</t>
        </is>
      </c>
      <c r="M361" t="inlineStr">
        <is>
          <t>Page found, being read</t>
        </is>
      </c>
      <c r="N361" t="inlineStr"/>
      <c r="O361" t="n">
        <v>0</v>
      </c>
      <c r="P361" t="inlineStr"/>
      <c r="Q361" t="inlineStr">
        <is>
          <t>Filled</t>
        </is>
      </c>
      <c r="R361" t="n">
        <v>6.5</v>
      </c>
      <c r="S361" t="inlineStr">
        <is>
          <t>Central English policy</t>
        </is>
      </c>
      <c r="T361" t="inlineStr">
        <is>
          <t>Central rule applies (value agrees)</t>
        </is>
      </c>
      <c r="U361" t="inlineStr"/>
      <c r="V361" t="inlineStr">
        <is>
          <t>Page found, being read</t>
        </is>
      </c>
      <c r="W361" t="inlineStr"/>
      <c r="X361" t="inlineStr"/>
      <c r="Y361" t="n">
        <v>0</v>
      </c>
      <c r="Z361" t="inlineStr">
        <is>
          <t>No</t>
        </is>
      </c>
      <c r="AA361" t="inlineStr">
        <is>
          <t>Not stated on course page</t>
        </is>
      </c>
      <c r="AB361" t="inlineStr"/>
      <c r="AC361" t="inlineStr">
        <is>
          <t>Skipped: no allowed source had a value</t>
        </is>
      </c>
      <c r="AD361" t="n">
        <v>0</v>
      </c>
      <c r="AE361" t="inlineStr"/>
      <c r="AF361" t="inlineStr"/>
      <c r="AG361" t="inlineStr"/>
      <c r="AH361" t="inlineStr"/>
      <c r="AI361" t="inlineStr"/>
      <c r="AJ361" t="inlineStr"/>
      <c r="AK361" t="inlineStr"/>
      <c r="AL361" t="inlineStr"/>
      <c r="AM361" t="inlineStr"/>
    </row>
    <row r="362">
      <c r="A362" t="inlineStr">
        <is>
          <t>099166D</t>
        </is>
      </c>
      <c r="B362" t="inlineStr">
        <is>
          <t>Master of Engineering in Networking and Telecommunications Engineering</t>
        </is>
      </c>
      <c r="C362" t="inlineStr">
        <is>
          <t>Masters Degree (Coursework)</t>
        </is>
      </c>
      <c r="D362" t="inlineStr">
        <is>
          <t>Postgraduate coursework</t>
        </is>
      </c>
      <c r="E362" t="inlineStr">
        <is>
          <t>Page address no longer works</t>
        </is>
      </c>
      <c r="F362" t="inlineStr"/>
      <c r="G362" t="inlineStr">
        <is>
          <t>https://coursehandbook.mq.edu.au/2026/courses/c000182</t>
        </is>
      </c>
      <c r="H362" t="inlineStr">
        <is>
          <t>Address no longer works</t>
        </is>
      </c>
      <c r="I362" t="inlineStr"/>
      <c r="J362" t="inlineStr"/>
      <c r="K362" t="inlineStr">
        <is>
          <t>Not sent to re-link</t>
        </is>
      </c>
      <c r="L362" t="inlineStr">
        <is>
          <t>Page found, being read</t>
        </is>
      </c>
      <c r="M362" t="inlineStr">
        <is>
          <t>Page found, being read</t>
        </is>
      </c>
      <c r="N362" t="inlineStr"/>
      <c r="O362" t="n">
        <v>0</v>
      </c>
      <c r="P362" t="inlineStr"/>
      <c r="Q362" t="inlineStr">
        <is>
          <t>Filled</t>
        </is>
      </c>
      <c r="R362" t="n">
        <v>6.5</v>
      </c>
      <c r="S362" t="inlineStr">
        <is>
          <t>Central English policy</t>
        </is>
      </c>
      <c r="T362" t="inlineStr">
        <is>
          <t>Central rule applies (value agrees)</t>
        </is>
      </c>
      <c r="U362" t="inlineStr"/>
      <c r="V362" t="inlineStr">
        <is>
          <t>Page found, being read</t>
        </is>
      </c>
      <c r="W362" t="inlineStr"/>
      <c r="X362" t="inlineStr"/>
      <c r="Y362" t="n">
        <v>0</v>
      </c>
      <c r="Z362" t="inlineStr">
        <is>
          <t>No</t>
        </is>
      </c>
      <c r="AA362" t="inlineStr">
        <is>
          <t>Not stated on course page</t>
        </is>
      </c>
      <c r="AB362" t="inlineStr"/>
      <c r="AC362" t="inlineStr">
        <is>
          <t>Skipped: no allowed source had a value</t>
        </is>
      </c>
      <c r="AD362" t="n">
        <v>0</v>
      </c>
      <c r="AE362" t="inlineStr"/>
      <c r="AF362" t="inlineStr"/>
      <c r="AG362" t="inlineStr"/>
      <c r="AH362" t="inlineStr"/>
      <c r="AI362" t="inlineStr"/>
      <c r="AJ362" t="inlineStr"/>
      <c r="AK362" t="inlineStr"/>
      <c r="AL362" t="inlineStr"/>
      <c r="AM362" t="inlineStr"/>
    </row>
    <row r="363">
      <c r="A363" t="inlineStr">
        <is>
          <t>099167C</t>
        </is>
      </c>
      <c r="B363" t="inlineStr">
        <is>
          <t>Master of Engineering in Quantum Engineering</t>
        </is>
      </c>
      <c r="C363" t="inlineStr">
        <is>
          <t>Masters Degree (Coursework)</t>
        </is>
      </c>
      <c r="D363" t="inlineStr">
        <is>
          <t>Postgraduate coursework</t>
        </is>
      </c>
      <c r="E363" t="inlineStr">
        <is>
          <t>Held: page found is for another course</t>
        </is>
      </c>
      <c r="F363" t="inlineStr"/>
      <c r="G363" t="inlineStr">
        <is>
          <t>https://coursehandbook.mq.edu.au/2026/courses/C000406</t>
        </is>
      </c>
      <c r="H363" t="inlineStr">
        <is>
          <t>Page is for another course</t>
        </is>
      </c>
      <c r="I363" t="inlineStr"/>
      <c r="J363" t="inlineStr"/>
      <c r="K363" t="inlineStr">
        <is>
          <t>Finished, no page: no address from the university's address forms or stored lis</t>
        </is>
      </c>
      <c r="L363" t="inlineStr">
        <is>
          <t>Searching for course page</t>
        </is>
      </c>
      <c r="M363" t="inlineStr">
        <is>
          <t>Searching for course page</t>
        </is>
      </c>
      <c r="N363" t="inlineStr"/>
      <c r="O363" t="n">
        <v>0</v>
      </c>
      <c r="P363" t="inlineStr"/>
      <c r="Q363" t="inlineStr">
        <is>
          <t>Filled</t>
        </is>
      </c>
      <c r="R363" t="n">
        <v>6.5</v>
      </c>
      <c r="S363" t="inlineStr">
        <is>
          <t>Central English policy</t>
        </is>
      </c>
      <c r="T363" t="inlineStr">
        <is>
          <t>Central rule applies (value agrees)</t>
        </is>
      </c>
      <c r="U363" t="inlineStr"/>
      <c r="V363" t="inlineStr">
        <is>
          <t>Searching for course page</t>
        </is>
      </c>
      <c r="W363" t="inlineStr"/>
      <c r="X363" t="inlineStr"/>
      <c r="Y363" t="n">
        <v>0</v>
      </c>
      <c r="Z363" t="inlineStr">
        <is>
          <t>No</t>
        </is>
      </c>
      <c r="AA363" t="inlineStr">
        <is>
          <t>Not stated on course page</t>
        </is>
      </c>
      <c r="AB363" t="inlineStr"/>
      <c r="AC363" t="inlineStr">
        <is>
          <t>Skipped: no correct course page: the page found is for another course</t>
        </is>
      </c>
      <c r="AD363" t="n">
        <v>0</v>
      </c>
      <c r="AE363" t="inlineStr"/>
      <c r="AF363" t="inlineStr"/>
      <c r="AG363" t="inlineStr"/>
      <c r="AH363" t="inlineStr"/>
      <c r="AI363" t="inlineStr"/>
      <c r="AJ363" t="inlineStr"/>
      <c r="AK363" t="inlineStr"/>
      <c r="AL363" t="inlineStr"/>
      <c r="AM363" t="inlineStr"/>
    </row>
    <row r="364">
      <c r="A364" t="inlineStr">
        <is>
          <t>099168B</t>
        </is>
      </c>
      <c r="B364" t="inlineStr">
        <is>
          <t>Master of Engineering Management</t>
        </is>
      </c>
      <c r="C364" t="inlineStr">
        <is>
          <t>Masters Degree (Coursework)</t>
        </is>
      </c>
      <c r="D364" t="inlineStr">
        <is>
          <t>Postgraduate coursework</t>
        </is>
      </c>
      <c r="E364" t="inlineStr">
        <is>
          <t>Advertised: official page in place</t>
        </is>
      </c>
      <c r="F364" t="inlineStr">
        <is>
          <t>https://coursehandbook.mq.edu.au/2026/courses/c000177</t>
        </is>
      </c>
      <c r="G364" t="inlineStr">
        <is>
          <t>https://coursehandbook.mq.edu.au/2026/courses/c000177</t>
        </is>
      </c>
      <c r="H364" t="inlineStr">
        <is>
          <t>Read</t>
        </is>
      </c>
      <c r="I364" t="inlineStr">
        <is>
          <t>Exact title match</t>
        </is>
      </c>
      <c r="J364" t="inlineStr"/>
      <c r="K364" t="inlineStr">
        <is>
          <t>Not sent to re-link</t>
        </is>
      </c>
      <c r="L364" t="inlineStr">
        <is>
          <t>Filled</t>
        </is>
      </c>
      <c r="M364" t="inlineStr">
        <is>
          <t>Not stated on course page</t>
        </is>
      </c>
      <c r="N364" t="inlineStr"/>
      <c r="O364" t="n">
        <v>0</v>
      </c>
      <c r="P364" t="inlineStr"/>
      <c r="Q364" t="inlineStr">
        <is>
          <t>Filled</t>
        </is>
      </c>
      <c r="R364" t="n">
        <v>6.5</v>
      </c>
      <c r="S364" t="inlineStr">
        <is>
          <t>University adapter</t>
        </is>
      </c>
      <c r="T364" t="inlineStr">
        <is>
          <t>Central rule applies (value agrees)</t>
        </is>
      </c>
      <c r="U364" t="inlineStr"/>
      <c r="V364" t="inlineStr">
        <is>
          <t>Not stated on course page</t>
        </is>
      </c>
      <c r="W364" t="inlineStr"/>
      <c r="X364" t="inlineStr"/>
      <c r="Y364" t="n">
        <v>0</v>
      </c>
      <c r="Z364" t="inlineStr">
        <is>
          <t>No</t>
        </is>
      </c>
      <c r="AA364" t="inlineStr">
        <is>
          <t>Not stated on course page</t>
        </is>
      </c>
      <c r="AB364" t="inlineStr"/>
      <c r="AC364" t="inlineStr">
        <is>
          <t>Skipped: the page does not state it</t>
        </is>
      </c>
      <c r="AD364" t="n">
        <v>0</v>
      </c>
      <c r="AE364" t="inlineStr"/>
      <c r="AF364" t="inlineStr"/>
      <c r="AG364" t="inlineStr"/>
      <c r="AH364" t="inlineStr"/>
      <c r="AI364" t="inlineStr"/>
      <c r="AJ364" t="inlineStr"/>
      <c r="AK364" t="inlineStr"/>
      <c r="AL364" t="inlineStr"/>
      <c r="AM364" t="inlineStr"/>
    </row>
    <row r="365">
      <c r="A365" t="inlineStr">
        <is>
          <t>084700K</t>
        </is>
      </c>
      <c r="B365" t="inlineStr">
        <is>
          <t>Master of Environment</t>
        </is>
      </c>
      <c r="C365" t="inlineStr">
        <is>
          <t>Masters Degree (Coursework)</t>
        </is>
      </c>
      <c r="D365" t="inlineStr">
        <is>
          <t>Postgraduate coursework</t>
        </is>
      </c>
      <c r="E365" t="inlineStr">
        <is>
          <t>Advertised: official page in place</t>
        </is>
      </c>
      <c r="F365" t="inlineStr">
        <is>
          <t>https://coursehandbook.mq.edu.au/2026/courses/C000023</t>
        </is>
      </c>
      <c r="G365" t="inlineStr">
        <is>
          <t>https://coursehandbook.mq.edu.au/2026/courses/C000023</t>
        </is>
      </c>
      <c r="H365" t="inlineStr">
        <is>
          <t>Read</t>
        </is>
      </c>
      <c r="I365" t="inlineStr">
        <is>
          <t>Exact title match</t>
        </is>
      </c>
      <c r="J365" t="inlineStr"/>
      <c r="K365" t="inlineStr">
        <is>
          <t>Not sent to re-link</t>
        </is>
      </c>
      <c r="L365" t="inlineStr">
        <is>
          <t>Filled</t>
        </is>
      </c>
      <c r="M365" t="inlineStr">
        <is>
          <t>Not stated on course page</t>
        </is>
      </c>
      <c r="N365" t="inlineStr"/>
      <c r="O365" t="n">
        <v>0</v>
      </c>
      <c r="P365" t="inlineStr"/>
      <c r="Q365" t="inlineStr">
        <is>
          <t>Filled</t>
        </is>
      </c>
      <c r="R365" t="n">
        <v>6.5</v>
      </c>
      <c r="S365" t="inlineStr">
        <is>
          <t>University adapter</t>
        </is>
      </c>
      <c r="T365" t="inlineStr">
        <is>
          <t>Central rule applies (value agrees)</t>
        </is>
      </c>
      <c r="U365" t="inlineStr"/>
      <c r="V365" t="inlineStr">
        <is>
          <t>Not stated on course page</t>
        </is>
      </c>
      <c r="W365" t="inlineStr"/>
      <c r="X365" t="inlineStr"/>
      <c r="Y365" t="n">
        <v>0</v>
      </c>
      <c r="Z365" t="inlineStr">
        <is>
          <t>No</t>
        </is>
      </c>
      <c r="AA365" t="inlineStr">
        <is>
          <t>Not stated on course page</t>
        </is>
      </c>
      <c r="AB365" t="inlineStr"/>
      <c r="AC365" t="inlineStr">
        <is>
          <t>Skipped: the page does not state it</t>
        </is>
      </c>
      <c r="AD365" t="n">
        <v>0</v>
      </c>
      <c r="AE365" t="inlineStr"/>
      <c r="AF365" t="inlineStr"/>
      <c r="AG365" t="inlineStr"/>
      <c r="AH365" t="inlineStr"/>
      <c r="AI365" t="inlineStr"/>
      <c r="AJ365" t="inlineStr"/>
      <c r="AK365" t="inlineStr"/>
      <c r="AL365" t="inlineStr"/>
      <c r="AM365" t="inlineStr"/>
    </row>
    <row r="366">
      <c r="A366" t="inlineStr">
        <is>
          <t>121049K</t>
        </is>
      </c>
      <c r="B366" t="inlineStr">
        <is>
          <t>Master of Environment and Conservation</t>
        </is>
      </c>
      <c r="C366" t="inlineStr">
        <is>
          <t>Masters Degree (Coursework)</t>
        </is>
      </c>
      <c r="D366" t="inlineStr">
        <is>
          <t>Postgraduate coursework</t>
        </is>
      </c>
      <c r="E366" t="inlineStr">
        <is>
          <t>Advertised: official page in place</t>
        </is>
      </c>
      <c r="F366" t="inlineStr">
        <is>
          <t>https://www.mq.edu.au/study/find-a-course/courses/master-of-environment-and-conservation</t>
        </is>
      </c>
      <c r="G366" t="inlineStr">
        <is>
          <t>https://www.mq.edu.au/study/find-a-course/courses/master-of-environment-and-conservation</t>
        </is>
      </c>
      <c r="H366" t="inlineStr">
        <is>
          <t>Read</t>
        </is>
      </c>
      <c r="I366" t="inlineStr">
        <is>
          <t>Exact title match</t>
        </is>
      </c>
      <c r="J366" t="inlineStr"/>
      <c r="K366" t="inlineStr">
        <is>
          <t>Not sent to re-link</t>
        </is>
      </c>
      <c r="L366" t="inlineStr">
        <is>
          <t>Filled</t>
        </is>
      </c>
      <c r="M366" t="inlineStr">
        <is>
          <t>Not stated on course page</t>
        </is>
      </c>
      <c r="N366" t="inlineStr"/>
      <c r="O366" t="n">
        <v>0</v>
      </c>
      <c r="P366" t="inlineStr"/>
      <c r="Q366" t="inlineStr">
        <is>
          <t>Filled</t>
        </is>
      </c>
      <c r="R366" t="n">
        <v>6.5</v>
      </c>
      <c r="S366" t="inlineStr">
        <is>
          <t>Other</t>
        </is>
      </c>
      <c r="T366" t="inlineStr">
        <is>
          <t>Central rule applies (value agrees)</t>
        </is>
      </c>
      <c r="U366" t="inlineStr"/>
      <c r="V366" t="inlineStr">
        <is>
          <t>Filled</t>
        </is>
      </c>
      <c r="W366" t="inlineStr">
        <is>
          <t>February, July</t>
        </is>
      </c>
      <c r="X366" t="inlineStr">
        <is>
          <t>Other</t>
        </is>
      </c>
      <c r="Y366" t="n">
        <v>0</v>
      </c>
      <c r="Z366" t="inlineStr">
        <is>
          <t>No</t>
        </is>
      </c>
      <c r="AA366" t="inlineStr">
        <is>
          <t>Filled</t>
        </is>
      </c>
      <c r="AB366" t="inlineStr">
        <is>
          <t>on campus</t>
        </is>
      </c>
      <c r="AC366" t="inlineStr">
        <is>
          <t>Filled</t>
        </is>
      </c>
      <c r="AD366" t="n">
        <v>0</v>
      </c>
      <c r="AE366" t="inlineStr"/>
      <c r="AF366" t="inlineStr"/>
      <c r="AG366" t="inlineStr"/>
      <c r="AH366" t="inlineStr"/>
      <c r="AI366" t="inlineStr"/>
      <c r="AJ366" t="inlineStr"/>
      <c r="AK366" t="inlineStr"/>
      <c r="AL366" t="inlineStr"/>
      <c r="AM366" t="inlineStr"/>
    </row>
    <row r="367">
      <c r="A367" t="inlineStr">
        <is>
          <t>099169A</t>
        </is>
      </c>
      <c r="B367" t="inlineStr">
        <is>
          <t>Master of Finance</t>
        </is>
      </c>
      <c r="C367" t="inlineStr">
        <is>
          <t>Masters Degree (Coursework)</t>
        </is>
      </c>
      <c r="D367" t="inlineStr">
        <is>
          <t>Postgraduate coursework</t>
        </is>
      </c>
      <c r="E367" t="inlineStr">
        <is>
          <t>Page address no longer works</t>
        </is>
      </c>
      <c r="F367" t="inlineStr"/>
      <c r="G367" t="inlineStr">
        <is>
          <t>https://coursehandbook.mq.edu.au/2026/doubledegree/d003171</t>
        </is>
      </c>
      <c r="H367" t="inlineStr">
        <is>
          <t>Address no longer works</t>
        </is>
      </c>
      <c r="I367" t="inlineStr"/>
      <c r="J367" t="inlineStr"/>
      <c r="K367" t="inlineStr">
        <is>
          <t>Not sent to re-link</t>
        </is>
      </c>
      <c r="L367" t="inlineStr">
        <is>
          <t>Page found, being read</t>
        </is>
      </c>
      <c r="M367" t="inlineStr">
        <is>
          <t>Page found, being read</t>
        </is>
      </c>
      <c r="N367" t="inlineStr"/>
      <c r="O367" t="n">
        <v>0</v>
      </c>
      <c r="P367" t="inlineStr"/>
      <c r="Q367" t="inlineStr">
        <is>
          <t>Filled</t>
        </is>
      </c>
      <c r="R367" t="n">
        <v>6.5</v>
      </c>
      <c r="S367" t="inlineStr">
        <is>
          <t>Central English policy</t>
        </is>
      </c>
      <c r="T367" t="inlineStr">
        <is>
          <t>Central rule applies (value agrees)</t>
        </is>
      </c>
      <c r="U367" t="inlineStr"/>
      <c r="V367" t="inlineStr">
        <is>
          <t>Page found, being read</t>
        </is>
      </c>
      <c r="W367" t="inlineStr"/>
      <c r="X367" t="inlineStr"/>
      <c r="Y367" t="n">
        <v>0</v>
      </c>
      <c r="Z367" t="inlineStr">
        <is>
          <t>No</t>
        </is>
      </c>
      <c r="AA367" t="inlineStr">
        <is>
          <t>Not stated on course page</t>
        </is>
      </c>
      <c r="AB367" t="inlineStr"/>
      <c r="AC367" t="inlineStr">
        <is>
          <t>Skipped: no allowed source had a value</t>
        </is>
      </c>
      <c r="AD367" t="n">
        <v>0</v>
      </c>
      <c r="AE367" t="inlineStr"/>
      <c r="AF367" t="inlineStr"/>
      <c r="AG367" t="inlineStr"/>
      <c r="AH367" t="inlineStr"/>
      <c r="AI367" t="inlineStr"/>
      <c r="AJ367" t="inlineStr"/>
      <c r="AK367" t="inlineStr"/>
      <c r="AL367" t="inlineStr"/>
      <c r="AM367" t="inlineStr"/>
    </row>
    <row r="368">
      <c r="A368" t="inlineStr">
        <is>
          <t>099170G</t>
        </is>
      </c>
      <c r="B368" t="inlineStr">
        <is>
          <t>Master of Forensic Accounting and Financial Crime</t>
        </is>
      </c>
      <c r="C368" t="inlineStr">
        <is>
          <t>Masters Degree (Coursework)</t>
        </is>
      </c>
      <c r="D368" t="inlineStr">
        <is>
          <t>Postgraduate coursework</t>
        </is>
      </c>
      <c r="E368" t="inlineStr">
        <is>
          <t>Page address no longer works</t>
        </is>
      </c>
      <c r="F368" t="inlineStr"/>
      <c r="G368" t="inlineStr">
        <is>
          <t>https://coursehandbook.mq.edu.au/2026/courses/c000066</t>
        </is>
      </c>
      <c r="H368" t="inlineStr">
        <is>
          <t>Address no longer works</t>
        </is>
      </c>
      <c r="I368" t="inlineStr"/>
      <c r="J368" t="inlineStr"/>
      <c r="K368" t="inlineStr">
        <is>
          <t>Not sent to re-link</t>
        </is>
      </c>
      <c r="L368" t="inlineStr">
        <is>
          <t>Page found, being read</t>
        </is>
      </c>
      <c r="M368" t="inlineStr">
        <is>
          <t>Page found, being read</t>
        </is>
      </c>
      <c r="N368" t="inlineStr"/>
      <c r="O368" t="n">
        <v>0</v>
      </c>
      <c r="P368" t="inlineStr"/>
      <c r="Q368" t="inlineStr">
        <is>
          <t>Filled</t>
        </is>
      </c>
      <c r="R368" t="n">
        <v>6.5</v>
      </c>
      <c r="S368" t="inlineStr">
        <is>
          <t>Central English policy</t>
        </is>
      </c>
      <c r="T368" t="inlineStr">
        <is>
          <t>Central rule applies (value agrees)</t>
        </is>
      </c>
      <c r="U368" t="inlineStr"/>
      <c r="V368" t="inlineStr">
        <is>
          <t>Page found, being read</t>
        </is>
      </c>
      <c r="W368" t="inlineStr"/>
      <c r="X368" t="inlineStr"/>
      <c r="Y368" t="n">
        <v>0</v>
      </c>
      <c r="Z368" t="inlineStr">
        <is>
          <t>No</t>
        </is>
      </c>
      <c r="AA368" t="inlineStr">
        <is>
          <t>Not stated on course page</t>
        </is>
      </c>
      <c r="AB368" t="inlineStr"/>
      <c r="AC368" t="inlineStr">
        <is>
          <t>Skipped: no allowed source had a value</t>
        </is>
      </c>
      <c r="AD368" t="n">
        <v>0</v>
      </c>
      <c r="AE368" t="inlineStr"/>
      <c r="AF368" t="inlineStr"/>
      <c r="AG368" t="inlineStr"/>
      <c r="AH368" t="inlineStr"/>
      <c r="AI368" t="inlineStr"/>
      <c r="AJ368" t="inlineStr"/>
      <c r="AK368" t="inlineStr"/>
      <c r="AL368" t="inlineStr"/>
      <c r="AM368" t="inlineStr"/>
    </row>
    <row r="369">
      <c r="A369" t="inlineStr">
        <is>
          <t>083788E</t>
        </is>
      </c>
      <c r="B369" t="inlineStr">
        <is>
          <t>Master of Geoscience</t>
        </is>
      </c>
      <c r="C369" t="inlineStr">
        <is>
          <t>Masters Degree (Coursework)</t>
        </is>
      </c>
      <c r="D369" t="inlineStr">
        <is>
          <t>Postgraduate coursework</t>
        </is>
      </c>
      <c r="E369" t="inlineStr">
        <is>
          <t>Advertised: official page in place</t>
        </is>
      </c>
      <c r="F369" t="inlineStr">
        <is>
          <t>https://handbook.mq.edu.au/2017/DegreesDiplomas/PGDegree/Master+of+Geoscience</t>
        </is>
      </c>
      <c r="G369" t="inlineStr">
        <is>
          <t>https://handbook.mq.edu.au/2017/DegreesDiplomas/PGDegree/Master+of+Geoscience</t>
        </is>
      </c>
      <c r="H369" t="inlineStr">
        <is>
          <t>Read</t>
        </is>
      </c>
      <c r="I369" t="inlineStr">
        <is>
          <t>CRICOS code on page</t>
        </is>
      </c>
      <c r="J369" t="inlineStr"/>
      <c r="K369" t="inlineStr">
        <is>
          <t>Not sent to re-link</t>
        </is>
      </c>
      <c r="L369" t="inlineStr">
        <is>
          <t>Filled</t>
        </is>
      </c>
      <c r="M369" t="inlineStr">
        <is>
          <t>Not stated on course page</t>
        </is>
      </c>
      <c r="N369" t="inlineStr"/>
      <c r="O369" t="n">
        <v>0</v>
      </c>
      <c r="P369" t="inlineStr"/>
      <c r="Q369" t="inlineStr">
        <is>
          <t>Filled</t>
        </is>
      </c>
      <c r="R369" t="n">
        <v>6.5</v>
      </c>
      <c r="S369" t="inlineStr">
        <is>
          <t>Other</t>
        </is>
      </c>
      <c r="T369" t="inlineStr">
        <is>
          <t>Central rule applies (value agrees)</t>
        </is>
      </c>
      <c r="U369" t="inlineStr"/>
      <c r="V369" t="inlineStr">
        <is>
          <t>Filled</t>
        </is>
      </c>
      <c r="W369" t="inlineStr">
        <is>
          <t>February</t>
        </is>
      </c>
      <c r="X369" t="inlineStr">
        <is>
          <t>Other</t>
        </is>
      </c>
      <c r="Y369" t="n">
        <v>0</v>
      </c>
      <c r="Z369" t="inlineStr">
        <is>
          <t>No</t>
        </is>
      </c>
      <c r="AA369" t="inlineStr">
        <is>
          <t>Filled</t>
        </is>
      </c>
      <c r="AB369" t="inlineStr">
        <is>
          <t>on campus and online</t>
        </is>
      </c>
      <c r="AC369" t="inlineStr">
        <is>
          <t>Filled</t>
        </is>
      </c>
      <c r="AD369" t="n">
        <v>0</v>
      </c>
      <c r="AE369" t="inlineStr"/>
      <c r="AF369" t="inlineStr"/>
      <c r="AG369" t="inlineStr"/>
      <c r="AH369" t="inlineStr"/>
      <c r="AI369" t="inlineStr"/>
      <c r="AJ369" t="inlineStr"/>
      <c r="AK369" t="inlineStr"/>
      <c r="AL369" t="inlineStr"/>
      <c r="AM369" t="inlineStr"/>
    </row>
    <row r="370">
      <c r="A370" t="inlineStr">
        <is>
          <t>117247E</t>
        </is>
      </c>
      <c r="B370" t="inlineStr">
        <is>
          <t>Master of Health Leadership</t>
        </is>
      </c>
      <c r="C370" t="inlineStr">
        <is>
          <t>Masters Degree (Coursework)</t>
        </is>
      </c>
      <c r="D370" t="inlineStr">
        <is>
          <t>Postgraduate coursework</t>
        </is>
      </c>
      <c r="E370" t="inlineStr">
        <is>
          <t>Held: page found is for another course</t>
        </is>
      </c>
      <c r="F370" t="inlineStr"/>
      <c r="G370" t="inlineStr">
        <is>
          <t>https://coursehandbook.mq.edu.au/2026/courses/c000170</t>
        </is>
      </c>
      <c r="H370" t="inlineStr">
        <is>
          <t>Page is for another course</t>
        </is>
      </c>
      <c r="I370" t="inlineStr"/>
      <c r="J370" t="inlineStr"/>
      <c r="K370" t="inlineStr">
        <is>
          <t>Finished, no page: no address from the university's address forms or stored lis</t>
        </is>
      </c>
      <c r="L370" t="inlineStr">
        <is>
          <t>Searching for course page</t>
        </is>
      </c>
      <c r="M370" t="inlineStr">
        <is>
          <t>Searching for course page</t>
        </is>
      </c>
      <c r="N370" t="inlineStr"/>
      <c r="O370" t="n">
        <v>0</v>
      </c>
      <c r="P370" t="inlineStr"/>
      <c r="Q370" t="inlineStr">
        <is>
          <t>Filled</t>
        </is>
      </c>
      <c r="R370" t="n">
        <v>6.5</v>
      </c>
      <c r="S370" t="inlineStr">
        <is>
          <t>Central English policy</t>
        </is>
      </c>
      <c r="T370" t="inlineStr">
        <is>
          <t>Central rule applies (value agrees)</t>
        </is>
      </c>
      <c r="U370" t="inlineStr"/>
      <c r="V370" t="inlineStr">
        <is>
          <t>Searching for course page</t>
        </is>
      </c>
      <c r="W370" t="inlineStr"/>
      <c r="X370" t="inlineStr"/>
      <c r="Y370" t="n">
        <v>0</v>
      </c>
      <c r="Z370" t="inlineStr">
        <is>
          <t>No</t>
        </is>
      </c>
      <c r="AA370" t="inlineStr">
        <is>
          <t>Not stated on course page</t>
        </is>
      </c>
      <c r="AB370" t="inlineStr"/>
      <c r="AC370" t="inlineStr">
        <is>
          <t>Skipped: taken back: the page read was another course's page</t>
        </is>
      </c>
      <c r="AD370" t="n">
        <v>1</v>
      </c>
      <c r="AE370" t="inlineStr"/>
      <c r="AF370" t="inlineStr"/>
      <c r="AG370" t="inlineStr"/>
      <c r="AH370" t="inlineStr"/>
      <c r="AI370" t="inlineStr"/>
      <c r="AJ370" t="inlineStr"/>
      <c r="AK370" t="inlineStr"/>
      <c r="AL370" t="inlineStr"/>
      <c r="AM370" t="inlineStr"/>
    </row>
    <row r="371">
      <c r="A371" t="inlineStr">
        <is>
          <t>099171G</t>
        </is>
      </c>
      <c r="B371" t="inlineStr">
        <is>
          <t>Master of Information Systems Management</t>
        </is>
      </c>
      <c r="C371" t="inlineStr">
        <is>
          <t>Masters Degree (Coursework)</t>
        </is>
      </c>
      <c r="D371" t="inlineStr">
        <is>
          <t>Postgraduate coursework</t>
        </is>
      </c>
      <c r="E371" t="inlineStr">
        <is>
          <t>Advertised: official page in place</t>
        </is>
      </c>
      <c r="F371" t="inlineStr">
        <is>
          <t>https://coursehandbook.mq.edu.au/2026/courses/C000124</t>
        </is>
      </c>
      <c r="G371" t="inlineStr">
        <is>
          <t>https://coursehandbook.mq.edu.au/2026/courses/C000124</t>
        </is>
      </c>
      <c r="H371" t="inlineStr">
        <is>
          <t>Read</t>
        </is>
      </c>
      <c r="I371" t="inlineStr">
        <is>
          <t>Exact title match</t>
        </is>
      </c>
      <c r="J371" t="inlineStr"/>
      <c r="K371" t="inlineStr">
        <is>
          <t>Not sent to re-link</t>
        </is>
      </c>
      <c r="L371" t="inlineStr">
        <is>
          <t>Filled</t>
        </is>
      </c>
      <c r="M371" t="inlineStr">
        <is>
          <t>Not stated on course page</t>
        </is>
      </c>
      <c r="N371" t="inlineStr"/>
      <c r="O371" t="n">
        <v>0</v>
      </c>
      <c r="P371" t="inlineStr"/>
      <c r="Q371" t="inlineStr">
        <is>
          <t>Filled</t>
        </is>
      </c>
      <c r="R371" t="n">
        <v>6.5</v>
      </c>
      <c r="S371" t="inlineStr">
        <is>
          <t>University adapter</t>
        </is>
      </c>
      <c r="T371" t="inlineStr">
        <is>
          <t>Central rule applies (value agrees)</t>
        </is>
      </c>
      <c r="U371" t="inlineStr"/>
      <c r="V371" t="inlineStr">
        <is>
          <t>Not stated on course page</t>
        </is>
      </c>
      <c r="W371" t="inlineStr"/>
      <c r="X371" t="inlineStr"/>
      <c r="Y371" t="n">
        <v>0</v>
      </c>
      <c r="Z371" t="inlineStr">
        <is>
          <t>No</t>
        </is>
      </c>
      <c r="AA371" t="inlineStr">
        <is>
          <t>Not stated on course page</t>
        </is>
      </c>
      <c r="AB371" t="inlineStr"/>
      <c r="AC371" t="inlineStr">
        <is>
          <t>Skipped: the page does not state it</t>
        </is>
      </c>
      <c r="AD371" t="n">
        <v>0</v>
      </c>
      <c r="AE371" t="inlineStr"/>
      <c r="AF371" t="inlineStr"/>
      <c r="AG371" t="inlineStr"/>
      <c r="AH371" t="inlineStr"/>
      <c r="AI371" t="inlineStr"/>
      <c r="AJ371" t="inlineStr"/>
      <c r="AK371" t="inlineStr"/>
      <c r="AL371" t="inlineStr"/>
      <c r="AM371" t="inlineStr"/>
    </row>
    <row r="372">
      <c r="A372" t="inlineStr">
        <is>
          <t>083790M</t>
        </is>
      </c>
      <c r="B372" t="inlineStr">
        <is>
          <t>Master of Information Technology</t>
        </is>
      </c>
      <c r="C372" t="inlineStr">
        <is>
          <t>Masters Degree (Coursework)</t>
        </is>
      </c>
      <c r="D372" t="inlineStr">
        <is>
          <t>Postgraduate coursework</t>
        </is>
      </c>
      <c r="E372" t="inlineStr">
        <is>
          <t>Advertised: official page in place</t>
        </is>
      </c>
      <c r="F372" t="inlineStr">
        <is>
          <t>https://www.mq.edu.au/studyold/admissions/accept-and-enrol-old/master-of-information-technology</t>
        </is>
      </c>
      <c r="G372" t="inlineStr">
        <is>
          <t>https://www.mq.edu.au/studyold/admissions/accept-and-enrol-old/master-of-information-technology</t>
        </is>
      </c>
      <c r="H372" t="inlineStr">
        <is>
          <t>Read</t>
        </is>
      </c>
      <c r="I372" t="inlineStr">
        <is>
          <t>Exact title match</t>
        </is>
      </c>
      <c r="J372" t="inlineStr"/>
      <c r="K372" t="inlineStr">
        <is>
          <t>Not sent to re-link</t>
        </is>
      </c>
      <c r="L372" t="inlineStr">
        <is>
          <t>Filled</t>
        </is>
      </c>
      <c r="M372" t="inlineStr">
        <is>
          <t>Not stated on course page</t>
        </is>
      </c>
      <c r="N372" t="inlineStr"/>
      <c r="O372" t="n">
        <v>0</v>
      </c>
      <c r="P372" t="inlineStr"/>
      <c r="Q372" t="inlineStr">
        <is>
          <t>Filled</t>
        </is>
      </c>
      <c r="R372" t="n">
        <v>6.5</v>
      </c>
      <c r="S372" t="inlineStr">
        <is>
          <t>Central English policy</t>
        </is>
      </c>
      <c r="T372" t="inlineStr">
        <is>
          <t>Central rule applies (value agrees)</t>
        </is>
      </c>
      <c r="U372" t="inlineStr"/>
      <c r="V372" t="inlineStr">
        <is>
          <t>Not stated on course page</t>
        </is>
      </c>
      <c r="W372" t="inlineStr"/>
      <c r="X372" t="inlineStr"/>
      <c r="Y372" t="n">
        <v>0</v>
      </c>
      <c r="Z372" t="inlineStr">
        <is>
          <t>No</t>
        </is>
      </c>
      <c r="AA372" t="inlineStr">
        <is>
          <t>Not stated on course page</t>
        </is>
      </c>
      <c r="AB372" t="inlineStr"/>
      <c r="AC372" t="inlineStr">
        <is>
          <t>Skipped: the page does not state it</t>
        </is>
      </c>
      <c r="AD372" t="n">
        <v>0</v>
      </c>
      <c r="AE372" t="inlineStr"/>
      <c r="AF372" t="inlineStr"/>
      <c r="AG372" t="inlineStr"/>
      <c r="AH372" t="inlineStr"/>
      <c r="AI372" t="inlineStr"/>
      <c r="AJ372" t="inlineStr"/>
      <c r="AK372" t="inlineStr"/>
      <c r="AL372" t="inlineStr"/>
      <c r="AM372" t="inlineStr"/>
    </row>
    <row r="373">
      <c r="A373" t="inlineStr">
        <is>
          <t>108995K</t>
        </is>
      </c>
      <c r="B373" t="inlineStr">
        <is>
          <t>Master of Information Technology in Artificial Intelligence</t>
        </is>
      </c>
      <c r="C373" t="inlineStr">
        <is>
          <t>Masters Degree (Coursework)</t>
        </is>
      </c>
      <c r="D373" t="inlineStr">
        <is>
          <t>Postgraduate coursework</t>
        </is>
      </c>
      <c r="E373" t="inlineStr">
        <is>
          <t>Advertised: official page in place</t>
        </is>
      </c>
      <c r="F373" t="inlineStr">
        <is>
          <t>https://coursehandbook.mq.edu.au/2026/courses/C000372</t>
        </is>
      </c>
      <c r="G373" t="inlineStr">
        <is>
          <t>https://coursehandbook.mq.edu.au/2026/courses/C000372</t>
        </is>
      </c>
      <c r="H373" t="inlineStr">
        <is>
          <t>Read</t>
        </is>
      </c>
      <c r="I373" t="inlineStr">
        <is>
          <t>Exact title match</t>
        </is>
      </c>
      <c r="J373" t="inlineStr"/>
      <c r="K373" t="inlineStr">
        <is>
          <t>Not sent to re-link</t>
        </is>
      </c>
      <c r="L373" t="inlineStr">
        <is>
          <t>Filled</t>
        </is>
      </c>
      <c r="M373" t="inlineStr">
        <is>
          <t>Not stated on course page</t>
        </is>
      </c>
      <c r="N373" t="inlineStr"/>
      <c r="O373" t="n">
        <v>0</v>
      </c>
      <c r="P373" t="inlineStr"/>
      <c r="Q373" t="inlineStr">
        <is>
          <t>Filled</t>
        </is>
      </c>
      <c r="R373" t="n">
        <v>6.5</v>
      </c>
      <c r="S373" t="inlineStr">
        <is>
          <t>University adapter</t>
        </is>
      </c>
      <c r="T373" t="inlineStr">
        <is>
          <t>Central rule applies (value agrees)</t>
        </is>
      </c>
      <c r="U373" t="inlineStr"/>
      <c r="V373" t="inlineStr">
        <is>
          <t>Not stated on course page</t>
        </is>
      </c>
      <c r="W373" t="inlineStr"/>
      <c r="X373" t="inlineStr"/>
      <c r="Y373" t="n">
        <v>0</v>
      </c>
      <c r="Z373" t="inlineStr">
        <is>
          <t>No</t>
        </is>
      </c>
      <c r="AA373" t="inlineStr">
        <is>
          <t>Not stated on course page</t>
        </is>
      </c>
      <c r="AB373" t="inlineStr"/>
      <c r="AC373" t="inlineStr">
        <is>
          <t>Skipped: the page does not state it</t>
        </is>
      </c>
      <c r="AD373" t="n">
        <v>0</v>
      </c>
      <c r="AE373" t="inlineStr"/>
      <c r="AF373" t="inlineStr"/>
      <c r="AG373" t="inlineStr"/>
      <c r="AH373" t="inlineStr"/>
      <c r="AI373" t="inlineStr"/>
      <c r="AJ373" t="inlineStr"/>
      <c r="AK373" t="inlineStr"/>
      <c r="AL373" t="inlineStr"/>
      <c r="AM373" t="inlineStr"/>
    </row>
    <row r="374">
      <c r="A374" t="inlineStr">
        <is>
          <t>099172F</t>
        </is>
      </c>
      <c r="B374" t="inlineStr">
        <is>
          <t>Master of Information Technology in Cyber Security</t>
        </is>
      </c>
      <c r="C374" t="inlineStr">
        <is>
          <t>Masters Degree (Coursework)</t>
        </is>
      </c>
      <c r="D374" t="inlineStr">
        <is>
          <t>Postgraduate coursework</t>
        </is>
      </c>
      <c r="E374" t="inlineStr">
        <is>
          <t>Advertised: official page in place</t>
        </is>
      </c>
      <c r="F374" t="inlineStr">
        <is>
          <t>https://coursehandbook.mq.edu.au/2026/courses/C000125</t>
        </is>
      </c>
      <c r="G374" t="inlineStr">
        <is>
          <t>https://coursehandbook.mq.edu.au/2026/courses/C000125</t>
        </is>
      </c>
      <c r="H374" t="inlineStr">
        <is>
          <t>Read</t>
        </is>
      </c>
      <c r="I374" t="inlineStr">
        <is>
          <t>Exact title match</t>
        </is>
      </c>
      <c r="J374" t="inlineStr"/>
      <c r="K374" t="inlineStr">
        <is>
          <t>Not sent to re-link</t>
        </is>
      </c>
      <c r="L374" t="inlineStr">
        <is>
          <t>Filled</t>
        </is>
      </c>
      <c r="M374" t="inlineStr">
        <is>
          <t>Not stated on course page</t>
        </is>
      </c>
      <c r="N374" t="inlineStr"/>
      <c r="O374" t="n">
        <v>0</v>
      </c>
      <c r="P374" t="inlineStr"/>
      <c r="Q374" t="inlineStr">
        <is>
          <t>Filled</t>
        </is>
      </c>
      <c r="R374" t="n">
        <v>6.5</v>
      </c>
      <c r="S374" t="inlineStr">
        <is>
          <t>University adapter</t>
        </is>
      </c>
      <c r="T374" t="inlineStr">
        <is>
          <t>Central rule applies (value agrees)</t>
        </is>
      </c>
      <c r="U374" t="inlineStr"/>
      <c r="V374" t="inlineStr">
        <is>
          <t>Not stated on course page</t>
        </is>
      </c>
      <c r="W374" t="inlineStr"/>
      <c r="X374" t="inlineStr"/>
      <c r="Y374" t="n">
        <v>0</v>
      </c>
      <c r="Z374" t="inlineStr">
        <is>
          <t>No</t>
        </is>
      </c>
      <c r="AA374" t="inlineStr">
        <is>
          <t>Not stated on course page</t>
        </is>
      </c>
      <c r="AB374" t="inlineStr"/>
      <c r="AC374" t="inlineStr">
        <is>
          <t>Skipped: the page does not state it</t>
        </is>
      </c>
      <c r="AD374" t="n">
        <v>0</v>
      </c>
      <c r="AE374" t="inlineStr"/>
      <c r="AF374" t="inlineStr"/>
      <c r="AG374" t="inlineStr"/>
      <c r="AH374" t="inlineStr"/>
      <c r="AI374" t="inlineStr"/>
      <c r="AJ374" t="inlineStr"/>
      <c r="AK374" t="inlineStr"/>
      <c r="AL374" t="inlineStr"/>
      <c r="AM374" t="inlineStr"/>
    </row>
    <row r="375">
      <c r="A375" t="inlineStr">
        <is>
          <t>108996J</t>
        </is>
      </c>
      <c r="B375" t="inlineStr">
        <is>
          <t>Master of Information Technology in Internet of Things</t>
        </is>
      </c>
      <c r="C375" t="inlineStr">
        <is>
          <t>Masters Degree (Coursework)</t>
        </is>
      </c>
      <c r="D375" t="inlineStr">
        <is>
          <t>Postgraduate coursework</t>
        </is>
      </c>
      <c r="E375" t="inlineStr">
        <is>
          <t>Page address no longer works</t>
        </is>
      </c>
      <c r="F375" t="inlineStr"/>
      <c r="G375" t="inlineStr">
        <is>
          <t>https://coursehandbook.mq.edu.au/2026/doubledegree/d006594</t>
        </is>
      </c>
      <c r="H375" t="inlineStr">
        <is>
          <t>Address no longer works</t>
        </is>
      </c>
      <c r="I375" t="inlineStr"/>
      <c r="J375" t="inlineStr"/>
      <c r="K375" t="inlineStr">
        <is>
          <t>Not sent to re-link</t>
        </is>
      </c>
      <c r="L375" t="inlineStr">
        <is>
          <t>Page found, being read</t>
        </is>
      </c>
      <c r="M375" t="inlineStr">
        <is>
          <t>Page found, being read</t>
        </is>
      </c>
      <c r="N375" t="inlineStr"/>
      <c r="O375" t="n">
        <v>0</v>
      </c>
      <c r="P375" t="inlineStr"/>
      <c r="Q375" t="inlineStr">
        <is>
          <t>Filled</t>
        </is>
      </c>
      <c r="R375" t="n">
        <v>6.5</v>
      </c>
      <c r="S375" t="inlineStr">
        <is>
          <t>Central English policy</t>
        </is>
      </c>
      <c r="T375" t="inlineStr">
        <is>
          <t>Central rule applies (value agrees)</t>
        </is>
      </c>
      <c r="U375" t="inlineStr"/>
      <c r="V375" t="inlineStr">
        <is>
          <t>Page found, being read</t>
        </is>
      </c>
      <c r="W375" t="inlineStr"/>
      <c r="X375" t="inlineStr"/>
      <c r="Y375" t="n">
        <v>0</v>
      </c>
      <c r="Z375" t="inlineStr">
        <is>
          <t>No</t>
        </is>
      </c>
      <c r="AA375" t="inlineStr">
        <is>
          <t>Not stated on course page</t>
        </is>
      </c>
      <c r="AB375" t="inlineStr"/>
      <c r="AC375" t="inlineStr">
        <is>
          <t>Skipped: no allowed source had a value</t>
        </is>
      </c>
      <c r="AD375" t="n">
        <v>0</v>
      </c>
      <c r="AE375" t="inlineStr"/>
      <c r="AF375" t="inlineStr"/>
      <c r="AG375" t="inlineStr"/>
      <c r="AH375" t="inlineStr"/>
      <c r="AI375" t="inlineStr"/>
      <c r="AJ375" t="inlineStr"/>
      <c r="AK375" t="inlineStr"/>
      <c r="AL375" t="inlineStr"/>
      <c r="AM375" t="inlineStr"/>
    </row>
    <row r="376">
      <c r="A376" t="inlineStr">
        <is>
          <t>099173E</t>
        </is>
      </c>
      <c r="B376" t="inlineStr">
        <is>
          <t>Master of Information Technology in Networking</t>
        </is>
      </c>
      <c r="C376" t="inlineStr">
        <is>
          <t>Masters Degree (Coursework)</t>
        </is>
      </c>
      <c r="D376" t="inlineStr">
        <is>
          <t>Postgraduate coursework</t>
        </is>
      </c>
      <c r="E376" t="inlineStr">
        <is>
          <t>Held: page found is for another course</t>
        </is>
      </c>
      <c r="F376" t="inlineStr"/>
      <c r="G376" t="inlineStr">
        <is>
          <t>https://coursehandbook.mq.edu.au/2026/courses/C000110</t>
        </is>
      </c>
      <c r="H376" t="inlineStr">
        <is>
          <t>Page is for another course</t>
        </is>
      </c>
      <c r="I376" t="inlineStr"/>
      <c r="J376" t="inlineStr"/>
      <c r="K376" t="inlineStr">
        <is>
          <t>Finished, no page: no address from the university's address forms or stored lis</t>
        </is>
      </c>
      <c r="L376" t="inlineStr">
        <is>
          <t>Searching for course page</t>
        </is>
      </c>
      <c r="M376" t="inlineStr">
        <is>
          <t>Searching for course page</t>
        </is>
      </c>
      <c r="N376" t="inlineStr"/>
      <c r="O376" t="n">
        <v>0</v>
      </c>
      <c r="P376" t="inlineStr"/>
      <c r="Q376" t="inlineStr">
        <is>
          <t>Filled</t>
        </is>
      </c>
      <c r="R376" t="n">
        <v>6.5</v>
      </c>
      <c r="S376" t="inlineStr">
        <is>
          <t>Central English policy</t>
        </is>
      </c>
      <c r="T376" t="inlineStr">
        <is>
          <t>Central rule applies (value agrees)</t>
        </is>
      </c>
      <c r="U376" t="inlineStr"/>
      <c r="V376" t="inlineStr">
        <is>
          <t>Searching for course page</t>
        </is>
      </c>
      <c r="W376" t="inlineStr"/>
      <c r="X376" t="inlineStr"/>
      <c r="Y376" t="n">
        <v>0</v>
      </c>
      <c r="Z376" t="inlineStr">
        <is>
          <t>No</t>
        </is>
      </c>
      <c r="AA376" t="inlineStr">
        <is>
          <t>Not stated on course page</t>
        </is>
      </c>
      <c r="AB376" t="inlineStr"/>
      <c r="AC376" t="inlineStr">
        <is>
          <t>Skipped: no correct course page: the page found is for another course</t>
        </is>
      </c>
      <c r="AD376" t="n">
        <v>0</v>
      </c>
      <c r="AE376" t="inlineStr"/>
      <c r="AF376" t="inlineStr"/>
      <c r="AG376" t="inlineStr"/>
      <c r="AH376" t="inlineStr"/>
      <c r="AI376" t="inlineStr"/>
      <c r="AJ376" t="inlineStr"/>
      <c r="AK376" t="inlineStr"/>
      <c r="AL376" t="inlineStr"/>
      <c r="AM376" t="inlineStr"/>
    </row>
    <row r="377">
      <c r="A377" t="inlineStr">
        <is>
          <t>095115C</t>
        </is>
      </c>
      <c r="B377" t="inlineStr">
        <is>
          <t>Master of Intelligence</t>
        </is>
      </c>
      <c r="C377" t="inlineStr">
        <is>
          <t>Masters Degree (Coursework)</t>
        </is>
      </c>
      <c r="D377" t="inlineStr">
        <is>
          <t>Postgraduate coursework</t>
        </is>
      </c>
      <c r="E377" t="inlineStr">
        <is>
          <t>Advertised: official page in place</t>
        </is>
      </c>
      <c r="F377" t="inlineStr">
        <is>
          <t>https://www.mq.edu.au/study/find-a-course/courses/master-of-intelligence</t>
        </is>
      </c>
      <c r="G377" t="inlineStr">
        <is>
          <t>https://www.mq.edu.au/study/find-a-course/courses/master-of-intelligence</t>
        </is>
      </c>
      <c r="H377" t="inlineStr">
        <is>
          <t>Read</t>
        </is>
      </c>
      <c r="I377" t="inlineStr">
        <is>
          <t>Exact title match</t>
        </is>
      </c>
      <c r="J377" t="inlineStr"/>
      <c r="K377" t="inlineStr">
        <is>
          <t>Not sent to re-link</t>
        </is>
      </c>
      <c r="L377" t="inlineStr">
        <is>
          <t>Filled</t>
        </is>
      </c>
      <c r="M377" t="inlineStr">
        <is>
          <t>Not stated on course page</t>
        </is>
      </c>
      <c r="N377" t="inlineStr"/>
      <c r="O377" t="n">
        <v>0</v>
      </c>
      <c r="P377" t="inlineStr"/>
      <c r="Q377" t="inlineStr">
        <is>
          <t>Filled</t>
        </is>
      </c>
      <c r="R377" t="n">
        <v>6.5</v>
      </c>
      <c r="S377" t="inlineStr">
        <is>
          <t>Other</t>
        </is>
      </c>
      <c r="T377" t="inlineStr">
        <is>
          <t>Central rule applies (value agrees)</t>
        </is>
      </c>
      <c r="U377" t="inlineStr"/>
      <c r="V377" t="inlineStr">
        <is>
          <t>Filled</t>
        </is>
      </c>
      <c r="W377" t="inlineStr">
        <is>
          <t>February, July</t>
        </is>
      </c>
      <c r="X377" t="inlineStr">
        <is>
          <t>Other</t>
        </is>
      </c>
      <c r="Y377" t="n">
        <v>0</v>
      </c>
      <c r="Z377" t="inlineStr">
        <is>
          <t>No</t>
        </is>
      </c>
      <c r="AA377" t="inlineStr">
        <is>
          <t>Filled</t>
        </is>
      </c>
      <c r="AB377" t="inlineStr">
        <is>
          <t>on campus</t>
        </is>
      </c>
      <c r="AC377" t="inlineStr">
        <is>
          <t>Filled</t>
        </is>
      </c>
      <c r="AD377" t="n">
        <v>0</v>
      </c>
      <c r="AE377" t="inlineStr"/>
      <c r="AF377" t="inlineStr"/>
      <c r="AG377" t="inlineStr"/>
      <c r="AH377" t="inlineStr"/>
      <c r="AI377" t="inlineStr"/>
      <c r="AJ377" t="inlineStr"/>
      <c r="AK377" t="inlineStr"/>
      <c r="AL377" t="inlineStr"/>
      <c r="AM377" t="inlineStr"/>
    </row>
    <row r="378">
      <c r="A378" t="inlineStr">
        <is>
          <t>118464K</t>
        </is>
      </c>
      <c r="B378" t="inlineStr">
        <is>
          <t>Master of Intelligence</t>
        </is>
      </c>
      <c r="C378" t="inlineStr">
        <is>
          <t>Masters Degree (Coursework)</t>
        </is>
      </c>
      <c r="D378" t="inlineStr">
        <is>
          <t>Postgraduate coursework</t>
        </is>
      </c>
      <c r="E378" t="inlineStr">
        <is>
          <t>Advertised: official page in place</t>
        </is>
      </c>
      <c r="F378" t="inlineStr">
        <is>
          <t>https://coursehandbook.mq.edu.au/2026/courses/c000451</t>
        </is>
      </c>
      <c r="G378" t="inlineStr">
        <is>
          <t>https://coursehandbook.mq.edu.au/2026/courses/c000451</t>
        </is>
      </c>
      <c r="H378" t="inlineStr">
        <is>
          <t>Read</t>
        </is>
      </c>
      <c r="I378" t="inlineStr">
        <is>
          <t>Exact title match</t>
        </is>
      </c>
      <c r="J378" t="inlineStr"/>
      <c r="K378" t="inlineStr">
        <is>
          <t>Not sent to re-link</t>
        </is>
      </c>
      <c r="L378" t="inlineStr">
        <is>
          <t>Filled</t>
        </is>
      </c>
      <c r="M378" t="inlineStr">
        <is>
          <t>Not stated on course page</t>
        </is>
      </c>
      <c r="N378" t="inlineStr"/>
      <c r="O378" t="n">
        <v>0</v>
      </c>
      <c r="P378" t="inlineStr"/>
      <c r="Q378" t="inlineStr">
        <is>
          <t>Filled</t>
        </is>
      </c>
      <c r="R378" t="n">
        <v>6.5</v>
      </c>
      <c r="S378" t="inlineStr">
        <is>
          <t>University adapter</t>
        </is>
      </c>
      <c r="T378" t="inlineStr">
        <is>
          <t>Central rule applies (value agrees)</t>
        </is>
      </c>
      <c r="U378" t="inlineStr"/>
      <c r="V378" t="inlineStr">
        <is>
          <t>Not stated on course page</t>
        </is>
      </c>
      <c r="W378" t="inlineStr"/>
      <c r="X378" t="inlineStr"/>
      <c r="Y378" t="n">
        <v>0</v>
      </c>
      <c r="Z378" t="inlineStr">
        <is>
          <t>No</t>
        </is>
      </c>
      <c r="AA378" t="inlineStr">
        <is>
          <t>Not stated on course page</t>
        </is>
      </c>
      <c r="AB378" t="inlineStr"/>
      <c r="AC378" t="inlineStr">
        <is>
          <t>Skipped: the page does not state it</t>
        </is>
      </c>
      <c r="AD378" t="n">
        <v>0</v>
      </c>
      <c r="AE378" t="inlineStr"/>
      <c r="AF378" t="inlineStr"/>
      <c r="AG378" t="inlineStr"/>
      <c r="AH378" t="inlineStr"/>
      <c r="AI378" t="inlineStr"/>
      <c r="AJ378" t="inlineStr"/>
      <c r="AK378" t="inlineStr"/>
      <c r="AL378" t="inlineStr"/>
      <c r="AM378" t="inlineStr"/>
    </row>
    <row r="379">
      <c r="A379" t="inlineStr">
        <is>
          <t>083791K</t>
        </is>
      </c>
      <c r="B379" t="inlineStr">
        <is>
          <t>Master of International Business</t>
        </is>
      </c>
      <c r="C379" t="inlineStr">
        <is>
          <t>Masters Degree (Coursework)</t>
        </is>
      </c>
      <c r="D379" t="inlineStr">
        <is>
          <t>Postgraduate coursework</t>
        </is>
      </c>
      <c r="E379" t="inlineStr">
        <is>
          <t>Advertised: official page in place</t>
        </is>
      </c>
      <c r="F379" t="inlineStr">
        <is>
          <t>https://coursehandbook.mq.edu.au/2026/courses/C000070</t>
        </is>
      </c>
      <c r="G379" t="inlineStr">
        <is>
          <t>https://coursehandbook.mq.edu.au/2026/courses/C000070</t>
        </is>
      </c>
      <c r="H379" t="inlineStr">
        <is>
          <t>Read</t>
        </is>
      </c>
      <c r="I379" t="inlineStr">
        <is>
          <t>Exact title match</t>
        </is>
      </c>
      <c r="J379" t="inlineStr"/>
      <c r="K379" t="inlineStr">
        <is>
          <t>Not sent to re-link</t>
        </is>
      </c>
      <c r="L379" t="inlineStr">
        <is>
          <t>Filled</t>
        </is>
      </c>
      <c r="M379" t="inlineStr">
        <is>
          <t>Not stated on course page</t>
        </is>
      </c>
      <c r="N379" t="inlineStr"/>
      <c r="O379" t="n">
        <v>0</v>
      </c>
      <c r="P379" t="inlineStr"/>
      <c r="Q379" t="inlineStr">
        <is>
          <t>Filled</t>
        </is>
      </c>
      <c r="R379" t="n">
        <v>6.5</v>
      </c>
      <c r="S379" t="inlineStr">
        <is>
          <t>University adapter</t>
        </is>
      </c>
      <c r="T379" t="inlineStr">
        <is>
          <t>Central rule applies (value agrees)</t>
        </is>
      </c>
      <c r="U379" t="inlineStr"/>
      <c r="V379" t="inlineStr">
        <is>
          <t>Not stated on course page</t>
        </is>
      </c>
      <c r="W379" t="inlineStr"/>
      <c r="X379" t="inlineStr"/>
      <c r="Y379" t="n">
        <v>0</v>
      </c>
      <c r="Z379" t="inlineStr">
        <is>
          <t>No</t>
        </is>
      </c>
      <c r="AA379" t="inlineStr">
        <is>
          <t>Not stated on course page</t>
        </is>
      </c>
      <c r="AB379" t="inlineStr"/>
      <c r="AC379" t="inlineStr">
        <is>
          <t>Skipped: the page does not state it</t>
        </is>
      </c>
      <c r="AD379" t="n">
        <v>0</v>
      </c>
      <c r="AE379" t="inlineStr"/>
      <c r="AF379" t="inlineStr"/>
      <c r="AG379" t="inlineStr"/>
      <c r="AH379" t="inlineStr"/>
      <c r="AI379" t="inlineStr"/>
      <c r="AJ379" t="inlineStr"/>
      <c r="AK379" t="inlineStr"/>
      <c r="AL379" t="inlineStr"/>
      <c r="AM379" t="inlineStr"/>
    </row>
    <row r="380">
      <c r="A380" t="inlineStr">
        <is>
          <t>083792J</t>
        </is>
      </c>
      <c r="B380" t="inlineStr">
        <is>
          <t>Master of International Business with the degree of Master of International Communication</t>
        </is>
      </c>
      <c r="C380" t="inlineStr">
        <is>
          <t>Masters Degree (Coursework)</t>
        </is>
      </c>
      <c r="D380" t="inlineStr">
        <is>
          <t>Postgraduate coursework</t>
        </is>
      </c>
      <c r="E380" t="inlineStr">
        <is>
          <t>Advertised: official page in place</t>
        </is>
      </c>
      <c r="F380" t="inlineStr">
        <is>
          <t>https://handbook.mq.edu.au/2015/DegreesDiplomas/PGDegree/Master+of+International+Business+with+the+degree+of+Master+of+International+Communication</t>
        </is>
      </c>
      <c r="G380" t="inlineStr">
        <is>
          <t>https://handbook.mq.edu.au/2015/DegreesDiplomas/PGDegree/Master+of+International+Business+with+the+degree+of+Master+of+International+Communication</t>
        </is>
      </c>
      <c r="H380" t="inlineStr">
        <is>
          <t>Read</t>
        </is>
      </c>
      <c r="I380" t="inlineStr">
        <is>
          <t>CRICOS code on page</t>
        </is>
      </c>
      <c r="J380" t="inlineStr"/>
      <c r="K380" t="inlineStr">
        <is>
          <t>Not sent to re-link</t>
        </is>
      </c>
      <c r="L380" t="inlineStr">
        <is>
          <t>Filled</t>
        </is>
      </c>
      <c r="M380" t="inlineStr">
        <is>
          <t>Not stated on course page</t>
        </is>
      </c>
      <c r="N380" t="inlineStr"/>
      <c r="O380" t="n">
        <v>0</v>
      </c>
      <c r="P380" t="inlineStr"/>
      <c r="Q380" t="inlineStr">
        <is>
          <t>Filled</t>
        </is>
      </c>
      <c r="R380" t="n">
        <v>6.5</v>
      </c>
      <c r="S380" t="inlineStr">
        <is>
          <t>Other</t>
        </is>
      </c>
      <c r="T380" t="inlineStr">
        <is>
          <t>Central rule applies (value agrees)</t>
        </is>
      </c>
      <c r="U380" t="inlineStr"/>
      <c r="V380" t="inlineStr">
        <is>
          <t>Filled</t>
        </is>
      </c>
      <c r="W380" t="inlineStr">
        <is>
          <t>February, July</t>
        </is>
      </c>
      <c r="X380" t="inlineStr">
        <is>
          <t>Other</t>
        </is>
      </c>
      <c r="Y380" t="n">
        <v>0</v>
      </c>
      <c r="Z380" t="inlineStr">
        <is>
          <t>No</t>
        </is>
      </c>
      <c r="AA380" t="inlineStr">
        <is>
          <t>Filled</t>
        </is>
      </c>
      <c r="AB380" t="inlineStr">
        <is>
          <t>on campus</t>
        </is>
      </c>
      <c r="AC380" t="inlineStr">
        <is>
          <t>Filled</t>
        </is>
      </c>
      <c r="AD380" t="n">
        <v>0</v>
      </c>
      <c r="AE380" t="inlineStr"/>
      <c r="AF380" t="inlineStr"/>
      <c r="AG380" t="inlineStr"/>
      <c r="AH380" t="inlineStr"/>
      <c r="AI380" t="inlineStr"/>
      <c r="AJ380" t="inlineStr"/>
      <c r="AK380" t="inlineStr"/>
      <c r="AL380" t="inlineStr"/>
      <c r="AM380" t="inlineStr"/>
    </row>
    <row r="381">
      <c r="A381" t="inlineStr">
        <is>
          <t>083793G</t>
        </is>
      </c>
      <c r="B381" t="inlineStr">
        <is>
          <t>Master of International Business with the degree of Master of International Relations</t>
        </is>
      </c>
      <c r="C381" t="inlineStr">
        <is>
          <t>Masters Degree (Coursework)</t>
        </is>
      </c>
      <c r="D381" t="inlineStr">
        <is>
          <t>Postgraduate coursework</t>
        </is>
      </c>
      <c r="E381" t="inlineStr">
        <is>
          <t>Advertised: official page in place</t>
        </is>
      </c>
      <c r="F381" t="inlineStr">
        <is>
          <t>https://handbook.mq.edu.au/2015/DegreesDiplomas/PGDegree/Master+of+International+Business+with+the+degree+of+Master+of+International+Relations</t>
        </is>
      </c>
      <c r="G381" t="inlineStr">
        <is>
          <t>https://handbook.mq.edu.au/2015/DegreesDiplomas/PGDegree/Master+of+International+Business+with+the+degree+of+Master+of+International+Relations</t>
        </is>
      </c>
      <c r="H381" t="inlineStr">
        <is>
          <t>Read</t>
        </is>
      </c>
      <c r="I381" t="inlineStr">
        <is>
          <t>CRICOS code on page</t>
        </is>
      </c>
      <c r="J381" t="inlineStr"/>
      <c r="K381" t="inlineStr">
        <is>
          <t>Not sent to re-link</t>
        </is>
      </c>
      <c r="L381" t="inlineStr">
        <is>
          <t>Filled</t>
        </is>
      </c>
      <c r="M381" t="inlineStr">
        <is>
          <t>Not stated on course page</t>
        </is>
      </c>
      <c r="N381" t="inlineStr"/>
      <c r="O381" t="n">
        <v>0</v>
      </c>
      <c r="P381" t="inlineStr"/>
      <c r="Q381" t="inlineStr">
        <is>
          <t>Filled</t>
        </is>
      </c>
      <c r="R381" t="n">
        <v>6.5</v>
      </c>
      <c r="S381" t="inlineStr">
        <is>
          <t>Other</t>
        </is>
      </c>
      <c r="T381" t="inlineStr">
        <is>
          <t>Central rule applies (value agrees)</t>
        </is>
      </c>
      <c r="U381" t="inlineStr"/>
      <c r="V381" t="inlineStr">
        <is>
          <t>Filled</t>
        </is>
      </c>
      <c r="W381" t="inlineStr">
        <is>
          <t>February, July</t>
        </is>
      </c>
      <c r="X381" t="inlineStr">
        <is>
          <t>Other</t>
        </is>
      </c>
      <c r="Y381" t="n">
        <v>0</v>
      </c>
      <c r="Z381" t="inlineStr">
        <is>
          <t>No</t>
        </is>
      </c>
      <c r="AA381" t="inlineStr">
        <is>
          <t>Filled</t>
        </is>
      </c>
      <c r="AB381" t="inlineStr">
        <is>
          <t>on campus and online</t>
        </is>
      </c>
      <c r="AC381" t="inlineStr">
        <is>
          <t>Filled</t>
        </is>
      </c>
      <c r="AD381" t="n">
        <v>0</v>
      </c>
      <c r="AE381" t="inlineStr"/>
      <c r="AF381" t="inlineStr"/>
      <c r="AG381" t="inlineStr"/>
      <c r="AH381" t="inlineStr"/>
      <c r="AI381" t="inlineStr"/>
      <c r="AJ381" t="inlineStr"/>
      <c r="AK381" t="inlineStr"/>
      <c r="AL381" t="inlineStr"/>
      <c r="AM381" t="inlineStr"/>
    </row>
    <row r="382">
      <c r="A382" t="inlineStr">
        <is>
          <t>083794G</t>
        </is>
      </c>
      <c r="B382" t="inlineStr">
        <is>
          <t>Master of International Communication</t>
        </is>
      </c>
      <c r="C382" t="inlineStr">
        <is>
          <t>Masters Degree (Coursework)</t>
        </is>
      </c>
      <c r="D382" t="inlineStr">
        <is>
          <t>Postgraduate coursework</t>
        </is>
      </c>
      <c r="E382" t="inlineStr">
        <is>
          <t>Advertised: official page in place</t>
        </is>
      </c>
      <c r="F382" t="inlineStr">
        <is>
          <t>https://handbook.mq.edu.au/2019/DegreesDiplomas/PGDegree/Master+of+International+Communication+with+the+degree+of+Master+of+International+Relations</t>
        </is>
      </c>
      <c r="G382" t="inlineStr">
        <is>
          <t>https://handbook.mq.edu.au/2019/DegreesDiplomas/PGDegree/Master+of+International+Communication+with+the+degree+of+Master+of+International+Relations</t>
        </is>
      </c>
      <c r="H382" t="inlineStr">
        <is>
          <t>Read</t>
        </is>
      </c>
      <c r="I382" t="inlineStr">
        <is>
          <t>Exact title match</t>
        </is>
      </c>
      <c r="J382" t="inlineStr"/>
      <c r="K382" t="inlineStr">
        <is>
          <t>Not sent to re-link</t>
        </is>
      </c>
      <c r="L382" t="inlineStr">
        <is>
          <t>Filled</t>
        </is>
      </c>
      <c r="M382" t="inlineStr">
        <is>
          <t>Not stated on course page</t>
        </is>
      </c>
      <c r="N382" t="inlineStr"/>
      <c r="O382" t="n">
        <v>0</v>
      </c>
      <c r="P382" t="inlineStr"/>
      <c r="Q382" t="inlineStr">
        <is>
          <t>Filled</t>
        </is>
      </c>
      <c r="R382" t="n">
        <v>6.5</v>
      </c>
      <c r="S382" t="inlineStr">
        <is>
          <t>Page reader</t>
        </is>
      </c>
      <c r="T382" t="inlineStr">
        <is>
          <t>Central rule applies (value agrees)</t>
        </is>
      </c>
      <c r="U382" t="inlineStr"/>
      <c r="V382" t="inlineStr">
        <is>
          <t>Filled</t>
        </is>
      </c>
      <c r="W382" t="inlineStr">
        <is>
          <t>February, July</t>
        </is>
      </c>
      <c r="X382" t="inlineStr">
        <is>
          <t>Page reader</t>
        </is>
      </c>
      <c r="Y382" t="n">
        <v>0</v>
      </c>
      <c r="Z382" t="inlineStr">
        <is>
          <t>No</t>
        </is>
      </c>
      <c r="AA382" t="inlineStr">
        <is>
          <t>Filled</t>
        </is>
      </c>
      <c r="AB382" t="inlineStr">
        <is>
          <t>on campus</t>
        </is>
      </c>
      <c r="AC382" t="inlineStr">
        <is>
          <t>Filled</t>
        </is>
      </c>
      <c r="AD382" t="n">
        <v>0</v>
      </c>
      <c r="AE382" t="inlineStr"/>
      <c r="AF382" t="inlineStr"/>
      <c r="AG382" t="inlineStr"/>
      <c r="AH382" t="inlineStr"/>
      <c r="AI382" t="inlineStr"/>
      <c r="AJ382" t="inlineStr"/>
      <c r="AK382" t="inlineStr"/>
      <c r="AL382" t="inlineStr"/>
      <c r="AM382" t="inlineStr"/>
    </row>
    <row r="383">
      <c r="A383" t="inlineStr">
        <is>
          <t>083795F</t>
        </is>
      </c>
      <c r="B383" t="inlineStr">
        <is>
          <t>Master of International Communication with the degree of Master of International Relations</t>
        </is>
      </c>
      <c r="C383" t="inlineStr">
        <is>
          <t>Masters Degree (Coursework)</t>
        </is>
      </c>
      <c r="D383" t="inlineStr">
        <is>
          <t>Postgraduate coursework</t>
        </is>
      </c>
      <c r="E383" t="inlineStr">
        <is>
          <t>Advertised: official page in place</t>
        </is>
      </c>
      <c r="F383" t="inlineStr">
        <is>
          <t>https://handbook.mq.edu.au/2019/DegreesDiplomas/PGDegree/Master+of+International+Communication+with+the+degree+of+Master+of+International+Relations</t>
        </is>
      </c>
      <c r="G383" t="inlineStr">
        <is>
          <t>https://handbook.mq.edu.au/2019/DegreesDiplomas/PGDegree/Master+of+International+Communication+with+the+degree+of+Master+of+International+Relations</t>
        </is>
      </c>
      <c r="H383" t="inlineStr">
        <is>
          <t>Read</t>
        </is>
      </c>
      <c r="I383" t="inlineStr">
        <is>
          <t>CRICOS code on page</t>
        </is>
      </c>
      <c r="J383" t="inlineStr"/>
      <c r="K383" t="inlineStr">
        <is>
          <t>Not sent to re-link</t>
        </is>
      </c>
      <c r="L383" t="inlineStr">
        <is>
          <t>Filled</t>
        </is>
      </c>
      <c r="M383" t="inlineStr">
        <is>
          <t>Not stated on course page</t>
        </is>
      </c>
      <c r="N383" t="inlineStr"/>
      <c r="O383" t="n">
        <v>0</v>
      </c>
      <c r="P383" t="inlineStr"/>
      <c r="Q383" t="inlineStr">
        <is>
          <t>Filled</t>
        </is>
      </c>
      <c r="R383" t="n">
        <v>6.5</v>
      </c>
      <c r="S383" t="inlineStr">
        <is>
          <t>Other</t>
        </is>
      </c>
      <c r="T383" t="inlineStr">
        <is>
          <t>Central rule applies (value agrees)</t>
        </is>
      </c>
      <c r="U383" t="inlineStr"/>
      <c r="V383" t="inlineStr">
        <is>
          <t>Filled</t>
        </is>
      </c>
      <c r="W383" t="inlineStr">
        <is>
          <t>February, July</t>
        </is>
      </c>
      <c r="X383" t="inlineStr">
        <is>
          <t>Other</t>
        </is>
      </c>
      <c r="Y383" t="n">
        <v>0</v>
      </c>
      <c r="Z383" t="inlineStr">
        <is>
          <t>No</t>
        </is>
      </c>
      <c r="AA383" t="inlineStr">
        <is>
          <t>Filled</t>
        </is>
      </c>
      <c r="AB383" t="inlineStr">
        <is>
          <t>on campus</t>
        </is>
      </c>
      <c r="AC383" t="inlineStr">
        <is>
          <t>Filled</t>
        </is>
      </c>
      <c r="AD383" t="n">
        <v>0</v>
      </c>
      <c r="AE383" t="inlineStr"/>
      <c r="AF383" t="inlineStr"/>
      <c r="AG383" t="inlineStr"/>
      <c r="AH383" t="inlineStr"/>
      <c r="AI383" t="inlineStr"/>
      <c r="AJ383" t="inlineStr"/>
      <c r="AK383" t="inlineStr"/>
      <c r="AL383" t="inlineStr"/>
      <c r="AM383" t="inlineStr"/>
    </row>
    <row r="384">
      <c r="A384" t="inlineStr">
        <is>
          <t>083796E</t>
        </is>
      </c>
      <c r="B384" t="inlineStr">
        <is>
          <t>Master of International Law, Governance and Public Policy</t>
        </is>
      </c>
      <c r="C384" t="inlineStr">
        <is>
          <t>Masters Degree (Coursework)</t>
        </is>
      </c>
      <c r="D384" t="inlineStr">
        <is>
          <t>Postgraduate coursework</t>
        </is>
      </c>
      <c r="E384" t="inlineStr">
        <is>
          <t>Advertised: official page in place</t>
        </is>
      </c>
      <c r="F384" t="inlineStr">
        <is>
          <t>https://handbook.mq.edu.au/2015/DegreesDiplomas/PGDegree/Master+of+International+Law%2C+Governance+and+Public+Policy</t>
        </is>
      </c>
      <c r="G384" t="inlineStr">
        <is>
          <t>https://handbook.mq.edu.au/2015/DegreesDiplomas/PGDegree/Master+of+International+Law%2C+Governance+and+Public+Policy</t>
        </is>
      </c>
      <c r="H384" t="inlineStr">
        <is>
          <t>Read</t>
        </is>
      </c>
      <c r="I384" t="inlineStr">
        <is>
          <t>CRICOS code on page</t>
        </is>
      </c>
      <c r="J384" t="inlineStr"/>
      <c r="K384" t="inlineStr">
        <is>
          <t>Not sent to re-link</t>
        </is>
      </c>
      <c r="L384" t="inlineStr">
        <is>
          <t>Filled</t>
        </is>
      </c>
      <c r="M384" t="inlineStr">
        <is>
          <t>Not stated on course page</t>
        </is>
      </c>
      <c r="N384" t="inlineStr"/>
      <c r="O384" t="n">
        <v>0</v>
      </c>
      <c r="P384" t="inlineStr"/>
      <c r="Q384" t="inlineStr">
        <is>
          <t>Filled</t>
        </is>
      </c>
      <c r="R384" t="n">
        <v>6.5</v>
      </c>
      <c r="S384" t="inlineStr">
        <is>
          <t>Other</t>
        </is>
      </c>
      <c r="T384" t="inlineStr">
        <is>
          <t>Central rule applies (value agrees)</t>
        </is>
      </c>
      <c r="U384" t="inlineStr"/>
      <c r="V384" t="inlineStr">
        <is>
          <t>Filled</t>
        </is>
      </c>
      <c r="W384" t="inlineStr">
        <is>
          <t>February, July</t>
        </is>
      </c>
      <c r="X384" t="inlineStr">
        <is>
          <t>Other</t>
        </is>
      </c>
      <c r="Y384" t="n">
        <v>0</v>
      </c>
      <c r="Z384" t="inlineStr">
        <is>
          <t>No</t>
        </is>
      </c>
      <c r="AA384" t="inlineStr">
        <is>
          <t>Filled</t>
        </is>
      </c>
      <c r="AB384" t="inlineStr">
        <is>
          <t>on campus and online</t>
        </is>
      </c>
      <c r="AC384" t="inlineStr">
        <is>
          <t>Filled</t>
        </is>
      </c>
      <c r="AD384" t="n">
        <v>0</v>
      </c>
      <c r="AE384" t="inlineStr"/>
      <c r="AF384" t="inlineStr"/>
      <c r="AG384" t="inlineStr"/>
      <c r="AH384" t="inlineStr"/>
      <c r="AI384" t="inlineStr"/>
      <c r="AJ384" t="inlineStr"/>
      <c r="AK384" t="inlineStr"/>
      <c r="AL384" t="inlineStr"/>
      <c r="AM384" t="inlineStr"/>
    </row>
    <row r="385">
      <c r="A385" t="inlineStr">
        <is>
          <t>079199E</t>
        </is>
      </c>
      <c r="B385" t="inlineStr">
        <is>
          <t>Master of International Public Diplomacy</t>
        </is>
      </c>
      <c r="C385" t="inlineStr">
        <is>
          <t>Masters Degree (Coursework)</t>
        </is>
      </c>
      <c r="D385" t="inlineStr">
        <is>
          <t>Postgraduate coursework</t>
        </is>
      </c>
      <c r="E385" t="inlineStr">
        <is>
          <t>Advertised: official page in place</t>
        </is>
      </c>
      <c r="F385" t="inlineStr">
        <is>
          <t>https://handbook.mq.edu.au/2019/DegreesDiplomas/PGDegree/Master+of+International+Public+Diplomacy</t>
        </is>
      </c>
      <c r="G385" t="inlineStr">
        <is>
          <t>https://handbook.mq.edu.au/2019/DegreesDiplomas/PGDegree/Master+of+International+Public+Diplomacy</t>
        </is>
      </c>
      <c r="H385" t="inlineStr">
        <is>
          <t>Read</t>
        </is>
      </c>
      <c r="I385" t="inlineStr">
        <is>
          <t>CRICOS code on page</t>
        </is>
      </c>
      <c r="J385" t="inlineStr"/>
      <c r="K385" t="inlineStr">
        <is>
          <t>Not sent to re-link</t>
        </is>
      </c>
      <c r="L385" t="inlineStr">
        <is>
          <t>Filled</t>
        </is>
      </c>
      <c r="M385" t="inlineStr">
        <is>
          <t>Not stated on course page</t>
        </is>
      </c>
      <c r="N385" t="inlineStr"/>
      <c r="O385" t="n">
        <v>0</v>
      </c>
      <c r="P385" t="inlineStr"/>
      <c r="Q385" t="inlineStr">
        <is>
          <t>Filled</t>
        </is>
      </c>
      <c r="R385" t="n">
        <v>6.5</v>
      </c>
      <c r="S385" t="inlineStr">
        <is>
          <t>Other</t>
        </is>
      </c>
      <c r="T385" t="inlineStr">
        <is>
          <t>Central rule applies (value agrees)</t>
        </is>
      </c>
      <c r="U385" t="inlineStr"/>
      <c r="V385" t="inlineStr">
        <is>
          <t>Filled</t>
        </is>
      </c>
      <c r="W385" t="inlineStr">
        <is>
          <t>February</t>
        </is>
      </c>
      <c r="X385" t="inlineStr">
        <is>
          <t>Other</t>
        </is>
      </c>
      <c r="Y385" t="n">
        <v>0</v>
      </c>
      <c r="Z385" t="inlineStr">
        <is>
          <t>No</t>
        </is>
      </c>
      <c r="AA385" t="inlineStr">
        <is>
          <t>Filled</t>
        </is>
      </c>
      <c r="AB385" t="inlineStr">
        <is>
          <t>on campus and online</t>
        </is>
      </c>
      <c r="AC385" t="inlineStr">
        <is>
          <t>Filled</t>
        </is>
      </c>
      <c r="AD385" t="n">
        <v>0</v>
      </c>
      <c r="AE385" t="inlineStr"/>
      <c r="AF385" t="inlineStr"/>
      <c r="AG385" t="inlineStr"/>
      <c r="AH385" t="inlineStr"/>
      <c r="AI385" t="inlineStr"/>
      <c r="AJ385" t="inlineStr"/>
      <c r="AK385" t="inlineStr"/>
      <c r="AL385" t="inlineStr"/>
      <c r="AM385" t="inlineStr"/>
    </row>
    <row r="386">
      <c r="A386" t="inlineStr">
        <is>
          <t>099175C</t>
        </is>
      </c>
      <c r="B386" t="inlineStr">
        <is>
          <t>Master of International Relations</t>
        </is>
      </c>
      <c r="C386" t="inlineStr">
        <is>
          <t>Masters Degree (Coursework)</t>
        </is>
      </c>
      <c r="D386" t="inlineStr">
        <is>
          <t>Postgraduate coursework</t>
        </is>
      </c>
      <c r="E386" t="inlineStr">
        <is>
          <t>Advertised: official page in place</t>
        </is>
      </c>
      <c r="F386" t="inlineStr">
        <is>
          <t>https://coursehandbook.mq.edu.au/2026/courses/C000179</t>
        </is>
      </c>
      <c r="G386" t="inlineStr">
        <is>
          <t>https://coursehandbook.mq.edu.au/2026/courses/C000179</t>
        </is>
      </c>
      <c r="H386" t="inlineStr">
        <is>
          <t>Read</t>
        </is>
      </c>
      <c r="I386" t="inlineStr">
        <is>
          <t>Exact title match</t>
        </is>
      </c>
      <c r="J386" t="inlineStr"/>
      <c r="K386" t="inlineStr">
        <is>
          <t>Not sent to re-link</t>
        </is>
      </c>
      <c r="L386" t="inlineStr">
        <is>
          <t>Filled</t>
        </is>
      </c>
      <c r="M386" t="inlineStr">
        <is>
          <t>Not stated on course page</t>
        </is>
      </c>
      <c r="N386" t="inlineStr"/>
      <c r="O386" t="n">
        <v>0</v>
      </c>
      <c r="P386" t="inlineStr"/>
      <c r="Q386" t="inlineStr">
        <is>
          <t>Filled</t>
        </is>
      </c>
      <c r="R386" t="n">
        <v>6.5</v>
      </c>
      <c r="S386" t="inlineStr">
        <is>
          <t>University adapter</t>
        </is>
      </c>
      <c r="T386" t="inlineStr">
        <is>
          <t>Central rule applies (value agrees)</t>
        </is>
      </c>
      <c r="U386" t="inlineStr"/>
      <c r="V386" t="inlineStr">
        <is>
          <t>Not stated on course page</t>
        </is>
      </c>
      <c r="W386" t="inlineStr"/>
      <c r="X386" t="inlineStr"/>
      <c r="Y386" t="n">
        <v>0</v>
      </c>
      <c r="Z386" t="inlineStr">
        <is>
          <t>No</t>
        </is>
      </c>
      <c r="AA386" t="inlineStr">
        <is>
          <t>Not stated on course page</t>
        </is>
      </c>
      <c r="AB386" t="inlineStr"/>
      <c r="AC386" t="inlineStr">
        <is>
          <t>Skipped: the page does not state it</t>
        </is>
      </c>
      <c r="AD386" t="n">
        <v>0</v>
      </c>
      <c r="AE386" t="inlineStr"/>
      <c r="AF386" t="inlineStr"/>
      <c r="AG386" t="inlineStr"/>
      <c r="AH386" t="inlineStr"/>
      <c r="AI386" t="inlineStr"/>
      <c r="AJ386" t="inlineStr"/>
      <c r="AK386" t="inlineStr"/>
      <c r="AL386" t="inlineStr"/>
      <c r="AM386" t="inlineStr"/>
    </row>
    <row r="387">
      <c r="A387" t="inlineStr">
        <is>
          <t>083797D</t>
        </is>
      </c>
      <c r="B387" t="inlineStr">
        <is>
          <t>Master of International Relations</t>
        </is>
      </c>
      <c r="C387" t="inlineStr">
        <is>
          <t>Masters Degree (Coursework)</t>
        </is>
      </c>
      <c r="D387" t="inlineStr">
        <is>
          <t>Postgraduate coursework</t>
        </is>
      </c>
      <c r="E387" t="inlineStr">
        <is>
          <t>Advertised: official page in place</t>
        </is>
      </c>
      <c r="F387" t="inlineStr">
        <is>
          <t>https://coursehandbook.mq.edu.au/2026/courses/C000179</t>
        </is>
      </c>
      <c r="G387" t="inlineStr">
        <is>
          <t>https://coursehandbook.mq.edu.au/2026/courses/C000179</t>
        </is>
      </c>
      <c r="H387" t="inlineStr">
        <is>
          <t>Read</t>
        </is>
      </c>
      <c r="I387" t="inlineStr">
        <is>
          <t>Exact title match</t>
        </is>
      </c>
      <c r="J387" t="inlineStr"/>
      <c r="K387" t="inlineStr">
        <is>
          <t>Not sent to re-link</t>
        </is>
      </c>
      <c r="L387" t="inlineStr">
        <is>
          <t>Filled</t>
        </is>
      </c>
      <c r="M387" t="inlineStr">
        <is>
          <t>Not stated on course page</t>
        </is>
      </c>
      <c r="N387" t="inlineStr"/>
      <c r="O387" t="n">
        <v>0</v>
      </c>
      <c r="P387" t="inlineStr"/>
      <c r="Q387" t="inlineStr">
        <is>
          <t>Filled</t>
        </is>
      </c>
      <c r="R387" t="n">
        <v>6.5</v>
      </c>
      <c r="S387" t="inlineStr">
        <is>
          <t>University adapter</t>
        </is>
      </c>
      <c r="T387" t="inlineStr">
        <is>
          <t>Central rule applies (value agrees)</t>
        </is>
      </c>
      <c r="U387" t="inlineStr"/>
      <c r="V387" t="inlineStr">
        <is>
          <t>Not stated on course page</t>
        </is>
      </c>
      <c r="W387" t="inlineStr"/>
      <c r="X387" t="inlineStr"/>
      <c r="Y387" t="n">
        <v>0</v>
      </c>
      <c r="Z387" t="inlineStr">
        <is>
          <t>No</t>
        </is>
      </c>
      <c r="AA387" t="inlineStr">
        <is>
          <t>Not stated on course page</t>
        </is>
      </c>
      <c r="AB387" t="inlineStr"/>
      <c r="AC387" t="inlineStr">
        <is>
          <t>Skipped: the page does not state it</t>
        </is>
      </c>
      <c r="AD387" t="n">
        <v>0</v>
      </c>
      <c r="AE387" t="inlineStr"/>
      <c r="AF387" t="inlineStr"/>
      <c r="AG387" t="inlineStr"/>
      <c r="AH387" t="inlineStr"/>
      <c r="AI387" t="inlineStr"/>
      <c r="AJ387" t="inlineStr"/>
      <c r="AK387" t="inlineStr"/>
      <c r="AL387" t="inlineStr"/>
      <c r="AM387" t="inlineStr"/>
    </row>
    <row r="388">
      <c r="A388" t="inlineStr">
        <is>
          <t>045284M</t>
        </is>
      </c>
      <c r="B388" t="inlineStr">
        <is>
          <t>Master of International Trade and Commerce Law</t>
        </is>
      </c>
      <c r="C388" t="inlineStr">
        <is>
          <t>Masters Degree (Coursework)</t>
        </is>
      </c>
      <c r="D388" t="inlineStr">
        <is>
          <t>Postgraduate coursework</t>
        </is>
      </c>
      <c r="E388" t="inlineStr">
        <is>
          <t>Page address no longer works</t>
        </is>
      </c>
      <c r="F388" t="inlineStr"/>
      <c r="G388" t="inlineStr">
        <is>
          <t>https://coursehandbook.mq.edu.au/2026/doubledegree/d003922</t>
        </is>
      </c>
      <c r="H388" t="inlineStr">
        <is>
          <t>Address no longer works</t>
        </is>
      </c>
      <c r="I388" t="inlineStr"/>
      <c r="J388" t="inlineStr"/>
      <c r="K388" t="inlineStr">
        <is>
          <t>Not sent to re-link</t>
        </is>
      </c>
      <c r="L388" t="inlineStr">
        <is>
          <t>Page found, being read</t>
        </is>
      </c>
      <c r="M388" t="inlineStr">
        <is>
          <t>Page found, being read</t>
        </is>
      </c>
      <c r="N388" t="inlineStr"/>
      <c r="O388" t="n">
        <v>0</v>
      </c>
      <c r="P388" t="inlineStr"/>
      <c r="Q388" t="inlineStr">
        <is>
          <t>Filled</t>
        </is>
      </c>
      <c r="R388" t="n">
        <v>6.5</v>
      </c>
      <c r="S388" t="inlineStr">
        <is>
          <t>Central English policy</t>
        </is>
      </c>
      <c r="T388" t="inlineStr">
        <is>
          <t>Central rule applies (value agrees)</t>
        </is>
      </c>
      <c r="U388" t="inlineStr"/>
      <c r="V388" t="inlineStr">
        <is>
          <t>Page found, being read</t>
        </is>
      </c>
      <c r="W388" t="inlineStr"/>
      <c r="X388" t="inlineStr"/>
      <c r="Y388" t="n">
        <v>0</v>
      </c>
      <c r="Z388" t="inlineStr">
        <is>
          <t>No</t>
        </is>
      </c>
      <c r="AA388" t="inlineStr">
        <is>
          <t>Not stated on course page</t>
        </is>
      </c>
      <c r="AB388" t="inlineStr"/>
      <c r="AC388" t="inlineStr">
        <is>
          <t>Skipped: no allowed source had a value</t>
        </is>
      </c>
      <c r="AD388" t="n">
        <v>0</v>
      </c>
      <c r="AE388" t="inlineStr"/>
      <c r="AF388" t="inlineStr"/>
      <c r="AG388" t="inlineStr"/>
      <c r="AH388" t="inlineStr"/>
      <c r="AI388" t="inlineStr"/>
      <c r="AJ388" t="inlineStr"/>
      <c r="AK388" t="inlineStr"/>
      <c r="AL388" t="inlineStr"/>
      <c r="AM388" t="inlineStr"/>
    </row>
    <row r="389">
      <c r="A389" t="inlineStr">
        <is>
          <t>099176B</t>
        </is>
      </c>
      <c r="B389" t="inlineStr">
        <is>
          <t>Master of Laboratory Analysis, Quality and Management</t>
        </is>
      </c>
      <c r="C389" t="inlineStr">
        <is>
          <t>Masters Degree (Coursework)</t>
        </is>
      </c>
      <c r="D389" t="inlineStr">
        <is>
          <t>Postgraduate coursework</t>
        </is>
      </c>
      <c r="E389" t="inlineStr">
        <is>
          <t>Page address no longer works</t>
        </is>
      </c>
      <c r="F389" t="inlineStr"/>
      <c r="G389" t="inlineStr">
        <is>
          <t>https://coursehandbook.mq.edu.au/2026/courses/c000024</t>
        </is>
      </c>
      <c r="H389" t="inlineStr">
        <is>
          <t>Address no longer works</t>
        </is>
      </c>
      <c r="I389" t="inlineStr"/>
      <c r="J389" t="inlineStr"/>
      <c r="K389" t="inlineStr">
        <is>
          <t>Not sent to re-link</t>
        </is>
      </c>
      <c r="L389" t="inlineStr">
        <is>
          <t>Page found, being read</t>
        </is>
      </c>
      <c r="M389" t="inlineStr">
        <is>
          <t>Page found, being read</t>
        </is>
      </c>
      <c r="N389" t="inlineStr"/>
      <c r="O389" t="n">
        <v>0</v>
      </c>
      <c r="P389" t="inlineStr"/>
      <c r="Q389" t="inlineStr">
        <is>
          <t>Filled</t>
        </is>
      </c>
      <c r="R389" t="n">
        <v>6.5</v>
      </c>
      <c r="S389" t="inlineStr">
        <is>
          <t>Central English policy</t>
        </is>
      </c>
      <c r="T389" t="inlineStr">
        <is>
          <t>Central rule applies (value agrees)</t>
        </is>
      </c>
      <c r="U389" t="inlineStr"/>
      <c r="V389" t="inlineStr">
        <is>
          <t>Page found, being read</t>
        </is>
      </c>
      <c r="W389" t="inlineStr"/>
      <c r="X389" t="inlineStr"/>
      <c r="Y389" t="n">
        <v>0</v>
      </c>
      <c r="Z389" t="inlineStr">
        <is>
          <t>No</t>
        </is>
      </c>
      <c r="AA389" t="inlineStr">
        <is>
          <t>Not stated on course page</t>
        </is>
      </c>
      <c r="AB389" t="inlineStr"/>
      <c r="AC389" t="inlineStr">
        <is>
          <t>Skipped: no allowed source had a value</t>
        </is>
      </c>
      <c r="AD389" t="n">
        <v>0</v>
      </c>
      <c r="AE389" t="inlineStr"/>
      <c r="AF389" t="inlineStr"/>
      <c r="AG389" t="inlineStr"/>
      <c r="AH389" t="inlineStr"/>
      <c r="AI389" t="inlineStr"/>
      <c r="AJ389" t="inlineStr"/>
      <c r="AK389" t="inlineStr"/>
      <c r="AL389" t="inlineStr"/>
      <c r="AM389" t="inlineStr"/>
    </row>
    <row r="390">
      <c r="A390" t="inlineStr">
        <is>
          <t>083799B</t>
        </is>
      </c>
      <c r="B390" t="inlineStr">
        <is>
          <t>Master of Laboratory Quality Analysis and Management</t>
        </is>
      </c>
      <c r="C390" t="inlineStr">
        <is>
          <t>Masters Degree (Coursework)</t>
        </is>
      </c>
      <c r="D390" t="inlineStr">
        <is>
          <t>Postgraduate coursework</t>
        </is>
      </c>
      <c r="E390" t="inlineStr">
        <is>
          <t>Advertised: official page in place</t>
        </is>
      </c>
      <c r="F390" t="inlineStr">
        <is>
          <t>https://handbook.mq.edu.au/2019/DegreesDiplomas/PGDegree/Master+of+Laboratory+Quality+Analysis+and+Management</t>
        </is>
      </c>
      <c r="G390" t="inlineStr">
        <is>
          <t>https://handbook.mq.edu.au/2019/DegreesDiplomas/PGDegree/Master+of+Laboratory+Quality+Analysis+and+Management</t>
        </is>
      </c>
      <c r="H390" t="inlineStr">
        <is>
          <t>Read</t>
        </is>
      </c>
      <c r="I390" t="inlineStr">
        <is>
          <t>CRICOS code on page</t>
        </is>
      </c>
      <c r="J390" t="inlineStr"/>
      <c r="K390" t="inlineStr">
        <is>
          <t>Not sent to re-link</t>
        </is>
      </c>
      <c r="L390" t="inlineStr">
        <is>
          <t>Filled</t>
        </is>
      </c>
      <c r="M390" t="inlineStr">
        <is>
          <t>Not stated on course page</t>
        </is>
      </c>
      <c r="N390" t="inlineStr"/>
      <c r="O390" t="n">
        <v>0</v>
      </c>
      <c r="P390" t="inlineStr"/>
      <c r="Q390" t="inlineStr">
        <is>
          <t>Filled</t>
        </is>
      </c>
      <c r="R390" t="n">
        <v>6.5</v>
      </c>
      <c r="S390" t="inlineStr">
        <is>
          <t>Other</t>
        </is>
      </c>
      <c r="T390" t="inlineStr">
        <is>
          <t>Central rule applies (value agrees)</t>
        </is>
      </c>
      <c r="U390" t="inlineStr"/>
      <c r="V390" t="inlineStr">
        <is>
          <t>Filled</t>
        </is>
      </c>
      <c r="W390" t="inlineStr">
        <is>
          <t>February, July</t>
        </is>
      </c>
      <c r="X390" t="inlineStr">
        <is>
          <t>Other</t>
        </is>
      </c>
      <c r="Y390" t="n">
        <v>0</v>
      </c>
      <c r="Z390" t="inlineStr">
        <is>
          <t>No</t>
        </is>
      </c>
      <c r="AA390" t="inlineStr">
        <is>
          <t>Filled</t>
        </is>
      </c>
      <c r="AB390" t="inlineStr">
        <is>
          <t>on campus</t>
        </is>
      </c>
      <c r="AC390" t="inlineStr">
        <is>
          <t>Filled</t>
        </is>
      </c>
      <c r="AD390" t="n">
        <v>0</v>
      </c>
      <c r="AE390" t="inlineStr"/>
      <c r="AF390" t="inlineStr"/>
      <c r="AG390" t="inlineStr"/>
      <c r="AH390" t="inlineStr"/>
      <c r="AI390" t="inlineStr"/>
      <c r="AJ390" t="inlineStr"/>
      <c r="AK390" t="inlineStr"/>
      <c r="AL390" t="inlineStr"/>
      <c r="AM390" t="inlineStr"/>
    </row>
    <row r="391">
      <c r="A391" t="inlineStr">
        <is>
          <t>047337J</t>
        </is>
      </c>
      <c r="B391" t="inlineStr">
        <is>
          <t>Master of Laws</t>
        </is>
      </c>
      <c r="C391" t="inlineStr">
        <is>
          <t>Masters Degree (Coursework)</t>
        </is>
      </c>
      <c r="D391" t="inlineStr">
        <is>
          <t>Postgraduate coursework</t>
        </is>
      </c>
      <c r="E391" t="inlineStr">
        <is>
          <t>Advertised: official page in place</t>
        </is>
      </c>
      <c r="F391" t="inlineStr">
        <is>
          <t>https://coursehandbook.mq.edu.au/2026/courses/C000184</t>
        </is>
      </c>
      <c r="G391" t="inlineStr">
        <is>
          <t>https://coursehandbook.mq.edu.au/2026/courses/C000184</t>
        </is>
      </c>
      <c r="H391" t="inlineStr">
        <is>
          <t>Read</t>
        </is>
      </c>
      <c r="I391" t="inlineStr">
        <is>
          <t>Exact title match</t>
        </is>
      </c>
      <c r="J391" t="inlineStr"/>
      <c r="K391" t="inlineStr">
        <is>
          <t>Not sent to re-link</t>
        </is>
      </c>
      <c r="L391" t="inlineStr">
        <is>
          <t>Filled</t>
        </is>
      </c>
      <c r="M391" t="inlineStr">
        <is>
          <t>Not stated on course page</t>
        </is>
      </c>
      <c r="N391" t="inlineStr"/>
      <c r="O391" t="n">
        <v>0</v>
      </c>
      <c r="P391" t="inlineStr"/>
      <c r="Q391" t="inlineStr">
        <is>
          <t>Filled</t>
        </is>
      </c>
      <c r="R391" t="n">
        <v>6.5</v>
      </c>
      <c r="S391" t="inlineStr">
        <is>
          <t>University adapter</t>
        </is>
      </c>
      <c r="T391" t="inlineStr">
        <is>
          <t>Central rule applies (value agrees)</t>
        </is>
      </c>
      <c r="U391" t="inlineStr"/>
      <c r="V391" t="inlineStr">
        <is>
          <t>Not stated on course page</t>
        </is>
      </c>
      <c r="W391" t="inlineStr"/>
      <c r="X391" t="inlineStr"/>
      <c r="Y391" t="n">
        <v>0</v>
      </c>
      <c r="Z391" t="inlineStr">
        <is>
          <t>No</t>
        </is>
      </c>
      <c r="AA391" t="inlineStr">
        <is>
          <t>Not stated on course page</t>
        </is>
      </c>
      <c r="AB391" t="inlineStr"/>
      <c r="AC391" t="inlineStr">
        <is>
          <t>Skipped: the page does not state it</t>
        </is>
      </c>
      <c r="AD391" t="n">
        <v>0</v>
      </c>
      <c r="AE391" t="inlineStr"/>
      <c r="AF391" t="inlineStr"/>
      <c r="AG391" t="inlineStr"/>
      <c r="AH391" t="inlineStr"/>
      <c r="AI391" t="inlineStr"/>
      <c r="AJ391" t="inlineStr"/>
      <c r="AK391" t="inlineStr"/>
      <c r="AL391" t="inlineStr"/>
      <c r="AM391" t="inlineStr"/>
    </row>
    <row r="392">
      <c r="A392" t="inlineStr">
        <is>
          <t>116747D</t>
        </is>
      </c>
      <c r="B392" t="inlineStr">
        <is>
          <t>Master of Laws in Corporations, Human Rights and Sustainability</t>
        </is>
      </c>
      <c r="C392" t="inlineStr">
        <is>
          <t>Masters Degree (Coursework)</t>
        </is>
      </c>
      <c r="D392" t="inlineStr">
        <is>
          <t>Postgraduate coursework</t>
        </is>
      </c>
      <c r="E392" t="inlineStr">
        <is>
          <t>Page address no longer works</t>
        </is>
      </c>
      <c r="F392" t="inlineStr"/>
      <c r="G392" t="inlineStr">
        <is>
          <t>https://coursehandbook.mq.edu.au/2026/courses/c000428</t>
        </is>
      </c>
      <c r="H392" t="inlineStr">
        <is>
          <t>Address no longer works</t>
        </is>
      </c>
      <c r="I392" t="inlineStr"/>
      <c r="J392" t="inlineStr"/>
      <c r="K392" t="inlineStr">
        <is>
          <t>Not sent to re-link</t>
        </is>
      </c>
      <c r="L392" t="inlineStr">
        <is>
          <t>Page found, being read</t>
        </is>
      </c>
      <c r="M392" t="inlineStr">
        <is>
          <t>Page found, being read</t>
        </is>
      </c>
      <c r="N392" t="inlineStr"/>
      <c r="O392" t="n">
        <v>0</v>
      </c>
      <c r="P392" t="inlineStr"/>
      <c r="Q392" t="inlineStr">
        <is>
          <t>Filled</t>
        </is>
      </c>
      <c r="R392" t="n">
        <v>6.5</v>
      </c>
      <c r="S392" t="inlineStr">
        <is>
          <t>Central English policy</t>
        </is>
      </c>
      <c r="T392" t="inlineStr">
        <is>
          <t>Central rule applies (value agrees)</t>
        </is>
      </c>
      <c r="U392" t="inlineStr"/>
      <c r="V392" t="inlineStr">
        <is>
          <t>Page found, being read</t>
        </is>
      </c>
      <c r="W392" t="inlineStr"/>
      <c r="X392" t="inlineStr"/>
      <c r="Y392" t="n">
        <v>0</v>
      </c>
      <c r="Z392" t="inlineStr">
        <is>
          <t>No</t>
        </is>
      </c>
      <c r="AA392" t="inlineStr">
        <is>
          <t>Not stated on course page</t>
        </is>
      </c>
      <c r="AB392" t="inlineStr"/>
      <c r="AC392" t="inlineStr">
        <is>
          <t>Skipped: no allowed source had a value</t>
        </is>
      </c>
      <c r="AD392" t="n">
        <v>0</v>
      </c>
      <c r="AE392" t="inlineStr"/>
      <c r="AF392" t="inlineStr"/>
      <c r="AG392" t="inlineStr"/>
      <c r="AH392" t="inlineStr"/>
      <c r="AI392" t="inlineStr"/>
      <c r="AJ392" t="inlineStr"/>
      <c r="AK392" t="inlineStr"/>
      <c r="AL392" t="inlineStr"/>
      <c r="AM392" t="inlineStr"/>
    </row>
    <row r="393">
      <c r="A393" t="inlineStr">
        <is>
          <t>083800C</t>
        </is>
      </c>
      <c r="B393" t="inlineStr">
        <is>
          <t>Master of Management</t>
        </is>
      </c>
      <c r="C393" t="inlineStr">
        <is>
          <t>Masters Degree (Coursework)</t>
        </is>
      </c>
      <c r="D393" t="inlineStr">
        <is>
          <t>Postgraduate coursework</t>
        </is>
      </c>
      <c r="E393" t="inlineStr">
        <is>
          <t>Advertised: official page in place</t>
        </is>
      </c>
      <c r="F393" t="inlineStr">
        <is>
          <t>https://www.mq.edu.au/study/find-a-course/courses/master-of-management</t>
        </is>
      </c>
      <c r="G393" t="inlineStr">
        <is>
          <t>https://www.mq.edu.au/study/find-a-course/courses/master-of-management</t>
        </is>
      </c>
      <c r="H393" t="inlineStr">
        <is>
          <t>Read</t>
        </is>
      </c>
      <c r="I393" t="inlineStr">
        <is>
          <t>Exact title match</t>
        </is>
      </c>
      <c r="J393" t="inlineStr"/>
      <c r="K393" t="inlineStr">
        <is>
          <t>Not sent to re-link</t>
        </is>
      </c>
      <c r="L393" t="inlineStr">
        <is>
          <t>Filled</t>
        </is>
      </c>
      <c r="M393" t="inlineStr">
        <is>
          <t>Not stated on course page</t>
        </is>
      </c>
      <c r="N393" t="inlineStr"/>
      <c r="O393" t="n">
        <v>0</v>
      </c>
      <c r="P393" t="inlineStr"/>
      <c r="Q393" t="inlineStr">
        <is>
          <t>Filled</t>
        </is>
      </c>
      <c r="R393" t="n">
        <v>6.5</v>
      </c>
      <c r="S393" t="inlineStr">
        <is>
          <t>Other</t>
        </is>
      </c>
      <c r="T393" t="inlineStr">
        <is>
          <t>Central rule applies (value agrees)</t>
        </is>
      </c>
      <c r="U393" t="inlineStr"/>
      <c r="V393" t="inlineStr">
        <is>
          <t>Filled</t>
        </is>
      </c>
      <c r="W393" t="inlineStr">
        <is>
          <t>February, July</t>
        </is>
      </c>
      <c r="X393" t="inlineStr">
        <is>
          <t>Other</t>
        </is>
      </c>
      <c r="Y393" t="n">
        <v>0</v>
      </c>
      <c r="Z393" t="inlineStr">
        <is>
          <t>No</t>
        </is>
      </c>
      <c r="AA393" t="inlineStr">
        <is>
          <t>Filled</t>
        </is>
      </c>
      <c r="AB393" t="inlineStr">
        <is>
          <t>on campus</t>
        </is>
      </c>
      <c r="AC393" t="inlineStr">
        <is>
          <t>Filled</t>
        </is>
      </c>
      <c r="AD393" t="n">
        <v>0</v>
      </c>
      <c r="AE393" t="inlineStr"/>
      <c r="AF393" t="inlineStr"/>
      <c r="AG393" t="inlineStr"/>
      <c r="AH393" t="inlineStr"/>
      <c r="AI393" t="inlineStr"/>
      <c r="AJ393" t="inlineStr"/>
      <c r="AK393" t="inlineStr"/>
      <c r="AL393" t="inlineStr"/>
      <c r="AM393" t="inlineStr"/>
    </row>
    <row r="394">
      <c r="A394" t="inlineStr">
        <is>
          <t>068544F</t>
        </is>
      </c>
      <c r="B394" t="inlineStr">
        <is>
          <t>Master of Management General Exchange Program</t>
        </is>
      </c>
      <c r="C394" t="inlineStr">
        <is>
          <t>Non AQF Award</t>
        </is>
      </c>
      <c r="D394" t="inlineStr">
        <is>
          <t>Non-award</t>
        </is>
      </c>
      <c r="E394" t="inlineStr">
        <is>
          <t>Held: page found is for another course</t>
        </is>
      </c>
      <c r="F394" t="inlineStr"/>
      <c r="G394" t="inlineStr">
        <is>
          <t>https://www.mq.edu.au/study/find-a-course/courses/master-of-management</t>
        </is>
      </c>
      <c r="H394" t="inlineStr">
        <is>
          <t>Page is for another course</t>
        </is>
      </c>
      <c r="I394" t="inlineStr"/>
      <c r="J394" t="inlineStr"/>
      <c r="K394" t="inlineStr">
        <is>
          <t>Finished, no page: no address from the university's address forms or stored lis</t>
        </is>
      </c>
      <c r="L394" t="inlineStr">
        <is>
          <t>Searching for course page</t>
        </is>
      </c>
      <c r="M394" t="inlineStr">
        <is>
          <t>Searching for course page</t>
        </is>
      </c>
      <c r="N394" t="inlineStr"/>
      <c r="O394" t="n">
        <v>0</v>
      </c>
      <c r="P394" t="inlineStr"/>
      <c r="Q394" t="inlineStr">
        <is>
          <t>Searching for course page</t>
        </is>
      </c>
      <c r="S394" t="inlineStr"/>
      <c r="T394" t="inlineStr">
        <is>
          <t>Held: level not covered by the policy default</t>
        </is>
      </c>
      <c r="U394" t="inlineStr"/>
      <c r="V394" t="inlineStr">
        <is>
          <t>Searching for course page</t>
        </is>
      </c>
      <c r="W394" t="inlineStr"/>
      <c r="X394" t="inlineStr"/>
      <c r="Y394" t="n">
        <v>0</v>
      </c>
      <c r="Z394" t="inlineStr">
        <is>
          <t>No</t>
        </is>
      </c>
      <c r="AA394" t="inlineStr">
        <is>
          <t>Not stated on course page</t>
        </is>
      </c>
      <c r="AB394" t="inlineStr"/>
      <c r="AC394" t="inlineStr">
        <is>
          <t>Skipped: no correct course page: the page found is for another course</t>
        </is>
      </c>
      <c r="AD394" t="n">
        <v>1</v>
      </c>
      <c r="AE394" t="inlineStr"/>
      <c r="AF394" t="inlineStr"/>
      <c r="AG394" t="inlineStr"/>
      <c r="AH394" t="inlineStr"/>
      <c r="AI394" t="inlineStr"/>
      <c r="AJ394" t="inlineStr">
        <is>
          <t>Yes</t>
        </is>
      </c>
      <c r="AK394" t="inlineStr"/>
      <c r="AL394" t="inlineStr"/>
      <c r="AM394" t="inlineStr"/>
    </row>
    <row r="395">
      <c r="A395" t="inlineStr">
        <is>
          <t>099513A</t>
        </is>
      </c>
      <c r="B395" t="inlineStr">
        <is>
          <t>Master of Marine Science and Management</t>
        </is>
      </c>
      <c r="C395" t="inlineStr">
        <is>
          <t>Masters Degree (Coursework)</t>
        </is>
      </c>
      <c r="D395" t="inlineStr">
        <is>
          <t>Postgraduate coursework</t>
        </is>
      </c>
      <c r="E395" t="inlineStr">
        <is>
          <t>Page address no longer works</t>
        </is>
      </c>
      <c r="F395" t="inlineStr"/>
      <c r="G395" t="inlineStr">
        <is>
          <t>https://coursehandbook.mq.edu.au/2026/courses/c000202</t>
        </is>
      </c>
      <c r="H395" t="inlineStr">
        <is>
          <t>Address no longer works</t>
        </is>
      </c>
      <c r="I395" t="inlineStr"/>
      <c r="J395" t="inlineStr"/>
      <c r="K395" t="inlineStr">
        <is>
          <t>Not sent to re-link</t>
        </is>
      </c>
      <c r="L395" t="inlineStr">
        <is>
          <t>Page found, being read</t>
        </is>
      </c>
      <c r="M395" t="inlineStr">
        <is>
          <t>Page found, being read</t>
        </is>
      </c>
      <c r="N395" t="inlineStr"/>
      <c r="O395" t="n">
        <v>0</v>
      </c>
      <c r="P395" t="inlineStr"/>
      <c r="Q395" t="inlineStr">
        <is>
          <t>Filled</t>
        </is>
      </c>
      <c r="R395" t="n">
        <v>6.5</v>
      </c>
      <c r="S395" t="inlineStr">
        <is>
          <t>Central English policy</t>
        </is>
      </c>
      <c r="T395" t="inlineStr">
        <is>
          <t>Central rule applies (value agrees)</t>
        </is>
      </c>
      <c r="U395" t="inlineStr"/>
      <c r="V395" t="inlineStr">
        <is>
          <t>Page found, being read</t>
        </is>
      </c>
      <c r="W395" t="inlineStr"/>
      <c r="X395" t="inlineStr"/>
      <c r="Y395" t="n">
        <v>0</v>
      </c>
      <c r="Z395" t="inlineStr">
        <is>
          <t>No</t>
        </is>
      </c>
      <c r="AA395" t="inlineStr">
        <is>
          <t>Not stated on course page</t>
        </is>
      </c>
      <c r="AB395" t="inlineStr"/>
      <c r="AC395" t="inlineStr">
        <is>
          <t>Skipped: no allowed source had a value</t>
        </is>
      </c>
      <c r="AD395" t="n">
        <v>0</v>
      </c>
      <c r="AE395" t="inlineStr"/>
      <c r="AF395" t="inlineStr"/>
      <c r="AG395" t="inlineStr"/>
      <c r="AH395" t="inlineStr"/>
      <c r="AI395" t="inlineStr"/>
      <c r="AJ395" t="inlineStr"/>
      <c r="AK395" t="inlineStr"/>
      <c r="AL395" t="inlineStr"/>
      <c r="AM395" t="inlineStr"/>
    </row>
    <row r="396">
      <c r="A396" t="inlineStr">
        <is>
          <t>099181E</t>
        </is>
      </c>
      <c r="B396" t="inlineStr">
        <is>
          <t>Master of Marketing</t>
        </is>
      </c>
      <c r="C396" t="inlineStr">
        <is>
          <t>Masters Degree (Coursework)</t>
        </is>
      </c>
      <c r="D396" t="inlineStr">
        <is>
          <t>Postgraduate coursework</t>
        </is>
      </c>
      <c r="E396" t="inlineStr">
        <is>
          <t>Advertised: official page in place</t>
        </is>
      </c>
      <c r="F396" t="inlineStr">
        <is>
          <t>https://coursehandbook.mq.edu.au/2026/courses/C000049</t>
        </is>
      </c>
      <c r="G396" t="inlineStr">
        <is>
          <t>https://coursehandbook.mq.edu.au/2026/courses/C000049</t>
        </is>
      </c>
      <c r="H396" t="inlineStr">
        <is>
          <t>Read</t>
        </is>
      </c>
      <c r="I396" t="inlineStr">
        <is>
          <t>Exact title match</t>
        </is>
      </c>
      <c r="J396" t="inlineStr"/>
      <c r="K396" t="inlineStr">
        <is>
          <t>Not sent to re-link</t>
        </is>
      </c>
      <c r="L396" t="inlineStr">
        <is>
          <t>Filled</t>
        </is>
      </c>
      <c r="M396" t="inlineStr">
        <is>
          <t>Not stated on course page</t>
        </is>
      </c>
      <c r="N396" t="inlineStr"/>
      <c r="O396" t="n">
        <v>0</v>
      </c>
      <c r="P396" t="inlineStr"/>
      <c r="Q396" t="inlineStr">
        <is>
          <t>Filled</t>
        </is>
      </c>
      <c r="R396" t="n">
        <v>6.5</v>
      </c>
      <c r="S396" t="inlineStr">
        <is>
          <t>University adapter</t>
        </is>
      </c>
      <c r="T396" t="inlineStr">
        <is>
          <t>Central rule applies (value agrees)</t>
        </is>
      </c>
      <c r="U396" t="inlineStr"/>
      <c r="V396" t="inlineStr">
        <is>
          <t>Not stated on course page</t>
        </is>
      </c>
      <c r="W396" t="inlineStr"/>
      <c r="X396" t="inlineStr"/>
      <c r="Y396" t="n">
        <v>0</v>
      </c>
      <c r="Z396" t="inlineStr">
        <is>
          <t>No</t>
        </is>
      </c>
      <c r="AA396" t="inlineStr">
        <is>
          <t>Not stated on course page</t>
        </is>
      </c>
      <c r="AB396" t="inlineStr"/>
      <c r="AC396" t="inlineStr">
        <is>
          <t>Skipped: the page does not state it</t>
        </is>
      </c>
      <c r="AD396" t="n">
        <v>0</v>
      </c>
      <c r="AE396" t="inlineStr"/>
      <c r="AF396" t="inlineStr"/>
      <c r="AG396" t="inlineStr"/>
      <c r="AH396" t="inlineStr"/>
      <c r="AI396" t="inlineStr"/>
      <c r="AJ396" t="inlineStr"/>
      <c r="AK396" t="inlineStr"/>
      <c r="AL396" t="inlineStr"/>
      <c r="AM396" t="inlineStr"/>
    </row>
    <row r="397">
      <c r="A397" t="inlineStr">
        <is>
          <t>099182D</t>
        </is>
      </c>
      <c r="B397" t="inlineStr">
        <is>
          <t>Master of Marketing Strategy</t>
        </is>
      </c>
      <c r="C397" t="inlineStr">
        <is>
          <t>Masters Degree (Coursework)</t>
        </is>
      </c>
      <c r="D397" t="inlineStr">
        <is>
          <t>Postgraduate coursework</t>
        </is>
      </c>
      <c r="E397" t="inlineStr">
        <is>
          <t>Page address no longer works</t>
        </is>
      </c>
      <c r="F397" t="inlineStr"/>
      <c r="G397" t="inlineStr">
        <is>
          <t>https://coursehandbook.mq.edu.au/2026/courses/c000185</t>
        </is>
      </c>
      <c r="H397" t="inlineStr">
        <is>
          <t>Address no longer works</t>
        </is>
      </c>
      <c r="I397" t="inlineStr"/>
      <c r="J397" t="inlineStr"/>
      <c r="K397" t="inlineStr">
        <is>
          <t>Not sent to re-link</t>
        </is>
      </c>
      <c r="L397" t="inlineStr">
        <is>
          <t>Page found, being read</t>
        </is>
      </c>
      <c r="M397" t="inlineStr">
        <is>
          <t>Page found, being read</t>
        </is>
      </c>
      <c r="N397" t="inlineStr"/>
      <c r="O397" t="n">
        <v>0</v>
      </c>
      <c r="P397" t="inlineStr"/>
      <c r="Q397" t="inlineStr">
        <is>
          <t>Filled</t>
        </is>
      </c>
      <c r="R397" t="n">
        <v>6.5</v>
      </c>
      <c r="S397" t="inlineStr">
        <is>
          <t>Central English policy</t>
        </is>
      </c>
      <c r="T397" t="inlineStr">
        <is>
          <t>Central rule applies (value agrees)</t>
        </is>
      </c>
      <c r="U397" t="inlineStr"/>
      <c r="V397" t="inlineStr">
        <is>
          <t>Page found, being read</t>
        </is>
      </c>
      <c r="W397" t="inlineStr"/>
      <c r="X397" t="inlineStr"/>
      <c r="Y397" t="n">
        <v>0</v>
      </c>
      <c r="Z397" t="inlineStr">
        <is>
          <t>No</t>
        </is>
      </c>
      <c r="AA397" t="inlineStr">
        <is>
          <t>Not stated on course page</t>
        </is>
      </c>
      <c r="AB397" t="inlineStr"/>
      <c r="AC397" t="inlineStr">
        <is>
          <t>Skipped: no allowed source had a value</t>
        </is>
      </c>
      <c r="AD397" t="n">
        <v>0</v>
      </c>
      <c r="AE397" t="inlineStr"/>
      <c r="AF397" t="inlineStr"/>
      <c r="AG397" t="inlineStr"/>
      <c r="AH397" t="inlineStr"/>
      <c r="AI397" t="inlineStr"/>
      <c r="AJ397" t="inlineStr"/>
      <c r="AK397" t="inlineStr"/>
      <c r="AL397" t="inlineStr"/>
      <c r="AM397" t="inlineStr"/>
    </row>
    <row r="398">
      <c r="A398" t="inlineStr">
        <is>
          <t>096081M</t>
        </is>
      </c>
      <c r="B398" t="inlineStr">
        <is>
          <t>Master of Media</t>
        </is>
      </c>
      <c r="C398" t="inlineStr">
        <is>
          <t>Masters Degree (Coursework)</t>
        </is>
      </c>
      <c r="D398" t="inlineStr">
        <is>
          <t>Postgraduate coursework</t>
        </is>
      </c>
      <c r="E398" t="inlineStr">
        <is>
          <t>Advertised: official page in place</t>
        </is>
      </c>
      <c r="F398" t="inlineStr">
        <is>
          <t>https://www.mq.edu.au/study/find-a-course/courses/master-of-media-and-communications</t>
        </is>
      </c>
      <c r="G398" t="inlineStr">
        <is>
          <t>https://www.mq.edu.au/study/find-a-course/courses/master-of-media-and-communications</t>
        </is>
      </c>
      <c r="H398" t="inlineStr">
        <is>
          <t>Read</t>
        </is>
      </c>
      <c r="I398" t="inlineStr">
        <is>
          <t>Exact title match</t>
        </is>
      </c>
      <c r="J398" t="inlineStr"/>
      <c r="K398" t="inlineStr">
        <is>
          <t>Finished, no page: no address from the university's address forms or stored lis</t>
        </is>
      </c>
      <c r="L398" t="inlineStr">
        <is>
          <t>Filled</t>
        </is>
      </c>
      <c r="M398" t="inlineStr">
        <is>
          <t>Page found, being read</t>
        </is>
      </c>
      <c r="N398" t="inlineStr"/>
      <c r="O398" t="n">
        <v>0</v>
      </c>
      <c r="P398" t="inlineStr"/>
      <c r="Q398" t="inlineStr">
        <is>
          <t>Filled</t>
        </is>
      </c>
      <c r="R398" t="n">
        <v>6.5</v>
      </c>
      <c r="S398" t="inlineStr">
        <is>
          <t>Central English policy</t>
        </is>
      </c>
      <c r="T398" t="inlineStr">
        <is>
          <t>Central rule applies (value agrees)</t>
        </is>
      </c>
      <c r="U398" t="inlineStr"/>
      <c r="V398" t="inlineStr">
        <is>
          <t>Filled</t>
        </is>
      </c>
      <c r="W398" t="inlineStr">
        <is>
          <t>February, July</t>
        </is>
      </c>
      <c r="X398" t="inlineStr">
        <is>
          <t>University adapter</t>
        </is>
      </c>
      <c r="Y398" t="n">
        <v>0</v>
      </c>
      <c r="Z398" t="inlineStr">
        <is>
          <t>No</t>
        </is>
      </c>
      <c r="AA398" t="inlineStr">
        <is>
          <t>Filled</t>
        </is>
      </c>
      <c r="AB398" t="inlineStr">
        <is>
          <t>on campus</t>
        </is>
      </c>
      <c r="AC398" t="inlineStr">
        <is>
          <t>Filled</t>
        </is>
      </c>
      <c r="AD398" t="n">
        <v>1</v>
      </c>
      <c r="AE398" t="inlineStr"/>
      <c r="AF398" t="inlineStr"/>
      <c r="AG398" t="inlineStr"/>
      <c r="AH398" t="inlineStr"/>
      <c r="AI398" t="inlineStr"/>
      <c r="AJ398" t="inlineStr"/>
      <c r="AK398" t="inlineStr"/>
      <c r="AL398" t="inlineStr"/>
      <c r="AM398" t="inlineStr"/>
    </row>
    <row r="399">
      <c r="A399" t="inlineStr">
        <is>
          <t>099507K</t>
        </is>
      </c>
      <c r="B399" t="inlineStr">
        <is>
          <t>Master of Media and Communications</t>
        </is>
      </c>
      <c r="C399" t="inlineStr">
        <is>
          <t>Masters Degree (Coursework)</t>
        </is>
      </c>
      <c r="D399" t="inlineStr">
        <is>
          <t>Postgraduate coursework</t>
        </is>
      </c>
      <c r="E399" t="inlineStr">
        <is>
          <t>Advertised: official page in place</t>
        </is>
      </c>
      <c r="F399" t="inlineStr">
        <is>
          <t>https://coursehandbook.mq.edu.au/2026/courses/c000186</t>
        </is>
      </c>
      <c r="G399" t="inlineStr">
        <is>
          <t>https://coursehandbook.mq.edu.au/2026/courses/c000186</t>
        </is>
      </c>
      <c r="H399" t="inlineStr">
        <is>
          <t>Read</t>
        </is>
      </c>
      <c r="I399" t="inlineStr">
        <is>
          <t>Exact title match</t>
        </is>
      </c>
      <c r="J399" t="inlineStr"/>
      <c r="K399" t="inlineStr">
        <is>
          <t>Not sent to re-link</t>
        </is>
      </c>
      <c r="L399" t="inlineStr">
        <is>
          <t>Filled</t>
        </is>
      </c>
      <c r="M399" t="inlineStr">
        <is>
          <t>Not stated on course page</t>
        </is>
      </c>
      <c r="N399" t="inlineStr"/>
      <c r="O399" t="n">
        <v>0</v>
      </c>
      <c r="P399" t="inlineStr"/>
      <c r="Q399" t="inlineStr">
        <is>
          <t>Filled</t>
        </is>
      </c>
      <c r="R399" t="n">
        <v>6.5</v>
      </c>
      <c r="S399" t="inlineStr">
        <is>
          <t>University adapter</t>
        </is>
      </c>
      <c r="T399" t="inlineStr">
        <is>
          <t>Central rule applies (value agrees)</t>
        </is>
      </c>
      <c r="U399" t="inlineStr"/>
      <c r="V399" t="inlineStr">
        <is>
          <t>Not stated on course page</t>
        </is>
      </c>
      <c r="W399" t="inlineStr"/>
      <c r="X399" t="inlineStr"/>
      <c r="Y399" t="n">
        <v>0</v>
      </c>
      <c r="Z399" t="inlineStr">
        <is>
          <t>No</t>
        </is>
      </c>
      <c r="AA399" t="inlineStr">
        <is>
          <t>Not stated on course page</t>
        </is>
      </c>
      <c r="AB399" t="inlineStr"/>
      <c r="AC399" t="inlineStr">
        <is>
          <t>Skipped: the page does not state it</t>
        </is>
      </c>
      <c r="AD399" t="n">
        <v>0</v>
      </c>
      <c r="AE399" t="inlineStr"/>
      <c r="AF399" t="inlineStr"/>
      <c r="AG399" t="inlineStr"/>
      <c r="AH399" t="inlineStr"/>
      <c r="AI399" t="inlineStr"/>
      <c r="AJ399" t="inlineStr"/>
      <c r="AK399" t="inlineStr"/>
      <c r="AL399" t="inlineStr"/>
      <c r="AM399" t="inlineStr"/>
    </row>
    <row r="400">
      <c r="A400" t="inlineStr">
        <is>
          <t>077583B</t>
        </is>
      </c>
      <c r="B400" t="inlineStr">
        <is>
          <t>Master of Medical Practice</t>
        </is>
      </c>
      <c r="C400" t="inlineStr">
        <is>
          <t>Masters Degree (Coursework)</t>
        </is>
      </c>
      <c r="D400" t="inlineStr">
        <is>
          <t>Postgraduate coursework</t>
        </is>
      </c>
      <c r="E400" t="inlineStr">
        <is>
          <t>Advertised: official page in place</t>
        </is>
      </c>
      <c r="F400" t="inlineStr">
        <is>
          <t>https://handbook.mq.edu.au/2015/DegreesDiplomas/PGDegree/Master+of+Medical+Practice</t>
        </is>
      </c>
      <c r="G400" t="inlineStr">
        <is>
          <t>https://handbook.mq.edu.au/2015/DegreesDiplomas/PGDegree/Master+of+Medical+Practice</t>
        </is>
      </c>
      <c r="H400" t="inlineStr">
        <is>
          <t>Read</t>
        </is>
      </c>
      <c r="I400" t="inlineStr">
        <is>
          <t>CRICOS code on page</t>
        </is>
      </c>
      <c r="J400" t="inlineStr"/>
      <c r="K400" t="inlineStr">
        <is>
          <t>Not sent to re-link</t>
        </is>
      </c>
      <c r="L400" t="inlineStr">
        <is>
          <t>Filled</t>
        </is>
      </c>
      <c r="M400" t="inlineStr">
        <is>
          <t>Not stated on course page</t>
        </is>
      </c>
      <c r="N400" t="inlineStr"/>
      <c r="O400" t="n">
        <v>0</v>
      </c>
      <c r="P400" t="inlineStr"/>
      <c r="Q400" t="inlineStr">
        <is>
          <t>Filled</t>
        </is>
      </c>
      <c r="R400" t="n">
        <v>7</v>
      </c>
      <c r="S400" t="inlineStr">
        <is>
          <t>Other</t>
        </is>
      </c>
      <c r="T400" t="inlineStr">
        <is>
          <t>Central rule applies (course value differs)</t>
        </is>
      </c>
      <c r="U400" t="inlineStr">
        <is>
          <t>Yes: course has IELTS 7.00, central rule says 6.5</t>
        </is>
      </c>
      <c r="V400" t="inlineStr">
        <is>
          <t>Not stated on course page</t>
        </is>
      </c>
      <c r="W400" t="inlineStr"/>
      <c r="X400" t="inlineStr"/>
      <c r="Y400" t="n">
        <v>0</v>
      </c>
      <c r="Z400" t="inlineStr">
        <is>
          <t>No</t>
        </is>
      </c>
      <c r="AA400" t="inlineStr">
        <is>
          <t>Filled</t>
        </is>
      </c>
      <c r="AB400" t="inlineStr">
        <is>
          <t>blended</t>
        </is>
      </c>
      <c r="AC400" t="inlineStr">
        <is>
          <t>Filled</t>
        </is>
      </c>
      <c r="AD400" t="n">
        <v>0</v>
      </c>
      <c r="AE400" t="inlineStr"/>
      <c r="AF400" t="inlineStr"/>
      <c r="AG400" t="inlineStr"/>
      <c r="AH400" t="inlineStr"/>
      <c r="AI400" t="inlineStr"/>
      <c r="AJ400" t="inlineStr"/>
      <c r="AK400" t="inlineStr"/>
      <c r="AL400" t="inlineStr"/>
      <c r="AM400" t="inlineStr"/>
    </row>
    <row r="401">
      <c r="A401" t="inlineStr">
        <is>
          <t>083802A</t>
        </is>
      </c>
      <c r="B401" t="inlineStr">
        <is>
          <t>Master of Medicine</t>
        </is>
      </c>
      <c r="C401" t="inlineStr">
        <is>
          <t>Masters Degree (Coursework)</t>
        </is>
      </c>
      <c r="D401" t="inlineStr">
        <is>
          <t>Postgraduate coursework</t>
        </is>
      </c>
      <c r="E401" t="inlineStr">
        <is>
          <t>No-page record (no page), awaiting review</t>
        </is>
      </c>
      <c r="F401" t="inlineStr"/>
      <c r="G401" t="inlineStr">
        <is>
          <t>https://www.mq.edu.au/study/find-a-course/courses/master-of-research-in-medicine-health-and-human-sciences/</t>
        </is>
      </c>
      <c r="H401" t="inlineStr">
        <is>
          <t>Page is for another course</t>
        </is>
      </c>
      <c r="I401" t="inlineStr"/>
      <c r="J401" t="inlineStr">
        <is>
          <t>No page (proposed)</t>
        </is>
      </c>
      <c r="K401" t="inlineStr">
        <is>
          <t>Finished, no page: no address from the university's address forms or stored lis</t>
        </is>
      </c>
      <c r="L401" t="inlineStr">
        <is>
          <t>Searching for course page</t>
        </is>
      </c>
      <c r="M401" t="inlineStr">
        <is>
          <t>Searching for course page</t>
        </is>
      </c>
      <c r="N401" t="inlineStr"/>
      <c r="O401" t="n">
        <v>0</v>
      </c>
      <c r="P401" t="inlineStr"/>
      <c r="Q401" t="inlineStr">
        <is>
          <t>Filled</t>
        </is>
      </c>
      <c r="R401" t="n">
        <v>6.5</v>
      </c>
      <c r="S401" t="inlineStr">
        <is>
          <t>Central English policy</t>
        </is>
      </c>
      <c r="T401" t="inlineStr">
        <is>
          <t>Central rule applies (value agrees)</t>
        </is>
      </c>
      <c r="U401" t="inlineStr"/>
      <c r="V401" t="inlineStr">
        <is>
          <t>Searching for course page</t>
        </is>
      </c>
      <c r="W401" t="inlineStr"/>
      <c r="X401" t="inlineStr"/>
      <c r="Y401" t="n">
        <v>0</v>
      </c>
      <c r="Z401" t="inlineStr">
        <is>
          <t>No</t>
        </is>
      </c>
      <c r="AA401" t="inlineStr">
        <is>
          <t>Not stated on course page</t>
        </is>
      </c>
      <c r="AB401" t="inlineStr"/>
      <c r="AC401" t="inlineStr">
        <is>
          <t>Skipped: taken back: the page read was another course's page</t>
        </is>
      </c>
      <c r="AD401" t="n">
        <v>1</v>
      </c>
      <c r="AE401" t="inlineStr"/>
      <c r="AF401" t="inlineStr"/>
      <c r="AG401" t="inlineStr"/>
      <c r="AH401" t="inlineStr"/>
      <c r="AI401" t="inlineStr"/>
      <c r="AJ401" t="inlineStr"/>
      <c r="AK401" t="inlineStr"/>
      <c r="AL401" t="inlineStr"/>
      <c r="AM401" t="inlineStr">
        <is>
          <t>Yes</t>
        </is>
      </c>
    </row>
    <row r="402">
      <c r="A402" t="inlineStr">
        <is>
          <t>117555D</t>
        </is>
      </c>
      <c r="B402" t="inlineStr">
        <is>
          <t>Master of Nursing</t>
        </is>
      </c>
      <c r="C402" t="inlineStr">
        <is>
          <t>Masters Degree (Coursework)</t>
        </is>
      </c>
      <c r="D402" t="inlineStr">
        <is>
          <t>Postgraduate coursework</t>
        </is>
      </c>
      <c r="E402" t="inlineStr">
        <is>
          <t>No page found</t>
        </is>
      </c>
      <c r="F402" t="inlineStr"/>
      <c r="G402" t="inlineStr"/>
      <c r="H402" t="inlineStr"/>
      <c r="I402" t="inlineStr"/>
      <c r="J402" t="inlineStr"/>
      <c r="K402" t="inlineStr">
        <is>
          <t>Not sent to re-link</t>
        </is>
      </c>
      <c r="L402" t="inlineStr">
        <is>
          <t>Searching for course page</t>
        </is>
      </c>
      <c r="M402" t="inlineStr">
        <is>
          <t>Searching for course page</t>
        </is>
      </c>
      <c r="N402" t="inlineStr"/>
      <c r="O402" t="n">
        <v>0</v>
      </c>
      <c r="P402" t="inlineStr"/>
      <c r="Q402" t="inlineStr">
        <is>
          <t>Filled</t>
        </is>
      </c>
      <c r="R402" t="n">
        <v>6.5</v>
      </c>
      <c r="S402" t="inlineStr">
        <is>
          <t>Central English policy</t>
        </is>
      </c>
      <c r="T402" t="inlineStr">
        <is>
          <t>Central rule applies (value agrees)</t>
        </is>
      </c>
      <c r="U402" t="inlineStr"/>
      <c r="V402" t="inlineStr">
        <is>
          <t>Searching for course page</t>
        </is>
      </c>
      <c r="W402" t="inlineStr"/>
      <c r="X402" t="inlineStr"/>
      <c r="Y402" t="n">
        <v>0</v>
      </c>
      <c r="Z402" t="inlineStr">
        <is>
          <t>No</t>
        </is>
      </c>
      <c r="AA402" t="inlineStr">
        <is>
          <t>Not stated on course page</t>
        </is>
      </c>
      <c r="AB402" t="inlineStr"/>
      <c r="AC402" t="inlineStr">
        <is>
          <t>Skipped: no allowed source had a value</t>
        </is>
      </c>
      <c r="AD402" t="n">
        <v>0</v>
      </c>
      <c r="AE402" t="inlineStr"/>
      <c r="AF402" t="inlineStr"/>
      <c r="AG402" t="inlineStr"/>
      <c r="AH402" t="inlineStr"/>
      <c r="AI402" t="inlineStr"/>
      <c r="AJ402" t="inlineStr"/>
      <c r="AK402" t="inlineStr"/>
      <c r="AL402" t="inlineStr"/>
      <c r="AM402" t="inlineStr"/>
    </row>
    <row r="403">
      <c r="A403" t="inlineStr">
        <is>
          <t>030053E</t>
        </is>
      </c>
      <c r="B403" t="inlineStr">
        <is>
          <t>Master of Organisational Psychology</t>
        </is>
      </c>
      <c r="C403" t="inlineStr">
        <is>
          <t>Masters Degree (Coursework)</t>
        </is>
      </c>
      <c r="D403" t="inlineStr">
        <is>
          <t>Postgraduate coursework</t>
        </is>
      </c>
      <c r="E403" t="inlineStr">
        <is>
          <t>Advertised: official page in place</t>
        </is>
      </c>
      <c r="F403" t="inlineStr">
        <is>
          <t>https://www.mq.edu.au/study/find-a-course/courses/master-of-organisational-psychology</t>
        </is>
      </c>
      <c r="G403" t="inlineStr">
        <is>
          <t>https://www.mq.edu.au/study/find-a-course/courses/master-of-organisational-psychology</t>
        </is>
      </c>
      <c r="H403" t="inlineStr">
        <is>
          <t>Read</t>
        </is>
      </c>
      <c r="I403" t="inlineStr">
        <is>
          <t>Exact title match</t>
        </is>
      </c>
      <c r="J403" t="inlineStr"/>
      <c r="K403" t="inlineStr">
        <is>
          <t>Not sent to re-link</t>
        </is>
      </c>
      <c r="L403" t="inlineStr">
        <is>
          <t>Filled</t>
        </is>
      </c>
      <c r="M403" t="inlineStr">
        <is>
          <t>Not stated on course page</t>
        </is>
      </c>
      <c r="N403" t="inlineStr"/>
      <c r="O403" t="n">
        <v>0</v>
      </c>
      <c r="P403" t="inlineStr"/>
      <c r="Q403" t="inlineStr">
        <is>
          <t>Filled</t>
        </is>
      </c>
      <c r="R403" t="n">
        <v>7</v>
      </c>
      <c r="S403" t="inlineStr">
        <is>
          <t>Other</t>
        </is>
      </c>
      <c r="T403" t="inlineStr">
        <is>
          <t>Central rule applies (course value differs)</t>
        </is>
      </c>
      <c r="U403" t="inlineStr">
        <is>
          <t>Yes: course has IELTS 7.00, central rule says 6.5</t>
        </is>
      </c>
      <c r="V403" t="inlineStr">
        <is>
          <t>Filled</t>
        </is>
      </c>
      <c r="W403" t="inlineStr">
        <is>
          <t>February</t>
        </is>
      </c>
      <c r="X403" t="inlineStr">
        <is>
          <t>Other</t>
        </is>
      </c>
      <c r="Y403" t="n">
        <v>0</v>
      </c>
      <c r="Z403" t="inlineStr">
        <is>
          <t>No</t>
        </is>
      </c>
      <c r="AA403" t="inlineStr">
        <is>
          <t>Filled</t>
        </is>
      </c>
      <c r="AB403" t="inlineStr">
        <is>
          <t>on campus</t>
        </is>
      </c>
      <c r="AC403" t="inlineStr">
        <is>
          <t>Filled</t>
        </is>
      </c>
      <c r="AD403" t="n">
        <v>0</v>
      </c>
      <c r="AE403" t="inlineStr"/>
      <c r="AF403" t="inlineStr"/>
      <c r="AG403" t="inlineStr"/>
      <c r="AH403" t="inlineStr"/>
      <c r="AI403" t="inlineStr"/>
      <c r="AJ403" t="inlineStr"/>
      <c r="AK403" t="inlineStr"/>
      <c r="AL403" t="inlineStr"/>
      <c r="AM403" t="inlineStr"/>
    </row>
    <row r="404">
      <c r="A404" t="inlineStr">
        <is>
          <t>056667E</t>
        </is>
      </c>
      <c r="B404" t="inlineStr">
        <is>
          <t>Master of Philosophy (Arts)</t>
        </is>
      </c>
      <c r="C404" t="inlineStr">
        <is>
          <t>Masters Degree (Research)</t>
        </is>
      </c>
      <c r="D404" t="inlineStr">
        <is>
          <t>Research degree</t>
        </is>
      </c>
      <c r="E404" t="inlineStr">
        <is>
          <t>Page address no longer works</t>
        </is>
      </c>
      <c r="F404" t="inlineStr"/>
      <c r="G404" t="inlineStr">
        <is>
          <t>https://coursehandbook.mq.edu.au/2026/courses/C000212</t>
        </is>
      </c>
      <c r="H404" t="inlineStr">
        <is>
          <t>Address no longer works</t>
        </is>
      </c>
      <c r="I404" t="inlineStr"/>
      <c r="J404" t="inlineStr"/>
      <c r="K404" t="inlineStr">
        <is>
          <t>Not sent to re-link</t>
        </is>
      </c>
      <c r="L404" t="inlineStr">
        <is>
          <t>Page found, being read</t>
        </is>
      </c>
      <c r="M404" t="inlineStr">
        <is>
          <t>Page found, being read</t>
        </is>
      </c>
      <c r="N404" t="inlineStr"/>
      <c r="O404" t="n">
        <v>0</v>
      </c>
      <c r="P404" t="inlineStr"/>
      <c r="Q404" t="inlineStr">
        <is>
          <t>Filled</t>
        </is>
      </c>
      <c r="R404" t="n">
        <v>6.5</v>
      </c>
      <c r="S404" t="inlineStr">
        <is>
          <t>Central English policy</t>
        </is>
      </c>
      <c r="T404" t="inlineStr">
        <is>
          <t>Central rule applies (value agrees)</t>
        </is>
      </c>
      <c r="U404" t="inlineStr"/>
      <c r="V404" t="inlineStr">
        <is>
          <t>Page found, being read</t>
        </is>
      </c>
      <c r="W404" t="inlineStr"/>
      <c r="X404" t="inlineStr"/>
      <c r="Y404" t="n">
        <v>0</v>
      </c>
      <c r="Z404" t="inlineStr">
        <is>
          <t>No</t>
        </is>
      </c>
      <c r="AA404" t="inlineStr">
        <is>
          <t>Not stated on course page</t>
        </is>
      </c>
      <c r="AB404" t="inlineStr"/>
      <c r="AC404" t="inlineStr">
        <is>
          <t>Skipped: no allowed source had a value</t>
        </is>
      </c>
      <c r="AD404" t="n">
        <v>0</v>
      </c>
      <c r="AE404" t="inlineStr"/>
      <c r="AF404" t="inlineStr"/>
      <c r="AG404" t="inlineStr"/>
      <c r="AH404" t="inlineStr"/>
      <c r="AI404" t="inlineStr"/>
      <c r="AJ404" t="inlineStr"/>
      <c r="AK404" t="inlineStr"/>
      <c r="AL404" t="inlineStr"/>
      <c r="AM404" t="inlineStr"/>
    </row>
    <row r="405">
      <c r="A405" t="inlineStr">
        <is>
          <t>056664G</t>
        </is>
      </c>
      <c r="B405" t="inlineStr">
        <is>
          <t>Master of Philosophy (Business and Economics)</t>
        </is>
      </c>
      <c r="C405" t="inlineStr">
        <is>
          <t>Masters Degree (Research)</t>
        </is>
      </c>
      <c r="D405" t="inlineStr">
        <is>
          <t>Research degree</t>
        </is>
      </c>
      <c r="E405" t="inlineStr">
        <is>
          <t>Page address no longer works</t>
        </is>
      </c>
      <c r="F405" t="inlineStr"/>
      <c r="G405" t="inlineStr">
        <is>
          <t>https://coursehandbook.mq.edu.au/2026/courses/C000213</t>
        </is>
      </c>
      <c r="H405" t="inlineStr">
        <is>
          <t>Address no longer works</t>
        </is>
      </c>
      <c r="I405" t="inlineStr"/>
      <c r="J405" t="inlineStr"/>
      <c r="K405" t="inlineStr">
        <is>
          <t>Not sent to re-link</t>
        </is>
      </c>
      <c r="L405" t="inlineStr">
        <is>
          <t>Page found, being read</t>
        </is>
      </c>
      <c r="M405" t="inlineStr">
        <is>
          <t>Page found, being read</t>
        </is>
      </c>
      <c r="N405" t="inlineStr"/>
      <c r="O405" t="n">
        <v>0</v>
      </c>
      <c r="P405" t="inlineStr"/>
      <c r="Q405" t="inlineStr">
        <is>
          <t>Filled</t>
        </is>
      </c>
      <c r="R405" t="n">
        <v>6.5</v>
      </c>
      <c r="S405" t="inlineStr">
        <is>
          <t>Central English policy</t>
        </is>
      </c>
      <c r="T405" t="inlineStr">
        <is>
          <t>Central rule applies (value agrees)</t>
        </is>
      </c>
      <c r="U405" t="inlineStr"/>
      <c r="V405" t="inlineStr">
        <is>
          <t>Page found, being read</t>
        </is>
      </c>
      <c r="W405" t="inlineStr"/>
      <c r="X405" t="inlineStr"/>
      <c r="Y405" t="n">
        <v>0</v>
      </c>
      <c r="Z405" t="inlineStr">
        <is>
          <t>No</t>
        </is>
      </c>
      <c r="AA405" t="inlineStr">
        <is>
          <t>Not stated on course page</t>
        </is>
      </c>
      <c r="AB405" t="inlineStr"/>
      <c r="AC405" t="inlineStr">
        <is>
          <t>Skipped: no allowed source had a value</t>
        </is>
      </c>
      <c r="AD405" t="n">
        <v>0</v>
      </c>
      <c r="AE405" t="inlineStr"/>
      <c r="AF405" t="inlineStr"/>
      <c r="AG405" t="inlineStr"/>
      <c r="AH405" t="inlineStr"/>
      <c r="AI405" t="inlineStr"/>
      <c r="AJ405" t="inlineStr"/>
      <c r="AK405" t="inlineStr"/>
      <c r="AL405" t="inlineStr"/>
      <c r="AM405" t="inlineStr"/>
    </row>
    <row r="406">
      <c r="A406" t="inlineStr">
        <is>
          <t>064241J</t>
        </is>
      </c>
      <c r="B406" t="inlineStr">
        <is>
          <t>Master of Philosophy (Human Sciences - High Cost)</t>
        </is>
      </c>
      <c r="C406" t="inlineStr">
        <is>
          <t>Masters Degree (Research)</t>
        </is>
      </c>
      <c r="D406" t="inlineStr">
        <is>
          <t>Research degree</t>
        </is>
      </c>
      <c r="E406" t="inlineStr">
        <is>
          <t>No-page record (no page), awaiting review</t>
        </is>
      </c>
      <c r="F406" t="inlineStr"/>
      <c r="G406" t="inlineStr">
        <is>
          <t>https://www.mq.edu.au/study/find-a-course/courses/graduate-certificate-of-research-in-medicine-health-and-human-sciences</t>
        </is>
      </c>
      <c r="H406" t="inlineStr">
        <is>
          <t>Page is for another course</t>
        </is>
      </c>
      <c r="I406" t="inlineStr"/>
      <c r="J406" t="inlineStr">
        <is>
          <t>No page (proposed)</t>
        </is>
      </c>
      <c r="K406" t="inlineStr">
        <is>
          <t>Finished, no page: no address from the university's address forms or stored lis</t>
        </is>
      </c>
      <c r="L406" t="inlineStr">
        <is>
          <t>Searching for course page</t>
        </is>
      </c>
      <c r="M406" t="inlineStr">
        <is>
          <t>Searching for course page</t>
        </is>
      </c>
      <c r="N406" t="inlineStr"/>
      <c r="O406" t="n">
        <v>0</v>
      </c>
      <c r="P406" t="inlineStr"/>
      <c r="Q406" t="inlineStr">
        <is>
          <t>Filled</t>
        </is>
      </c>
      <c r="R406" t="n">
        <v>6.5</v>
      </c>
      <c r="S406" t="inlineStr">
        <is>
          <t>Central English policy</t>
        </is>
      </c>
      <c r="T406" t="inlineStr">
        <is>
          <t>Central rule applies (value agrees)</t>
        </is>
      </c>
      <c r="U406" t="inlineStr"/>
      <c r="V406" t="inlineStr">
        <is>
          <t>Searching for course page</t>
        </is>
      </c>
      <c r="W406" t="inlineStr"/>
      <c r="X406" t="inlineStr"/>
      <c r="Y406" t="n">
        <v>0</v>
      </c>
      <c r="Z406" t="inlineStr">
        <is>
          <t>No</t>
        </is>
      </c>
      <c r="AA406" t="inlineStr">
        <is>
          <t>Not stated on course page</t>
        </is>
      </c>
      <c r="AB406" t="inlineStr"/>
      <c r="AC406" t="inlineStr">
        <is>
          <t>Skipped: no correct course page: the page found is for another course</t>
        </is>
      </c>
      <c r="AD406" t="n">
        <v>1</v>
      </c>
      <c r="AE406" t="inlineStr"/>
      <c r="AF406" t="inlineStr"/>
      <c r="AG406" t="inlineStr"/>
      <c r="AH406" t="inlineStr"/>
      <c r="AI406" t="inlineStr"/>
      <c r="AJ406" t="inlineStr"/>
      <c r="AK406" t="inlineStr"/>
      <c r="AL406" t="inlineStr"/>
      <c r="AM406" t="inlineStr">
        <is>
          <t>Yes</t>
        </is>
      </c>
    </row>
    <row r="407">
      <c r="A407" t="inlineStr">
        <is>
          <t>064240K</t>
        </is>
      </c>
      <c r="B407" t="inlineStr">
        <is>
          <t>Master of Philosophy (Human Sciences - Low Cost)</t>
        </is>
      </c>
      <c r="C407" t="inlineStr">
        <is>
          <t>Masters Degree (Research)</t>
        </is>
      </c>
      <c r="D407" t="inlineStr">
        <is>
          <t>Research degree</t>
        </is>
      </c>
      <c r="E407" t="inlineStr">
        <is>
          <t>Page address no longer works</t>
        </is>
      </c>
      <c r="F407" t="inlineStr"/>
      <c r="G407" t="inlineStr">
        <is>
          <t>https://coursehandbook.mq.edu.au/2026/courses/C000215</t>
        </is>
      </c>
      <c r="H407" t="inlineStr">
        <is>
          <t>Address no longer works</t>
        </is>
      </c>
      <c r="I407" t="inlineStr"/>
      <c r="J407" t="inlineStr"/>
      <c r="K407" t="inlineStr">
        <is>
          <t>Not sent to re-link</t>
        </is>
      </c>
      <c r="L407" t="inlineStr">
        <is>
          <t>Page found, being read</t>
        </is>
      </c>
      <c r="M407" t="inlineStr">
        <is>
          <t>Page found, being read</t>
        </is>
      </c>
      <c r="N407" t="inlineStr"/>
      <c r="O407" t="n">
        <v>0</v>
      </c>
      <c r="P407" t="inlineStr"/>
      <c r="Q407" t="inlineStr">
        <is>
          <t>Filled</t>
        </is>
      </c>
      <c r="R407" t="n">
        <v>6.5</v>
      </c>
      <c r="S407" t="inlineStr">
        <is>
          <t>Central English policy</t>
        </is>
      </c>
      <c r="T407" t="inlineStr">
        <is>
          <t>Central rule applies (value agrees)</t>
        </is>
      </c>
      <c r="U407" t="inlineStr"/>
      <c r="V407" t="inlineStr">
        <is>
          <t>Page found, being read</t>
        </is>
      </c>
      <c r="W407" t="inlineStr"/>
      <c r="X407" t="inlineStr"/>
      <c r="Y407" t="n">
        <v>0</v>
      </c>
      <c r="Z407" t="inlineStr">
        <is>
          <t>No</t>
        </is>
      </c>
      <c r="AA407" t="inlineStr">
        <is>
          <t>Not stated on course page</t>
        </is>
      </c>
      <c r="AB407" t="inlineStr"/>
      <c r="AC407" t="inlineStr">
        <is>
          <t>Skipped: no allowed source had a value</t>
        </is>
      </c>
      <c r="AD407" t="n">
        <v>0</v>
      </c>
      <c r="AE407" t="inlineStr"/>
      <c r="AF407" t="inlineStr"/>
      <c r="AG407" t="inlineStr"/>
      <c r="AH407" t="inlineStr"/>
      <c r="AI407" t="inlineStr"/>
      <c r="AJ407" t="inlineStr"/>
      <c r="AK407" t="inlineStr"/>
      <c r="AL407" t="inlineStr"/>
      <c r="AM407" t="inlineStr"/>
    </row>
    <row r="408">
      <c r="A408" t="inlineStr">
        <is>
          <t>070064D</t>
        </is>
      </c>
      <c r="B408" t="inlineStr">
        <is>
          <t>Master of Philosophy (Human Sciences - Mid Cost)</t>
        </is>
      </c>
      <c r="C408" t="inlineStr">
        <is>
          <t>Masters Degree (Research)</t>
        </is>
      </c>
      <c r="D408" t="inlineStr">
        <is>
          <t>Research degree</t>
        </is>
      </c>
      <c r="E408" t="inlineStr">
        <is>
          <t>Held: page found is for another course</t>
        </is>
      </c>
      <c r="F408" t="inlineStr"/>
      <c r="G408" t="inlineStr">
        <is>
          <t>https://www.mq.edu.au/study/find-a-course/courses/master-of-international-relations</t>
        </is>
      </c>
      <c r="H408" t="inlineStr">
        <is>
          <t>Page is for another course</t>
        </is>
      </c>
      <c r="I408" t="inlineStr"/>
      <c r="J408" t="inlineStr"/>
      <c r="K408" t="inlineStr">
        <is>
          <t>Finished, no page: no address from the university's address forms or stored lis</t>
        </is>
      </c>
      <c r="L408" t="inlineStr">
        <is>
          <t>Searching for course page</t>
        </is>
      </c>
      <c r="M408" t="inlineStr">
        <is>
          <t>Searching for course page</t>
        </is>
      </c>
      <c r="N408" t="inlineStr"/>
      <c r="O408" t="n">
        <v>0</v>
      </c>
      <c r="P408" t="inlineStr"/>
      <c r="Q408" t="inlineStr">
        <is>
          <t>Filled</t>
        </is>
      </c>
      <c r="R408" t="n">
        <v>6.5</v>
      </c>
      <c r="S408" t="inlineStr">
        <is>
          <t>Central English policy</t>
        </is>
      </c>
      <c r="T408" t="inlineStr">
        <is>
          <t>Central rule applies (value agrees)</t>
        </is>
      </c>
      <c r="U408" t="inlineStr"/>
      <c r="V408" t="inlineStr">
        <is>
          <t>Searching for course page</t>
        </is>
      </c>
      <c r="W408" t="inlineStr"/>
      <c r="X408" t="inlineStr"/>
      <c r="Y408" t="n">
        <v>0</v>
      </c>
      <c r="Z408" t="inlineStr">
        <is>
          <t>No</t>
        </is>
      </c>
      <c r="AA408" t="inlineStr">
        <is>
          <t>Not stated on course page</t>
        </is>
      </c>
      <c r="AB408" t="inlineStr"/>
      <c r="AC408" t="inlineStr">
        <is>
          <t>Skipped: no correct course page: the page found is for another course</t>
        </is>
      </c>
      <c r="AD408" t="n">
        <v>1</v>
      </c>
      <c r="AE408" t="inlineStr"/>
      <c r="AF408" t="inlineStr"/>
      <c r="AG408" t="inlineStr"/>
      <c r="AH408" t="inlineStr"/>
      <c r="AI408" t="inlineStr"/>
      <c r="AJ408" t="inlineStr"/>
      <c r="AK408" t="inlineStr"/>
      <c r="AL408" t="inlineStr"/>
      <c r="AM408" t="inlineStr"/>
    </row>
    <row r="409">
      <c r="A409" t="inlineStr">
        <is>
          <t>085031A</t>
        </is>
      </c>
      <c r="B409" t="inlineStr">
        <is>
          <t>Master of Philosophy (Medicine and Health Sciences)</t>
        </is>
      </c>
      <c r="C409" t="inlineStr">
        <is>
          <t>Masters Degree (Research)</t>
        </is>
      </c>
      <c r="D409" t="inlineStr">
        <is>
          <t>Research degree</t>
        </is>
      </c>
      <c r="E409" t="inlineStr">
        <is>
          <t>Page address no longer works</t>
        </is>
      </c>
      <c r="F409" t="inlineStr"/>
      <c r="G409" t="inlineStr">
        <is>
          <t>https://coursehandbook.mq.edu.au/2026/courses/C000215</t>
        </is>
      </c>
      <c r="H409" t="inlineStr">
        <is>
          <t>Address no longer works</t>
        </is>
      </c>
      <c r="I409" t="inlineStr"/>
      <c r="J409" t="inlineStr"/>
      <c r="K409" t="inlineStr">
        <is>
          <t>Not sent to re-link</t>
        </is>
      </c>
      <c r="L409" t="inlineStr">
        <is>
          <t>Page found, being read</t>
        </is>
      </c>
      <c r="M409" t="inlineStr">
        <is>
          <t>Page found, being read</t>
        </is>
      </c>
      <c r="N409" t="inlineStr"/>
      <c r="O409" t="n">
        <v>0</v>
      </c>
      <c r="P409" t="inlineStr"/>
      <c r="Q409" t="inlineStr">
        <is>
          <t>Filled</t>
        </is>
      </c>
      <c r="R409" t="n">
        <v>6.5</v>
      </c>
      <c r="S409" t="inlineStr">
        <is>
          <t>Central English policy</t>
        </is>
      </c>
      <c r="T409" t="inlineStr">
        <is>
          <t>Central rule applies (value agrees)</t>
        </is>
      </c>
      <c r="U409" t="inlineStr"/>
      <c r="V409" t="inlineStr">
        <is>
          <t>Page found, being read</t>
        </is>
      </c>
      <c r="W409" t="inlineStr"/>
      <c r="X409" t="inlineStr"/>
      <c r="Y409" t="n">
        <v>0</v>
      </c>
      <c r="Z409" t="inlineStr">
        <is>
          <t>No</t>
        </is>
      </c>
      <c r="AA409" t="inlineStr">
        <is>
          <t>Not stated on course page</t>
        </is>
      </c>
      <c r="AB409" t="inlineStr"/>
      <c r="AC409" t="inlineStr">
        <is>
          <t>Skipped: no allowed source had a value</t>
        </is>
      </c>
      <c r="AD409" t="n">
        <v>0</v>
      </c>
      <c r="AE409" t="inlineStr"/>
      <c r="AF409" t="inlineStr"/>
      <c r="AG409" t="inlineStr"/>
      <c r="AH409" t="inlineStr"/>
      <c r="AI409" t="inlineStr"/>
      <c r="AJ409" t="inlineStr"/>
      <c r="AK409" t="inlineStr"/>
      <c r="AL409" t="inlineStr"/>
      <c r="AM409" t="inlineStr"/>
    </row>
    <row r="410">
      <c r="A410" t="inlineStr">
        <is>
          <t>056670K</t>
        </is>
      </c>
      <c r="B410" t="inlineStr">
        <is>
          <t>Master of Philosophy (Science and Engineering)</t>
        </is>
      </c>
      <c r="C410" t="inlineStr">
        <is>
          <t>Masters Degree (Research)</t>
        </is>
      </c>
      <c r="D410" t="inlineStr">
        <is>
          <t>Research degree</t>
        </is>
      </c>
      <c r="E410" t="inlineStr">
        <is>
          <t>Page address no longer works</t>
        </is>
      </c>
      <c r="F410" t="inlineStr"/>
      <c r="G410" t="inlineStr">
        <is>
          <t>https://coursehandbook.mq.edu.au/2026/courses/C000216</t>
        </is>
      </c>
      <c r="H410" t="inlineStr">
        <is>
          <t>Address no longer works</t>
        </is>
      </c>
      <c r="I410" t="inlineStr"/>
      <c r="J410" t="inlineStr"/>
      <c r="K410" t="inlineStr">
        <is>
          <t>Not sent to re-link</t>
        </is>
      </c>
      <c r="L410" t="inlineStr">
        <is>
          <t>Page found, being read</t>
        </is>
      </c>
      <c r="M410" t="inlineStr">
        <is>
          <t>Page found, being read</t>
        </is>
      </c>
      <c r="N410" t="inlineStr"/>
      <c r="O410" t="n">
        <v>0</v>
      </c>
      <c r="P410" t="inlineStr"/>
      <c r="Q410" t="inlineStr">
        <is>
          <t>Filled</t>
        </is>
      </c>
      <c r="R410" t="n">
        <v>6.5</v>
      </c>
      <c r="S410" t="inlineStr">
        <is>
          <t>Central English policy</t>
        </is>
      </c>
      <c r="T410" t="inlineStr">
        <is>
          <t>Central rule applies (value agrees)</t>
        </is>
      </c>
      <c r="U410" t="inlineStr"/>
      <c r="V410" t="inlineStr">
        <is>
          <t>Page found, being read</t>
        </is>
      </c>
      <c r="W410" t="inlineStr"/>
      <c r="X410" t="inlineStr"/>
      <c r="Y410" t="n">
        <v>0</v>
      </c>
      <c r="Z410" t="inlineStr">
        <is>
          <t>No</t>
        </is>
      </c>
      <c r="AA410" t="inlineStr">
        <is>
          <t>Not stated on course page</t>
        </is>
      </c>
      <c r="AB410" t="inlineStr"/>
      <c r="AC410" t="inlineStr">
        <is>
          <t>Skipped: no allowed source had a value</t>
        </is>
      </c>
      <c r="AD410" t="n">
        <v>0</v>
      </c>
      <c r="AE410" t="inlineStr"/>
      <c r="AF410" t="inlineStr"/>
      <c r="AG410" t="inlineStr"/>
      <c r="AH410" t="inlineStr"/>
      <c r="AI410" t="inlineStr"/>
      <c r="AJ410" t="inlineStr"/>
      <c r="AK410" t="inlineStr"/>
      <c r="AL410" t="inlineStr"/>
      <c r="AM410" t="inlineStr"/>
    </row>
    <row r="411">
      <c r="A411" t="inlineStr">
        <is>
          <t>092011B</t>
        </is>
      </c>
      <c r="B411" t="inlineStr">
        <is>
          <t>Master of Planning</t>
        </is>
      </c>
      <c r="C411" t="inlineStr">
        <is>
          <t>Masters Degree (Coursework)</t>
        </is>
      </c>
      <c r="D411" t="inlineStr">
        <is>
          <t>Postgraduate coursework</t>
        </is>
      </c>
      <c r="E411" t="inlineStr">
        <is>
          <t>Page address no longer works</t>
        </is>
      </c>
      <c r="F411" t="inlineStr"/>
      <c r="G411" t="inlineStr">
        <is>
          <t>https://coursehandbook.mq.edu.au/2026/doubledegree/d006266</t>
        </is>
      </c>
      <c r="H411" t="inlineStr">
        <is>
          <t>Address no longer works</t>
        </is>
      </c>
      <c r="I411" t="inlineStr"/>
      <c r="J411" t="inlineStr"/>
      <c r="K411" t="inlineStr">
        <is>
          <t>Not sent to re-link</t>
        </is>
      </c>
      <c r="L411" t="inlineStr">
        <is>
          <t>Page found, being read</t>
        </is>
      </c>
      <c r="M411" t="inlineStr">
        <is>
          <t>Page found, being read</t>
        </is>
      </c>
      <c r="N411" t="inlineStr"/>
      <c r="O411" t="n">
        <v>0</v>
      </c>
      <c r="P411" t="inlineStr"/>
      <c r="Q411" t="inlineStr">
        <is>
          <t>Filled</t>
        </is>
      </c>
      <c r="R411" t="n">
        <v>6.5</v>
      </c>
      <c r="S411" t="inlineStr">
        <is>
          <t>Central English policy</t>
        </is>
      </c>
      <c r="T411" t="inlineStr">
        <is>
          <t>Central rule applies (value agrees)</t>
        </is>
      </c>
      <c r="U411" t="inlineStr"/>
      <c r="V411" t="inlineStr">
        <is>
          <t>Page found, being read</t>
        </is>
      </c>
      <c r="W411" t="inlineStr"/>
      <c r="X411" t="inlineStr"/>
      <c r="Y411" t="n">
        <v>0</v>
      </c>
      <c r="Z411" t="inlineStr">
        <is>
          <t>No</t>
        </is>
      </c>
      <c r="AA411" t="inlineStr">
        <is>
          <t>Not stated on course page</t>
        </is>
      </c>
      <c r="AB411" t="inlineStr"/>
      <c r="AC411" t="inlineStr">
        <is>
          <t>Skipped: no allowed source had a value</t>
        </is>
      </c>
      <c r="AD411" t="n">
        <v>0</v>
      </c>
      <c r="AE411" t="inlineStr"/>
      <c r="AF411" t="inlineStr"/>
      <c r="AG411" t="inlineStr"/>
      <c r="AH411" t="inlineStr"/>
      <c r="AI411" t="inlineStr"/>
      <c r="AJ411" t="inlineStr"/>
      <c r="AK411" t="inlineStr"/>
      <c r="AL411" t="inlineStr"/>
      <c r="AM411" t="inlineStr"/>
    </row>
    <row r="412">
      <c r="A412" t="inlineStr">
        <is>
          <t>083805J</t>
        </is>
      </c>
      <c r="B412" t="inlineStr">
        <is>
          <t>Master of Policy and Applied Social Research</t>
        </is>
      </c>
      <c r="C412" t="inlineStr">
        <is>
          <t>Masters Degree (Coursework)</t>
        </is>
      </c>
      <c r="D412" t="inlineStr">
        <is>
          <t>Postgraduate coursework</t>
        </is>
      </c>
      <c r="E412" t="inlineStr">
        <is>
          <t>Advertised: official page in place</t>
        </is>
      </c>
      <c r="F412" t="inlineStr">
        <is>
          <t>https://handbook.mq.edu.au/2019/DegreesDiplomas/PGDegree/Master+of+Policy+and+Applied+Social+Research</t>
        </is>
      </c>
      <c r="G412" t="inlineStr">
        <is>
          <t>https://handbook.mq.edu.au/2019/DegreesDiplomas/PGDegree/Master+of+Policy+and+Applied+Social+Research</t>
        </is>
      </c>
      <c r="H412" t="inlineStr">
        <is>
          <t>Read</t>
        </is>
      </c>
      <c r="I412" t="inlineStr">
        <is>
          <t>CRICOS code on page</t>
        </is>
      </c>
      <c r="J412" t="inlineStr"/>
      <c r="K412" t="inlineStr">
        <is>
          <t>Not sent to re-link</t>
        </is>
      </c>
      <c r="L412" t="inlineStr">
        <is>
          <t>Filled</t>
        </is>
      </c>
      <c r="M412" t="inlineStr">
        <is>
          <t>Not stated on course page</t>
        </is>
      </c>
      <c r="N412" t="inlineStr"/>
      <c r="O412" t="n">
        <v>0</v>
      </c>
      <c r="P412" t="inlineStr"/>
      <c r="Q412" t="inlineStr">
        <is>
          <t>Filled</t>
        </is>
      </c>
      <c r="R412" t="n">
        <v>6.5</v>
      </c>
      <c r="S412" t="inlineStr">
        <is>
          <t>Other</t>
        </is>
      </c>
      <c r="T412" t="inlineStr">
        <is>
          <t>Central rule applies (value agrees)</t>
        </is>
      </c>
      <c r="U412" t="inlineStr"/>
      <c r="V412" t="inlineStr">
        <is>
          <t>Filled</t>
        </is>
      </c>
      <c r="W412" t="inlineStr">
        <is>
          <t>February, July</t>
        </is>
      </c>
      <c r="X412" t="inlineStr">
        <is>
          <t>Other</t>
        </is>
      </c>
      <c r="Y412" t="n">
        <v>0</v>
      </c>
      <c r="Z412" t="inlineStr">
        <is>
          <t>No</t>
        </is>
      </c>
      <c r="AA412" t="inlineStr">
        <is>
          <t>Filled</t>
        </is>
      </c>
      <c r="AB412" t="inlineStr">
        <is>
          <t>on campus</t>
        </is>
      </c>
      <c r="AC412" t="inlineStr">
        <is>
          <t>Filled</t>
        </is>
      </c>
      <c r="AD412" t="n">
        <v>0</v>
      </c>
      <c r="AE412" t="inlineStr"/>
      <c r="AF412" t="inlineStr"/>
      <c r="AG412" t="inlineStr"/>
      <c r="AH412" t="inlineStr"/>
      <c r="AI412" t="inlineStr"/>
      <c r="AJ412" t="inlineStr"/>
      <c r="AK412" t="inlineStr"/>
      <c r="AL412" t="inlineStr"/>
      <c r="AM412" t="inlineStr"/>
    </row>
    <row r="413">
      <c r="A413" t="inlineStr">
        <is>
          <t>095116B</t>
        </is>
      </c>
      <c r="B413" t="inlineStr">
        <is>
          <t>Master of Policy and Applied Social Research with the degree of Master of Development Studies</t>
        </is>
      </c>
      <c r="C413" t="inlineStr">
        <is>
          <t>Masters Degree (Coursework)</t>
        </is>
      </c>
      <c r="D413" t="inlineStr">
        <is>
          <t>Postgraduate coursework</t>
        </is>
      </c>
      <c r="E413" t="inlineStr">
        <is>
          <t>Advertised: official page in place</t>
        </is>
      </c>
      <c r="F413" t="inlineStr">
        <is>
          <t>https://handbook.mq.edu.au/2019/DegreesDiplomas/PGDegree/Master+of+Policy+and+Applied+Social+Research+with+the+degree+of+Master+of+Development+Studies</t>
        </is>
      </c>
      <c r="G413" t="inlineStr">
        <is>
          <t>https://handbook.mq.edu.au/2019/DegreesDiplomas/PGDegree/Master+of+Policy+and+Applied+Social+Research+with+the+degree+of+Master+of+Development+Studies</t>
        </is>
      </c>
      <c r="H413" t="inlineStr">
        <is>
          <t>Read</t>
        </is>
      </c>
      <c r="I413" t="inlineStr">
        <is>
          <t>CRICOS code on page</t>
        </is>
      </c>
      <c r="J413" t="inlineStr"/>
      <c r="K413" t="inlineStr">
        <is>
          <t>Not sent to re-link</t>
        </is>
      </c>
      <c r="L413" t="inlineStr">
        <is>
          <t>Filled</t>
        </is>
      </c>
      <c r="M413" t="inlineStr">
        <is>
          <t>Not stated on course page</t>
        </is>
      </c>
      <c r="N413" t="inlineStr"/>
      <c r="O413" t="n">
        <v>0</v>
      </c>
      <c r="P413" t="inlineStr"/>
      <c r="Q413" t="inlineStr">
        <is>
          <t>Filled</t>
        </is>
      </c>
      <c r="R413" t="n">
        <v>6.5</v>
      </c>
      <c r="S413" t="inlineStr">
        <is>
          <t>Other</t>
        </is>
      </c>
      <c r="T413" t="inlineStr">
        <is>
          <t>Central rule applies (value agrees)</t>
        </is>
      </c>
      <c r="U413" t="inlineStr"/>
      <c r="V413" t="inlineStr">
        <is>
          <t>Filled</t>
        </is>
      </c>
      <c r="W413" t="inlineStr">
        <is>
          <t>February</t>
        </is>
      </c>
      <c r="X413" t="inlineStr">
        <is>
          <t>Other</t>
        </is>
      </c>
      <c r="Y413" t="n">
        <v>0</v>
      </c>
      <c r="Z413" t="inlineStr">
        <is>
          <t>No</t>
        </is>
      </c>
      <c r="AA413" t="inlineStr">
        <is>
          <t>Filled</t>
        </is>
      </c>
      <c r="AB413" t="inlineStr">
        <is>
          <t>on campus</t>
        </is>
      </c>
      <c r="AC413" t="inlineStr">
        <is>
          <t>Filled</t>
        </is>
      </c>
      <c r="AD413" t="n">
        <v>0</v>
      </c>
      <c r="AE413" t="inlineStr"/>
      <c r="AF413" t="inlineStr"/>
      <c r="AG413" t="inlineStr"/>
      <c r="AH413" t="inlineStr"/>
      <c r="AI413" t="inlineStr"/>
      <c r="AJ413" t="inlineStr"/>
      <c r="AK413" t="inlineStr"/>
      <c r="AL413" t="inlineStr"/>
      <c r="AM413" t="inlineStr"/>
    </row>
    <row r="414">
      <c r="A414" t="inlineStr">
        <is>
          <t>083806G</t>
        </is>
      </c>
      <c r="B414" t="inlineStr">
        <is>
          <t>Master of Politics and Public Policy</t>
        </is>
      </c>
      <c r="C414" t="inlineStr">
        <is>
          <t>Masters Degree (Coursework)</t>
        </is>
      </c>
      <c r="D414" t="inlineStr">
        <is>
          <t>Postgraduate coursework</t>
        </is>
      </c>
      <c r="E414" t="inlineStr">
        <is>
          <t>Advertised: official page in place</t>
        </is>
      </c>
      <c r="F414" t="inlineStr">
        <is>
          <t>https://handbook.mq.edu.au/2019/DegreesDiplomas/PGDegree/Master+of+Politics+and+Public+Policy+with+the+degree+of+Master+of+Policy+and+Applied+Social+Research</t>
        </is>
      </c>
      <c r="G414" t="inlineStr">
        <is>
          <t>https://handbook.mq.edu.au/2019/DegreesDiplomas/PGDegree/Master+of+Politics+and+Public+Policy+with+the+degree+of+Master+of+Policy+and+Applied+Social+Research</t>
        </is>
      </c>
      <c r="H414" t="inlineStr">
        <is>
          <t>Read</t>
        </is>
      </c>
      <c r="I414" t="inlineStr">
        <is>
          <t>Exact title match</t>
        </is>
      </c>
      <c r="J414" t="inlineStr"/>
      <c r="K414" t="inlineStr">
        <is>
          <t>Not sent to re-link</t>
        </is>
      </c>
      <c r="L414" t="inlineStr">
        <is>
          <t>Filled</t>
        </is>
      </c>
      <c r="M414" t="inlineStr">
        <is>
          <t>Not stated on course page</t>
        </is>
      </c>
      <c r="N414" t="inlineStr"/>
      <c r="O414" t="n">
        <v>0</v>
      </c>
      <c r="P414" t="inlineStr"/>
      <c r="Q414" t="inlineStr">
        <is>
          <t>Filled</t>
        </is>
      </c>
      <c r="R414" t="n">
        <v>6.5</v>
      </c>
      <c r="S414" t="inlineStr">
        <is>
          <t>Page reader</t>
        </is>
      </c>
      <c r="T414" t="inlineStr">
        <is>
          <t>Central rule applies (value agrees)</t>
        </is>
      </c>
      <c r="U414" t="inlineStr"/>
      <c r="V414" t="inlineStr">
        <is>
          <t>Filled</t>
        </is>
      </c>
      <c r="W414" t="inlineStr">
        <is>
          <t>February</t>
        </is>
      </c>
      <c r="X414" t="inlineStr">
        <is>
          <t>Page reader</t>
        </is>
      </c>
      <c r="Y414" t="n">
        <v>0</v>
      </c>
      <c r="Z414" t="inlineStr">
        <is>
          <t>No</t>
        </is>
      </c>
      <c r="AA414" t="inlineStr">
        <is>
          <t>Filled</t>
        </is>
      </c>
      <c r="AB414" t="inlineStr">
        <is>
          <t>on campus</t>
        </is>
      </c>
      <c r="AC414" t="inlineStr">
        <is>
          <t>Filled</t>
        </is>
      </c>
      <c r="AD414" t="n">
        <v>0</v>
      </c>
      <c r="AE414" t="inlineStr"/>
      <c r="AF414" t="inlineStr"/>
      <c r="AG414" t="inlineStr"/>
      <c r="AH414" t="inlineStr"/>
      <c r="AI414" t="inlineStr"/>
      <c r="AJ414" t="inlineStr"/>
      <c r="AK414" t="inlineStr"/>
      <c r="AL414" t="inlineStr"/>
      <c r="AM414" t="inlineStr"/>
    </row>
    <row r="415">
      <c r="A415" t="inlineStr">
        <is>
          <t>095117A</t>
        </is>
      </c>
      <c r="B415" t="inlineStr">
        <is>
          <t>Master of Politics and Public Policy with the degree of Master of Development Studies</t>
        </is>
      </c>
      <c r="C415" t="inlineStr">
        <is>
          <t>Masters Degree (Coursework)</t>
        </is>
      </c>
      <c r="D415" t="inlineStr">
        <is>
          <t>Postgraduate coursework</t>
        </is>
      </c>
      <c r="E415" t="inlineStr">
        <is>
          <t>Advertised: official page in place</t>
        </is>
      </c>
      <c r="F415" t="inlineStr">
        <is>
          <t>https://handbook.mq.edu.au/2018/DegreesDiplomas/PGDegree/Master+of+Politics+and+Public+Policy+with+the+degree+of+Master+of+Development+Studies</t>
        </is>
      </c>
      <c r="G415" t="inlineStr">
        <is>
          <t>https://handbook.mq.edu.au/2018/DegreesDiplomas/PGDegree/Master+of+Politics+and+Public+Policy+with+the+degree+of+Master+of+Development+Studies</t>
        </is>
      </c>
      <c r="H415" t="inlineStr">
        <is>
          <t>Read</t>
        </is>
      </c>
      <c r="I415" t="inlineStr">
        <is>
          <t>CRICOS code on page</t>
        </is>
      </c>
      <c r="J415" t="inlineStr"/>
      <c r="K415" t="inlineStr">
        <is>
          <t>Not sent to re-link</t>
        </is>
      </c>
      <c r="L415" t="inlineStr">
        <is>
          <t>Filled</t>
        </is>
      </c>
      <c r="M415" t="inlineStr">
        <is>
          <t>Not stated on course page</t>
        </is>
      </c>
      <c r="N415" t="inlineStr"/>
      <c r="O415" t="n">
        <v>0</v>
      </c>
      <c r="P415" t="inlineStr"/>
      <c r="Q415" t="inlineStr">
        <is>
          <t>Filled</t>
        </is>
      </c>
      <c r="R415" t="n">
        <v>6.5</v>
      </c>
      <c r="S415" t="inlineStr">
        <is>
          <t>Other</t>
        </is>
      </c>
      <c r="T415" t="inlineStr">
        <is>
          <t>Central rule applies (value agrees)</t>
        </is>
      </c>
      <c r="U415" t="inlineStr"/>
      <c r="V415" t="inlineStr">
        <is>
          <t>Filled</t>
        </is>
      </c>
      <c r="W415" t="inlineStr">
        <is>
          <t>February, July</t>
        </is>
      </c>
      <c r="X415" t="inlineStr">
        <is>
          <t>Other</t>
        </is>
      </c>
      <c r="Y415" t="n">
        <v>0</v>
      </c>
      <c r="Z415" t="inlineStr">
        <is>
          <t>No</t>
        </is>
      </c>
      <c r="AA415" t="inlineStr">
        <is>
          <t>Filled</t>
        </is>
      </c>
      <c r="AB415" t="inlineStr">
        <is>
          <t>on campus</t>
        </is>
      </c>
      <c r="AC415" t="inlineStr">
        <is>
          <t>Filled</t>
        </is>
      </c>
      <c r="AD415" t="n">
        <v>0</v>
      </c>
      <c r="AE415" t="inlineStr"/>
      <c r="AF415" t="inlineStr"/>
      <c r="AG415" t="inlineStr"/>
      <c r="AH415" t="inlineStr"/>
      <c r="AI415" t="inlineStr"/>
      <c r="AJ415" t="inlineStr"/>
      <c r="AK415" t="inlineStr"/>
      <c r="AL415" t="inlineStr"/>
      <c r="AM415" t="inlineStr"/>
    </row>
    <row r="416">
      <c r="A416" t="inlineStr">
        <is>
          <t>095118M</t>
        </is>
      </c>
      <c r="B416" t="inlineStr">
        <is>
          <t>Master of Politics and Public Policy with the degree of Master of International Relations</t>
        </is>
      </c>
      <c r="C416" t="inlineStr">
        <is>
          <t>Masters Degree (Coursework)</t>
        </is>
      </c>
      <c r="D416" t="inlineStr">
        <is>
          <t>Postgraduate coursework</t>
        </is>
      </c>
      <c r="E416" t="inlineStr">
        <is>
          <t>Advertised: official page in place</t>
        </is>
      </c>
      <c r="F416" t="inlineStr">
        <is>
          <t>https://handbook.mq.edu.au/2019/DegreesDiplomas/PGDegree/Master+of+Politics+and+Public+Policy+with+the+degree+of+Master+of+International+Relations</t>
        </is>
      </c>
      <c r="G416" t="inlineStr">
        <is>
          <t>https://handbook.mq.edu.au/2019/DegreesDiplomas/PGDegree/Master+of+Politics+and+Public+Policy+with+the+degree+of+Master+of+International+Relations</t>
        </is>
      </c>
      <c r="H416" t="inlineStr">
        <is>
          <t>Read</t>
        </is>
      </c>
      <c r="I416" t="inlineStr">
        <is>
          <t>CRICOS code on page</t>
        </is>
      </c>
      <c r="J416" t="inlineStr"/>
      <c r="K416" t="inlineStr">
        <is>
          <t>Not sent to re-link</t>
        </is>
      </c>
      <c r="L416" t="inlineStr">
        <is>
          <t>Filled</t>
        </is>
      </c>
      <c r="M416" t="inlineStr">
        <is>
          <t>Not stated on course page</t>
        </is>
      </c>
      <c r="N416" t="inlineStr"/>
      <c r="O416" t="n">
        <v>0</v>
      </c>
      <c r="P416" t="inlineStr"/>
      <c r="Q416" t="inlineStr">
        <is>
          <t>Filled</t>
        </is>
      </c>
      <c r="R416" t="n">
        <v>6.5</v>
      </c>
      <c r="S416" t="inlineStr">
        <is>
          <t>Other</t>
        </is>
      </c>
      <c r="T416" t="inlineStr">
        <is>
          <t>Central rule applies (value agrees)</t>
        </is>
      </c>
      <c r="U416" t="inlineStr"/>
      <c r="V416" t="inlineStr">
        <is>
          <t>Filled</t>
        </is>
      </c>
      <c r="W416" t="inlineStr">
        <is>
          <t>February, July</t>
        </is>
      </c>
      <c r="X416" t="inlineStr">
        <is>
          <t>Other</t>
        </is>
      </c>
      <c r="Y416" t="n">
        <v>0</v>
      </c>
      <c r="Z416" t="inlineStr">
        <is>
          <t>No</t>
        </is>
      </c>
      <c r="AA416" t="inlineStr">
        <is>
          <t>Filled</t>
        </is>
      </c>
      <c r="AB416" t="inlineStr">
        <is>
          <t>on campus and online</t>
        </is>
      </c>
      <c r="AC416" t="inlineStr">
        <is>
          <t>Filled</t>
        </is>
      </c>
      <c r="AD416" t="n">
        <v>0</v>
      </c>
      <c r="AE416" t="inlineStr"/>
      <c r="AF416" t="inlineStr"/>
      <c r="AG416" t="inlineStr"/>
      <c r="AH416" t="inlineStr"/>
      <c r="AI416" t="inlineStr"/>
      <c r="AJ416" t="inlineStr"/>
      <c r="AK416" t="inlineStr"/>
      <c r="AL416" t="inlineStr"/>
      <c r="AM416" t="inlineStr"/>
    </row>
    <row r="417">
      <c r="A417" t="inlineStr">
        <is>
          <t>095119K</t>
        </is>
      </c>
      <c r="B417" t="inlineStr">
        <is>
          <t>Master of Politics and Public Policy with the degree of Master of Policy and Applied Social Research</t>
        </is>
      </c>
      <c r="C417" t="inlineStr">
        <is>
          <t>Masters Degree (Coursework)</t>
        </is>
      </c>
      <c r="D417" t="inlineStr">
        <is>
          <t>Postgraduate coursework</t>
        </is>
      </c>
      <c r="E417" t="inlineStr">
        <is>
          <t>Advertised: official page in place</t>
        </is>
      </c>
      <c r="F417" t="inlineStr">
        <is>
          <t>https://handbook.mq.edu.au/2019/DegreesDiplomas/PGDegree/Master+of+Politics+and+Public+Policy+with+the+degree+of+Master+of+Policy+and+Applied+Social+Research</t>
        </is>
      </c>
      <c r="G417" t="inlineStr">
        <is>
          <t>https://handbook.mq.edu.au/2019/DegreesDiplomas/PGDegree/Master+of+Politics+and+Public+Policy+with+the+degree+of+Master+of+Policy+and+Applied+Social+Research</t>
        </is>
      </c>
      <c r="H417" t="inlineStr">
        <is>
          <t>Read</t>
        </is>
      </c>
      <c r="I417" t="inlineStr">
        <is>
          <t>CRICOS code on page</t>
        </is>
      </c>
      <c r="J417" t="inlineStr"/>
      <c r="K417" t="inlineStr">
        <is>
          <t>Not sent to re-link</t>
        </is>
      </c>
      <c r="L417" t="inlineStr">
        <is>
          <t>Filled</t>
        </is>
      </c>
      <c r="M417" t="inlineStr">
        <is>
          <t>Not stated on course page</t>
        </is>
      </c>
      <c r="N417" t="inlineStr"/>
      <c r="O417" t="n">
        <v>0</v>
      </c>
      <c r="P417" t="inlineStr"/>
      <c r="Q417" t="inlineStr">
        <is>
          <t>Filled</t>
        </is>
      </c>
      <c r="R417" t="n">
        <v>6.5</v>
      </c>
      <c r="S417" t="inlineStr">
        <is>
          <t>Other</t>
        </is>
      </c>
      <c r="T417" t="inlineStr">
        <is>
          <t>Central rule applies (value agrees)</t>
        </is>
      </c>
      <c r="U417" t="inlineStr"/>
      <c r="V417" t="inlineStr">
        <is>
          <t>Filled</t>
        </is>
      </c>
      <c r="W417" t="inlineStr">
        <is>
          <t>February</t>
        </is>
      </c>
      <c r="X417" t="inlineStr">
        <is>
          <t>Other</t>
        </is>
      </c>
      <c r="Y417" t="n">
        <v>0</v>
      </c>
      <c r="Z417" t="inlineStr">
        <is>
          <t>No</t>
        </is>
      </c>
      <c r="AA417" t="inlineStr">
        <is>
          <t>Filled</t>
        </is>
      </c>
      <c r="AB417" t="inlineStr">
        <is>
          <t>on campus</t>
        </is>
      </c>
      <c r="AC417" t="inlineStr">
        <is>
          <t>Filled</t>
        </is>
      </c>
      <c r="AD417" t="n">
        <v>0</v>
      </c>
      <c r="AE417" t="inlineStr"/>
      <c r="AF417" t="inlineStr"/>
      <c r="AG417" t="inlineStr"/>
      <c r="AH417" t="inlineStr"/>
      <c r="AI417" t="inlineStr"/>
      <c r="AJ417" t="inlineStr"/>
      <c r="AK417" t="inlineStr"/>
      <c r="AL417" t="inlineStr"/>
      <c r="AM417" t="inlineStr"/>
    </row>
    <row r="418">
      <c r="A418" t="inlineStr">
        <is>
          <t>099183C</t>
        </is>
      </c>
      <c r="B418" t="inlineStr">
        <is>
          <t>Master of Professional Accounting</t>
        </is>
      </c>
      <c r="C418" t="inlineStr">
        <is>
          <t>Masters Degree (Coursework)</t>
        </is>
      </c>
      <c r="D418" t="inlineStr">
        <is>
          <t>Postgraduate coursework</t>
        </is>
      </c>
      <c r="E418" t="inlineStr">
        <is>
          <t>Advertised: official page in place</t>
        </is>
      </c>
      <c r="F418" t="inlineStr">
        <is>
          <t>https://coursehandbook.mq.edu.au/2026/courses/C000083</t>
        </is>
      </c>
      <c r="G418" t="inlineStr">
        <is>
          <t>https://coursehandbook.mq.edu.au/2026/courses/C000083</t>
        </is>
      </c>
      <c r="H418" t="inlineStr">
        <is>
          <t>Read</t>
        </is>
      </c>
      <c r="I418" t="inlineStr">
        <is>
          <t>Exact title match</t>
        </is>
      </c>
      <c r="J418" t="inlineStr"/>
      <c r="K418" t="inlineStr">
        <is>
          <t>Not sent to re-link</t>
        </is>
      </c>
      <c r="L418" t="inlineStr">
        <is>
          <t>Filled</t>
        </is>
      </c>
      <c r="M418" t="inlineStr">
        <is>
          <t>Not stated on course page</t>
        </is>
      </c>
      <c r="N418" t="inlineStr"/>
      <c r="O418" t="n">
        <v>0</v>
      </c>
      <c r="P418" t="inlineStr"/>
      <c r="Q418" t="inlineStr">
        <is>
          <t>Filled</t>
        </is>
      </c>
      <c r="R418" t="n">
        <v>6.5</v>
      </c>
      <c r="S418" t="inlineStr">
        <is>
          <t>University adapter</t>
        </is>
      </c>
      <c r="T418" t="inlineStr">
        <is>
          <t>Central rule applies (value agrees)</t>
        </is>
      </c>
      <c r="U418" t="inlineStr"/>
      <c r="V418" t="inlineStr">
        <is>
          <t>Not stated on course page</t>
        </is>
      </c>
      <c r="W418" t="inlineStr"/>
      <c r="X418" t="inlineStr"/>
      <c r="Y418" t="n">
        <v>0</v>
      </c>
      <c r="Z418" t="inlineStr">
        <is>
          <t>No</t>
        </is>
      </c>
      <c r="AA418" t="inlineStr">
        <is>
          <t>Not stated on course page</t>
        </is>
      </c>
      <c r="AB418" t="inlineStr"/>
      <c r="AC418" t="inlineStr">
        <is>
          <t>Skipped: the page does not state it</t>
        </is>
      </c>
      <c r="AD418" t="n">
        <v>0</v>
      </c>
      <c r="AE418" t="inlineStr"/>
      <c r="AF418" t="inlineStr"/>
      <c r="AG418" t="inlineStr"/>
      <c r="AH418" t="inlineStr"/>
      <c r="AI418" t="inlineStr"/>
      <c r="AJ418" t="inlineStr"/>
      <c r="AK418" t="inlineStr"/>
      <c r="AL418" t="inlineStr"/>
      <c r="AM418" t="inlineStr"/>
    </row>
    <row r="419">
      <c r="A419" t="inlineStr">
        <is>
          <t>099298C</t>
        </is>
      </c>
      <c r="B419" t="inlineStr">
        <is>
          <t>Master of Professional Accounting and Leadership</t>
        </is>
      </c>
      <c r="C419" t="inlineStr">
        <is>
          <t>Masters Degree (Coursework)</t>
        </is>
      </c>
      <c r="D419" t="inlineStr">
        <is>
          <t>Postgraduate coursework</t>
        </is>
      </c>
      <c r="E419" t="inlineStr">
        <is>
          <t>Held: page found is for another course</t>
        </is>
      </c>
      <c r="F419" t="inlineStr"/>
      <c r="G419" t="inlineStr">
        <is>
          <t>https://coursehandbook.mq.edu.au/2026/courses/C000137</t>
        </is>
      </c>
      <c r="H419" t="inlineStr">
        <is>
          <t>Page is for another course</t>
        </is>
      </c>
      <c r="I419" t="inlineStr"/>
      <c r="J419" t="inlineStr"/>
      <c r="K419" t="inlineStr">
        <is>
          <t>Finished, no page: no address from the university's address forms or stored lis</t>
        </is>
      </c>
      <c r="L419" t="inlineStr">
        <is>
          <t>Searching for course page</t>
        </is>
      </c>
      <c r="M419" t="inlineStr">
        <is>
          <t>Searching for course page</t>
        </is>
      </c>
      <c r="N419" t="inlineStr"/>
      <c r="O419" t="n">
        <v>0</v>
      </c>
      <c r="P419" t="inlineStr"/>
      <c r="Q419" t="inlineStr">
        <is>
          <t>Filled</t>
        </is>
      </c>
      <c r="R419" t="n">
        <v>6.5</v>
      </c>
      <c r="S419" t="inlineStr">
        <is>
          <t>Central English policy</t>
        </is>
      </c>
      <c r="T419" t="inlineStr">
        <is>
          <t>Central rule applies (value agrees)</t>
        </is>
      </c>
      <c r="U419" t="inlineStr"/>
      <c r="V419" t="inlineStr">
        <is>
          <t>Searching for course page</t>
        </is>
      </c>
      <c r="W419" t="inlineStr"/>
      <c r="X419" t="inlineStr"/>
      <c r="Y419" t="n">
        <v>0</v>
      </c>
      <c r="Z419" t="inlineStr">
        <is>
          <t>No</t>
        </is>
      </c>
      <c r="AA419" t="inlineStr">
        <is>
          <t>Not stated on course page</t>
        </is>
      </c>
      <c r="AB419" t="inlineStr"/>
      <c r="AC419" t="inlineStr">
        <is>
          <t>Skipped: no correct course page: the page found is for another course</t>
        </is>
      </c>
      <c r="AD419" t="n">
        <v>0</v>
      </c>
      <c r="AE419" t="inlineStr"/>
      <c r="AF419" t="inlineStr"/>
      <c r="AG419" t="inlineStr"/>
      <c r="AH419" t="inlineStr"/>
      <c r="AI419" t="inlineStr"/>
      <c r="AJ419" t="inlineStr"/>
      <c r="AK419" t="inlineStr"/>
      <c r="AL419" t="inlineStr"/>
      <c r="AM419" t="inlineStr"/>
    </row>
    <row r="420">
      <c r="A420" t="inlineStr">
        <is>
          <t>083807G</t>
        </is>
      </c>
      <c r="B420" t="inlineStr">
        <is>
          <t>Master of Professional Psychology</t>
        </is>
      </c>
      <c r="C420" t="inlineStr">
        <is>
          <t>Masters Degree (Coursework)</t>
        </is>
      </c>
      <c r="D420" t="inlineStr">
        <is>
          <t>Postgraduate coursework</t>
        </is>
      </c>
      <c r="E420" t="inlineStr">
        <is>
          <t>Advertised: official page in place</t>
        </is>
      </c>
      <c r="F420" t="inlineStr">
        <is>
          <t>https://www.mq.edu.au/study/find-a-course/courses/master-of-professional-psychology</t>
        </is>
      </c>
      <c r="G420" t="inlineStr">
        <is>
          <t>https://www.mq.edu.au/study/find-a-course/courses/master-of-professional-psychology</t>
        </is>
      </c>
      <c r="H420" t="inlineStr">
        <is>
          <t>Read</t>
        </is>
      </c>
      <c r="I420" t="inlineStr">
        <is>
          <t>Exact title match</t>
        </is>
      </c>
      <c r="J420" t="inlineStr"/>
      <c r="K420" t="inlineStr">
        <is>
          <t>Not sent to re-link</t>
        </is>
      </c>
      <c r="L420" t="inlineStr">
        <is>
          <t>Filled</t>
        </is>
      </c>
      <c r="M420" t="inlineStr">
        <is>
          <t>Not stated on course page</t>
        </is>
      </c>
      <c r="N420" t="inlineStr"/>
      <c r="O420" t="n">
        <v>0</v>
      </c>
      <c r="P420" t="inlineStr"/>
      <c r="Q420" t="inlineStr">
        <is>
          <t>Filled</t>
        </is>
      </c>
      <c r="R420" t="n">
        <v>7</v>
      </c>
      <c r="S420" t="inlineStr">
        <is>
          <t>Other</t>
        </is>
      </c>
      <c r="T420" t="inlineStr">
        <is>
          <t>Central rule applies (course value differs)</t>
        </is>
      </c>
      <c r="U420" t="inlineStr">
        <is>
          <t>Yes: course has IELTS 7.00, central rule says 6.5</t>
        </is>
      </c>
      <c r="V420" t="inlineStr">
        <is>
          <t>Filled</t>
        </is>
      </c>
      <c r="W420" t="inlineStr">
        <is>
          <t>February</t>
        </is>
      </c>
      <c r="X420" t="inlineStr">
        <is>
          <t>Other</t>
        </is>
      </c>
      <c r="Y420" t="n">
        <v>0</v>
      </c>
      <c r="Z420" t="inlineStr">
        <is>
          <t>No</t>
        </is>
      </c>
      <c r="AA420" t="inlineStr">
        <is>
          <t>Filled</t>
        </is>
      </c>
      <c r="AB420" t="inlineStr">
        <is>
          <t>on campus</t>
        </is>
      </c>
      <c r="AC420" t="inlineStr">
        <is>
          <t>Filled</t>
        </is>
      </c>
      <c r="AD420" t="n">
        <v>0</v>
      </c>
      <c r="AE420" t="inlineStr"/>
      <c r="AF420" t="inlineStr"/>
      <c r="AG420" t="inlineStr"/>
      <c r="AH420" t="inlineStr"/>
      <c r="AI420" t="inlineStr"/>
      <c r="AJ420" t="inlineStr"/>
      <c r="AK420" t="inlineStr"/>
      <c r="AL420" t="inlineStr"/>
      <c r="AM420" t="inlineStr"/>
    </row>
    <row r="421">
      <c r="A421" t="inlineStr">
        <is>
          <t>099509G</t>
        </is>
      </c>
      <c r="B421" t="inlineStr">
        <is>
          <t>Master of Public and Social Policy</t>
        </is>
      </c>
      <c r="C421" t="inlineStr">
        <is>
          <t>Masters Degree (Coursework)</t>
        </is>
      </c>
      <c r="D421" t="inlineStr">
        <is>
          <t>Postgraduate coursework</t>
        </is>
      </c>
      <c r="E421" t="inlineStr">
        <is>
          <t>Page address no longer works</t>
        </is>
      </c>
      <c r="F421" t="inlineStr"/>
      <c r="G421" t="inlineStr">
        <is>
          <t>https://coursehandbook.mq.edu.au/2026/doubledegree/D000121</t>
        </is>
      </c>
      <c r="H421" t="inlineStr">
        <is>
          <t>Address no longer works</t>
        </is>
      </c>
      <c r="I421" t="inlineStr"/>
      <c r="J421" t="inlineStr"/>
      <c r="K421" t="inlineStr">
        <is>
          <t>Not sent to re-link</t>
        </is>
      </c>
      <c r="L421" t="inlineStr">
        <is>
          <t>Page found, being read</t>
        </is>
      </c>
      <c r="M421" t="inlineStr">
        <is>
          <t>Page found, being read</t>
        </is>
      </c>
      <c r="N421" t="inlineStr"/>
      <c r="O421" t="n">
        <v>0</v>
      </c>
      <c r="P421" t="inlineStr"/>
      <c r="Q421" t="inlineStr">
        <is>
          <t>Filled</t>
        </is>
      </c>
      <c r="R421" t="n">
        <v>6.5</v>
      </c>
      <c r="S421" t="inlineStr">
        <is>
          <t>Central English policy</t>
        </is>
      </c>
      <c r="T421" t="inlineStr">
        <is>
          <t>Central rule applies (value agrees)</t>
        </is>
      </c>
      <c r="U421" t="inlineStr"/>
      <c r="V421" t="inlineStr">
        <is>
          <t>Page found, being read</t>
        </is>
      </c>
      <c r="W421" t="inlineStr"/>
      <c r="X421" t="inlineStr"/>
      <c r="Y421" t="n">
        <v>0</v>
      </c>
      <c r="Z421" t="inlineStr">
        <is>
          <t>No</t>
        </is>
      </c>
      <c r="AA421" t="inlineStr">
        <is>
          <t>Not stated on course page</t>
        </is>
      </c>
      <c r="AB421" t="inlineStr"/>
      <c r="AC421" t="inlineStr">
        <is>
          <t>Skipped: no allowed source had a value</t>
        </is>
      </c>
      <c r="AD421" t="n">
        <v>0</v>
      </c>
      <c r="AE421" t="inlineStr"/>
      <c r="AF421" t="inlineStr"/>
      <c r="AG421" t="inlineStr"/>
      <c r="AH421" t="inlineStr"/>
      <c r="AI421" t="inlineStr"/>
      <c r="AJ421" t="inlineStr"/>
      <c r="AK421" t="inlineStr"/>
      <c r="AL421" t="inlineStr"/>
      <c r="AM421" t="inlineStr"/>
    </row>
    <row r="422">
      <c r="A422" t="inlineStr">
        <is>
          <t>090596K</t>
        </is>
      </c>
      <c r="B422" t="inlineStr">
        <is>
          <t>Master of Public Health</t>
        </is>
      </c>
      <c r="C422" t="inlineStr">
        <is>
          <t>Masters Degree (Coursework)</t>
        </is>
      </c>
      <c r="D422" t="inlineStr">
        <is>
          <t>Postgraduate coursework</t>
        </is>
      </c>
      <c r="E422" t="inlineStr">
        <is>
          <t>Advertised: official page in place</t>
        </is>
      </c>
      <c r="F422" t="inlineStr">
        <is>
          <t>https://www.mq.edu.au/studyold/admissions/accept-and-enrol-old/master-of-public-health</t>
        </is>
      </c>
      <c r="G422" t="inlineStr">
        <is>
          <t>https://www.mq.edu.au/studyold/admissions/accept-and-enrol-old/master-of-public-health</t>
        </is>
      </c>
      <c r="H422" t="inlineStr">
        <is>
          <t>Read</t>
        </is>
      </c>
      <c r="I422" t="inlineStr">
        <is>
          <t>Exact title match</t>
        </is>
      </c>
      <c r="J422" t="inlineStr"/>
      <c r="K422" t="inlineStr">
        <is>
          <t>Not sent to re-link</t>
        </is>
      </c>
      <c r="L422" t="inlineStr">
        <is>
          <t>Filled</t>
        </is>
      </c>
      <c r="M422" t="inlineStr">
        <is>
          <t>Not stated on course page</t>
        </is>
      </c>
      <c r="N422" t="inlineStr"/>
      <c r="O422" t="n">
        <v>0</v>
      </c>
      <c r="P422" t="inlineStr"/>
      <c r="Q422" t="inlineStr">
        <is>
          <t>Filled</t>
        </is>
      </c>
      <c r="R422" t="n">
        <v>6.5</v>
      </c>
      <c r="S422" t="inlineStr">
        <is>
          <t>Central English policy</t>
        </is>
      </c>
      <c r="T422" t="inlineStr">
        <is>
          <t>Central rule applies (value agrees)</t>
        </is>
      </c>
      <c r="U422" t="inlineStr"/>
      <c r="V422" t="inlineStr">
        <is>
          <t>Not stated on course page</t>
        </is>
      </c>
      <c r="W422" t="inlineStr"/>
      <c r="X422" t="inlineStr"/>
      <c r="Y422" t="n">
        <v>0</v>
      </c>
      <c r="Z422" t="inlineStr">
        <is>
          <t>No</t>
        </is>
      </c>
      <c r="AA422" t="inlineStr">
        <is>
          <t>Not stated on course page</t>
        </is>
      </c>
      <c r="AB422" t="inlineStr"/>
      <c r="AC422" t="inlineStr">
        <is>
          <t>Skipped: the page does not state it</t>
        </is>
      </c>
      <c r="AD422" t="n">
        <v>0</v>
      </c>
      <c r="AE422" t="inlineStr"/>
      <c r="AF422" t="inlineStr"/>
      <c r="AG422" t="inlineStr"/>
      <c r="AH422" t="inlineStr"/>
      <c r="AI422" t="inlineStr"/>
      <c r="AJ422" t="inlineStr"/>
      <c r="AK422" t="inlineStr"/>
      <c r="AL422" t="inlineStr"/>
      <c r="AM422" t="inlineStr"/>
    </row>
    <row r="423">
      <c r="A423" t="inlineStr">
        <is>
          <t>092682G</t>
        </is>
      </c>
      <c r="B423" t="inlineStr">
        <is>
          <t>Master of Public Health (Research)</t>
        </is>
      </c>
      <c r="C423" t="inlineStr">
        <is>
          <t>Masters Degree (Research)</t>
        </is>
      </c>
      <c r="D423" t="inlineStr">
        <is>
          <t>Research degree</t>
        </is>
      </c>
      <c r="E423" t="inlineStr">
        <is>
          <t>Page address no longer works</t>
        </is>
      </c>
      <c r="F423" t="inlineStr"/>
      <c r="G423" t="inlineStr">
        <is>
          <t>https://coursehandbook.mq.edu.au/2026/courses/c000315</t>
        </is>
      </c>
      <c r="H423" t="inlineStr">
        <is>
          <t>Address no longer works</t>
        </is>
      </c>
      <c r="I423" t="inlineStr"/>
      <c r="J423" t="inlineStr"/>
      <c r="K423" t="inlineStr">
        <is>
          <t>Not sent to re-link</t>
        </is>
      </c>
      <c r="L423" t="inlineStr">
        <is>
          <t>Page found, being read</t>
        </is>
      </c>
      <c r="M423" t="inlineStr">
        <is>
          <t>Page found, being read</t>
        </is>
      </c>
      <c r="N423" t="inlineStr"/>
      <c r="O423" t="n">
        <v>0</v>
      </c>
      <c r="P423" t="inlineStr"/>
      <c r="Q423" t="inlineStr">
        <is>
          <t>Filled</t>
        </is>
      </c>
      <c r="R423" t="n">
        <v>6.5</v>
      </c>
      <c r="S423" t="inlineStr">
        <is>
          <t>Central English policy</t>
        </is>
      </c>
      <c r="T423" t="inlineStr">
        <is>
          <t>Central rule applies (value agrees)</t>
        </is>
      </c>
      <c r="U423" t="inlineStr"/>
      <c r="V423" t="inlineStr">
        <is>
          <t>Page found, being read</t>
        </is>
      </c>
      <c r="W423" t="inlineStr"/>
      <c r="X423" t="inlineStr"/>
      <c r="Y423" t="n">
        <v>0</v>
      </c>
      <c r="Z423" t="inlineStr">
        <is>
          <t>No</t>
        </is>
      </c>
      <c r="AA423" t="inlineStr">
        <is>
          <t>Not stated on course page</t>
        </is>
      </c>
      <c r="AB423" t="inlineStr"/>
      <c r="AC423" t="inlineStr">
        <is>
          <t>Skipped: no allowed source had a value</t>
        </is>
      </c>
      <c r="AD423" t="n">
        <v>0</v>
      </c>
      <c r="AE423" t="inlineStr"/>
      <c r="AF423" t="inlineStr"/>
      <c r="AG423" t="inlineStr"/>
      <c r="AH423" t="inlineStr"/>
      <c r="AI423" t="inlineStr"/>
      <c r="AJ423" t="inlineStr"/>
      <c r="AK423" t="inlineStr"/>
      <c r="AL423" t="inlineStr"/>
      <c r="AM423" t="inlineStr"/>
    </row>
    <row r="424">
      <c r="A424" t="inlineStr">
        <is>
          <t>084701J</t>
        </is>
      </c>
      <c r="B424" t="inlineStr">
        <is>
          <t>Master of Radiopharmaceutical Science</t>
        </is>
      </c>
      <c r="C424" t="inlineStr">
        <is>
          <t>Masters Degree (Coursework)</t>
        </is>
      </c>
      <c r="D424" t="inlineStr">
        <is>
          <t>Postgraduate coursework</t>
        </is>
      </c>
      <c r="E424" t="inlineStr">
        <is>
          <t>Page address no longer works</t>
        </is>
      </c>
      <c r="F424" t="inlineStr"/>
      <c r="G424" t="inlineStr">
        <is>
          <t>https://coursehandbook.mq.edu.au/2026/courses/c000047</t>
        </is>
      </c>
      <c r="H424" t="inlineStr">
        <is>
          <t>Address no longer works</t>
        </is>
      </c>
      <c r="I424" t="inlineStr"/>
      <c r="J424" t="inlineStr"/>
      <c r="K424" t="inlineStr">
        <is>
          <t>Not sent to re-link</t>
        </is>
      </c>
      <c r="L424" t="inlineStr">
        <is>
          <t>Page found, being read</t>
        </is>
      </c>
      <c r="M424" t="inlineStr">
        <is>
          <t>Page found, being read</t>
        </is>
      </c>
      <c r="N424" t="inlineStr"/>
      <c r="O424" t="n">
        <v>0</v>
      </c>
      <c r="P424" t="inlineStr"/>
      <c r="Q424" t="inlineStr">
        <is>
          <t>Filled</t>
        </is>
      </c>
      <c r="R424" t="n">
        <v>6.5</v>
      </c>
      <c r="S424" t="inlineStr">
        <is>
          <t>Central English policy</t>
        </is>
      </c>
      <c r="T424" t="inlineStr">
        <is>
          <t>Central rule applies (value agrees)</t>
        </is>
      </c>
      <c r="U424" t="inlineStr"/>
      <c r="V424" t="inlineStr">
        <is>
          <t>Page found, being read</t>
        </is>
      </c>
      <c r="W424" t="inlineStr"/>
      <c r="X424" t="inlineStr"/>
      <c r="Y424" t="n">
        <v>0</v>
      </c>
      <c r="Z424" t="inlineStr">
        <is>
          <t>No</t>
        </is>
      </c>
      <c r="AA424" t="inlineStr">
        <is>
          <t>Not stated on course page</t>
        </is>
      </c>
      <c r="AB424" t="inlineStr"/>
      <c r="AC424" t="inlineStr">
        <is>
          <t>Skipped: no allowed source had a value</t>
        </is>
      </c>
      <c r="AD424" t="n">
        <v>0</v>
      </c>
      <c r="AE424" t="inlineStr"/>
      <c r="AF424" t="inlineStr"/>
      <c r="AG424" t="inlineStr"/>
      <c r="AH424" t="inlineStr"/>
      <c r="AI424" t="inlineStr"/>
      <c r="AJ424" t="inlineStr"/>
      <c r="AK424" t="inlineStr"/>
      <c r="AL424" t="inlineStr"/>
      <c r="AM424" t="inlineStr"/>
    </row>
    <row r="425">
      <c r="A425" t="inlineStr">
        <is>
          <t>087959C</t>
        </is>
      </c>
      <c r="B425" t="inlineStr">
        <is>
          <t>Master of Research (Arts)</t>
        </is>
      </c>
      <c r="C425" t="inlineStr">
        <is>
          <t>Masters Degree (Research)</t>
        </is>
      </c>
      <c r="D425" t="inlineStr">
        <is>
          <t>Research degree</t>
        </is>
      </c>
      <c r="E425" t="inlineStr">
        <is>
          <t>Page address no longer works</t>
        </is>
      </c>
      <c r="F425" t="inlineStr"/>
      <c r="G425" t="inlineStr">
        <is>
          <t>https://coursehandbook.mq.edu.au/2026/courses/C000212</t>
        </is>
      </c>
      <c r="H425" t="inlineStr">
        <is>
          <t>Address no longer works</t>
        </is>
      </c>
      <c r="I425" t="inlineStr"/>
      <c r="J425" t="inlineStr"/>
      <c r="K425" t="inlineStr">
        <is>
          <t>Not sent to re-link</t>
        </is>
      </c>
      <c r="L425" t="inlineStr">
        <is>
          <t>Page found, being read</t>
        </is>
      </c>
      <c r="M425" t="inlineStr">
        <is>
          <t>Page found, being read</t>
        </is>
      </c>
      <c r="N425" t="inlineStr"/>
      <c r="O425" t="n">
        <v>0</v>
      </c>
      <c r="P425" t="inlineStr"/>
      <c r="Q425" t="inlineStr">
        <is>
          <t>Filled</t>
        </is>
      </c>
      <c r="R425" t="n">
        <v>6.5</v>
      </c>
      <c r="S425" t="inlineStr">
        <is>
          <t>Central English policy</t>
        </is>
      </c>
      <c r="T425" t="inlineStr">
        <is>
          <t>Central rule applies (value agrees)</t>
        </is>
      </c>
      <c r="U425" t="inlineStr"/>
      <c r="V425" t="inlineStr">
        <is>
          <t>Page found, being read</t>
        </is>
      </c>
      <c r="W425" t="inlineStr"/>
      <c r="X425" t="inlineStr"/>
      <c r="Y425" t="n">
        <v>0</v>
      </c>
      <c r="Z425" t="inlineStr">
        <is>
          <t>No</t>
        </is>
      </c>
      <c r="AA425" t="inlineStr">
        <is>
          <t>Not stated on course page</t>
        </is>
      </c>
      <c r="AB425" t="inlineStr"/>
      <c r="AC425" t="inlineStr">
        <is>
          <t>Skipped: no allowed source had a value</t>
        </is>
      </c>
      <c r="AD425" t="n">
        <v>0</v>
      </c>
      <c r="AE425" t="inlineStr"/>
      <c r="AF425" t="inlineStr"/>
      <c r="AG425" t="inlineStr"/>
      <c r="AH425" t="inlineStr"/>
      <c r="AI425" t="inlineStr"/>
      <c r="AJ425" t="inlineStr"/>
      <c r="AK425" t="inlineStr"/>
      <c r="AL425" t="inlineStr"/>
      <c r="AM425" t="inlineStr"/>
    </row>
    <row r="426">
      <c r="A426" t="inlineStr">
        <is>
          <t>087960K</t>
        </is>
      </c>
      <c r="B426" t="inlineStr">
        <is>
          <t>Master of Research (Business and Economics)</t>
        </is>
      </c>
      <c r="C426" t="inlineStr">
        <is>
          <t>Masters Degree (Research)</t>
        </is>
      </c>
      <c r="D426" t="inlineStr">
        <is>
          <t>Research degree</t>
        </is>
      </c>
      <c r="E426" t="inlineStr">
        <is>
          <t>Page address no longer works</t>
        </is>
      </c>
      <c r="F426" t="inlineStr"/>
      <c r="G426" t="inlineStr">
        <is>
          <t>https://coursehandbook.mq.edu.au/2026/courses/C000218</t>
        </is>
      </c>
      <c r="H426" t="inlineStr">
        <is>
          <t>Address no longer works</t>
        </is>
      </c>
      <c r="I426" t="inlineStr"/>
      <c r="J426" t="inlineStr"/>
      <c r="K426" t="inlineStr">
        <is>
          <t>Not sent to re-link</t>
        </is>
      </c>
      <c r="L426" t="inlineStr">
        <is>
          <t>Page found, being read</t>
        </is>
      </c>
      <c r="M426" t="inlineStr">
        <is>
          <t>Page found, being read</t>
        </is>
      </c>
      <c r="N426" t="inlineStr"/>
      <c r="O426" t="n">
        <v>0</v>
      </c>
      <c r="P426" t="inlineStr"/>
      <c r="Q426" t="inlineStr">
        <is>
          <t>Filled</t>
        </is>
      </c>
      <c r="R426" t="n">
        <v>6.5</v>
      </c>
      <c r="S426" t="inlineStr">
        <is>
          <t>Central English policy</t>
        </is>
      </c>
      <c r="T426" t="inlineStr">
        <is>
          <t>Central rule applies (value agrees)</t>
        </is>
      </c>
      <c r="U426" t="inlineStr"/>
      <c r="V426" t="inlineStr">
        <is>
          <t>Page found, being read</t>
        </is>
      </c>
      <c r="W426" t="inlineStr"/>
      <c r="X426" t="inlineStr"/>
      <c r="Y426" t="n">
        <v>0</v>
      </c>
      <c r="Z426" t="inlineStr">
        <is>
          <t>No</t>
        </is>
      </c>
      <c r="AA426" t="inlineStr">
        <is>
          <t>Not stated on course page</t>
        </is>
      </c>
      <c r="AB426" t="inlineStr"/>
      <c r="AC426" t="inlineStr">
        <is>
          <t>Skipped: no allowed source had a value</t>
        </is>
      </c>
      <c r="AD426" t="n">
        <v>0</v>
      </c>
      <c r="AE426" t="inlineStr"/>
      <c r="AF426" t="inlineStr"/>
      <c r="AG426" t="inlineStr"/>
      <c r="AH426" t="inlineStr"/>
      <c r="AI426" t="inlineStr"/>
      <c r="AJ426" t="inlineStr"/>
      <c r="AK426" t="inlineStr"/>
      <c r="AL426" t="inlineStr"/>
      <c r="AM426" t="inlineStr"/>
    </row>
    <row r="427">
      <c r="A427" t="inlineStr">
        <is>
          <t>087964F</t>
        </is>
      </c>
      <c r="B427" t="inlineStr">
        <is>
          <t>Master of Research (Medicine and Health Sciences)</t>
        </is>
      </c>
      <c r="C427" t="inlineStr">
        <is>
          <t>Masters Degree (Research)</t>
        </is>
      </c>
      <c r="D427" t="inlineStr">
        <is>
          <t>Research degree</t>
        </is>
      </c>
      <c r="E427" t="inlineStr">
        <is>
          <t>Page address no longer works</t>
        </is>
      </c>
      <c r="F427" t="inlineStr"/>
      <c r="G427" t="inlineStr">
        <is>
          <t>https://coursehandbook.mq.edu.au/2026/courses/C000220</t>
        </is>
      </c>
      <c r="H427" t="inlineStr">
        <is>
          <t>Address no longer works</t>
        </is>
      </c>
      <c r="I427" t="inlineStr"/>
      <c r="J427" t="inlineStr"/>
      <c r="K427" t="inlineStr">
        <is>
          <t>Not sent to re-link</t>
        </is>
      </c>
      <c r="L427" t="inlineStr">
        <is>
          <t>Page found, being read</t>
        </is>
      </c>
      <c r="M427" t="inlineStr">
        <is>
          <t>Page found, being read</t>
        </is>
      </c>
      <c r="N427" t="inlineStr"/>
      <c r="O427" t="n">
        <v>0</v>
      </c>
      <c r="P427" t="inlineStr"/>
      <c r="Q427" t="inlineStr">
        <is>
          <t>Filled</t>
        </is>
      </c>
      <c r="R427" t="n">
        <v>6.5</v>
      </c>
      <c r="S427" t="inlineStr">
        <is>
          <t>Central English policy</t>
        </is>
      </c>
      <c r="T427" t="inlineStr">
        <is>
          <t>Central rule applies (value agrees)</t>
        </is>
      </c>
      <c r="U427" t="inlineStr"/>
      <c r="V427" t="inlineStr">
        <is>
          <t>Page found, being read</t>
        </is>
      </c>
      <c r="W427" t="inlineStr"/>
      <c r="X427" t="inlineStr"/>
      <c r="Y427" t="n">
        <v>0</v>
      </c>
      <c r="Z427" t="inlineStr">
        <is>
          <t>No</t>
        </is>
      </c>
      <c r="AA427" t="inlineStr">
        <is>
          <t>Not stated on course page</t>
        </is>
      </c>
      <c r="AB427" t="inlineStr"/>
      <c r="AC427" t="inlineStr">
        <is>
          <t>Skipped: no allowed source had a value</t>
        </is>
      </c>
      <c r="AD427" t="n">
        <v>0</v>
      </c>
      <c r="AE427" t="inlineStr"/>
      <c r="AF427" t="inlineStr"/>
      <c r="AG427" t="inlineStr"/>
      <c r="AH427" t="inlineStr"/>
      <c r="AI427" t="inlineStr"/>
      <c r="AJ427" t="inlineStr"/>
      <c r="AK427" t="inlineStr"/>
      <c r="AL427" t="inlineStr"/>
      <c r="AM427" t="inlineStr"/>
    </row>
    <row r="428">
      <c r="A428" t="inlineStr">
        <is>
          <t>087963G</t>
        </is>
      </c>
      <c r="B428" t="inlineStr">
        <is>
          <t>Master of Research (Science and Engineering)</t>
        </is>
      </c>
      <c r="C428" t="inlineStr">
        <is>
          <t>Masters Degree (Research)</t>
        </is>
      </c>
      <c r="D428" t="inlineStr">
        <is>
          <t>Research degree</t>
        </is>
      </c>
      <c r="E428" t="inlineStr">
        <is>
          <t>Page address no longer works</t>
        </is>
      </c>
      <c r="F428" t="inlineStr"/>
      <c r="G428" t="inlineStr">
        <is>
          <t>https://coursehandbook.mq.edu.au/2026/courses/C000216</t>
        </is>
      </c>
      <c r="H428" t="inlineStr">
        <is>
          <t>Address no longer works</t>
        </is>
      </c>
      <c r="I428" t="inlineStr"/>
      <c r="J428" t="inlineStr"/>
      <c r="K428" t="inlineStr">
        <is>
          <t>Not sent to re-link</t>
        </is>
      </c>
      <c r="L428" t="inlineStr">
        <is>
          <t>Page found, being read</t>
        </is>
      </c>
      <c r="M428" t="inlineStr">
        <is>
          <t>Page found, being read</t>
        </is>
      </c>
      <c r="N428" t="inlineStr"/>
      <c r="O428" t="n">
        <v>0</v>
      </c>
      <c r="P428" t="inlineStr"/>
      <c r="Q428" t="inlineStr">
        <is>
          <t>Filled</t>
        </is>
      </c>
      <c r="R428" t="n">
        <v>6.5</v>
      </c>
      <c r="S428" t="inlineStr">
        <is>
          <t>Central English policy</t>
        </is>
      </c>
      <c r="T428" t="inlineStr">
        <is>
          <t>Central rule applies (value agrees)</t>
        </is>
      </c>
      <c r="U428" t="inlineStr"/>
      <c r="V428" t="inlineStr">
        <is>
          <t>Page found, being read</t>
        </is>
      </c>
      <c r="W428" t="inlineStr"/>
      <c r="X428" t="inlineStr"/>
      <c r="Y428" t="n">
        <v>0</v>
      </c>
      <c r="Z428" t="inlineStr">
        <is>
          <t>No</t>
        </is>
      </c>
      <c r="AA428" t="inlineStr">
        <is>
          <t>Not stated on course page</t>
        </is>
      </c>
      <c r="AB428" t="inlineStr"/>
      <c r="AC428" t="inlineStr">
        <is>
          <t>Skipped: no allowed source had a value</t>
        </is>
      </c>
      <c r="AD428" t="n">
        <v>0</v>
      </c>
      <c r="AE428" t="inlineStr"/>
      <c r="AF428" t="inlineStr"/>
      <c r="AG428" t="inlineStr"/>
      <c r="AH428" t="inlineStr"/>
      <c r="AI428" t="inlineStr"/>
      <c r="AJ428" t="inlineStr"/>
      <c r="AK428" t="inlineStr"/>
      <c r="AL428" t="inlineStr"/>
      <c r="AM428" t="inlineStr"/>
    </row>
    <row r="429">
      <c r="A429" t="inlineStr">
        <is>
          <t>115562K</t>
        </is>
      </c>
      <c r="B429" t="inlineStr">
        <is>
          <t>Master of Research in Arts</t>
        </is>
      </c>
      <c r="C429" t="inlineStr">
        <is>
          <t>Masters Degree (Research)</t>
        </is>
      </c>
      <c r="D429" t="inlineStr">
        <is>
          <t>Research degree</t>
        </is>
      </c>
      <c r="E429" t="inlineStr">
        <is>
          <t>Advertised: official page in place</t>
        </is>
      </c>
      <c r="F429" t="inlineStr">
        <is>
          <t>https://coursehandbook.mq.edu.au/2026/courses/c000408</t>
        </is>
      </c>
      <c r="G429" t="inlineStr">
        <is>
          <t>https://coursehandbook.mq.edu.au/2026/courses/c000408</t>
        </is>
      </c>
      <c r="H429" t="inlineStr">
        <is>
          <t>Read</t>
        </is>
      </c>
      <c r="I429" t="inlineStr">
        <is>
          <t>Exact title match</t>
        </is>
      </c>
      <c r="J429" t="inlineStr"/>
      <c r="K429" t="inlineStr">
        <is>
          <t>Not sent to re-link</t>
        </is>
      </c>
      <c r="L429" t="inlineStr">
        <is>
          <t>Filled</t>
        </is>
      </c>
      <c r="M429" t="inlineStr">
        <is>
          <t>Not stated on course page</t>
        </is>
      </c>
      <c r="N429" t="inlineStr"/>
      <c r="O429" t="n">
        <v>0</v>
      </c>
      <c r="P429" t="inlineStr"/>
      <c r="Q429" t="inlineStr">
        <is>
          <t>Filled</t>
        </is>
      </c>
      <c r="R429" t="n">
        <v>6.5</v>
      </c>
      <c r="S429" t="inlineStr">
        <is>
          <t>University adapter</t>
        </is>
      </c>
      <c r="T429" t="inlineStr">
        <is>
          <t>Central rule applies (value agrees)</t>
        </is>
      </c>
      <c r="U429" t="inlineStr"/>
      <c r="V429" t="inlineStr">
        <is>
          <t>Not stated on course page</t>
        </is>
      </c>
      <c r="W429" t="inlineStr"/>
      <c r="X429" t="inlineStr"/>
      <c r="Y429" t="n">
        <v>0</v>
      </c>
      <c r="Z429" t="inlineStr">
        <is>
          <t>No</t>
        </is>
      </c>
      <c r="AA429" t="inlineStr">
        <is>
          <t>Not stated on course page</t>
        </is>
      </c>
      <c r="AB429" t="inlineStr"/>
      <c r="AC429" t="inlineStr">
        <is>
          <t>Skipped: the page does not state it</t>
        </is>
      </c>
      <c r="AD429" t="n">
        <v>0</v>
      </c>
      <c r="AE429" t="inlineStr"/>
      <c r="AF429" t="inlineStr"/>
      <c r="AG429" t="inlineStr"/>
      <c r="AH429" t="inlineStr"/>
      <c r="AI429" t="inlineStr"/>
      <c r="AJ429" t="inlineStr"/>
      <c r="AK429" t="inlineStr"/>
      <c r="AL429" t="inlineStr"/>
      <c r="AM429" t="inlineStr"/>
    </row>
    <row r="430">
      <c r="A430" t="inlineStr">
        <is>
          <t>115564H</t>
        </is>
      </c>
      <c r="B430" t="inlineStr">
        <is>
          <t>Master of Research in Business</t>
        </is>
      </c>
      <c r="C430" t="inlineStr">
        <is>
          <t>Masters Degree (Research)</t>
        </is>
      </c>
      <c r="D430" t="inlineStr">
        <is>
          <t>Research degree</t>
        </is>
      </c>
      <c r="E430" t="inlineStr">
        <is>
          <t>Advertised: official page in place</t>
        </is>
      </c>
      <c r="F430" t="inlineStr">
        <is>
          <t>https://coursehandbook.mq.edu.au/2026/courses/C000413</t>
        </is>
      </c>
      <c r="G430" t="inlineStr">
        <is>
          <t>https://coursehandbook.mq.edu.au/2026/courses/C000413</t>
        </is>
      </c>
      <c r="H430" t="inlineStr">
        <is>
          <t>Read</t>
        </is>
      </c>
      <c r="I430" t="inlineStr">
        <is>
          <t>Exact title match</t>
        </is>
      </c>
      <c r="J430" t="inlineStr"/>
      <c r="K430" t="inlineStr">
        <is>
          <t>Not sent to re-link</t>
        </is>
      </c>
      <c r="L430" t="inlineStr">
        <is>
          <t>Filled</t>
        </is>
      </c>
      <c r="M430" t="inlineStr">
        <is>
          <t>Not stated on course page</t>
        </is>
      </c>
      <c r="N430" t="inlineStr"/>
      <c r="O430" t="n">
        <v>0</v>
      </c>
      <c r="P430" t="inlineStr"/>
      <c r="Q430" t="inlineStr">
        <is>
          <t>Filled</t>
        </is>
      </c>
      <c r="R430" t="n">
        <v>6.5</v>
      </c>
      <c r="S430" t="inlineStr">
        <is>
          <t>University adapter</t>
        </is>
      </c>
      <c r="T430" t="inlineStr">
        <is>
          <t>Central rule applies (value agrees)</t>
        </is>
      </c>
      <c r="U430" t="inlineStr"/>
      <c r="V430" t="inlineStr">
        <is>
          <t>Not stated on course page</t>
        </is>
      </c>
      <c r="W430" t="inlineStr"/>
      <c r="X430" t="inlineStr"/>
      <c r="Y430" t="n">
        <v>0</v>
      </c>
      <c r="Z430" t="inlineStr">
        <is>
          <t>No</t>
        </is>
      </c>
      <c r="AA430" t="inlineStr">
        <is>
          <t>Not stated on course page</t>
        </is>
      </c>
      <c r="AB430" t="inlineStr"/>
      <c r="AC430" t="inlineStr">
        <is>
          <t>Skipped: the page does not state it</t>
        </is>
      </c>
      <c r="AD430" t="n">
        <v>0</v>
      </c>
      <c r="AE430" t="inlineStr"/>
      <c r="AF430" t="inlineStr"/>
      <c r="AG430" t="inlineStr"/>
      <c r="AH430" t="inlineStr"/>
      <c r="AI430" t="inlineStr"/>
      <c r="AJ430" t="inlineStr"/>
      <c r="AK430" t="inlineStr"/>
      <c r="AL430" t="inlineStr"/>
      <c r="AM430" t="inlineStr"/>
    </row>
    <row r="431">
      <c r="A431" t="inlineStr">
        <is>
          <t>115569C</t>
        </is>
      </c>
      <c r="B431" t="inlineStr">
        <is>
          <t>Master of Research in Medicine, Health and Human Sciences</t>
        </is>
      </c>
      <c r="C431" t="inlineStr">
        <is>
          <t>Masters Degree (Research)</t>
        </is>
      </c>
      <c r="D431" t="inlineStr">
        <is>
          <t>Research degree</t>
        </is>
      </c>
      <c r="E431" t="inlineStr">
        <is>
          <t>Advertised: official page in place</t>
        </is>
      </c>
      <c r="F431" t="inlineStr">
        <is>
          <t>https://coursehandbook.mq.edu.au/2026/courses/C000416</t>
        </is>
      </c>
      <c r="G431" t="inlineStr">
        <is>
          <t>https://coursehandbook.mq.edu.au/2026/courses/C000416</t>
        </is>
      </c>
      <c r="H431" t="inlineStr">
        <is>
          <t>Read</t>
        </is>
      </c>
      <c r="I431" t="inlineStr">
        <is>
          <t>Exact title match</t>
        </is>
      </c>
      <c r="J431" t="inlineStr"/>
      <c r="K431" t="inlineStr">
        <is>
          <t>Not sent to re-link</t>
        </is>
      </c>
      <c r="L431" t="inlineStr">
        <is>
          <t>Filled</t>
        </is>
      </c>
      <c r="M431" t="inlineStr">
        <is>
          <t>Not stated on course page</t>
        </is>
      </c>
      <c r="N431" t="inlineStr"/>
      <c r="O431" t="n">
        <v>0</v>
      </c>
      <c r="P431" t="inlineStr"/>
      <c r="Q431" t="inlineStr">
        <is>
          <t>Filled</t>
        </is>
      </c>
      <c r="R431" t="n">
        <v>6.5</v>
      </c>
      <c r="S431" t="inlineStr">
        <is>
          <t>University adapter</t>
        </is>
      </c>
      <c r="T431" t="inlineStr">
        <is>
          <t>Central rule applies (value agrees)</t>
        </is>
      </c>
      <c r="U431" t="inlineStr"/>
      <c r="V431" t="inlineStr">
        <is>
          <t>Not stated on course page</t>
        </is>
      </c>
      <c r="W431" t="inlineStr"/>
      <c r="X431" t="inlineStr"/>
      <c r="Y431" t="n">
        <v>0</v>
      </c>
      <c r="Z431" t="inlineStr">
        <is>
          <t>No</t>
        </is>
      </c>
      <c r="AA431" t="inlineStr">
        <is>
          <t>Not stated on course page</t>
        </is>
      </c>
      <c r="AB431" t="inlineStr"/>
      <c r="AC431" t="inlineStr">
        <is>
          <t>Skipped: the page does not state it</t>
        </is>
      </c>
      <c r="AD431" t="n">
        <v>0</v>
      </c>
      <c r="AE431" t="inlineStr"/>
      <c r="AF431" t="inlineStr"/>
      <c r="AG431" t="inlineStr"/>
      <c r="AH431" t="inlineStr"/>
      <c r="AI431" t="inlineStr"/>
      <c r="AJ431" t="inlineStr"/>
      <c r="AK431" t="inlineStr"/>
      <c r="AL431" t="inlineStr"/>
      <c r="AM431" t="inlineStr"/>
    </row>
    <row r="432">
      <c r="A432" t="inlineStr">
        <is>
          <t>115574F</t>
        </is>
      </c>
      <c r="B432" t="inlineStr">
        <is>
          <t>Master of Research in Science and Engineering</t>
        </is>
      </c>
      <c r="C432" t="inlineStr">
        <is>
          <t>Masters Degree (Research)</t>
        </is>
      </c>
      <c r="D432" t="inlineStr">
        <is>
          <t>Research degree</t>
        </is>
      </c>
      <c r="E432" t="inlineStr">
        <is>
          <t>Advertised: official page in place</t>
        </is>
      </c>
      <c r="F432" t="inlineStr">
        <is>
          <t>https://coursehandbook.mq.edu.au/2026/courses/C000403</t>
        </is>
      </c>
      <c r="G432" t="inlineStr">
        <is>
          <t>https://coursehandbook.mq.edu.au/2026/courses/C000403</t>
        </is>
      </c>
      <c r="H432" t="inlineStr">
        <is>
          <t>Read</t>
        </is>
      </c>
      <c r="I432" t="inlineStr">
        <is>
          <t>Exact title match</t>
        </is>
      </c>
      <c r="J432" t="inlineStr"/>
      <c r="K432" t="inlineStr">
        <is>
          <t>Not sent to re-link</t>
        </is>
      </c>
      <c r="L432" t="inlineStr">
        <is>
          <t>Filled</t>
        </is>
      </c>
      <c r="M432" t="inlineStr">
        <is>
          <t>Not stated on course page</t>
        </is>
      </c>
      <c r="N432" t="inlineStr"/>
      <c r="O432" t="n">
        <v>0</v>
      </c>
      <c r="P432" t="inlineStr"/>
      <c r="Q432" t="inlineStr">
        <is>
          <t>Filled</t>
        </is>
      </c>
      <c r="R432" t="n">
        <v>6.5</v>
      </c>
      <c r="S432" t="inlineStr">
        <is>
          <t>University adapter</t>
        </is>
      </c>
      <c r="T432" t="inlineStr">
        <is>
          <t>Central rule applies (value agrees)</t>
        </is>
      </c>
      <c r="U432" t="inlineStr"/>
      <c r="V432" t="inlineStr">
        <is>
          <t>Not stated on course page</t>
        </is>
      </c>
      <c r="W432" t="inlineStr"/>
      <c r="X432" t="inlineStr"/>
      <c r="Y432" t="n">
        <v>0</v>
      </c>
      <c r="Z432" t="inlineStr">
        <is>
          <t>No</t>
        </is>
      </c>
      <c r="AA432" t="inlineStr">
        <is>
          <t>Not stated on course page</t>
        </is>
      </c>
      <c r="AB432" t="inlineStr"/>
      <c r="AC432" t="inlineStr">
        <is>
          <t>Skipped: the page does not state it</t>
        </is>
      </c>
      <c r="AD432" t="n">
        <v>0</v>
      </c>
      <c r="AE432" t="inlineStr"/>
      <c r="AF432" t="inlineStr"/>
      <c r="AG432" t="inlineStr"/>
      <c r="AH432" t="inlineStr"/>
      <c r="AI432" t="inlineStr"/>
      <c r="AJ432" t="inlineStr"/>
      <c r="AK432" t="inlineStr"/>
      <c r="AL432" t="inlineStr"/>
      <c r="AM432" t="inlineStr"/>
    </row>
    <row r="433">
      <c r="A433" t="inlineStr">
        <is>
          <t>092114F</t>
        </is>
      </c>
      <c r="B433" t="inlineStr">
        <is>
          <t>Master of Science</t>
        </is>
      </c>
      <c r="C433" t="inlineStr">
        <is>
          <t>Masters Degree (Coursework)</t>
        </is>
      </c>
      <c r="D433" t="inlineStr">
        <is>
          <t>Postgraduate coursework</t>
        </is>
      </c>
      <c r="E433" t="inlineStr">
        <is>
          <t>Page address no longer works</t>
        </is>
      </c>
      <c r="F433" t="inlineStr"/>
      <c r="G433" t="inlineStr">
        <is>
          <t>https://coursehandbook.mq.edu.au/2026/courses/c000116</t>
        </is>
      </c>
      <c r="H433" t="inlineStr">
        <is>
          <t>Address no longer works</t>
        </is>
      </c>
      <c r="I433" t="inlineStr"/>
      <c r="J433" t="inlineStr"/>
      <c r="K433" t="inlineStr">
        <is>
          <t>Not sent to re-link</t>
        </is>
      </c>
      <c r="L433" t="inlineStr">
        <is>
          <t>Page found, being read</t>
        </is>
      </c>
      <c r="M433" t="inlineStr">
        <is>
          <t>Page found, being read</t>
        </is>
      </c>
      <c r="N433" t="inlineStr"/>
      <c r="O433" t="n">
        <v>0</v>
      </c>
      <c r="P433" t="inlineStr"/>
      <c r="Q433" t="inlineStr">
        <is>
          <t>Filled</t>
        </is>
      </c>
      <c r="R433" t="n">
        <v>6.5</v>
      </c>
      <c r="S433" t="inlineStr">
        <is>
          <t>Central English policy</t>
        </is>
      </c>
      <c r="T433" t="inlineStr">
        <is>
          <t>Central rule applies (value agrees)</t>
        </is>
      </c>
      <c r="U433" t="inlineStr"/>
      <c r="V433" t="inlineStr">
        <is>
          <t>Page found, being read</t>
        </is>
      </c>
      <c r="W433" t="inlineStr"/>
      <c r="X433" t="inlineStr"/>
      <c r="Y433" t="n">
        <v>0</v>
      </c>
      <c r="Z433" t="inlineStr">
        <is>
          <t>No</t>
        </is>
      </c>
      <c r="AA433" t="inlineStr">
        <is>
          <t>Not stated on course page</t>
        </is>
      </c>
      <c r="AB433" t="inlineStr"/>
      <c r="AC433" t="inlineStr">
        <is>
          <t>Skipped: no allowed source had a value</t>
        </is>
      </c>
      <c r="AD433" t="n">
        <v>0</v>
      </c>
      <c r="AE433" t="inlineStr"/>
      <c r="AF433" t="inlineStr"/>
      <c r="AG433" t="inlineStr"/>
      <c r="AH433" t="inlineStr"/>
      <c r="AI433" t="inlineStr"/>
      <c r="AJ433" t="inlineStr"/>
      <c r="AK433" t="inlineStr"/>
      <c r="AL433" t="inlineStr"/>
      <c r="AM433" t="inlineStr"/>
    </row>
    <row r="434">
      <c r="A434" t="inlineStr">
        <is>
          <t>097385J</t>
        </is>
      </c>
      <c r="B434" t="inlineStr">
        <is>
          <t>Master of Science Innovation</t>
        </is>
      </c>
      <c r="C434" t="inlineStr">
        <is>
          <t>Masters Degree (Coursework)</t>
        </is>
      </c>
      <c r="D434" t="inlineStr">
        <is>
          <t>Postgraduate coursework</t>
        </is>
      </c>
      <c r="E434" t="inlineStr">
        <is>
          <t>Page address no longer works</t>
        </is>
      </c>
      <c r="F434" t="inlineStr"/>
      <c r="G434" t="inlineStr">
        <is>
          <t>https://coursehandbook.mq.edu.au/2026/courses/c000114</t>
        </is>
      </c>
      <c r="H434" t="inlineStr">
        <is>
          <t>Address no longer works</t>
        </is>
      </c>
      <c r="I434" t="inlineStr"/>
      <c r="J434" t="inlineStr"/>
      <c r="K434" t="inlineStr">
        <is>
          <t>Not sent to re-link</t>
        </is>
      </c>
      <c r="L434" t="inlineStr">
        <is>
          <t>Page found, being read</t>
        </is>
      </c>
      <c r="M434" t="inlineStr">
        <is>
          <t>Page found, being read</t>
        </is>
      </c>
      <c r="N434" t="inlineStr"/>
      <c r="O434" t="n">
        <v>0</v>
      </c>
      <c r="P434" t="inlineStr"/>
      <c r="Q434" t="inlineStr">
        <is>
          <t>Filled</t>
        </is>
      </c>
      <c r="R434" t="n">
        <v>6.5</v>
      </c>
      <c r="S434" t="inlineStr">
        <is>
          <t>Central English policy</t>
        </is>
      </c>
      <c r="T434" t="inlineStr">
        <is>
          <t>Central rule applies (value agrees)</t>
        </is>
      </c>
      <c r="U434" t="inlineStr"/>
      <c r="V434" t="inlineStr">
        <is>
          <t>Page found, being read</t>
        </is>
      </c>
      <c r="W434" t="inlineStr"/>
      <c r="X434" t="inlineStr"/>
      <c r="Y434" t="n">
        <v>0</v>
      </c>
      <c r="Z434" t="inlineStr">
        <is>
          <t>No</t>
        </is>
      </c>
      <c r="AA434" t="inlineStr">
        <is>
          <t>Not stated on course page</t>
        </is>
      </c>
      <c r="AB434" t="inlineStr"/>
      <c r="AC434" t="inlineStr">
        <is>
          <t>Skipped: no allowed source had a value</t>
        </is>
      </c>
      <c r="AD434" t="n">
        <v>0</v>
      </c>
      <c r="AE434" t="inlineStr"/>
      <c r="AF434" t="inlineStr"/>
      <c r="AG434" t="inlineStr"/>
      <c r="AH434" t="inlineStr"/>
      <c r="AI434" t="inlineStr"/>
      <c r="AJ434" t="inlineStr"/>
      <c r="AK434" t="inlineStr"/>
      <c r="AL434" t="inlineStr"/>
      <c r="AM434" t="inlineStr"/>
    </row>
    <row r="435">
      <c r="A435" t="inlineStr">
        <is>
          <t>099299B</t>
        </is>
      </c>
      <c r="B435" t="inlineStr">
        <is>
          <t>Master of Science Innovation in Biodiversity Conservation and Management</t>
        </is>
      </c>
      <c r="C435" t="inlineStr">
        <is>
          <t>Masters Degree (Coursework)</t>
        </is>
      </c>
      <c r="D435" t="inlineStr">
        <is>
          <t>Postgraduate coursework</t>
        </is>
      </c>
      <c r="E435" t="inlineStr">
        <is>
          <t>Page address no longer works</t>
        </is>
      </c>
      <c r="F435" t="inlineStr"/>
      <c r="G435" t="inlineStr">
        <is>
          <t>https://coursehandbook.mq.edu.au/2026/courses/c000111</t>
        </is>
      </c>
      <c r="H435" t="inlineStr">
        <is>
          <t>Address no longer works</t>
        </is>
      </c>
      <c r="I435" t="inlineStr"/>
      <c r="J435" t="inlineStr"/>
      <c r="K435" t="inlineStr">
        <is>
          <t>Not sent to re-link</t>
        </is>
      </c>
      <c r="L435" t="inlineStr">
        <is>
          <t>Page found, being read</t>
        </is>
      </c>
      <c r="M435" t="inlineStr">
        <is>
          <t>Page found, being read</t>
        </is>
      </c>
      <c r="N435" t="inlineStr"/>
      <c r="O435" t="n">
        <v>0</v>
      </c>
      <c r="P435" t="inlineStr"/>
      <c r="Q435" t="inlineStr">
        <is>
          <t>Filled</t>
        </is>
      </c>
      <c r="R435" t="n">
        <v>6.5</v>
      </c>
      <c r="S435" t="inlineStr">
        <is>
          <t>Central English policy</t>
        </is>
      </c>
      <c r="T435" t="inlineStr">
        <is>
          <t>Central rule applies (value agrees)</t>
        </is>
      </c>
      <c r="U435" t="inlineStr"/>
      <c r="V435" t="inlineStr">
        <is>
          <t>Page found, being read</t>
        </is>
      </c>
      <c r="W435" t="inlineStr"/>
      <c r="X435" t="inlineStr"/>
      <c r="Y435" t="n">
        <v>0</v>
      </c>
      <c r="Z435" t="inlineStr">
        <is>
          <t>No</t>
        </is>
      </c>
      <c r="AA435" t="inlineStr">
        <is>
          <t>Not stated on course page</t>
        </is>
      </c>
      <c r="AB435" t="inlineStr"/>
      <c r="AC435" t="inlineStr">
        <is>
          <t>Skipped: no allowed source had a value</t>
        </is>
      </c>
      <c r="AD435" t="n">
        <v>0</v>
      </c>
      <c r="AE435" t="inlineStr"/>
      <c r="AF435" t="inlineStr"/>
      <c r="AG435" t="inlineStr"/>
      <c r="AH435" t="inlineStr"/>
      <c r="AI435" t="inlineStr"/>
      <c r="AJ435" t="inlineStr"/>
      <c r="AK435" t="inlineStr"/>
      <c r="AL435" t="inlineStr"/>
      <c r="AM435" t="inlineStr"/>
    </row>
    <row r="436">
      <c r="A436" t="inlineStr">
        <is>
          <t>099184B</t>
        </is>
      </c>
      <c r="B436" t="inlineStr">
        <is>
          <t>Master of Science Innovation in Chemistry and Biomolecular Sciences</t>
        </is>
      </c>
      <c r="C436" t="inlineStr">
        <is>
          <t>Masters Degree (Coursework)</t>
        </is>
      </c>
      <c r="D436" t="inlineStr">
        <is>
          <t>Postgraduate coursework</t>
        </is>
      </c>
      <c r="E436" t="inlineStr">
        <is>
          <t>Page address no longer works</t>
        </is>
      </c>
      <c r="F436" t="inlineStr"/>
      <c r="G436" t="inlineStr">
        <is>
          <t>https://coursehandbook.mq.edu.au/2026/courses/c000111</t>
        </is>
      </c>
      <c r="H436" t="inlineStr">
        <is>
          <t>Address no longer works</t>
        </is>
      </c>
      <c r="I436" t="inlineStr"/>
      <c r="J436" t="inlineStr"/>
      <c r="K436" t="inlineStr">
        <is>
          <t>Not sent to re-link</t>
        </is>
      </c>
      <c r="L436" t="inlineStr">
        <is>
          <t>Page found, being read</t>
        </is>
      </c>
      <c r="M436" t="inlineStr">
        <is>
          <t>Page found, being read</t>
        </is>
      </c>
      <c r="N436" t="inlineStr"/>
      <c r="O436" t="n">
        <v>0</v>
      </c>
      <c r="P436" t="inlineStr"/>
      <c r="Q436" t="inlineStr">
        <is>
          <t>Filled</t>
        </is>
      </c>
      <c r="R436" t="n">
        <v>6.5</v>
      </c>
      <c r="S436" t="inlineStr">
        <is>
          <t>Central English policy</t>
        </is>
      </c>
      <c r="T436" t="inlineStr">
        <is>
          <t>Central rule applies (value agrees)</t>
        </is>
      </c>
      <c r="U436" t="inlineStr"/>
      <c r="V436" t="inlineStr">
        <is>
          <t>Page found, being read</t>
        </is>
      </c>
      <c r="W436" t="inlineStr"/>
      <c r="X436" t="inlineStr"/>
      <c r="Y436" t="n">
        <v>0</v>
      </c>
      <c r="Z436" t="inlineStr">
        <is>
          <t>No</t>
        </is>
      </c>
      <c r="AA436" t="inlineStr">
        <is>
          <t>Not stated on course page</t>
        </is>
      </c>
      <c r="AB436" t="inlineStr"/>
      <c r="AC436" t="inlineStr">
        <is>
          <t>Skipped: no allowed source had a value</t>
        </is>
      </c>
      <c r="AD436" t="n">
        <v>0</v>
      </c>
      <c r="AE436" t="inlineStr"/>
      <c r="AF436" t="inlineStr"/>
      <c r="AG436" t="inlineStr"/>
      <c r="AH436" t="inlineStr"/>
      <c r="AI436" t="inlineStr"/>
      <c r="AJ436" t="inlineStr"/>
      <c r="AK436" t="inlineStr"/>
      <c r="AL436" t="inlineStr"/>
      <c r="AM436" t="inlineStr"/>
    </row>
    <row r="437">
      <c r="A437" t="inlineStr">
        <is>
          <t>099185A</t>
        </is>
      </c>
      <c r="B437" t="inlineStr">
        <is>
          <t>Master of Science Innovation in Environmental Sciences</t>
        </is>
      </c>
      <c r="C437" t="inlineStr">
        <is>
          <t>Masters Degree (Coursework)</t>
        </is>
      </c>
      <c r="D437" t="inlineStr">
        <is>
          <t>Postgraduate coursework</t>
        </is>
      </c>
      <c r="E437" t="inlineStr">
        <is>
          <t>Page address no longer works</t>
        </is>
      </c>
      <c r="F437" t="inlineStr"/>
      <c r="G437" t="inlineStr">
        <is>
          <t>https://coursehandbook.mq.edu.au/2026/courses/c000113</t>
        </is>
      </c>
      <c r="H437" t="inlineStr">
        <is>
          <t>Address no longer works</t>
        </is>
      </c>
      <c r="I437" t="inlineStr"/>
      <c r="J437" t="inlineStr"/>
      <c r="K437" t="inlineStr">
        <is>
          <t>Not sent to re-link</t>
        </is>
      </c>
      <c r="L437" t="inlineStr">
        <is>
          <t>Page found, being read</t>
        </is>
      </c>
      <c r="M437" t="inlineStr">
        <is>
          <t>Page found, being read</t>
        </is>
      </c>
      <c r="N437" t="inlineStr"/>
      <c r="O437" t="n">
        <v>0</v>
      </c>
      <c r="P437" t="inlineStr"/>
      <c r="Q437" t="inlineStr">
        <is>
          <t>Filled</t>
        </is>
      </c>
      <c r="R437" t="n">
        <v>6.5</v>
      </c>
      <c r="S437" t="inlineStr">
        <is>
          <t>Central English policy</t>
        </is>
      </c>
      <c r="T437" t="inlineStr">
        <is>
          <t>Central rule applies (value agrees)</t>
        </is>
      </c>
      <c r="U437" t="inlineStr"/>
      <c r="V437" t="inlineStr">
        <is>
          <t>Page found, being read</t>
        </is>
      </c>
      <c r="W437" t="inlineStr"/>
      <c r="X437" t="inlineStr"/>
      <c r="Y437" t="n">
        <v>0</v>
      </c>
      <c r="Z437" t="inlineStr">
        <is>
          <t>No</t>
        </is>
      </c>
      <c r="AA437" t="inlineStr">
        <is>
          <t>Not stated on course page</t>
        </is>
      </c>
      <c r="AB437" t="inlineStr"/>
      <c r="AC437" t="inlineStr">
        <is>
          <t>Skipped: no allowed source had a value</t>
        </is>
      </c>
      <c r="AD437" t="n">
        <v>0</v>
      </c>
      <c r="AE437" t="inlineStr"/>
      <c r="AF437" t="inlineStr"/>
      <c r="AG437" t="inlineStr"/>
      <c r="AH437" t="inlineStr"/>
      <c r="AI437" t="inlineStr"/>
      <c r="AJ437" t="inlineStr"/>
      <c r="AK437" t="inlineStr"/>
      <c r="AL437" t="inlineStr"/>
      <c r="AM437" t="inlineStr"/>
    </row>
    <row r="438">
      <c r="A438" t="inlineStr">
        <is>
          <t>099186M</t>
        </is>
      </c>
      <c r="B438" t="inlineStr">
        <is>
          <t>Master of Science Innovation in Geology and Geophysics</t>
        </is>
      </c>
      <c r="C438" t="inlineStr">
        <is>
          <t>Masters Degree (Coursework)</t>
        </is>
      </c>
      <c r="D438" t="inlineStr">
        <is>
          <t>Postgraduate coursework</t>
        </is>
      </c>
      <c r="E438" t="inlineStr">
        <is>
          <t>Page address no longer works</t>
        </is>
      </c>
      <c r="F438" t="inlineStr"/>
      <c r="G438" t="inlineStr">
        <is>
          <t>https://coursehandbook.mq.edu.au/2026/courses/c000114</t>
        </is>
      </c>
      <c r="H438" t="inlineStr">
        <is>
          <t>Address no longer works</t>
        </is>
      </c>
      <c r="I438" t="inlineStr"/>
      <c r="J438" t="inlineStr"/>
      <c r="K438" t="inlineStr">
        <is>
          <t>Not sent to re-link</t>
        </is>
      </c>
      <c r="L438" t="inlineStr">
        <is>
          <t>Page found, being read</t>
        </is>
      </c>
      <c r="M438" t="inlineStr">
        <is>
          <t>Page found, being read</t>
        </is>
      </c>
      <c r="N438" t="inlineStr"/>
      <c r="O438" t="n">
        <v>0</v>
      </c>
      <c r="P438" t="inlineStr"/>
      <c r="Q438" t="inlineStr">
        <is>
          <t>Filled</t>
        </is>
      </c>
      <c r="R438" t="n">
        <v>6.5</v>
      </c>
      <c r="S438" t="inlineStr">
        <is>
          <t>Central English policy</t>
        </is>
      </c>
      <c r="T438" t="inlineStr">
        <is>
          <t>Central rule applies (value agrees)</t>
        </is>
      </c>
      <c r="U438" t="inlineStr"/>
      <c r="V438" t="inlineStr">
        <is>
          <t>Page found, being read</t>
        </is>
      </c>
      <c r="W438" t="inlineStr"/>
      <c r="X438" t="inlineStr"/>
      <c r="Y438" t="n">
        <v>0</v>
      </c>
      <c r="Z438" t="inlineStr">
        <is>
          <t>No</t>
        </is>
      </c>
      <c r="AA438" t="inlineStr">
        <is>
          <t>Not stated on course page</t>
        </is>
      </c>
      <c r="AB438" t="inlineStr"/>
      <c r="AC438" t="inlineStr">
        <is>
          <t>Skipped: no allowed source had a value</t>
        </is>
      </c>
      <c r="AD438" t="n">
        <v>0</v>
      </c>
      <c r="AE438" t="inlineStr"/>
      <c r="AF438" t="inlineStr"/>
      <c r="AG438" t="inlineStr"/>
      <c r="AH438" t="inlineStr"/>
      <c r="AI438" t="inlineStr"/>
      <c r="AJ438" t="inlineStr"/>
      <c r="AK438" t="inlineStr"/>
      <c r="AL438" t="inlineStr"/>
      <c r="AM438" t="inlineStr"/>
    </row>
    <row r="439">
      <c r="A439" t="inlineStr">
        <is>
          <t>099187K</t>
        </is>
      </c>
      <c r="B439" t="inlineStr">
        <is>
          <t>Master of Science Innovation in Information Technology</t>
        </is>
      </c>
      <c r="C439" t="inlineStr">
        <is>
          <t>Masters Degree (Coursework)</t>
        </is>
      </c>
      <c r="D439" t="inlineStr">
        <is>
          <t>Postgraduate coursework</t>
        </is>
      </c>
      <c r="E439" t="inlineStr">
        <is>
          <t>Page address no longer works</t>
        </is>
      </c>
      <c r="F439" t="inlineStr"/>
      <c r="G439" t="inlineStr">
        <is>
          <t>https://coursehandbook.mq.edu.au/2026/courses/c000115</t>
        </is>
      </c>
      <c r="H439" t="inlineStr">
        <is>
          <t>Address no longer works</t>
        </is>
      </c>
      <c r="I439" t="inlineStr"/>
      <c r="J439" t="inlineStr"/>
      <c r="K439" t="inlineStr">
        <is>
          <t>Not sent to re-link</t>
        </is>
      </c>
      <c r="L439" t="inlineStr">
        <is>
          <t>Page found, being read</t>
        </is>
      </c>
      <c r="M439" t="inlineStr">
        <is>
          <t>Page found, being read</t>
        </is>
      </c>
      <c r="N439" t="inlineStr"/>
      <c r="O439" t="n">
        <v>0</v>
      </c>
      <c r="P439" t="inlineStr"/>
      <c r="Q439" t="inlineStr">
        <is>
          <t>Filled</t>
        </is>
      </c>
      <c r="R439" t="n">
        <v>6.5</v>
      </c>
      <c r="S439" t="inlineStr">
        <is>
          <t>Central English policy</t>
        </is>
      </c>
      <c r="T439" t="inlineStr">
        <is>
          <t>Central rule applies (value agrees)</t>
        </is>
      </c>
      <c r="U439" t="inlineStr"/>
      <c r="V439" t="inlineStr">
        <is>
          <t>Page found, being read</t>
        </is>
      </c>
      <c r="W439" t="inlineStr"/>
      <c r="X439" t="inlineStr"/>
      <c r="Y439" t="n">
        <v>0</v>
      </c>
      <c r="Z439" t="inlineStr">
        <is>
          <t>No</t>
        </is>
      </c>
      <c r="AA439" t="inlineStr">
        <is>
          <t>Not stated on course page</t>
        </is>
      </c>
      <c r="AB439" t="inlineStr"/>
      <c r="AC439" t="inlineStr">
        <is>
          <t>Skipped: no allowed source had a value</t>
        </is>
      </c>
      <c r="AD439" t="n">
        <v>0</v>
      </c>
      <c r="AE439" t="inlineStr"/>
      <c r="AF439" t="inlineStr"/>
      <c r="AG439" t="inlineStr"/>
      <c r="AH439" t="inlineStr"/>
      <c r="AI439" t="inlineStr"/>
      <c r="AJ439" t="inlineStr"/>
      <c r="AK439" t="inlineStr"/>
      <c r="AL439" t="inlineStr"/>
      <c r="AM439" t="inlineStr"/>
    </row>
    <row r="440">
      <c r="A440" t="inlineStr">
        <is>
          <t>099188J</t>
        </is>
      </c>
      <c r="B440" t="inlineStr">
        <is>
          <t>Master of Science Innovation in Statistics</t>
        </is>
      </c>
      <c r="C440" t="inlineStr">
        <is>
          <t>Masters Degree (Coursework)</t>
        </is>
      </c>
      <c r="D440" t="inlineStr">
        <is>
          <t>Postgraduate coursework</t>
        </is>
      </c>
      <c r="E440" t="inlineStr">
        <is>
          <t>Page address no longer works</t>
        </is>
      </c>
      <c r="F440" t="inlineStr"/>
      <c r="G440" t="inlineStr">
        <is>
          <t>https://coursehandbook.mq.edu.au/2026/courses/c000116</t>
        </is>
      </c>
      <c r="H440" t="inlineStr">
        <is>
          <t>Address no longer works</t>
        </is>
      </c>
      <c r="I440" t="inlineStr"/>
      <c r="J440" t="inlineStr"/>
      <c r="K440" t="inlineStr">
        <is>
          <t>Not sent to re-link</t>
        </is>
      </c>
      <c r="L440" t="inlineStr">
        <is>
          <t>Page found, being read</t>
        </is>
      </c>
      <c r="M440" t="inlineStr">
        <is>
          <t>Page found, being read</t>
        </is>
      </c>
      <c r="N440" t="inlineStr"/>
      <c r="O440" t="n">
        <v>0</v>
      </c>
      <c r="P440" t="inlineStr"/>
      <c r="Q440" t="inlineStr">
        <is>
          <t>Filled</t>
        </is>
      </c>
      <c r="R440" t="n">
        <v>6.5</v>
      </c>
      <c r="S440" t="inlineStr">
        <is>
          <t>Central English policy</t>
        </is>
      </c>
      <c r="T440" t="inlineStr">
        <is>
          <t>Central rule applies (value agrees)</t>
        </is>
      </c>
      <c r="U440" t="inlineStr"/>
      <c r="V440" t="inlineStr">
        <is>
          <t>Page found, being read</t>
        </is>
      </c>
      <c r="W440" t="inlineStr"/>
      <c r="X440" t="inlineStr"/>
      <c r="Y440" t="n">
        <v>0</v>
      </c>
      <c r="Z440" t="inlineStr">
        <is>
          <t>No</t>
        </is>
      </c>
      <c r="AA440" t="inlineStr">
        <is>
          <t>Not stated on course page</t>
        </is>
      </c>
      <c r="AB440" t="inlineStr"/>
      <c r="AC440" t="inlineStr">
        <is>
          <t>Skipped: no allowed source had a value</t>
        </is>
      </c>
      <c r="AD440" t="n">
        <v>0</v>
      </c>
      <c r="AE440" t="inlineStr"/>
      <c r="AF440" t="inlineStr"/>
      <c r="AG440" t="inlineStr"/>
      <c r="AH440" t="inlineStr"/>
      <c r="AI440" t="inlineStr"/>
      <c r="AJ440" t="inlineStr"/>
      <c r="AK440" t="inlineStr"/>
      <c r="AL440" t="inlineStr"/>
      <c r="AM440" t="inlineStr"/>
    </row>
    <row r="441">
      <c r="A441" t="inlineStr">
        <is>
          <t>095120F</t>
        </is>
      </c>
      <c r="B441" t="inlineStr">
        <is>
          <t>Master of Security and Strategic Studies</t>
        </is>
      </c>
      <c r="C441" t="inlineStr">
        <is>
          <t>Masters Degree (Coursework)</t>
        </is>
      </c>
      <c r="D441" t="inlineStr">
        <is>
          <t>Postgraduate coursework</t>
        </is>
      </c>
      <c r="E441" t="inlineStr">
        <is>
          <t>Page address no longer works</t>
        </is>
      </c>
      <c r="F441" t="inlineStr"/>
      <c r="G441" t="inlineStr">
        <is>
          <t>https://coursehandbook.mq.edu.au/2026/courses/c000207</t>
        </is>
      </c>
      <c r="H441" t="inlineStr">
        <is>
          <t>Address no longer works</t>
        </is>
      </c>
      <c r="I441" t="inlineStr"/>
      <c r="J441" t="inlineStr"/>
      <c r="K441" t="inlineStr">
        <is>
          <t>Not sent to re-link</t>
        </is>
      </c>
      <c r="L441" t="inlineStr">
        <is>
          <t>Page found, being read</t>
        </is>
      </c>
      <c r="M441" t="inlineStr">
        <is>
          <t>Page found, being read</t>
        </is>
      </c>
      <c r="N441" t="inlineStr"/>
      <c r="O441" t="n">
        <v>0</v>
      </c>
      <c r="P441" t="inlineStr"/>
      <c r="Q441" t="inlineStr">
        <is>
          <t>Filled</t>
        </is>
      </c>
      <c r="R441" t="n">
        <v>6.5</v>
      </c>
      <c r="S441" t="inlineStr">
        <is>
          <t>Central English policy</t>
        </is>
      </c>
      <c r="T441" t="inlineStr">
        <is>
          <t>Central rule applies (value agrees)</t>
        </is>
      </c>
      <c r="U441" t="inlineStr"/>
      <c r="V441" t="inlineStr">
        <is>
          <t>Page found, being read</t>
        </is>
      </c>
      <c r="W441" t="inlineStr"/>
      <c r="X441" t="inlineStr"/>
      <c r="Y441" t="n">
        <v>0</v>
      </c>
      <c r="Z441" t="inlineStr">
        <is>
          <t>No</t>
        </is>
      </c>
      <c r="AA441" t="inlineStr">
        <is>
          <t>Not stated on course page</t>
        </is>
      </c>
      <c r="AB441" t="inlineStr"/>
      <c r="AC441" t="inlineStr">
        <is>
          <t>Skipped: no allowed source had a value</t>
        </is>
      </c>
      <c r="AD441" t="n">
        <v>0</v>
      </c>
      <c r="AE441" t="inlineStr"/>
      <c r="AF441" t="inlineStr"/>
      <c r="AG441" t="inlineStr"/>
      <c r="AH441" t="inlineStr"/>
      <c r="AI441" t="inlineStr"/>
      <c r="AJ441" t="inlineStr"/>
      <c r="AK441" t="inlineStr"/>
      <c r="AL441" t="inlineStr"/>
      <c r="AM441" t="inlineStr"/>
    </row>
    <row r="442">
      <c r="A442" t="inlineStr">
        <is>
          <t>083808F</t>
        </is>
      </c>
      <c r="B442" t="inlineStr">
        <is>
          <t>Master of Social Entrepreneurship</t>
        </is>
      </c>
      <c r="C442" t="inlineStr">
        <is>
          <t>Masters Degree (Coursework)</t>
        </is>
      </c>
      <c r="D442" t="inlineStr">
        <is>
          <t>Postgraduate coursework</t>
        </is>
      </c>
      <c r="E442" t="inlineStr">
        <is>
          <t>Advertised: official page in place</t>
        </is>
      </c>
      <c r="F442" t="inlineStr">
        <is>
          <t>https://handbook.mq.edu.au/2019/DegreesDiplomas/PGDegree/Master+of+Social+Entrepreneurship</t>
        </is>
      </c>
      <c r="G442" t="inlineStr">
        <is>
          <t>https://handbook.mq.edu.au/2019/DegreesDiplomas/PGDegree/Master+of+Social+Entrepreneurship</t>
        </is>
      </c>
      <c r="H442" t="inlineStr">
        <is>
          <t>Read</t>
        </is>
      </c>
      <c r="I442" t="inlineStr">
        <is>
          <t>Exact title match</t>
        </is>
      </c>
      <c r="J442" t="inlineStr"/>
      <c r="K442" t="inlineStr">
        <is>
          <t>Not sent to re-link</t>
        </is>
      </c>
      <c r="L442" t="inlineStr">
        <is>
          <t>Filled</t>
        </is>
      </c>
      <c r="M442" t="inlineStr">
        <is>
          <t>Not stated on course page</t>
        </is>
      </c>
      <c r="N442" t="inlineStr"/>
      <c r="O442" t="n">
        <v>0</v>
      </c>
      <c r="P442" t="inlineStr"/>
      <c r="Q442" t="inlineStr">
        <is>
          <t>Filled</t>
        </is>
      </c>
      <c r="R442" t="n">
        <v>6.5</v>
      </c>
      <c r="S442" t="inlineStr">
        <is>
          <t>Other</t>
        </is>
      </c>
      <c r="T442" t="inlineStr">
        <is>
          <t>Central rule applies (value agrees)</t>
        </is>
      </c>
      <c r="U442" t="inlineStr"/>
      <c r="V442" t="inlineStr">
        <is>
          <t>Filled</t>
        </is>
      </c>
      <c r="W442" t="inlineStr">
        <is>
          <t>January, March</t>
        </is>
      </c>
      <c r="X442" t="inlineStr">
        <is>
          <t>Other</t>
        </is>
      </c>
      <c r="Y442" t="n">
        <v>0</v>
      </c>
      <c r="Z442" t="inlineStr">
        <is>
          <t>No</t>
        </is>
      </c>
      <c r="AA442" t="inlineStr">
        <is>
          <t>Not stated on course page</t>
        </is>
      </c>
      <c r="AB442" t="inlineStr"/>
      <c r="AC442" t="inlineStr">
        <is>
          <t>Skipped: the page does not state it</t>
        </is>
      </c>
      <c r="AD442" t="n">
        <v>0</v>
      </c>
      <c r="AE442" t="inlineStr"/>
      <c r="AF442" t="inlineStr"/>
      <c r="AG442" t="inlineStr"/>
      <c r="AH442" t="inlineStr"/>
      <c r="AI442" t="inlineStr"/>
      <c r="AJ442" t="inlineStr"/>
      <c r="AK442" t="inlineStr"/>
      <c r="AL442" t="inlineStr"/>
      <c r="AM442" t="inlineStr"/>
    </row>
    <row r="443">
      <c r="A443" t="inlineStr">
        <is>
          <t>037303B</t>
        </is>
      </c>
      <c r="B443" t="inlineStr">
        <is>
          <t>Master of Speech and Language Pathology</t>
        </is>
      </c>
      <c r="C443" t="inlineStr">
        <is>
          <t>Masters Degree (Coursework)</t>
        </is>
      </c>
      <c r="D443" t="inlineStr">
        <is>
          <t>Postgraduate coursework</t>
        </is>
      </c>
      <c r="E443" t="inlineStr">
        <is>
          <t>Advertised: official page in place</t>
        </is>
      </c>
      <c r="F443" t="inlineStr">
        <is>
          <t>https://coursehandbook.mq.edu.au/2026/courses/c000026</t>
        </is>
      </c>
      <c r="G443" t="inlineStr">
        <is>
          <t>https://coursehandbook.mq.edu.au/2026/courses/c000026</t>
        </is>
      </c>
      <c r="H443" t="inlineStr">
        <is>
          <t>Read</t>
        </is>
      </c>
      <c r="I443" t="inlineStr">
        <is>
          <t>Exact title match</t>
        </is>
      </c>
      <c r="J443" t="inlineStr"/>
      <c r="K443" t="inlineStr">
        <is>
          <t>Not sent to re-link</t>
        </is>
      </c>
      <c r="L443" t="inlineStr">
        <is>
          <t>Filled</t>
        </is>
      </c>
      <c r="M443" t="inlineStr">
        <is>
          <t>Not stated on course page</t>
        </is>
      </c>
      <c r="N443" t="inlineStr"/>
      <c r="O443" t="n">
        <v>0</v>
      </c>
      <c r="P443" t="inlineStr"/>
      <c r="Q443" t="inlineStr">
        <is>
          <t>Filled</t>
        </is>
      </c>
      <c r="R443" t="n">
        <v>7</v>
      </c>
      <c r="S443" t="inlineStr">
        <is>
          <t>University adapter</t>
        </is>
      </c>
      <c r="T443" t="inlineStr">
        <is>
          <t>Central rule applies (course value differs)</t>
        </is>
      </c>
      <c r="U443" t="inlineStr">
        <is>
          <t>Yes: course has IELTS 7.00, central rule says 6.5</t>
        </is>
      </c>
      <c r="V443" t="inlineStr">
        <is>
          <t>Not stated on course page</t>
        </is>
      </c>
      <c r="W443" t="inlineStr"/>
      <c r="X443" t="inlineStr"/>
      <c r="Y443" t="n">
        <v>0</v>
      </c>
      <c r="Z443" t="inlineStr">
        <is>
          <t>No</t>
        </is>
      </c>
      <c r="AA443" t="inlineStr">
        <is>
          <t>Not stated on course page</t>
        </is>
      </c>
      <c r="AB443" t="inlineStr"/>
      <c r="AC443" t="inlineStr">
        <is>
          <t>Skipped: the page does not state it</t>
        </is>
      </c>
      <c r="AD443" t="n">
        <v>0</v>
      </c>
      <c r="AE443" t="inlineStr"/>
      <c r="AF443" t="inlineStr"/>
      <c r="AG443" t="inlineStr"/>
      <c r="AH443" t="inlineStr"/>
      <c r="AI443" t="inlineStr"/>
      <c r="AJ443" t="inlineStr"/>
      <c r="AK443" t="inlineStr"/>
      <c r="AL443" t="inlineStr"/>
      <c r="AM443" t="inlineStr"/>
    </row>
    <row r="444">
      <c r="A444" t="inlineStr">
        <is>
          <t>118446A</t>
        </is>
      </c>
      <c r="B444" t="inlineStr">
        <is>
          <t>Master of Strategy and Security</t>
        </is>
      </c>
      <c r="C444" t="inlineStr">
        <is>
          <t>Masters Degree (Coursework)</t>
        </is>
      </c>
      <c r="D444" t="inlineStr">
        <is>
          <t>Postgraduate coursework</t>
        </is>
      </c>
      <c r="E444" t="inlineStr">
        <is>
          <t>Advertised: official page in place</t>
        </is>
      </c>
      <c r="F444" t="inlineStr">
        <is>
          <t>https://coursehandbook.mq.edu.au/2026/courses/C000456</t>
        </is>
      </c>
      <c r="G444" t="inlineStr">
        <is>
          <t>https://coursehandbook.mq.edu.au/2026/courses/C000456</t>
        </is>
      </c>
      <c r="H444" t="inlineStr">
        <is>
          <t>Read</t>
        </is>
      </c>
      <c r="I444" t="inlineStr">
        <is>
          <t>Exact title match</t>
        </is>
      </c>
      <c r="J444" t="inlineStr"/>
      <c r="K444" t="inlineStr">
        <is>
          <t>Not sent to re-link</t>
        </is>
      </c>
      <c r="L444" t="inlineStr">
        <is>
          <t>Filled</t>
        </is>
      </c>
      <c r="M444" t="inlineStr">
        <is>
          <t>Not stated on course page</t>
        </is>
      </c>
      <c r="N444" t="inlineStr"/>
      <c r="O444" t="n">
        <v>0</v>
      </c>
      <c r="P444" t="inlineStr"/>
      <c r="Q444" t="inlineStr">
        <is>
          <t>Filled</t>
        </is>
      </c>
      <c r="R444" t="n">
        <v>6.5</v>
      </c>
      <c r="S444" t="inlineStr">
        <is>
          <t>University adapter</t>
        </is>
      </c>
      <c r="T444" t="inlineStr">
        <is>
          <t>Central rule applies (value agrees)</t>
        </is>
      </c>
      <c r="U444" t="inlineStr"/>
      <c r="V444" t="inlineStr">
        <is>
          <t>Not stated on course page</t>
        </is>
      </c>
      <c r="W444" t="inlineStr"/>
      <c r="X444" t="inlineStr"/>
      <c r="Y444" t="n">
        <v>0</v>
      </c>
      <c r="Z444" t="inlineStr">
        <is>
          <t>No</t>
        </is>
      </c>
      <c r="AA444" t="inlineStr">
        <is>
          <t>Not stated on course page</t>
        </is>
      </c>
      <c r="AB444" t="inlineStr"/>
      <c r="AC444" t="inlineStr">
        <is>
          <t>Skipped: the page does not state it</t>
        </is>
      </c>
      <c r="AD444" t="n">
        <v>0</v>
      </c>
      <c r="AE444" t="inlineStr"/>
      <c r="AF444" t="inlineStr"/>
      <c r="AG444" t="inlineStr"/>
      <c r="AH444" t="inlineStr"/>
      <c r="AI444" t="inlineStr"/>
      <c r="AJ444" t="inlineStr"/>
      <c r="AK444" t="inlineStr"/>
      <c r="AL444" t="inlineStr"/>
      <c r="AM444" t="inlineStr"/>
    </row>
    <row r="445">
      <c r="A445" t="inlineStr">
        <is>
          <t>060661K</t>
        </is>
      </c>
      <c r="B445" t="inlineStr">
        <is>
          <t>Master of Surgery</t>
        </is>
      </c>
      <c r="C445" t="inlineStr">
        <is>
          <t>Masters Degree (Coursework)</t>
        </is>
      </c>
      <c r="D445" t="inlineStr">
        <is>
          <t>Postgraduate coursework</t>
        </is>
      </c>
      <c r="E445" t="inlineStr">
        <is>
          <t>Advertised: official page in place</t>
        </is>
      </c>
      <c r="F445" t="inlineStr">
        <is>
          <t>https://handbook.mq.edu.au/2017/DegreesDiplomas/PGDegree/Master+of+Surgery</t>
        </is>
      </c>
      <c r="G445" t="inlineStr">
        <is>
          <t>https://handbook.mq.edu.au/2017/DegreesDiplomas/PGDegree/Master+of+Surgery</t>
        </is>
      </c>
      <c r="H445" t="inlineStr">
        <is>
          <t>Read</t>
        </is>
      </c>
      <c r="I445" t="inlineStr">
        <is>
          <t>CRICOS code on page</t>
        </is>
      </c>
      <c r="J445" t="inlineStr"/>
      <c r="K445" t="inlineStr">
        <is>
          <t>Not sent to re-link</t>
        </is>
      </c>
      <c r="L445" t="inlineStr">
        <is>
          <t>Filled</t>
        </is>
      </c>
      <c r="M445" t="inlineStr">
        <is>
          <t>Not stated on course page</t>
        </is>
      </c>
      <c r="N445" t="inlineStr"/>
      <c r="O445" t="n">
        <v>0</v>
      </c>
      <c r="P445" t="inlineStr"/>
      <c r="Q445" t="inlineStr">
        <is>
          <t>Filled</t>
        </is>
      </c>
      <c r="R445" t="n">
        <v>7</v>
      </c>
      <c r="S445" t="inlineStr">
        <is>
          <t>Other</t>
        </is>
      </c>
      <c r="T445" t="inlineStr">
        <is>
          <t>Central rule applies (course value differs)</t>
        </is>
      </c>
      <c r="U445" t="inlineStr">
        <is>
          <t>Yes: course has IELTS 7.00, central rule says 6.5</t>
        </is>
      </c>
      <c r="V445" t="inlineStr">
        <is>
          <t>Waiting for Layer 4 review</t>
        </is>
      </c>
      <c r="W445" t="inlineStr"/>
      <c r="X445" t="inlineStr"/>
      <c r="Y445" t="n">
        <v>0</v>
      </c>
      <c r="Z445" t="inlineStr">
        <is>
          <t>No</t>
        </is>
      </c>
      <c r="AA445" t="inlineStr">
        <is>
          <t>Filled</t>
        </is>
      </c>
      <c r="AB445" t="inlineStr">
        <is>
          <t>on campus and online</t>
        </is>
      </c>
      <c r="AC445" t="inlineStr">
        <is>
          <t>Filled</t>
        </is>
      </c>
      <c r="AD445" t="n">
        <v>0</v>
      </c>
      <c r="AE445" t="inlineStr"/>
      <c r="AF445" t="inlineStr">
        <is>
          <t>Yes</t>
        </is>
      </c>
      <c r="AG445" t="inlineStr"/>
      <c r="AH445" t="inlineStr"/>
      <c r="AI445" t="inlineStr"/>
      <c r="AJ445" t="inlineStr"/>
      <c r="AK445" t="inlineStr"/>
      <c r="AL445" t="inlineStr"/>
      <c r="AM445" t="inlineStr"/>
    </row>
    <row r="446">
      <c r="A446" t="inlineStr">
        <is>
          <t>083810A</t>
        </is>
      </c>
      <c r="B446" t="inlineStr">
        <is>
          <t>Master of Sustainable Development</t>
        </is>
      </c>
      <c r="C446" t="inlineStr">
        <is>
          <t>Masters Degree (Coursework)</t>
        </is>
      </c>
      <c r="D446" t="inlineStr">
        <is>
          <t>Postgraduate coursework</t>
        </is>
      </c>
      <c r="E446" t="inlineStr">
        <is>
          <t>Advertised: official page in place</t>
        </is>
      </c>
      <c r="F446" t="inlineStr">
        <is>
          <t>https://coursehandbook.mq.edu.au/2026/courses/C000078</t>
        </is>
      </c>
      <c r="G446" t="inlineStr">
        <is>
          <t>https://coursehandbook.mq.edu.au/2026/courses/C000078</t>
        </is>
      </c>
      <c r="H446" t="inlineStr">
        <is>
          <t>Read</t>
        </is>
      </c>
      <c r="I446" t="inlineStr">
        <is>
          <t>Exact title match</t>
        </is>
      </c>
      <c r="J446" t="inlineStr"/>
      <c r="K446" t="inlineStr">
        <is>
          <t>Not sent to re-link</t>
        </is>
      </c>
      <c r="L446" t="inlineStr">
        <is>
          <t>Filled</t>
        </is>
      </c>
      <c r="M446" t="inlineStr">
        <is>
          <t>Not stated on course page</t>
        </is>
      </c>
      <c r="N446" t="inlineStr"/>
      <c r="O446" t="n">
        <v>0</v>
      </c>
      <c r="P446" t="inlineStr"/>
      <c r="Q446" t="inlineStr">
        <is>
          <t>Filled</t>
        </is>
      </c>
      <c r="R446" t="n">
        <v>6.5</v>
      </c>
      <c r="S446" t="inlineStr">
        <is>
          <t>University adapter</t>
        </is>
      </c>
      <c r="T446" t="inlineStr">
        <is>
          <t>Central rule applies (value agrees)</t>
        </is>
      </c>
      <c r="U446" t="inlineStr"/>
      <c r="V446" t="inlineStr">
        <is>
          <t>Not stated on course page</t>
        </is>
      </c>
      <c r="W446" t="inlineStr"/>
      <c r="X446" t="inlineStr"/>
      <c r="Y446" t="n">
        <v>0</v>
      </c>
      <c r="Z446" t="inlineStr">
        <is>
          <t>No</t>
        </is>
      </c>
      <c r="AA446" t="inlineStr">
        <is>
          <t>Not stated on course page</t>
        </is>
      </c>
      <c r="AB446" t="inlineStr"/>
      <c r="AC446" t="inlineStr">
        <is>
          <t>Skipped: the page does not state it</t>
        </is>
      </c>
      <c r="AD446" t="n">
        <v>0</v>
      </c>
      <c r="AE446" t="inlineStr"/>
      <c r="AF446" t="inlineStr"/>
      <c r="AG446" t="inlineStr"/>
      <c r="AH446" t="inlineStr"/>
      <c r="AI446" t="inlineStr"/>
      <c r="AJ446" t="inlineStr"/>
      <c r="AK446" t="inlineStr"/>
      <c r="AL446" t="inlineStr"/>
      <c r="AM446" t="inlineStr"/>
    </row>
    <row r="447">
      <c r="A447" t="inlineStr">
        <is>
          <t>058390B</t>
        </is>
      </c>
      <c r="B447" t="inlineStr">
        <is>
          <t>Master of Teaching (Birth to Five Years)</t>
        </is>
      </c>
      <c r="C447" t="inlineStr">
        <is>
          <t>Masters Degree (Coursework)</t>
        </is>
      </c>
      <c r="D447" t="inlineStr">
        <is>
          <t>Postgraduate coursework</t>
        </is>
      </c>
      <c r="E447" t="inlineStr">
        <is>
          <t>Advertised: official page in place</t>
        </is>
      </c>
      <c r="F447" t="inlineStr">
        <is>
          <t>https://coursehandbook.mq.edu.au/2026/courses/C000143</t>
        </is>
      </c>
      <c r="G447" t="inlineStr">
        <is>
          <t>https://coursehandbook.mq.edu.au/2026/courses/C000143</t>
        </is>
      </c>
      <c r="H447" t="inlineStr">
        <is>
          <t>Read</t>
        </is>
      </c>
      <c r="I447" t="inlineStr">
        <is>
          <t>Exact title match</t>
        </is>
      </c>
      <c r="J447" t="inlineStr"/>
      <c r="K447" t="inlineStr">
        <is>
          <t>Not sent to re-link</t>
        </is>
      </c>
      <c r="L447" t="inlineStr">
        <is>
          <t>Filled</t>
        </is>
      </c>
      <c r="M447" t="inlineStr">
        <is>
          <t>Not stated on course page</t>
        </is>
      </c>
      <c r="N447" t="inlineStr"/>
      <c r="O447" t="n">
        <v>0</v>
      </c>
      <c r="P447" t="inlineStr"/>
      <c r="Q447" t="inlineStr">
        <is>
          <t>Filled</t>
        </is>
      </c>
      <c r="R447" t="n">
        <v>7.5</v>
      </c>
      <c r="S447" t="inlineStr">
        <is>
          <t>University adapter</t>
        </is>
      </c>
      <c r="T447" t="inlineStr">
        <is>
          <t>Central rule applies (course value differs)</t>
        </is>
      </c>
      <c r="U447" t="inlineStr">
        <is>
          <t>Yes: course has IELTS 7.50, central rule says 6.5</t>
        </is>
      </c>
      <c r="V447" t="inlineStr">
        <is>
          <t>Not stated on course page</t>
        </is>
      </c>
      <c r="W447" t="inlineStr"/>
      <c r="X447" t="inlineStr"/>
      <c r="Y447" t="n">
        <v>0</v>
      </c>
      <c r="Z447" t="inlineStr">
        <is>
          <t>No</t>
        </is>
      </c>
      <c r="AA447" t="inlineStr">
        <is>
          <t>Not stated on course page</t>
        </is>
      </c>
      <c r="AB447" t="inlineStr"/>
      <c r="AC447" t="inlineStr">
        <is>
          <t>Skipped: the page does not state it</t>
        </is>
      </c>
      <c r="AD447" t="n">
        <v>0</v>
      </c>
      <c r="AE447" t="inlineStr"/>
      <c r="AF447" t="inlineStr"/>
      <c r="AG447" t="inlineStr"/>
      <c r="AH447" t="inlineStr"/>
      <c r="AI447" t="inlineStr"/>
      <c r="AJ447" t="inlineStr"/>
      <c r="AK447" t="inlineStr"/>
      <c r="AL447" t="inlineStr"/>
      <c r="AM447" t="inlineStr"/>
    </row>
    <row r="448">
      <c r="A448" t="inlineStr">
        <is>
          <t>099189G</t>
        </is>
      </c>
      <c r="B448" t="inlineStr">
        <is>
          <t>Master of Teaching (Primary)</t>
        </is>
      </c>
      <c r="C448" t="inlineStr">
        <is>
          <t>Masters Degree (Coursework)</t>
        </is>
      </c>
      <c r="D448" t="inlineStr">
        <is>
          <t>Postgraduate coursework</t>
        </is>
      </c>
      <c r="E448" t="inlineStr">
        <is>
          <t>Advertised: official page in place</t>
        </is>
      </c>
      <c r="F448" t="inlineStr">
        <is>
          <t>https://coursehandbook.mq.edu.au/2026/courses/C000190</t>
        </is>
      </c>
      <c r="G448" t="inlineStr">
        <is>
          <t>https://coursehandbook.mq.edu.au/2026/courses/C000190</t>
        </is>
      </c>
      <c r="H448" t="inlineStr">
        <is>
          <t>Read</t>
        </is>
      </c>
      <c r="I448" t="inlineStr">
        <is>
          <t>Exact title match</t>
        </is>
      </c>
      <c r="J448" t="inlineStr"/>
      <c r="K448" t="inlineStr">
        <is>
          <t>Not sent to re-link</t>
        </is>
      </c>
      <c r="L448" t="inlineStr">
        <is>
          <t>Filled</t>
        </is>
      </c>
      <c r="M448" t="inlineStr">
        <is>
          <t>Not stated on course page</t>
        </is>
      </c>
      <c r="N448" t="inlineStr"/>
      <c r="O448" t="n">
        <v>0</v>
      </c>
      <c r="P448" t="inlineStr"/>
      <c r="Q448" t="inlineStr">
        <is>
          <t>Filled</t>
        </is>
      </c>
      <c r="R448" t="n">
        <v>7.5</v>
      </c>
      <c r="S448" t="inlineStr">
        <is>
          <t>University adapter</t>
        </is>
      </c>
      <c r="T448" t="inlineStr">
        <is>
          <t>Central rule applies (course value differs)</t>
        </is>
      </c>
      <c r="U448" t="inlineStr">
        <is>
          <t>Yes: course has IELTS 7.50, central rule says 6.5</t>
        </is>
      </c>
      <c r="V448" t="inlineStr">
        <is>
          <t>Not stated on course page</t>
        </is>
      </c>
      <c r="W448" t="inlineStr"/>
      <c r="X448" t="inlineStr"/>
      <c r="Y448" t="n">
        <v>0</v>
      </c>
      <c r="Z448" t="inlineStr">
        <is>
          <t>No</t>
        </is>
      </c>
      <c r="AA448" t="inlineStr">
        <is>
          <t>Not stated on course page</t>
        </is>
      </c>
      <c r="AB448" t="inlineStr"/>
      <c r="AC448" t="inlineStr">
        <is>
          <t>Skipped: the page does not state it</t>
        </is>
      </c>
      <c r="AD448" t="n">
        <v>0</v>
      </c>
      <c r="AE448" t="inlineStr"/>
      <c r="AF448" t="inlineStr"/>
      <c r="AG448" t="inlineStr"/>
      <c r="AH448" t="inlineStr"/>
      <c r="AI448" t="inlineStr"/>
      <c r="AJ448" t="inlineStr"/>
      <c r="AK448" t="inlineStr"/>
      <c r="AL448" t="inlineStr"/>
      <c r="AM448" t="inlineStr"/>
    </row>
    <row r="449">
      <c r="A449" t="inlineStr">
        <is>
          <t>099190D</t>
        </is>
      </c>
      <c r="B449" t="inlineStr">
        <is>
          <t>Master of Teaching (Secondary)</t>
        </is>
      </c>
      <c r="C449" t="inlineStr">
        <is>
          <t>Masters Degree (Coursework)</t>
        </is>
      </c>
      <c r="D449" t="inlineStr">
        <is>
          <t>Postgraduate coursework</t>
        </is>
      </c>
      <c r="E449" t="inlineStr">
        <is>
          <t>Advertised: official page in place</t>
        </is>
      </c>
      <c r="F449" t="inlineStr">
        <is>
          <t>https://coursehandbook.mq.edu.au/2026/courses/C000191</t>
        </is>
      </c>
      <c r="G449" t="inlineStr">
        <is>
          <t>https://coursehandbook.mq.edu.au/2026/courses/C000191</t>
        </is>
      </c>
      <c r="H449" t="inlineStr">
        <is>
          <t>Read</t>
        </is>
      </c>
      <c r="I449" t="inlineStr">
        <is>
          <t>Exact title match</t>
        </is>
      </c>
      <c r="J449" t="inlineStr"/>
      <c r="K449" t="inlineStr">
        <is>
          <t>Not sent to re-link</t>
        </is>
      </c>
      <c r="L449" t="inlineStr">
        <is>
          <t>Filled</t>
        </is>
      </c>
      <c r="M449" t="inlineStr">
        <is>
          <t>Not stated on course page</t>
        </is>
      </c>
      <c r="N449" t="inlineStr"/>
      <c r="O449" t="n">
        <v>0</v>
      </c>
      <c r="P449" t="inlineStr"/>
      <c r="Q449" t="inlineStr">
        <is>
          <t>Filled</t>
        </is>
      </c>
      <c r="R449" t="n">
        <v>7.5</v>
      </c>
      <c r="S449" t="inlineStr">
        <is>
          <t>University adapter</t>
        </is>
      </c>
      <c r="T449" t="inlineStr">
        <is>
          <t>Central rule applies (course value differs)</t>
        </is>
      </c>
      <c r="U449" t="inlineStr">
        <is>
          <t>Yes: course has IELTS 7.50, central rule says 6.5</t>
        </is>
      </c>
      <c r="V449" t="inlineStr">
        <is>
          <t>Not stated on course page</t>
        </is>
      </c>
      <c r="W449" t="inlineStr"/>
      <c r="X449" t="inlineStr"/>
      <c r="Y449" t="n">
        <v>0</v>
      </c>
      <c r="Z449" t="inlineStr">
        <is>
          <t>No</t>
        </is>
      </c>
      <c r="AA449" t="inlineStr">
        <is>
          <t>Not stated on course page</t>
        </is>
      </c>
      <c r="AB449" t="inlineStr"/>
      <c r="AC449" t="inlineStr">
        <is>
          <t>Skipped: the page does not state it</t>
        </is>
      </c>
      <c r="AD449" t="n">
        <v>0</v>
      </c>
      <c r="AE449" t="inlineStr"/>
      <c r="AF449" t="inlineStr"/>
      <c r="AG449" t="inlineStr"/>
      <c r="AH449" t="inlineStr"/>
      <c r="AI449" t="inlineStr"/>
      <c r="AJ449" t="inlineStr"/>
      <c r="AK449" t="inlineStr"/>
      <c r="AL449" t="inlineStr"/>
      <c r="AM449" t="inlineStr"/>
    </row>
    <row r="450">
      <c r="A450" t="inlineStr">
        <is>
          <t>083811M</t>
        </is>
      </c>
      <c r="B450" t="inlineStr">
        <is>
          <t>Master of Translation and Interpreting Studies</t>
        </is>
      </c>
      <c r="C450" t="inlineStr">
        <is>
          <t>Masters Degree (Coursework)</t>
        </is>
      </c>
      <c r="D450" t="inlineStr">
        <is>
          <t>Postgraduate coursework</t>
        </is>
      </c>
      <c r="E450" t="inlineStr">
        <is>
          <t>Advertised: official page in place</t>
        </is>
      </c>
      <c r="F450" t="inlineStr">
        <is>
          <t>https://coursehandbook.mq.edu.au/2026/courses/c000192</t>
        </is>
      </c>
      <c r="G450" t="inlineStr">
        <is>
          <t>https://coursehandbook.mq.edu.au/2026/courses/c000192</t>
        </is>
      </c>
      <c r="H450" t="inlineStr">
        <is>
          <t>Read</t>
        </is>
      </c>
      <c r="I450" t="inlineStr">
        <is>
          <t>Exact title match</t>
        </is>
      </c>
      <c r="J450" t="inlineStr"/>
      <c r="K450" t="inlineStr">
        <is>
          <t>Not sent to re-link</t>
        </is>
      </c>
      <c r="L450" t="inlineStr">
        <is>
          <t>Filled</t>
        </is>
      </c>
      <c r="M450" t="inlineStr">
        <is>
          <t>Not stated on course page</t>
        </is>
      </c>
      <c r="N450" t="inlineStr"/>
      <c r="O450" t="n">
        <v>0</v>
      </c>
      <c r="P450" t="inlineStr"/>
      <c r="Q450" t="inlineStr">
        <is>
          <t>Filled</t>
        </is>
      </c>
      <c r="R450" t="n">
        <v>6.5</v>
      </c>
      <c r="S450" t="inlineStr">
        <is>
          <t>University adapter</t>
        </is>
      </c>
      <c r="T450" t="inlineStr">
        <is>
          <t>Central rule applies (value agrees)</t>
        </is>
      </c>
      <c r="U450" t="inlineStr"/>
      <c r="V450" t="inlineStr">
        <is>
          <t>Not stated on course page</t>
        </is>
      </c>
      <c r="W450" t="inlineStr"/>
      <c r="X450" t="inlineStr"/>
      <c r="Y450" t="n">
        <v>0</v>
      </c>
      <c r="Z450" t="inlineStr">
        <is>
          <t>No</t>
        </is>
      </c>
      <c r="AA450" t="inlineStr">
        <is>
          <t>Not stated on course page</t>
        </is>
      </c>
      <c r="AB450" t="inlineStr"/>
      <c r="AC450" t="inlineStr">
        <is>
          <t>Skipped: the page does not state it</t>
        </is>
      </c>
      <c r="AD450" t="n">
        <v>0</v>
      </c>
      <c r="AE450" t="inlineStr"/>
      <c r="AF450" t="inlineStr"/>
      <c r="AG450" t="inlineStr"/>
      <c r="AH450" t="inlineStr"/>
      <c r="AI450" t="inlineStr"/>
      <c r="AJ450" t="inlineStr"/>
      <c r="AK450" t="inlineStr"/>
      <c r="AL450" t="inlineStr"/>
      <c r="AM450" t="inlineStr"/>
    </row>
    <row r="451">
      <c r="A451" t="inlineStr">
        <is>
          <t>099191C</t>
        </is>
      </c>
      <c r="B451" t="inlineStr">
        <is>
          <t>Master of Translation and Interpreting Studies (Advanced)</t>
        </is>
      </c>
      <c r="C451" t="inlineStr">
        <is>
          <t>Masters Degree (Coursework)</t>
        </is>
      </c>
      <c r="D451" t="inlineStr">
        <is>
          <t>Postgraduate coursework</t>
        </is>
      </c>
      <c r="E451" t="inlineStr">
        <is>
          <t>Advertised: official page in place</t>
        </is>
      </c>
      <c r="F451" t="inlineStr">
        <is>
          <t>https://coursehandbook.mq.edu.au/2026/courses/C000193</t>
        </is>
      </c>
      <c r="G451" t="inlineStr">
        <is>
          <t>https://coursehandbook.mq.edu.au/2026/courses/C000193</t>
        </is>
      </c>
      <c r="H451" t="inlineStr">
        <is>
          <t>Read</t>
        </is>
      </c>
      <c r="I451" t="inlineStr">
        <is>
          <t>Exact title match</t>
        </is>
      </c>
      <c r="J451" t="inlineStr"/>
      <c r="K451" t="inlineStr">
        <is>
          <t>Not sent to re-link</t>
        </is>
      </c>
      <c r="L451" t="inlineStr">
        <is>
          <t>Filled</t>
        </is>
      </c>
      <c r="M451" t="inlineStr">
        <is>
          <t>Not stated on course page</t>
        </is>
      </c>
      <c r="N451" t="inlineStr"/>
      <c r="O451" t="n">
        <v>0</v>
      </c>
      <c r="P451" t="inlineStr"/>
      <c r="Q451" t="inlineStr">
        <is>
          <t>Filled</t>
        </is>
      </c>
      <c r="R451" t="n">
        <v>6.5</v>
      </c>
      <c r="S451" t="inlineStr">
        <is>
          <t>University adapter</t>
        </is>
      </c>
      <c r="T451" t="inlineStr">
        <is>
          <t>Central rule applies (value agrees)</t>
        </is>
      </c>
      <c r="U451" t="inlineStr"/>
      <c r="V451" t="inlineStr">
        <is>
          <t>Not stated on course page</t>
        </is>
      </c>
      <c r="W451" t="inlineStr"/>
      <c r="X451" t="inlineStr"/>
      <c r="Y451" t="n">
        <v>0</v>
      </c>
      <c r="Z451" t="inlineStr">
        <is>
          <t>No</t>
        </is>
      </c>
      <c r="AA451" t="inlineStr">
        <is>
          <t>Not stated on course page</t>
        </is>
      </c>
      <c r="AB451" t="inlineStr"/>
      <c r="AC451" t="inlineStr">
        <is>
          <t>Skipped: the page does not state it</t>
        </is>
      </c>
      <c r="AD451" t="n">
        <v>0</v>
      </c>
      <c r="AE451" t="inlineStr"/>
      <c r="AF451" t="inlineStr"/>
      <c r="AG451" t="inlineStr"/>
      <c r="AH451" t="inlineStr"/>
      <c r="AI451" t="inlineStr"/>
      <c r="AJ451" t="inlineStr"/>
      <c r="AK451" t="inlineStr"/>
      <c r="AL451" t="inlineStr"/>
      <c r="AM451" t="inlineStr"/>
    </row>
    <row r="452">
      <c r="A452" t="inlineStr">
        <is>
          <t>117240A</t>
        </is>
      </c>
      <c r="B452" t="inlineStr">
        <is>
          <t>Masters Qualifying Program (Accelerated)</t>
        </is>
      </c>
      <c r="C452" t="inlineStr">
        <is>
          <t>Non AQF Award</t>
        </is>
      </c>
      <c r="D452" t="inlineStr">
        <is>
          <t>Non-award</t>
        </is>
      </c>
      <c r="E452" t="inlineStr">
        <is>
          <t>Advertised: official page in place</t>
        </is>
      </c>
      <c r="F452" t="inlineStr">
        <is>
          <t>https://coursehandbook.mq.edu.au/2026/courses/c000442</t>
        </is>
      </c>
      <c r="G452" t="inlineStr">
        <is>
          <t>https://coursehandbook.mq.edu.au/2026/courses/c000442</t>
        </is>
      </c>
      <c r="H452" t="inlineStr">
        <is>
          <t>Read</t>
        </is>
      </c>
      <c r="I452" t="inlineStr">
        <is>
          <t>Exact title match</t>
        </is>
      </c>
      <c r="J452" t="inlineStr"/>
      <c r="K452" t="inlineStr">
        <is>
          <t>Not sent to re-link</t>
        </is>
      </c>
      <c r="L452" t="inlineStr">
        <is>
          <t>Filled</t>
        </is>
      </c>
      <c r="M452" t="inlineStr">
        <is>
          <t>Not stated on course page</t>
        </is>
      </c>
      <c r="N452" t="inlineStr"/>
      <c r="O452" t="n">
        <v>0</v>
      </c>
      <c r="P452" t="inlineStr"/>
      <c r="Q452" t="inlineStr">
        <is>
          <t>Filled</t>
        </is>
      </c>
      <c r="R452" t="n">
        <v>6</v>
      </c>
      <c r="S452" t="inlineStr">
        <is>
          <t>University adapter</t>
        </is>
      </c>
      <c r="T452" t="inlineStr">
        <is>
          <t>Held: level not covered by the policy default</t>
        </is>
      </c>
      <c r="U452" t="inlineStr"/>
      <c r="V452" t="inlineStr">
        <is>
          <t>Not stated on course page</t>
        </is>
      </c>
      <c r="W452" t="inlineStr"/>
      <c r="X452" t="inlineStr"/>
      <c r="Y452" t="n">
        <v>0</v>
      </c>
      <c r="Z452" t="inlineStr">
        <is>
          <t>No</t>
        </is>
      </c>
      <c r="AA452" t="inlineStr">
        <is>
          <t>Not stated on course page</t>
        </is>
      </c>
      <c r="AB452" t="inlineStr"/>
      <c r="AC452" t="inlineStr">
        <is>
          <t>Skipped: the page does not state it</t>
        </is>
      </c>
      <c r="AD452" t="n">
        <v>0</v>
      </c>
      <c r="AE452" t="inlineStr"/>
      <c r="AF452" t="inlineStr"/>
      <c r="AG452" t="inlineStr"/>
      <c r="AH452" t="inlineStr"/>
      <c r="AI452" t="inlineStr"/>
      <c r="AJ452" t="inlineStr"/>
      <c r="AK452" t="inlineStr"/>
      <c r="AL452" t="inlineStr"/>
      <c r="AM452" t="inlineStr"/>
    </row>
    <row r="453">
      <c r="A453" t="inlineStr">
        <is>
          <t>117241M</t>
        </is>
      </c>
      <c r="B453" t="inlineStr">
        <is>
          <t>Masters Qualifying Program (Standard)</t>
        </is>
      </c>
      <c r="C453" t="inlineStr">
        <is>
          <t>Non AQF Award</t>
        </is>
      </c>
      <c r="D453" t="inlineStr">
        <is>
          <t>Non-award</t>
        </is>
      </c>
      <c r="E453" t="inlineStr">
        <is>
          <t>Advertised: official page in place</t>
        </is>
      </c>
      <c r="F453" t="inlineStr">
        <is>
          <t>https://coursehandbook.mq.edu.au/2026/courses/C000441</t>
        </is>
      </c>
      <c r="G453" t="inlineStr">
        <is>
          <t>https://coursehandbook.mq.edu.au/2026/courses/C000441</t>
        </is>
      </c>
      <c r="H453" t="inlineStr">
        <is>
          <t>Read</t>
        </is>
      </c>
      <c r="I453" t="inlineStr">
        <is>
          <t>Exact title match</t>
        </is>
      </c>
      <c r="J453" t="inlineStr"/>
      <c r="K453" t="inlineStr">
        <is>
          <t>Not sent to re-link</t>
        </is>
      </c>
      <c r="L453" t="inlineStr">
        <is>
          <t>Filled</t>
        </is>
      </c>
      <c r="M453" t="inlineStr">
        <is>
          <t>Not stated on course page</t>
        </is>
      </c>
      <c r="N453" t="inlineStr"/>
      <c r="O453" t="n">
        <v>0</v>
      </c>
      <c r="P453" t="inlineStr"/>
      <c r="Q453" t="inlineStr">
        <is>
          <t>Filled</t>
        </is>
      </c>
      <c r="R453" t="n">
        <v>6</v>
      </c>
      <c r="S453" t="inlineStr">
        <is>
          <t>University adapter</t>
        </is>
      </c>
      <c r="T453" t="inlineStr">
        <is>
          <t>Held: level not covered by the policy default</t>
        </is>
      </c>
      <c r="U453" t="inlineStr"/>
      <c r="V453" t="inlineStr">
        <is>
          <t>Not stated on course page</t>
        </is>
      </c>
      <c r="W453" t="inlineStr"/>
      <c r="X453" t="inlineStr"/>
      <c r="Y453" t="n">
        <v>0</v>
      </c>
      <c r="Z453" t="inlineStr">
        <is>
          <t>No</t>
        </is>
      </c>
      <c r="AA453" t="inlineStr">
        <is>
          <t>Not stated on course page</t>
        </is>
      </c>
      <c r="AB453" t="inlineStr"/>
      <c r="AC453" t="inlineStr">
        <is>
          <t>Skipped: the page does not state it</t>
        </is>
      </c>
      <c r="AD453" t="n">
        <v>0</v>
      </c>
      <c r="AE453" t="inlineStr"/>
      <c r="AF453" t="inlineStr"/>
      <c r="AG453" t="inlineStr"/>
      <c r="AH453" t="inlineStr"/>
      <c r="AI453" t="inlineStr"/>
      <c r="AJ453" t="inlineStr"/>
      <c r="AK453" t="inlineStr"/>
      <c r="AL453" t="inlineStr"/>
      <c r="AM453" t="inlineStr"/>
    </row>
    <row r="454">
      <c r="A454" t="inlineStr">
        <is>
          <t>112939F</t>
        </is>
      </c>
      <c r="B454" t="inlineStr">
        <is>
          <t>Masters Qualifying Program in Business (Accelerated)</t>
        </is>
      </c>
      <c r="C454" t="inlineStr">
        <is>
          <t>Non AQF Award</t>
        </is>
      </c>
      <c r="D454" t="inlineStr">
        <is>
          <t>Non-award</t>
        </is>
      </c>
      <c r="E454" t="inlineStr">
        <is>
          <t>Page address no longer works</t>
        </is>
      </c>
      <c r="F454" t="inlineStr"/>
      <c r="G454" t="inlineStr">
        <is>
          <t>https://coursehandbook.mq.edu.au/2026/courses/C000394</t>
        </is>
      </c>
      <c r="H454" t="inlineStr">
        <is>
          <t>Address no longer works</t>
        </is>
      </c>
      <c r="I454" t="inlineStr"/>
      <c r="J454" t="inlineStr"/>
      <c r="K454" t="inlineStr">
        <is>
          <t>Not sent to re-link</t>
        </is>
      </c>
      <c r="L454" t="inlineStr">
        <is>
          <t>Page found, being read</t>
        </is>
      </c>
      <c r="M454" t="inlineStr">
        <is>
          <t>Page found, being read</t>
        </is>
      </c>
      <c r="N454" t="inlineStr"/>
      <c r="O454" t="n">
        <v>0</v>
      </c>
      <c r="P454" t="inlineStr"/>
      <c r="Q454" t="inlineStr">
        <is>
          <t>Page found, being read</t>
        </is>
      </c>
      <c r="S454" t="inlineStr"/>
      <c r="T454" t="inlineStr">
        <is>
          <t>Held: level not covered by the policy default</t>
        </is>
      </c>
      <c r="U454" t="inlineStr"/>
      <c r="V454" t="inlineStr">
        <is>
          <t>Page found, being read</t>
        </is>
      </c>
      <c r="W454" t="inlineStr"/>
      <c r="X454" t="inlineStr"/>
      <c r="Y454" t="n">
        <v>0</v>
      </c>
      <c r="Z454" t="inlineStr">
        <is>
          <t>No</t>
        </is>
      </c>
      <c r="AA454" t="inlineStr">
        <is>
          <t>Not stated on course page</t>
        </is>
      </c>
      <c r="AB454" t="inlineStr"/>
      <c r="AC454" t="inlineStr">
        <is>
          <t>Skipped: no allowed source had a value</t>
        </is>
      </c>
      <c r="AD454" t="n">
        <v>0</v>
      </c>
      <c r="AE454" t="inlineStr"/>
      <c r="AF454" t="inlineStr"/>
      <c r="AG454" t="inlineStr"/>
      <c r="AH454" t="inlineStr"/>
      <c r="AI454" t="inlineStr"/>
      <c r="AJ454" t="inlineStr">
        <is>
          <t>Yes</t>
        </is>
      </c>
      <c r="AK454" t="inlineStr"/>
      <c r="AL454" t="inlineStr"/>
      <c r="AM454" t="inlineStr"/>
    </row>
    <row r="455">
      <c r="A455" t="inlineStr">
        <is>
          <t>112942M</t>
        </is>
      </c>
      <c r="B455" t="inlineStr">
        <is>
          <t>Masters Qualifying Program in Business (Standard)</t>
        </is>
      </c>
      <c r="C455" t="inlineStr">
        <is>
          <t>Non AQF Award</t>
        </is>
      </c>
      <c r="D455" t="inlineStr">
        <is>
          <t>Non-award</t>
        </is>
      </c>
      <c r="E455" t="inlineStr">
        <is>
          <t>Page address no longer works</t>
        </is>
      </c>
      <c r="F455" t="inlineStr"/>
      <c r="G455" t="inlineStr">
        <is>
          <t>https://coursehandbook.mq.edu.au/2026/courses/C000392</t>
        </is>
      </c>
      <c r="H455" t="inlineStr">
        <is>
          <t>Address no longer works</t>
        </is>
      </c>
      <c r="I455" t="inlineStr"/>
      <c r="J455" t="inlineStr"/>
      <c r="K455" t="inlineStr">
        <is>
          <t>Not sent to re-link</t>
        </is>
      </c>
      <c r="L455" t="inlineStr">
        <is>
          <t>Page found, being read</t>
        </is>
      </c>
      <c r="M455" t="inlineStr">
        <is>
          <t>Page found, being read</t>
        </is>
      </c>
      <c r="N455" t="inlineStr"/>
      <c r="O455" t="n">
        <v>0</v>
      </c>
      <c r="P455" t="inlineStr"/>
      <c r="Q455" t="inlineStr">
        <is>
          <t>Page found, being read</t>
        </is>
      </c>
      <c r="S455" t="inlineStr"/>
      <c r="T455" t="inlineStr">
        <is>
          <t>Held: level not covered by the policy default</t>
        </is>
      </c>
      <c r="U455" t="inlineStr"/>
      <c r="V455" t="inlineStr">
        <is>
          <t>Page found, being read</t>
        </is>
      </c>
      <c r="W455" t="inlineStr"/>
      <c r="X455" t="inlineStr"/>
      <c r="Y455" t="n">
        <v>0</v>
      </c>
      <c r="Z455" t="inlineStr">
        <is>
          <t>No</t>
        </is>
      </c>
      <c r="AA455" t="inlineStr">
        <is>
          <t>Not stated on course page</t>
        </is>
      </c>
      <c r="AB455" t="inlineStr"/>
      <c r="AC455" t="inlineStr">
        <is>
          <t>Skipped: no allowed source had a value</t>
        </is>
      </c>
      <c r="AD455" t="n">
        <v>0</v>
      </c>
      <c r="AE455" t="inlineStr"/>
      <c r="AF455" t="inlineStr"/>
      <c r="AG455" t="inlineStr"/>
      <c r="AH455" t="inlineStr"/>
      <c r="AI455" t="inlineStr"/>
      <c r="AJ455" t="inlineStr">
        <is>
          <t>Yes</t>
        </is>
      </c>
      <c r="AK455" t="inlineStr"/>
      <c r="AL455" t="inlineStr"/>
      <c r="AM455" t="inlineStr"/>
    </row>
    <row r="456">
      <c r="A456" t="inlineStr">
        <is>
          <t>112941A</t>
        </is>
      </c>
      <c r="B456" t="inlineStr">
        <is>
          <t>Masters Qualifying Program in Information Technology (Accelerated)</t>
        </is>
      </c>
      <c r="C456" t="inlineStr">
        <is>
          <t>Non AQF Award</t>
        </is>
      </c>
      <c r="D456" t="inlineStr">
        <is>
          <t>Non-award</t>
        </is>
      </c>
      <c r="E456" t="inlineStr">
        <is>
          <t>Page address no longer works</t>
        </is>
      </c>
      <c r="F456" t="inlineStr"/>
      <c r="G456" t="inlineStr">
        <is>
          <t>https://coursehandbook.mq.edu.au/2026/courses/C000395</t>
        </is>
      </c>
      <c r="H456" t="inlineStr">
        <is>
          <t>Address no longer works</t>
        </is>
      </c>
      <c r="I456" t="inlineStr"/>
      <c r="J456" t="inlineStr"/>
      <c r="K456" t="inlineStr">
        <is>
          <t>Not sent to re-link</t>
        </is>
      </c>
      <c r="L456" t="inlineStr">
        <is>
          <t>Page found, being read</t>
        </is>
      </c>
      <c r="M456" t="inlineStr">
        <is>
          <t>Page found, being read</t>
        </is>
      </c>
      <c r="N456" t="inlineStr"/>
      <c r="O456" t="n">
        <v>0</v>
      </c>
      <c r="P456" t="inlineStr"/>
      <c r="Q456" t="inlineStr">
        <is>
          <t>Page found, being read</t>
        </is>
      </c>
      <c r="S456" t="inlineStr"/>
      <c r="T456" t="inlineStr">
        <is>
          <t>Held: level not covered by the policy default</t>
        </is>
      </c>
      <c r="U456" t="inlineStr"/>
      <c r="V456" t="inlineStr">
        <is>
          <t>Page found, being read</t>
        </is>
      </c>
      <c r="W456" t="inlineStr"/>
      <c r="X456" t="inlineStr"/>
      <c r="Y456" t="n">
        <v>0</v>
      </c>
      <c r="Z456" t="inlineStr">
        <is>
          <t>No</t>
        </is>
      </c>
      <c r="AA456" t="inlineStr">
        <is>
          <t>Not stated on course page</t>
        </is>
      </c>
      <c r="AB456" t="inlineStr"/>
      <c r="AC456" t="inlineStr">
        <is>
          <t>Skipped: no allowed source had a value</t>
        </is>
      </c>
      <c r="AD456" t="n">
        <v>0</v>
      </c>
      <c r="AE456" t="inlineStr"/>
      <c r="AF456" t="inlineStr"/>
      <c r="AG456" t="inlineStr"/>
      <c r="AH456" t="inlineStr"/>
      <c r="AI456" t="inlineStr"/>
      <c r="AJ456" t="inlineStr">
        <is>
          <t>Yes</t>
        </is>
      </c>
      <c r="AK456" t="inlineStr"/>
      <c r="AL456" t="inlineStr"/>
      <c r="AM456" t="inlineStr"/>
    </row>
    <row r="457">
      <c r="A457" t="inlineStr">
        <is>
          <t>112940B</t>
        </is>
      </c>
      <c r="B457" t="inlineStr">
        <is>
          <t>Masters Qualifying Program in Information Technology (Standard)</t>
        </is>
      </c>
      <c r="C457" t="inlineStr">
        <is>
          <t>Non AQF Award</t>
        </is>
      </c>
      <c r="D457" t="inlineStr">
        <is>
          <t>Non-award</t>
        </is>
      </c>
      <c r="E457" t="inlineStr">
        <is>
          <t>Page address no longer works</t>
        </is>
      </c>
      <c r="F457" t="inlineStr"/>
      <c r="G457" t="inlineStr">
        <is>
          <t>https://coursehandbook.mq.edu.au/2026/courses/C000393</t>
        </is>
      </c>
      <c r="H457" t="inlineStr">
        <is>
          <t>Address no longer works</t>
        </is>
      </c>
      <c r="I457" t="inlineStr"/>
      <c r="J457" t="inlineStr"/>
      <c r="K457" t="inlineStr">
        <is>
          <t>Not sent to re-link</t>
        </is>
      </c>
      <c r="L457" t="inlineStr">
        <is>
          <t>Page found, being read</t>
        </is>
      </c>
      <c r="M457" t="inlineStr">
        <is>
          <t>Page found, being read</t>
        </is>
      </c>
      <c r="N457" t="inlineStr"/>
      <c r="O457" t="n">
        <v>0</v>
      </c>
      <c r="P457" t="inlineStr"/>
      <c r="Q457" t="inlineStr">
        <is>
          <t>Page found, being read</t>
        </is>
      </c>
      <c r="S457" t="inlineStr"/>
      <c r="T457" t="inlineStr">
        <is>
          <t>Held: level not covered by the policy default</t>
        </is>
      </c>
      <c r="U457" t="inlineStr"/>
      <c r="V457" t="inlineStr">
        <is>
          <t>Page found, being read</t>
        </is>
      </c>
      <c r="W457" t="inlineStr"/>
      <c r="X457" t="inlineStr"/>
      <c r="Y457" t="n">
        <v>0</v>
      </c>
      <c r="Z457" t="inlineStr">
        <is>
          <t>No</t>
        </is>
      </c>
      <c r="AA457" t="inlineStr">
        <is>
          <t>Not stated on course page</t>
        </is>
      </c>
      <c r="AB457" t="inlineStr"/>
      <c r="AC457" t="inlineStr">
        <is>
          <t>Skipped: no allowed source had a value</t>
        </is>
      </c>
      <c r="AD457" t="n">
        <v>0</v>
      </c>
      <c r="AE457" t="inlineStr"/>
      <c r="AF457" t="inlineStr"/>
      <c r="AG457" t="inlineStr"/>
      <c r="AH457" t="inlineStr"/>
      <c r="AI457" t="inlineStr"/>
      <c r="AJ457" t="inlineStr">
        <is>
          <t>Yes</t>
        </is>
      </c>
      <c r="AK457" t="inlineStr"/>
      <c r="AL457" t="inlineStr"/>
      <c r="AM457" t="inlineStr"/>
    </row>
    <row r="458">
      <c r="A458" t="inlineStr">
        <is>
          <t>085296J</t>
        </is>
      </c>
      <c r="B458" t="inlineStr">
        <is>
          <t>Standard Foundation Program</t>
        </is>
      </c>
      <c r="C458" t="inlineStr">
        <is>
          <t>Non AQF Award</t>
        </is>
      </c>
      <c r="D458" t="inlineStr">
        <is>
          <t>Non-award</t>
        </is>
      </c>
      <c r="E458" t="inlineStr">
        <is>
          <t>Advertised: official page in place</t>
        </is>
      </c>
      <c r="F458" t="inlineStr">
        <is>
          <t>https://www.mq.edu.au/study/find-a-course/courses/standard-foundation-program</t>
        </is>
      </c>
      <c r="G458" t="inlineStr">
        <is>
          <t>https://www.mq.edu.au/study/find-a-course/courses/standard-foundation-program</t>
        </is>
      </c>
      <c r="H458" t="inlineStr">
        <is>
          <t>Read</t>
        </is>
      </c>
      <c r="I458" t="inlineStr">
        <is>
          <t>Exact title match</t>
        </is>
      </c>
      <c r="J458" t="inlineStr"/>
      <c r="K458" t="inlineStr">
        <is>
          <t>Not sent to re-link</t>
        </is>
      </c>
      <c r="L458" t="inlineStr">
        <is>
          <t>Filled</t>
        </is>
      </c>
      <c r="M458" t="inlineStr">
        <is>
          <t>Not stated on course page</t>
        </is>
      </c>
      <c r="N458" t="inlineStr"/>
      <c r="O458" t="n">
        <v>0</v>
      </c>
      <c r="P458" t="inlineStr"/>
      <c r="Q458" t="inlineStr">
        <is>
          <t>Filled</t>
        </is>
      </c>
      <c r="R458" t="n">
        <v>5.5</v>
      </c>
      <c r="S458" t="inlineStr">
        <is>
          <t>Other</t>
        </is>
      </c>
      <c r="T458" t="inlineStr">
        <is>
          <t>Held: level not covered by the policy default</t>
        </is>
      </c>
      <c r="U458" t="inlineStr"/>
      <c r="V458" t="inlineStr">
        <is>
          <t>Filled</t>
        </is>
      </c>
      <c r="W458" t="inlineStr">
        <is>
          <t>February, July, October</t>
        </is>
      </c>
      <c r="X458" t="inlineStr">
        <is>
          <t>Other</t>
        </is>
      </c>
      <c r="Y458" t="n">
        <v>0</v>
      </c>
      <c r="Z458" t="inlineStr">
        <is>
          <t>No</t>
        </is>
      </c>
      <c r="AA458" t="inlineStr">
        <is>
          <t>Filled</t>
        </is>
      </c>
      <c r="AB458" t="inlineStr">
        <is>
          <t>on campus</t>
        </is>
      </c>
      <c r="AC458" t="inlineStr">
        <is>
          <t>Filled</t>
        </is>
      </c>
      <c r="AD458" t="n">
        <v>0</v>
      </c>
      <c r="AE458" t="inlineStr"/>
      <c r="AF458" t="inlineStr"/>
      <c r="AG458" t="inlineStr"/>
      <c r="AH458" t="inlineStr"/>
      <c r="AI458" t="inlineStr"/>
      <c r="AJ458" t="inlineStr"/>
      <c r="AK458" t="inlineStr"/>
      <c r="AL458" t="inlineStr"/>
      <c r="AM458" t="inlineStr"/>
    </row>
    <row r="459">
      <c r="A459" t="inlineStr">
        <is>
          <t>028662J</t>
        </is>
      </c>
      <c r="B459" t="inlineStr">
        <is>
          <t>Study Abroad</t>
        </is>
      </c>
      <c r="C459" t="inlineStr">
        <is>
          <t>Non AQF Award</t>
        </is>
      </c>
      <c r="D459" t="inlineStr">
        <is>
          <t>Non-award</t>
        </is>
      </c>
      <c r="E459" t="inlineStr">
        <is>
          <t>Advertised: official page in place</t>
        </is>
      </c>
      <c r="F459" t="inlineStr">
        <is>
          <t>https://www.mq.edu.au/study/information-for/international/study-abroad-exchange-and-study-tours/abroad</t>
        </is>
      </c>
      <c r="G459" t="inlineStr">
        <is>
          <t>https://www.mq.edu.au/study/information-for/international/study-abroad-exchange-and-study-tours/abroad</t>
        </is>
      </c>
      <c r="H459" t="inlineStr">
        <is>
          <t>Read</t>
        </is>
      </c>
      <c r="I459" t="inlineStr">
        <is>
          <t>Exact title match</t>
        </is>
      </c>
      <c r="J459" t="inlineStr"/>
      <c r="K459" t="inlineStr">
        <is>
          <t>Not sent to re-link</t>
        </is>
      </c>
      <c r="L459" t="inlineStr">
        <is>
          <t>Filled</t>
        </is>
      </c>
      <c r="M459" t="inlineStr">
        <is>
          <t>Not stated on course page</t>
        </is>
      </c>
      <c r="N459" t="inlineStr"/>
      <c r="O459" t="n">
        <v>0</v>
      </c>
      <c r="P459" t="inlineStr"/>
      <c r="Q459" t="inlineStr">
        <is>
          <t>Filled</t>
        </is>
      </c>
      <c r="R459" t="n">
        <v>6.5</v>
      </c>
      <c r="S459" t="inlineStr">
        <is>
          <t>Other</t>
        </is>
      </c>
      <c r="T459" t="inlineStr">
        <is>
          <t>Held: level not covered by the policy default</t>
        </is>
      </c>
      <c r="U459" t="inlineStr"/>
      <c r="V459" t="inlineStr">
        <is>
          <t>Filled</t>
        </is>
      </c>
      <c r="W459" t="inlineStr">
        <is>
          <t>February, July</t>
        </is>
      </c>
      <c r="X459" t="inlineStr">
        <is>
          <t>Page reader</t>
        </is>
      </c>
      <c r="Y459" t="n">
        <v>0</v>
      </c>
      <c r="Z459" t="inlineStr">
        <is>
          <t>No</t>
        </is>
      </c>
      <c r="AA459" t="inlineStr">
        <is>
          <t>Filled</t>
        </is>
      </c>
      <c r="AB459" t="inlineStr">
        <is>
          <t>on campus</t>
        </is>
      </c>
      <c r="AC459" t="inlineStr">
        <is>
          <t>Filled</t>
        </is>
      </c>
      <c r="AD459" t="n">
        <v>0</v>
      </c>
      <c r="AE459" t="inlineStr"/>
      <c r="AF459" t="inlineStr"/>
      <c r="AG459" t="inlineStr"/>
      <c r="AH459" t="inlineStr"/>
      <c r="AI459" t="inlineStr"/>
      <c r="AJ459" t="inlineStr"/>
      <c r="AK459" t="inlineStr"/>
      <c r="AL459" t="inlineStr"/>
      <c r="AM459" t="inlineStr"/>
    </row>
    <row r="460">
      <c r="A460" t="inlineStr">
        <is>
          <t>008653J</t>
        </is>
      </c>
      <c r="B460" t="inlineStr">
        <is>
          <t>Study Abroad</t>
        </is>
      </c>
      <c r="C460" t="inlineStr">
        <is>
          <t>Non AQF Award</t>
        </is>
      </c>
      <c r="D460" t="inlineStr">
        <is>
          <t>Non-award</t>
        </is>
      </c>
      <c r="E460" t="inlineStr">
        <is>
          <t>Advertised: official page in place</t>
        </is>
      </c>
      <c r="F460" t="inlineStr">
        <is>
          <t>https://www.mq.edu.au/study/information-for/international/study-abroad-exchange-and-study-tours/abroad</t>
        </is>
      </c>
      <c r="G460" t="inlineStr">
        <is>
          <t>https://www.mq.edu.au/study/information-for/international/study-abroad-exchange-and-study-tours/abroad</t>
        </is>
      </c>
      <c r="H460" t="inlineStr">
        <is>
          <t>Read</t>
        </is>
      </c>
      <c r="I460" t="inlineStr">
        <is>
          <t>Exact title match</t>
        </is>
      </c>
      <c r="J460" t="inlineStr"/>
      <c r="K460" t="inlineStr">
        <is>
          <t>Not sent to re-link</t>
        </is>
      </c>
      <c r="L460" t="inlineStr">
        <is>
          <t>Filled</t>
        </is>
      </c>
      <c r="M460" t="inlineStr">
        <is>
          <t>Not stated on course page</t>
        </is>
      </c>
      <c r="N460" t="inlineStr"/>
      <c r="O460" t="n">
        <v>0</v>
      </c>
      <c r="P460" t="inlineStr"/>
      <c r="Q460" t="inlineStr">
        <is>
          <t>Filled</t>
        </is>
      </c>
      <c r="R460" t="n">
        <v>6.5</v>
      </c>
      <c r="S460" t="inlineStr">
        <is>
          <t>Page reader</t>
        </is>
      </c>
      <c r="T460" t="inlineStr">
        <is>
          <t>Held: level not covered by the policy default</t>
        </is>
      </c>
      <c r="U460" t="inlineStr"/>
      <c r="V460" t="inlineStr">
        <is>
          <t>Filled</t>
        </is>
      </c>
      <c r="W460" t="inlineStr">
        <is>
          <t>February, July</t>
        </is>
      </c>
      <c r="X460" t="inlineStr">
        <is>
          <t>Page reader</t>
        </is>
      </c>
      <c r="Y460" t="n">
        <v>0</v>
      </c>
      <c r="Z460" t="inlineStr">
        <is>
          <t>No</t>
        </is>
      </c>
      <c r="AA460" t="inlineStr">
        <is>
          <t>Filled</t>
        </is>
      </c>
      <c r="AB460" t="inlineStr">
        <is>
          <t>on campus</t>
        </is>
      </c>
      <c r="AC460" t="inlineStr">
        <is>
          <t>Filled</t>
        </is>
      </c>
      <c r="AD460" t="n">
        <v>0</v>
      </c>
      <c r="AE460" t="inlineStr"/>
      <c r="AF460" t="inlineStr"/>
      <c r="AG460" t="inlineStr"/>
      <c r="AH460" t="inlineStr"/>
      <c r="AI460" t="inlineStr"/>
      <c r="AJ460" t="inlineStr"/>
      <c r="AK460" t="inlineStr"/>
      <c r="AL460" t="inlineStr"/>
      <c r="AM460" t="inlineStr"/>
    </row>
    <row r="461">
      <c r="A461" t="inlineStr">
        <is>
          <t>092012A</t>
        </is>
      </c>
      <c r="B461" t="inlineStr">
        <is>
          <t>Study Abroad</t>
        </is>
      </c>
      <c r="C461" t="inlineStr">
        <is>
          <t>Non AQF Award</t>
        </is>
      </c>
      <c r="D461" t="inlineStr">
        <is>
          <t>Non-award</t>
        </is>
      </c>
      <c r="E461" t="inlineStr">
        <is>
          <t>Advertised: official page in place</t>
        </is>
      </c>
      <c r="F461" t="inlineStr">
        <is>
          <t>https://www.mq.edu.au/study/information-for/international/study-abroad-exchange-and-study-tours/abroad</t>
        </is>
      </c>
      <c r="G461" t="inlineStr">
        <is>
          <t>https://www.mq.edu.au/study/information-for/international/study-abroad-exchange-and-study-tours/abroad</t>
        </is>
      </c>
      <c r="H461" t="inlineStr">
        <is>
          <t>Read</t>
        </is>
      </c>
      <c r="I461" t="inlineStr">
        <is>
          <t>Exact title match</t>
        </is>
      </c>
      <c r="J461" t="inlineStr"/>
      <c r="K461" t="inlineStr">
        <is>
          <t>Not sent to re-link</t>
        </is>
      </c>
      <c r="L461" t="inlineStr">
        <is>
          <t>Filled</t>
        </is>
      </c>
      <c r="M461" t="inlineStr">
        <is>
          <t>Not stated on course page</t>
        </is>
      </c>
      <c r="N461" t="inlineStr"/>
      <c r="O461" t="n">
        <v>0</v>
      </c>
      <c r="P461" t="inlineStr"/>
      <c r="Q461" t="inlineStr">
        <is>
          <t>Filled</t>
        </is>
      </c>
      <c r="R461" t="n">
        <v>6.5</v>
      </c>
      <c r="S461" t="inlineStr">
        <is>
          <t>Page reader</t>
        </is>
      </c>
      <c r="T461" t="inlineStr">
        <is>
          <t>Held: level not covered by the policy default</t>
        </is>
      </c>
      <c r="U461" t="inlineStr"/>
      <c r="V461" t="inlineStr">
        <is>
          <t>Filled</t>
        </is>
      </c>
      <c r="W461" t="inlineStr">
        <is>
          <t>February, July</t>
        </is>
      </c>
      <c r="X461" t="inlineStr">
        <is>
          <t>Page reader</t>
        </is>
      </c>
      <c r="Y461" t="n">
        <v>0</v>
      </c>
      <c r="Z461" t="inlineStr">
        <is>
          <t>No</t>
        </is>
      </c>
      <c r="AA461" t="inlineStr">
        <is>
          <t>Filled</t>
        </is>
      </c>
      <c r="AB461" t="inlineStr">
        <is>
          <t>on campus</t>
        </is>
      </c>
      <c r="AC461" t="inlineStr">
        <is>
          <t>Filled</t>
        </is>
      </c>
      <c r="AD461" t="n">
        <v>0</v>
      </c>
      <c r="AE461" t="inlineStr"/>
      <c r="AF461" t="inlineStr"/>
      <c r="AG461" t="inlineStr"/>
      <c r="AH461" t="inlineStr"/>
      <c r="AI461" t="inlineStr"/>
      <c r="AJ461" t="inlineStr"/>
      <c r="AK461" t="inlineStr"/>
      <c r="AL461" t="inlineStr"/>
      <c r="AM461" t="inlineStr"/>
    </row>
    <row r="462">
      <c r="A462" t="inlineStr">
        <is>
          <t>084547C</t>
        </is>
      </c>
      <c r="B462" t="inlineStr">
        <is>
          <t>Study Abroad</t>
        </is>
      </c>
      <c r="C462" t="inlineStr">
        <is>
          <t>Non AQF Award</t>
        </is>
      </c>
      <c r="D462" t="inlineStr">
        <is>
          <t>Non-award</t>
        </is>
      </c>
      <c r="E462" t="inlineStr">
        <is>
          <t>Advertised: official page in place</t>
        </is>
      </c>
      <c r="F462" t="inlineStr">
        <is>
          <t>https://www.mq.edu.au/study/information-for/international/study-abroad-exchange-and-study-tours/abroad</t>
        </is>
      </c>
      <c r="G462" t="inlineStr">
        <is>
          <t>https://www.mq.edu.au/study/information-for/international/study-abroad-exchange-and-study-tours/abroad</t>
        </is>
      </c>
      <c r="H462" t="inlineStr">
        <is>
          <t>Read</t>
        </is>
      </c>
      <c r="I462" t="inlineStr">
        <is>
          <t>Exact title match</t>
        </is>
      </c>
      <c r="J462" t="inlineStr"/>
      <c r="K462" t="inlineStr">
        <is>
          <t>Not sent to re-link</t>
        </is>
      </c>
      <c r="L462" t="inlineStr">
        <is>
          <t>Filled</t>
        </is>
      </c>
      <c r="M462" t="inlineStr">
        <is>
          <t>Not stated on course page</t>
        </is>
      </c>
      <c r="N462" t="inlineStr"/>
      <c r="O462" t="n">
        <v>0</v>
      </c>
      <c r="P462" t="inlineStr"/>
      <c r="Q462" t="inlineStr">
        <is>
          <t>Filled</t>
        </is>
      </c>
      <c r="R462" t="n">
        <v>6.5</v>
      </c>
      <c r="S462" t="inlineStr">
        <is>
          <t>Other</t>
        </is>
      </c>
      <c r="T462" t="inlineStr">
        <is>
          <t>Held: level not covered by the policy default</t>
        </is>
      </c>
      <c r="U462" t="inlineStr"/>
      <c r="V462" t="inlineStr">
        <is>
          <t>Filled</t>
        </is>
      </c>
      <c r="W462" t="inlineStr">
        <is>
          <t>February, June, July, December</t>
        </is>
      </c>
      <c r="X462" t="inlineStr">
        <is>
          <t>Page reader</t>
        </is>
      </c>
      <c r="Y462" t="n">
        <v>0</v>
      </c>
      <c r="Z462" t="inlineStr">
        <is>
          <t>No</t>
        </is>
      </c>
      <c r="AA462" t="inlineStr">
        <is>
          <t>Filled</t>
        </is>
      </c>
      <c r="AB462" t="inlineStr">
        <is>
          <t>on campus</t>
        </is>
      </c>
      <c r="AC462" t="inlineStr">
        <is>
          <t>Filled</t>
        </is>
      </c>
      <c r="AD462" t="n">
        <v>0</v>
      </c>
      <c r="AE462" t="inlineStr"/>
      <c r="AF462" t="inlineStr"/>
      <c r="AG462" t="inlineStr"/>
      <c r="AH462" t="inlineStr"/>
      <c r="AI462" t="inlineStr"/>
      <c r="AJ462" t="inlineStr"/>
      <c r="AK462" t="inlineStr"/>
      <c r="AL462" t="inlineStr"/>
      <c r="AM462" t="inlineStr"/>
    </row>
  </sheetData>
  <autoFilter ref="A1:AM4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4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22" customWidth="1" min="3" max="3"/>
    <col width="18" customWidth="1" min="4" max="4"/>
    <col width="34" customWidth="1" min="5" max="5"/>
    <col width="40" customWidth="1" min="6" max="6"/>
    <col width="40" customWidth="1" min="7" max="7"/>
    <col width="20" customWidth="1" min="8" max="8"/>
    <col width="18" customWidth="1" min="9" max="9"/>
    <col width="16" customWidth="1" min="10" max="10"/>
    <col width="40" customWidth="1" min="11" max="11"/>
    <col width="22" customWidth="1" min="12" max="12"/>
    <col width="22" customWidth="1" min="13" max="13"/>
    <col width="18" customWidth="1" min="14" max="14"/>
    <col width="12" customWidth="1" min="15" max="15"/>
    <col width="16" customWidth="1" min="16" max="16"/>
    <col width="22" customWidth="1" min="17" max="17"/>
    <col width="9" customWidth="1" min="18" max="18"/>
    <col width="20" customWidth="1" min="19" max="19"/>
    <col width="36" customWidth="1" min="20" max="20"/>
    <col width="34" customWidth="1" min="21" max="21"/>
    <col width="22" customWidth="1" min="22" max="22"/>
    <col width="20" customWidth="1" min="23" max="23"/>
    <col width="16" customWidth="1" min="24" max="24"/>
    <col width="10" customWidth="1" min="25" max="25"/>
    <col width="12" customWidth="1" min="26" max="26"/>
    <col width="22" customWidth="1" min="27" max="27"/>
    <col width="16" customWidth="1" min="28" max="28"/>
    <col width="40" customWidth="1" min="29" max="29"/>
    <col width="10"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s>
  <sheetData>
    <row r="1" ht="60" customHeight="1">
      <c r="A1" s="4" t="inlineStr">
        <is>
          <t>CRICOS code</t>
        </is>
      </c>
      <c r="B1" s="4" t="inlineStr">
        <is>
          <t>Course title</t>
        </is>
      </c>
      <c r="C1" s="4" t="inlineStr">
        <is>
          <t>Study level</t>
        </is>
      </c>
      <c r="D1" s="4" t="inlineStr">
        <is>
          <t>Study level group</t>
        </is>
      </c>
      <c r="E1" s="4" t="inlineStr">
        <is>
          <t>Advertised status</t>
        </is>
      </c>
      <c r="F1" s="4" t="inlineStr">
        <is>
          <t>Official course page (in place)</t>
        </is>
      </c>
      <c r="G1" s="4" t="inlineStr">
        <is>
          <t>Page found (address)</t>
        </is>
      </c>
      <c r="H1" s="4" t="inlineStr">
        <is>
          <t>Page read result</t>
        </is>
      </c>
      <c r="I1" s="4" t="inlineStr">
        <is>
          <t>Identity proof</t>
        </is>
      </c>
      <c r="J1" s="4" t="inlineStr">
        <is>
          <t>No-page record</t>
        </is>
      </c>
      <c r="K1" s="4" t="inlineStr">
        <is>
          <t>Re-link lane result</t>
        </is>
      </c>
      <c r="L1" s="4" t="inlineStr">
        <is>
          <t>Official course page (state)</t>
        </is>
      </c>
      <c r="M1" s="4" t="inlineStr">
        <is>
          <t>International tuition (state)</t>
        </is>
      </c>
      <c r="N1" s="4" t="inlineStr">
        <is>
          <t>International fee (amount, year)</t>
        </is>
      </c>
      <c r="O1" s="4" t="inlineStr">
        <is>
          <t>Rows in approved fee schedule (by CRICOS code)</t>
        </is>
      </c>
      <c r="P1" s="4" t="inlineStr">
        <is>
          <t>Fee source</t>
        </is>
      </c>
      <c r="Q1" s="4" t="inlineStr">
        <is>
          <t>English requirement (state)</t>
        </is>
      </c>
      <c r="R1" s="4" t="inlineStr">
        <is>
          <t>IELTS overall</t>
        </is>
      </c>
      <c r="S1" s="4" t="inlineStr">
        <is>
          <t>English source</t>
        </is>
      </c>
      <c r="T1" s="4" t="inlineStr">
        <is>
          <t>Central English rule for this course</t>
        </is>
      </c>
      <c r="U1" s="4" t="inlineStr">
        <is>
          <t>Course page disagrees with central English</t>
        </is>
      </c>
      <c r="V1" s="4" t="inlineStr">
        <is>
          <t>Intakes (state)</t>
        </is>
      </c>
      <c r="W1" s="4" t="inlineStr">
        <is>
          <t>Intake months</t>
        </is>
      </c>
      <c r="X1" s="4" t="inlineStr">
        <is>
          <t>Intakes source</t>
        </is>
      </c>
      <c r="Y1" s="4" t="inlineStr">
        <is>
          <t>Intake rows withdrawn earlier</t>
        </is>
      </c>
      <c r="Z1" s="4" t="inlineStr">
        <is>
          <t>Calendar months allowed at this level (19 Oct rule)</t>
        </is>
      </c>
      <c r="AA1" s="4" t="inlineStr">
        <is>
          <t>Delivery mode (state)</t>
        </is>
      </c>
      <c r="AB1" s="4" t="inlineStr">
        <is>
          <t>Delivery mode</t>
        </is>
      </c>
      <c r="AC1" s="4" t="inlineStr">
        <is>
          <t>Delivery: last reader result</t>
        </is>
      </c>
      <c r="AD1" s="4" t="inlineStr">
        <is>
          <t>Delivery values taken back (23 Oct)</t>
        </is>
      </c>
      <c r="AE1" s="4" t="inlineStr">
        <is>
          <t>Action: read the bound page again (rendered)</t>
        </is>
      </c>
      <c r="AF1" s="4" t="inlineStr">
        <is>
          <t>Action: Layer 4 review of a value read from the course page</t>
        </is>
      </c>
      <c r="AG1" s="4" t="inlineStr">
        <is>
          <t>Action: re-route item stuck in retired Layer 3</t>
        </is>
      </c>
      <c r="AH1" s="4" t="inlineStr">
        <is>
          <t>Action: calendar months, undergraduate (22 Oct rule)</t>
        </is>
      </c>
      <c r="AI1" s="4" t="inlineStr">
        <is>
          <t>Action: calendar months, postgraduate/research (19 + 22 Oct rules)</t>
        </is>
      </c>
      <c r="AJ1" s="4" t="inlineStr">
        <is>
          <t>Action: English rule for held course types</t>
        </is>
      </c>
      <c r="AK1" s="4" t="inlineStr">
        <is>
          <t>Action: delivery quote not found, re-run</t>
        </is>
      </c>
      <c r="AL1" s="4" t="inlineStr">
        <is>
          <t>Action: fee in approved schedule, not admitted</t>
        </is>
      </c>
      <c r="AM1" s="4" t="inlineStr">
        <is>
          <t>Action: confirm no-page record</t>
        </is>
      </c>
    </row>
    <row r="2">
      <c r="A2" t="inlineStr">
        <is>
          <t>079653K</t>
        </is>
      </c>
      <c r="B2" t="inlineStr">
        <is>
          <t>Bachelor of Accounting</t>
        </is>
      </c>
      <c r="C2" t="inlineStr">
        <is>
          <t>Bachelor</t>
        </is>
      </c>
      <c r="D2" t="inlineStr">
        <is>
          <t>Undergraduate</t>
        </is>
      </c>
      <c r="E2" t="inlineStr">
        <is>
          <t>Advertised: official page in place</t>
        </is>
      </c>
      <c r="F2" t="inlineStr">
        <is>
          <t>https://cbe.anu.edu.au/study/undergraduate-programs/bachelor-accounting</t>
        </is>
      </c>
      <c r="G2" t="inlineStr">
        <is>
          <t>https://cbe.anu.edu.au/study/undergraduate-programs/bachelor-accounting</t>
        </is>
      </c>
      <c r="H2" t="inlineStr">
        <is>
          <t>Read</t>
        </is>
      </c>
      <c r="I2" t="inlineStr">
        <is>
          <t>CRICOS code on page</t>
        </is>
      </c>
      <c r="J2" t="inlineStr"/>
      <c r="K2" t="inlineStr">
        <is>
          <t>Not sent to re-link</t>
        </is>
      </c>
      <c r="L2" t="inlineStr">
        <is>
          <t>Filled</t>
        </is>
      </c>
      <c r="M2" t="inlineStr">
        <is>
          <t>Not stated on course page</t>
        </is>
      </c>
      <c r="N2" t="inlineStr"/>
      <c r="O2" t="n">
        <v>0</v>
      </c>
      <c r="P2" t="inlineStr"/>
      <c r="Q2" t="inlineStr">
        <is>
          <t>Filled</t>
        </is>
      </c>
      <c r="R2" t="n">
        <v>6.5</v>
      </c>
      <c r="S2" t="inlineStr">
        <is>
          <t>Central English policy</t>
        </is>
      </c>
      <c r="T2" t="inlineStr">
        <is>
          <t>Central rule applies (value agrees)</t>
        </is>
      </c>
      <c r="U2" t="inlineStr"/>
      <c r="V2" t="inlineStr">
        <is>
          <t>Not stated on course page</t>
        </is>
      </c>
      <c r="W2" t="inlineStr"/>
      <c r="X2" t="inlineStr"/>
      <c r="Y2" t="n">
        <v>0</v>
      </c>
      <c r="Z2" t="inlineStr">
        <is>
          <t>Yes</t>
        </is>
      </c>
      <c r="AA2" t="inlineStr">
        <is>
          <t>Not stated on course page</t>
        </is>
      </c>
      <c r="AB2" t="inlineStr"/>
      <c r="AC2" t="inlineStr">
        <is>
          <t>Skipped: the page does not state it</t>
        </is>
      </c>
      <c r="AD2" t="n">
        <v>0</v>
      </c>
      <c r="AE2" t="inlineStr"/>
      <c r="AF2" t="inlineStr"/>
      <c r="AG2" t="inlineStr"/>
      <c r="AH2" t="inlineStr"/>
      <c r="AI2" t="inlineStr"/>
      <c r="AJ2" t="inlineStr"/>
      <c r="AK2" t="inlineStr"/>
      <c r="AL2" t="inlineStr"/>
      <c r="AM2" t="inlineStr"/>
    </row>
    <row r="3">
      <c r="A3" t="inlineStr">
        <is>
          <t>086221J</t>
        </is>
      </c>
      <c r="B3" t="inlineStr">
        <is>
          <t>Bachelor of Accounting (Honours)</t>
        </is>
      </c>
      <c r="C3" t="inlineStr">
        <is>
          <t>Bachelor Honours Degree</t>
        </is>
      </c>
      <c r="D3" t="inlineStr">
        <is>
          <t>Undergraduate</t>
        </is>
      </c>
      <c r="E3" t="inlineStr">
        <is>
          <t>Advertised: official page in place</t>
        </is>
      </c>
      <c r="F3" t="inlineStr">
        <is>
          <t>https://programsandcourses.anu.edu.au/program/hacct</t>
        </is>
      </c>
      <c r="G3" t="inlineStr">
        <is>
          <t>https://programsandcourses.anu.edu.au/program/hacct</t>
        </is>
      </c>
      <c r="H3" t="inlineStr">
        <is>
          <t>Read</t>
        </is>
      </c>
      <c r="I3" t="inlineStr">
        <is>
          <t>CRICOS code on page</t>
        </is>
      </c>
      <c r="J3" t="inlineStr"/>
      <c r="K3" t="inlineStr">
        <is>
          <t>Not sent to re-link</t>
        </is>
      </c>
      <c r="L3" t="inlineStr">
        <is>
          <t>Filled</t>
        </is>
      </c>
      <c r="M3" t="inlineStr">
        <is>
          <t>Filled</t>
        </is>
      </c>
      <c r="N3" t="inlineStr">
        <is>
          <t>57640.00 2026</t>
        </is>
      </c>
      <c r="O3" t="n">
        <v>0</v>
      </c>
      <c r="P3" t="inlineStr">
        <is>
          <t>University adapter</t>
        </is>
      </c>
      <c r="Q3" t="inlineStr">
        <is>
          <t>Filled</t>
        </is>
      </c>
      <c r="R3" t="n">
        <v>6.5</v>
      </c>
      <c r="S3" t="inlineStr">
        <is>
          <t>Central English policy</t>
        </is>
      </c>
      <c r="T3" t="inlineStr">
        <is>
          <t>Central rule applies (value agrees)</t>
        </is>
      </c>
      <c r="U3" t="inlineStr"/>
      <c r="V3" t="inlineStr">
        <is>
          <t>Filled</t>
        </is>
      </c>
      <c r="W3" t="inlineStr">
        <is>
          <t>February, July</t>
        </is>
      </c>
      <c r="X3" t="inlineStr">
        <is>
          <t>Page reader</t>
        </is>
      </c>
      <c r="Y3" t="n">
        <v>0</v>
      </c>
      <c r="Z3" t="inlineStr">
        <is>
          <t>Yes</t>
        </is>
      </c>
      <c r="AA3" t="inlineStr">
        <is>
          <t>Filled</t>
        </is>
      </c>
      <c r="AB3" t="inlineStr">
        <is>
          <t>on campus</t>
        </is>
      </c>
      <c r="AC3" t="inlineStr"/>
      <c r="AD3" t="n">
        <v>0</v>
      </c>
      <c r="AE3" t="inlineStr"/>
      <c r="AF3" t="inlineStr"/>
      <c r="AG3" t="inlineStr"/>
      <c r="AH3" t="inlineStr"/>
      <c r="AI3" t="inlineStr"/>
      <c r="AJ3" t="inlineStr"/>
      <c r="AK3" t="inlineStr"/>
      <c r="AL3" t="inlineStr"/>
      <c r="AM3" t="inlineStr"/>
    </row>
    <row r="4">
      <c r="A4" t="inlineStr">
        <is>
          <t>028147F</t>
        </is>
      </c>
      <c r="B4" t="inlineStr">
        <is>
          <t>Bachelor of Actuarial Studies</t>
        </is>
      </c>
      <c r="C4" t="inlineStr">
        <is>
          <t>Bachelor</t>
        </is>
      </c>
      <c r="D4" t="inlineStr">
        <is>
          <t>Undergraduate</t>
        </is>
      </c>
      <c r="E4" t="inlineStr">
        <is>
          <t>Advertised: official page in place</t>
        </is>
      </c>
      <c r="F4" t="inlineStr">
        <is>
          <t>https://programsandcourses.anu.edu.au/program/bacts</t>
        </is>
      </c>
      <c r="G4" t="inlineStr">
        <is>
          <t>https://programsandcourses.anu.edu.au/program/bacts</t>
        </is>
      </c>
      <c r="H4" t="inlineStr">
        <is>
          <t>Read</t>
        </is>
      </c>
      <c r="I4" t="inlineStr">
        <is>
          <t>CRICOS code on page</t>
        </is>
      </c>
      <c r="J4" t="inlineStr"/>
      <c r="K4" t="inlineStr">
        <is>
          <t>Not sent to re-link</t>
        </is>
      </c>
      <c r="L4" t="inlineStr">
        <is>
          <t>Filled</t>
        </is>
      </c>
      <c r="M4" t="inlineStr">
        <is>
          <t>Filled</t>
        </is>
      </c>
      <c r="N4" t="inlineStr">
        <is>
          <t>57640.00 2026</t>
        </is>
      </c>
      <c r="O4" t="n">
        <v>0</v>
      </c>
      <c r="P4" t="inlineStr">
        <is>
          <t>University adapter</t>
        </is>
      </c>
      <c r="Q4" t="inlineStr">
        <is>
          <t>Filled</t>
        </is>
      </c>
      <c r="R4" t="n">
        <v>6.5</v>
      </c>
      <c r="S4" t="inlineStr">
        <is>
          <t>Central English policy</t>
        </is>
      </c>
      <c r="T4" t="inlineStr">
        <is>
          <t>Central rule applies (value agrees)</t>
        </is>
      </c>
      <c r="U4" t="inlineStr"/>
      <c r="V4" t="inlineStr">
        <is>
          <t>Not stated on course page</t>
        </is>
      </c>
      <c r="W4" t="inlineStr"/>
      <c r="X4" t="inlineStr"/>
      <c r="Y4" t="n">
        <v>0</v>
      </c>
      <c r="Z4" t="inlineStr">
        <is>
          <t>Yes</t>
        </is>
      </c>
      <c r="AA4" t="inlineStr">
        <is>
          <t>Filled</t>
        </is>
      </c>
      <c r="AB4" t="inlineStr">
        <is>
          <t>on campus</t>
        </is>
      </c>
      <c r="AC4" t="inlineStr"/>
      <c r="AD4" t="n">
        <v>0</v>
      </c>
      <c r="AE4" t="inlineStr"/>
      <c r="AF4" t="inlineStr"/>
      <c r="AG4" t="inlineStr"/>
      <c r="AH4" t="inlineStr"/>
      <c r="AI4" t="inlineStr"/>
      <c r="AJ4" t="inlineStr"/>
      <c r="AK4" t="inlineStr"/>
      <c r="AL4" t="inlineStr"/>
      <c r="AM4" t="inlineStr"/>
    </row>
    <row r="5">
      <c r="A5" t="inlineStr">
        <is>
          <t>036671G</t>
        </is>
      </c>
      <c r="B5" t="inlineStr">
        <is>
          <t>Bachelor of Actuarial Studies (Honours)</t>
        </is>
      </c>
      <c r="C5" t="inlineStr">
        <is>
          <t>Bachelor Honours Degree</t>
        </is>
      </c>
      <c r="D5" t="inlineStr">
        <is>
          <t>Undergraduate</t>
        </is>
      </c>
      <c r="E5" t="inlineStr">
        <is>
          <t>Advertised: official page in place</t>
        </is>
      </c>
      <c r="F5" t="inlineStr">
        <is>
          <t>https://programsandcourses.anu.edu.au/2023/program/hacts</t>
        </is>
      </c>
      <c r="G5" t="inlineStr">
        <is>
          <t>https://programsandcourses.anu.edu.au/program/hacts</t>
        </is>
      </c>
      <c r="H5" t="inlineStr">
        <is>
          <t>Read</t>
        </is>
      </c>
      <c r="I5" t="inlineStr">
        <is>
          <t>CRICOS code on page</t>
        </is>
      </c>
      <c r="J5" t="inlineStr"/>
      <c r="K5" t="inlineStr">
        <is>
          <t>Not sent to re-link</t>
        </is>
      </c>
      <c r="L5" t="inlineStr">
        <is>
          <t>Filled</t>
        </is>
      </c>
      <c r="M5" t="inlineStr">
        <is>
          <t>Filled</t>
        </is>
      </c>
      <c r="N5" t="inlineStr">
        <is>
          <t>57640.00 2026</t>
        </is>
      </c>
      <c r="O5" t="n">
        <v>0</v>
      </c>
      <c r="P5" t="inlineStr">
        <is>
          <t>University adapter</t>
        </is>
      </c>
      <c r="Q5" t="inlineStr">
        <is>
          <t>Filled</t>
        </is>
      </c>
      <c r="R5" t="n">
        <v>6.5</v>
      </c>
      <c r="S5" t="inlineStr">
        <is>
          <t>Central English policy</t>
        </is>
      </c>
      <c r="T5" t="inlineStr">
        <is>
          <t>Central rule applies (value agrees)</t>
        </is>
      </c>
      <c r="U5" t="inlineStr"/>
      <c r="V5" t="inlineStr">
        <is>
          <t>Filled</t>
        </is>
      </c>
      <c r="W5" t="inlineStr">
        <is>
          <t>February</t>
        </is>
      </c>
      <c r="X5" t="inlineStr">
        <is>
          <t>Other</t>
        </is>
      </c>
      <c r="Y5" t="n">
        <v>0</v>
      </c>
      <c r="Z5" t="inlineStr">
        <is>
          <t>Yes</t>
        </is>
      </c>
      <c r="AA5" t="inlineStr">
        <is>
          <t>Filled</t>
        </is>
      </c>
      <c r="AB5" t="inlineStr">
        <is>
          <t>on campus</t>
        </is>
      </c>
      <c r="AC5" t="inlineStr"/>
      <c r="AD5" t="n">
        <v>0</v>
      </c>
      <c r="AE5" t="inlineStr"/>
      <c r="AF5" t="inlineStr"/>
      <c r="AG5" t="inlineStr"/>
      <c r="AH5" t="inlineStr"/>
      <c r="AI5" t="inlineStr"/>
      <c r="AJ5" t="inlineStr"/>
      <c r="AK5" t="inlineStr"/>
      <c r="AL5" t="inlineStr"/>
      <c r="AM5" t="inlineStr"/>
    </row>
    <row r="6">
      <c r="A6" t="inlineStr">
        <is>
          <t>077939A</t>
        </is>
      </c>
      <c r="B6" t="inlineStr">
        <is>
          <t>Bachelor of Advanced  Computing (Honours)</t>
        </is>
      </c>
      <c r="C6" t="inlineStr">
        <is>
          <t>Bachelor Honours Degree</t>
        </is>
      </c>
      <c r="D6" t="inlineStr">
        <is>
          <t>Undergraduate</t>
        </is>
      </c>
      <c r="E6" t="inlineStr">
        <is>
          <t>Advertised: official page in place</t>
        </is>
      </c>
      <c r="F6" t="inlineStr">
        <is>
          <t>https://programsandcourses.anu.edu.au/program/aacom</t>
        </is>
      </c>
      <c r="G6" t="inlineStr">
        <is>
          <t>https://programsandcourses.anu.edu.au/program/aacom</t>
        </is>
      </c>
      <c r="H6" t="inlineStr">
        <is>
          <t>Read</t>
        </is>
      </c>
      <c r="I6" t="inlineStr">
        <is>
          <t>CRICOS code on page</t>
        </is>
      </c>
      <c r="J6" t="inlineStr"/>
      <c r="K6" t="inlineStr">
        <is>
          <t>Not sent to re-link</t>
        </is>
      </c>
      <c r="L6" t="inlineStr">
        <is>
          <t>Filled</t>
        </is>
      </c>
      <c r="M6" t="inlineStr">
        <is>
          <t>Filled</t>
        </is>
      </c>
      <c r="N6" t="inlineStr">
        <is>
          <t>57640.00 2026</t>
        </is>
      </c>
      <c r="O6" t="n">
        <v>0</v>
      </c>
      <c r="P6" t="inlineStr">
        <is>
          <t>University adapter</t>
        </is>
      </c>
      <c r="Q6" t="inlineStr">
        <is>
          <t>Filled</t>
        </is>
      </c>
      <c r="R6" t="n">
        <v>6.5</v>
      </c>
      <c r="S6" t="inlineStr">
        <is>
          <t>Central English policy</t>
        </is>
      </c>
      <c r="T6" t="inlineStr">
        <is>
          <t>Central rule applies (value agrees)</t>
        </is>
      </c>
      <c r="U6" t="inlineStr"/>
      <c r="V6" t="inlineStr">
        <is>
          <t>Value found, being checked</t>
        </is>
      </c>
      <c r="W6" t="inlineStr"/>
      <c r="X6" t="inlineStr"/>
      <c r="Y6" t="n">
        <v>0</v>
      </c>
      <c r="Z6" t="inlineStr">
        <is>
          <t>Yes</t>
        </is>
      </c>
      <c r="AA6" t="inlineStr">
        <is>
          <t>Filled</t>
        </is>
      </c>
      <c r="AB6" t="inlineStr">
        <is>
          <t>on campus</t>
        </is>
      </c>
      <c r="AC6" t="inlineStr"/>
      <c r="AD6" t="n">
        <v>0</v>
      </c>
      <c r="AE6" t="inlineStr"/>
      <c r="AF6" t="inlineStr">
        <is>
          <t>Yes</t>
        </is>
      </c>
      <c r="AG6" t="inlineStr"/>
      <c r="AH6" t="inlineStr"/>
      <c r="AI6" t="inlineStr"/>
      <c r="AJ6" t="inlineStr"/>
      <c r="AK6" t="inlineStr"/>
      <c r="AL6" t="inlineStr"/>
      <c r="AM6" t="inlineStr"/>
    </row>
    <row r="7">
      <c r="A7" t="inlineStr">
        <is>
          <t>085359K</t>
        </is>
      </c>
      <c r="B7" t="inlineStr">
        <is>
          <t>Bachelor of Advanced Computing (Research and Development) (Honours)</t>
        </is>
      </c>
      <c r="C7" t="inlineStr">
        <is>
          <t>Bachelor Honours Degree</t>
        </is>
      </c>
      <c r="D7" t="inlineStr">
        <is>
          <t>Undergraduate</t>
        </is>
      </c>
      <c r="E7" t="inlineStr">
        <is>
          <t>Advertised: official page in place</t>
        </is>
      </c>
      <c r="F7" t="inlineStr">
        <is>
          <t>https://programsandcourses.anu.edu.au/program/aacrd</t>
        </is>
      </c>
      <c r="G7" t="inlineStr">
        <is>
          <t>https://programsandcourses.anu.edu.au/program/aacrd</t>
        </is>
      </c>
      <c r="H7" t="inlineStr">
        <is>
          <t>Read</t>
        </is>
      </c>
      <c r="I7" t="inlineStr">
        <is>
          <t>CRICOS code on page</t>
        </is>
      </c>
      <c r="J7" t="inlineStr"/>
      <c r="K7" t="inlineStr">
        <is>
          <t>Not sent to re-link</t>
        </is>
      </c>
      <c r="L7" t="inlineStr">
        <is>
          <t>Filled</t>
        </is>
      </c>
      <c r="M7" t="inlineStr">
        <is>
          <t>Filled</t>
        </is>
      </c>
      <c r="N7" t="inlineStr">
        <is>
          <t>57640.00 2026</t>
        </is>
      </c>
      <c r="O7" t="n">
        <v>0</v>
      </c>
      <c r="P7" t="inlineStr">
        <is>
          <t>University adapter</t>
        </is>
      </c>
      <c r="Q7" t="inlineStr">
        <is>
          <t>Filled</t>
        </is>
      </c>
      <c r="R7" t="n">
        <v>6.5</v>
      </c>
      <c r="S7" t="inlineStr">
        <is>
          <t>Central English policy</t>
        </is>
      </c>
      <c r="T7" t="inlineStr">
        <is>
          <t>Central rule applies (value agrees)</t>
        </is>
      </c>
      <c r="U7" t="inlineStr"/>
      <c r="V7" t="inlineStr">
        <is>
          <t>Not stated on course page</t>
        </is>
      </c>
      <c r="W7" t="inlineStr"/>
      <c r="X7" t="inlineStr"/>
      <c r="Y7" t="n">
        <v>0</v>
      </c>
      <c r="Z7" t="inlineStr">
        <is>
          <t>Yes</t>
        </is>
      </c>
      <c r="AA7" t="inlineStr">
        <is>
          <t>Filled</t>
        </is>
      </c>
      <c r="AB7" t="inlineStr">
        <is>
          <t>on campus</t>
        </is>
      </c>
      <c r="AC7" t="inlineStr"/>
      <c r="AD7" t="n">
        <v>0</v>
      </c>
      <c r="AE7" t="inlineStr"/>
      <c r="AF7" t="inlineStr"/>
      <c r="AG7" t="inlineStr"/>
      <c r="AH7" t="inlineStr"/>
      <c r="AI7" t="inlineStr"/>
      <c r="AJ7" t="inlineStr"/>
      <c r="AK7" t="inlineStr"/>
      <c r="AL7" t="inlineStr"/>
      <c r="AM7" t="inlineStr"/>
    </row>
    <row r="8">
      <c r="A8" t="inlineStr">
        <is>
          <t>094621D</t>
        </is>
      </c>
      <c r="B8" t="inlineStr">
        <is>
          <t>Bachelor of Applied Data Analytics</t>
        </is>
      </c>
      <c r="C8" t="inlineStr">
        <is>
          <t>Bachelor</t>
        </is>
      </c>
      <c r="D8" t="inlineStr">
        <is>
          <t>Undergraduate</t>
        </is>
      </c>
      <c r="E8" t="inlineStr">
        <is>
          <t>Advertised: official page in place</t>
        </is>
      </c>
      <c r="F8" t="inlineStr">
        <is>
          <t>https://programsandcourses.anu.edu.au/program/badan</t>
        </is>
      </c>
      <c r="G8" t="inlineStr">
        <is>
          <t>https://programsandcourses.anu.edu.au/program/badan</t>
        </is>
      </c>
      <c r="H8" t="inlineStr">
        <is>
          <t>Read</t>
        </is>
      </c>
      <c r="I8" t="inlineStr">
        <is>
          <t>CRICOS code on page</t>
        </is>
      </c>
      <c r="J8" t="inlineStr"/>
      <c r="K8" t="inlineStr">
        <is>
          <t>Not sent to re-link</t>
        </is>
      </c>
      <c r="L8" t="inlineStr">
        <is>
          <t>Filled</t>
        </is>
      </c>
      <c r="M8" t="inlineStr">
        <is>
          <t>Filled</t>
        </is>
      </c>
      <c r="N8" t="inlineStr">
        <is>
          <t>57640.00 2026</t>
        </is>
      </c>
      <c r="O8" t="n">
        <v>0</v>
      </c>
      <c r="P8" t="inlineStr">
        <is>
          <t>University adapter</t>
        </is>
      </c>
      <c r="Q8" t="inlineStr">
        <is>
          <t>Filled</t>
        </is>
      </c>
      <c r="R8" t="n">
        <v>6.5</v>
      </c>
      <c r="S8" t="inlineStr">
        <is>
          <t>Central English policy</t>
        </is>
      </c>
      <c r="T8" t="inlineStr">
        <is>
          <t>Central rule applies (value agrees)</t>
        </is>
      </c>
      <c r="U8" t="inlineStr"/>
      <c r="V8" t="inlineStr">
        <is>
          <t>Value found, being checked</t>
        </is>
      </c>
      <c r="W8" t="inlineStr"/>
      <c r="X8" t="inlineStr"/>
      <c r="Y8" t="n">
        <v>0</v>
      </c>
      <c r="Z8" t="inlineStr">
        <is>
          <t>Yes</t>
        </is>
      </c>
      <c r="AA8" t="inlineStr">
        <is>
          <t>Filled</t>
        </is>
      </c>
      <c r="AB8" t="inlineStr">
        <is>
          <t>on campus</t>
        </is>
      </c>
      <c r="AC8" t="inlineStr"/>
      <c r="AD8" t="n">
        <v>0</v>
      </c>
      <c r="AE8" t="inlineStr"/>
      <c r="AF8" t="inlineStr">
        <is>
          <t>Yes</t>
        </is>
      </c>
      <c r="AG8" t="inlineStr"/>
      <c r="AH8" t="inlineStr"/>
      <c r="AI8" t="inlineStr"/>
      <c r="AJ8" t="inlineStr"/>
      <c r="AK8" t="inlineStr"/>
      <c r="AL8" t="inlineStr"/>
      <c r="AM8" t="inlineStr"/>
    </row>
    <row r="9">
      <c r="A9" t="inlineStr">
        <is>
          <t>094622C</t>
        </is>
      </c>
      <c r="B9" t="inlineStr">
        <is>
          <t>Bachelor of Applied Data Analytics (Honours)</t>
        </is>
      </c>
      <c r="C9" t="inlineStr">
        <is>
          <t>Bachelor Honours Degree</t>
        </is>
      </c>
      <c r="D9" t="inlineStr">
        <is>
          <t>Undergraduate</t>
        </is>
      </c>
      <c r="E9" t="inlineStr">
        <is>
          <t>Advertised: official page in place</t>
        </is>
      </c>
      <c r="F9" t="inlineStr">
        <is>
          <t>https://programsandcourses.anu.edu.au/program/hadan</t>
        </is>
      </c>
      <c r="G9" t="inlineStr">
        <is>
          <t>https://programsandcourses.anu.edu.au/program/hadan</t>
        </is>
      </c>
      <c r="H9" t="inlineStr">
        <is>
          <t>Read</t>
        </is>
      </c>
      <c r="I9" t="inlineStr">
        <is>
          <t>CRICOS code on page</t>
        </is>
      </c>
      <c r="J9" t="inlineStr"/>
      <c r="K9" t="inlineStr">
        <is>
          <t>Not sent to re-link</t>
        </is>
      </c>
      <c r="L9" t="inlineStr">
        <is>
          <t>Filled</t>
        </is>
      </c>
      <c r="M9" t="inlineStr">
        <is>
          <t>Filled</t>
        </is>
      </c>
      <c r="N9" t="inlineStr">
        <is>
          <t>57640.00 2026</t>
        </is>
      </c>
      <c r="O9" t="n">
        <v>0</v>
      </c>
      <c r="P9" t="inlineStr">
        <is>
          <t>University adapter</t>
        </is>
      </c>
      <c r="Q9" t="inlineStr">
        <is>
          <t>Filled</t>
        </is>
      </c>
      <c r="R9" t="n">
        <v>6.5</v>
      </c>
      <c r="S9" t="inlineStr">
        <is>
          <t>Central English policy</t>
        </is>
      </c>
      <c r="T9" t="inlineStr">
        <is>
          <t>Central rule applies (value agrees)</t>
        </is>
      </c>
      <c r="U9" t="inlineStr"/>
      <c r="V9" t="inlineStr">
        <is>
          <t>Not stated on course page</t>
        </is>
      </c>
      <c r="W9" t="inlineStr"/>
      <c r="X9" t="inlineStr"/>
      <c r="Y9" t="n">
        <v>0</v>
      </c>
      <c r="Z9" t="inlineStr">
        <is>
          <t>Yes</t>
        </is>
      </c>
      <c r="AA9" t="inlineStr">
        <is>
          <t>Filled</t>
        </is>
      </c>
      <c r="AB9" t="inlineStr">
        <is>
          <t>on campus</t>
        </is>
      </c>
      <c r="AC9" t="inlineStr"/>
      <c r="AD9" t="n">
        <v>0</v>
      </c>
      <c r="AE9" t="inlineStr"/>
      <c r="AF9" t="inlineStr"/>
      <c r="AG9" t="inlineStr"/>
      <c r="AH9" t="inlineStr"/>
      <c r="AI9" t="inlineStr"/>
      <c r="AJ9" t="inlineStr"/>
      <c r="AK9" t="inlineStr"/>
      <c r="AL9" t="inlineStr"/>
      <c r="AM9" t="inlineStr"/>
    </row>
    <row r="10">
      <c r="A10" t="inlineStr">
        <is>
          <t>073983G</t>
        </is>
      </c>
      <c r="B10" t="inlineStr">
        <is>
          <t>Bachelor of Archaeological Practice</t>
        </is>
      </c>
      <c r="C10" t="inlineStr">
        <is>
          <t>Bachelor</t>
        </is>
      </c>
      <c r="D10" t="inlineStr">
        <is>
          <t>Undergraduate</t>
        </is>
      </c>
      <c r="E10" t="inlineStr">
        <is>
          <t>Advertised: official page in place</t>
        </is>
      </c>
      <c r="F10" t="inlineStr">
        <is>
          <t>https://programsandcourses.anu.edu.au/2020/vertical-double/baprc-mjd</t>
        </is>
      </c>
      <c r="G10" t="inlineStr">
        <is>
          <t>https://programsandcourses.anu.edu.au/2020/vertical-double/baprc-mjd</t>
        </is>
      </c>
      <c r="H10" t="inlineStr">
        <is>
          <t>Read</t>
        </is>
      </c>
      <c r="I10" t="inlineStr">
        <is>
          <t>CRICOS code on page</t>
        </is>
      </c>
      <c r="J10" t="inlineStr"/>
      <c r="K10" t="inlineStr">
        <is>
          <t>Not sent to re-link</t>
        </is>
      </c>
      <c r="L10" t="inlineStr">
        <is>
          <t>Filled</t>
        </is>
      </c>
      <c r="M10" t="inlineStr">
        <is>
          <t>Waiting for Layer 4 review</t>
        </is>
      </c>
      <c r="N10" t="inlineStr"/>
      <c r="O10" t="n">
        <v>0</v>
      </c>
      <c r="P10" t="inlineStr"/>
      <c r="Q10" t="inlineStr">
        <is>
          <t>Filled</t>
        </is>
      </c>
      <c r="R10" t="n">
        <v>6.5</v>
      </c>
      <c r="S10" t="inlineStr">
        <is>
          <t>Central English policy</t>
        </is>
      </c>
      <c r="T10" t="inlineStr">
        <is>
          <t>Central rule applies (value agrees)</t>
        </is>
      </c>
      <c r="U10" t="inlineStr"/>
      <c r="V10" t="inlineStr">
        <is>
          <t>Not stated on course page</t>
        </is>
      </c>
      <c r="W10" t="inlineStr"/>
      <c r="X10" t="inlineStr"/>
      <c r="Y10" t="n">
        <v>0</v>
      </c>
      <c r="Z10" t="inlineStr">
        <is>
          <t>Yes</t>
        </is>
      </c>
      <c r="AA10" t="inlineStr">
        <is>
          <t>Filled</t>
        </is>
      </c>
      <c r="AB10" t="inlineStr">
        <is>
          <t>on campus</t>
        </is>
      </c>
      <c r="AC10" t="inlineStr">
        <is>
          <t>Filled</t>
        </is>
      </c>
      <c r="AD10" t="n">
        <v>0</v>
      </c>
      <c r="AE10" t="inlineStr"/>
      <c r="AF10" t="inlineStr">
        <is>
          <t>Yes</t>
        </is>
      </c>
      <c r="AG10" t="inlineStr"/>
      <c r="AH10" t="inlineStr"/>
      <c r="AI10" t="inlineStr"/>
      <c r="AJ10" t="inlineStr"/>
      <c r="AK10" t="inlineStr"/>
      <c r="AL10" t="inlineStr"/>
      <c r="AM10" t="inlineStr"/>
    </row>
    <row r="11">
      <c r="A11" t="inlineStr">
        <is>
          <t>081561G</t>
        </is>
      </c>
      <c r="B11" t="inlineStr">
        <is>
          <t>Bachelor of Archaeological Practice (Honours)</t>
        </is>
      </c>
      <c r="C11" t="inlineStr">
        <is>
          <t>Bachelor Honours Degree</t>
        </is>
      </c>
      <c r="D11" t="inlineStr">
        <is>
          <t>Undergraduate</t>
        </is>
      </c>
      <c r="E11" t="inlineStr">
        <is>
          <t>Advertised: official page in place</t>
        </is>
      </c>
      <c r="F11" t="inlineStr">
        <is>
          <t>https://programsandcourses.anu.edu.au/program/haprc</t>
        </is>
      </c>
      <c r="G11" t="inlineStr">
        <is>
          <t>https://programsandcourses.anu.edu.au/program/haprc</t>
        </is>
      </c>
      <c r="H11" t="inlineStr">
        <is>
          <t>Read</t>
        </is>
      </c>
      <c r="I11" t="inlineStr">
        <is>
          <t>CRICOS code on page</t>
        </is>
      </c>
      <c r="J11" t="inlineStr"/>
      <c r="K11" t="inlineStr">
        <is>
          <t>Not sent to re-link</t>
        </is>
      </c>
      <c r="L11" t="inlineStr">
        <is>
          <t>Filled</t>
        </is>
      </c>
      <c r="M11" t="inlineStr">
        <is>
          <t>Filled</t>
        </is>
      </c>
      <c r="N11" t="inlineStr">
        <is>
          <t>47940.00 2026</t>
        </is>
      </c>
      <c r="O11" t="n">
        <v>0</v>
      </c>
      <c r="P11" t="inlineStr">
        <is>
          <t>University adapter</t>
        </is>
      </c>
      <c r="Q11" t="inlineStr">
        <is>
          <t>Filled</t>
        </is>
      </c>
      <c r="R11" t="n">
        <v>6.5</v>
      </c>
      <c r="S11" t="inlineStr">
        <is>
          <t>Central English policy</t>
        </is>
      </c>
      <c r="T11" t="inlineStr">
        <is>
          <t>Central rule applies (value agrees)</t>
        </is>
      </c>
      <c r="U11" t="inlineStr"/>
      <c r="V11" t="inlineStr">
        <is>
          <t>Not stated on course page</t>
        </is>
      </c>
      <c r="W11" t="inlineStr"/>
      <c r="X11" t="inlineStr"/>
      <c r="Y11" t="n">
        <v>0</v>
      </c>
      <c r="Z11" t="inlineStr">
        <is>
          <t>Yes</t>
        </is>
      </c>
      <c r="AA11" t="inlineStr">
        <is>
          <t>Filled</t>
        </is>
      </c>
      <c r="AB11" t="inlineStr">
        <is>
          <t>on campus</t>
        </is>
      </c>
      <c r="AC11" t="inlineStr"/>
      <c r="AD11" t="n">
        <v>0</v>
      </c>
      <c r="AE11" t="inlineStr"/>
      <c r="AF11" t="inlineStr"/>
      <c r="AG11" t="inlineStr"/>
      <c r="AH11" t="inlineStr"/>
      <c r="AI11" t="inlineStr"/>
      <c r="AJ11" t="inlineStr"/>
      <c r="AK11" t="inlineStr"/>
      <c r="AL11" t="inlineStr"/>
      <c r="AM11" t="inlineStr"/>
    </row>
    <row r="12">
      <c r="A12" t="inlineStr">
        <is>
          <t>073993E</t>
        </is>
      </c>
      <c r="B12" t="inlineStr">
        <is>
          <t>Bachelor of Art History and Curatorship</t>
        </is>
      </c>
      <c r="C12" t="inlineStr">
        <is>
          <t>Bachelor</t>
        </is>
      </c>
      <c r="D12" t="inlineStr">
        <is>
          <t>Undergraduate</t>
        </is>
      </c>
      <c r="E12" t="inlineStr">
        <is>
          <t>Advertised: official page in place</t>
        </is>
      </c>
      <c r="F12" t="inlineStr">
        <is>
          <t>https://programsandcourses.anu.edu.au/2020/vertical-double/bahcr-mstst</t>
        </is>
      </c>
      <c r="G12" t="inlineStr">
        <is>
          <t>https://programsandcourses.anu.edu.au/2020/vertical-double/bahcr-mstst</t>
        </is>
      </c>
      <c r="H12" t="inlineStr">
        <is>
          <t>Read</t>
        </is>
      </c>
      <c r="I12" t="inlineStr">
        <is>
          <t>CRICOS code on page</t>
        </is>
      </c>
      <c r="J12" t="inlineStr"/>
      <c r="K12" t="inlineStr">
        <is>
          <t>Not sent to re-link</t>
        </is>
      </c>
      <c r="L12" t="inlineStr">
        <is>
          <t>Filled</t>
        </is>
      </c>
      <c r="M12" t="inlineStr">
        <is>
          <t>Waiting for Layer 4 review</t>
        </is>
      </c>
      <c r="N12" t="inlineStr"/>
      <c r="O12" t="n">
        <v>0</v>
      </c>
      <c r="P12" t="inlineStr"/>
      <c r="Q12" t="inlineStr">
        <is>
          <t>Filled</t>
        </is>
      </c>
      <c r="R12" t="n">
        <v>6.5</v>
      </c>
      <c r="S12" t="inlineStr">
        <is>
          <t>Central English policy</t>
        </is>
      </c>
      <c r="T12" t="inlineStr">
        <is>
          <t>Central rule applies (value agrees)</t>
        </is>
      </c>
      <c r="U12" t="inlineStr"/>
      <c r="V12" t="inlineStr">
        <is>
          <t>Value found, being checked</t>
        </is>
      </c>
      <c r="W12" t="inlineStr"/>
      <c r="X12" t="inlineStr"/>
      <c r="Y12" t="n">
        <v>0</v>
      </c>
      <c r="Z12" t="inlineStr">
        <is>
          <t>Yes</t>
        </is>
      </c>
      <c r="AA12" t="inlineStr">
        <is>
          <t>Filled</t>
        </is>
      </c>
      <c r="AB12" t="inlineStr">
        <is>
          <t>on campus</t>
        </is>
      </c>
      <c r="AC12" t="inlineStr">
        <is>
          <t>Filled</t>
        </is>
      </c>
      <c r="AD12" t="n">
        <v>0</v>
      </c>
      <c r="AE12" t="inlineStr"/>
      <c r="AF12" t="inlineStr">
        <is>
          <t>Yes</t>
        </is>
      </c>
      <c r="AG12" t="inlineStr"/>
      <c r="AH12" t="inlineStr"/>
      <c r="AI12" t="inlineStr"/>
      <c r="AJ12" t="inlineStr"/>
      <c r="AK12" t="inlineStr"/>
      <c r="AL12" t="inlineStr"/>
      <c r="AM12" t="inlineStr"/>
    </row>
    <row r="13">
      <c r="A13" t="inlineStr">
        <is>
          <t>082706J</t>
        </is>
      </c>
      <c r="B13" t="inlineStr">
        <is>
          <t>Bachelor of Art History and Curatorship (Honours)</t>
        </is>
      </c>
      <c r="C13" t="inlineStr">
        <is>
          <t>Bachelor Honours Degree</t>
        </is>
      </c>
      <c r="D13" t="inlineStr">
        <is>
          <t>Undergraduate</t>
        </is>
      </c>
      <c r="E13" t="inlineStr">
        <is>
          <t>Advertised: official page in place</t>
        </is>
      </c>
      <c r="F13" t="inlineStr">
        <is>
          <t>https://programsandcourses.anu.edu.au/program/hahcr</t>
        </is>
      </c>
      <c r="G13" t="inlineStr">
        <is>
          <t>https://programsandcourses.anu.edu.au/program/hahcr</t>
        </is>
      </c>
      <c r="H13" t="inlineStr">
        <is>
          <t>Read</t>
        </is>
      </c>
      <c r="I13" t="inlineStr">
        <is>
          <t>CRICOS code on page</t>
        </is>
      </c>
      <c r="J13" t="inlineStr"/>
      <c r="K13" t="inlineStr">
        <is>
          <t>Not sent to re-link</t>
        </is>
      </c>
      <c r="L13" t="inlineStr">
        <is>
          <t>Filled</t>
        </is>
      </c>
      <c r="M13" t="inlineStr">
        <is>
          <t>Filled</t>
        </is>
      </c>
      <c r="N13" t="inlineStr">
        <is>
          <t>47940.00 2026</t>
        </is>
      </c>
      <c r="O13" t="n">
        <v>0</v>
      </c>
      <c r="P13" t="inlineStr">
        <is>
          <t>University adapter</t>
        </is>
      </c>
      <c r="Q13" t="inlineStr">
        <is>
          <t>Filled</t>
        </is>
      </c>
      <c r="R13" t="n">
        <v>6.5</v>
      </c>
      <c r="S13" t="inlineStr">
        <is>
          <t>Central English policy</t>
        </is>
      </c>
      <c r="T13" t="inlineStr">
        <is>
          <t>Central rule applies (value agrees)</t>
        </is>
      </c>
      <c r="U13" t="inlineStr"/>
      <c r="V13" t="inlineStr">
        <is>
          <t>Not stated on course page</t>
        </is>
      </c>
      <c r="W13" t="inlineStr"/>
      <c r="X13" t="inlineStr"/>
      <c r="Y13" t="n">
        <v>0</v>
      </c>
      <c r="Z13" t="inlineStr">
        <is>
          <t>Yes</t>
        </is>
      </c>
      <c r="AA13" t="inlineStr">
        <is>
          <t>Filled</t>
        </is>
      </c>
      <c r="AB13" t="inlineStr">
        <is>
          <t>on campus</t>
        </is>
      </c>
      <c r="AC13" t="inlineStr"/>
      <c r="AD13" t="n">
        <v>0</v>
      </c>
      <c r="AE13" t="inlineStr"/>
      <c r="AF13" t="inlineStr"/>
      <c r="AG13" t="inlineStr"/>
      <c r="AH13" t="inlineStr"/>
      <c r="AI13" t="inlineStr"/>
      <c r="AJ13" t="inlineStr"/>
      <c r="AK13" t="inlineStr"/>
      <c r="AL13" t="inlineStr"/>
      <c r="AM13" t="inlineStr"/>
    </row>
    <row r="14">
      <c r="A14" t="inlineStr">
        <is>
          <t>074016B</t>
        </is>
      </c>
      <c r="B14" t="inlineStr">
        <is>
          <t>Bachelor of Arts</t>
        </is>
      </c>
      <c r="C14" t="inlineStr">
        <is>
          <t>Bachelor</t>
        </is>
      </c>
      <c r="D14" t="inlineStr">
        <is>
          <t>Undergraduate</t>
        </is>
      </c>
      <c r="E14" t="inlineStr">
        <is>
          <t>Advertised: official page in place</t>
        </is>
      </c>
      <c r="F14" t="inlineStr">
        <is>
          <t>https://cass.anu.edu.au/degrees/bachelor-arts</t>
        </is>
      </c>
      <c r="G14" t="inlineStr">
        <is>
          <t>https://cass.anu.edu.au/degrees/bachelor-arts</t>
        </is>
      </c>
      <c r="H14" t="inlineStr">
        <is>
          <t>Read</t>
        </is>
      </c>
      <c r="I14" t="inlineStr">
        <is>
          <t>CRICOS code on page</t>
        </is>
      </c>
      <c r="J14" t="inlineStr"/>
      <c r="K14" t="inlineStr">
        <is>
          <t>Not sent to re-link</t>
        </is>
      </c>
      <c r="L14" t="inlineStr">
        <is>
          <t>Filled</t>
        </is>
      </c>
      <c r="M14" t="inlineStr">
        <is>
          <t>Not stated on course page</t>
        </is>
      </c>
      <c r="N14" t="inlineStr"/>
      <c r="O14" t="n">
        <v>0</v>
      </c>
      <c r="P14" t="inlineStr"/>
      <c r="Q14" t="inlineStr">
        <is>
          <t>Filled</t>
        </is>
      </c>
      <c r="R14" t="n">
        <v>6.5</v>
      </c>
      <c r="S14" t="inlineStr">
        <is>
          <t>Central English policy</t>
        </is>
      </c>
      <c r="T14" t="inlineStr">
        <is>
          <t>Central rule applies (value agrees)</t>
        </is>
      </c>
      <c r="U14" t="inlineStr"/>
      <c r="V14" t="inlineStr">
        <is>
          <t>Waiting for AI reading (Layer 3, now retired)</t>
        </is>
      </c>
      <c r="W14" t="inlineStr"/>
      <c r="X14" t="inlineStr"/>
      <c r="Y14" t="n">
        <v>0</v>
      </c>
      <c r="Z14" t="inlineStr">
        <is>
          <t>Yes</t>
        </is>
      </c>
      <c r="AA14" t="inlineStr">
        <is>
          <t>Filled</t>
        </is>
      </c>
      <c r="AB14" t="inlineStr">
        <is>
          <t>on campus</t>
        </is>
      </c>
      <c r="AC14" t="inlineStr">
        <is>
          <t>Filled</t>
        </is>
      </c>
      <c r="AD14" t="n">
        <v>0</v>
      </c>
      <c r="AE14" t="inlineStr"/>
      <c r="AF14" t="inlineStr"/>
      <c r="AG14" t="inlineStr">
        <is>
          <t>Yes</t>
        </is>
      </c>
      <c r="AH14" t="inlineStr"/>
      <c r="AI14" t="inlineStr"/>
      <c r="AJ14" t="inlineStr"/>
      <c r="AK14" t="inlineStr"/>
      <c r="AL14" t="inlineStr"/>
      <c r="AM14" t="inlineStr"/>
    </row>
    <row r="15">
      <c r="A15" t="inlineStr">
        <is>
          <t>002285K</t>
        </is>
      </c>
      <c r="B15" t="inlineStr">
        <is>
          <t>Bachelor of Arts (Honours)</t>
        </is>
      </c>
      <c r="C15" t="inlineStr">
        <is>
          <t>Bachelor Honours Degree</t>
        </is>
      </c>
      <c r="D15" t="inlineStr">
        <is>
          <t>Undergraduate</t>
        </is>
      </c>
      <c r="E15" t="inlineStr">
        <is>
          <t>Advertised: official page in place</t>
        </is>
      </c>
      <c r="F15" t="inlineStr">
        <is>
          <t>https://programsandcourses.anu.edu.au/program/hart2</t>
        </is>
      </c>
      <c r="G15" t="inlineStr">
        <is>
          <t>https://programsandcourses.anu.edu.au/program/hart2</t>
        </is>
      </c>
      <c r="H15" t="inlineStr">
        <is>
          <t>Read</t>
        </is>
      </c>
      <c r="I15" t="inlineStr">
        <is>
          <t>CRICOS code on page</t>
        </is>
      </c>
      <c r="J15" t="inlineStr"/>
      <c r="K15" t="inlineStr">
        <is>
          <t>Not sent to re-link</t>
        </is>
      </c>
      <c r="L15" t="inlineStr">
        <is>
          <t>Filled</t>
        </is>
      </c>
      <c r="M15" t="inlineStr">
        <is>
          <t>Filled</t>
        </is>
      </c>
      <c r="N15" t="inlineStr">
        <is>
          <t>51170.00 2026</t>
        </is>
      </c>
      <c r="O15" t="n">
        <v>0</v>
      </c>
      <c r="P15" t="inlineStr">
        <is>
          <t>University adapter</t>
        </is>
      </c>
      <c r="Q15" t="inlineStr">
        <is>
          <t>Filled</t>
        </is>
      </c>
      <c r="R15" t="n">
        <v>6.5</v>
      </c>
      <c r="S15" t="inlineStr">
        <is>
          <t>Central English policy</t>
        </is>
      </c>
      <c r="T15" t="inlineStr">
        <is>
          <t>Central rule applies (value agrees)</t>
        </is>
      </c>
      <c r="U15" t="inlineStr"/>
      <c r="V15" t="inlineStr">
        <is>
          <t>Not stated on course page</t>
        </is>
      </c>
      <c r="W15" t="inlineStr"/>
      <c r="X15" t="inlineStr"/>
      <c r="Y15" t="n">
        <v>0</v>
      </c>
      <c r="Z15" t="inlineStr">
        <is>
          <t>Yes</t>
        </is>
      </c>
      <c r="AA15" t="inlineStr">
        <is>
          <t>Filled</t>
        </is>
      </c>
      <c r="AB15" t="inlineStr">
        <is>
          <t>on campus</t>
        </is>
      </c>
      <c r="AC15" t="inlineStr"/>
      <c r="AD15" t="n">
        <v>0</v>
      </c>
      <c r="AE15" t="inlineStr"/>
      <c r="AF15" t="inlineStr"/>
      <c r="AG15" t="inlineStr"/>
      <c r="AH15" t="inlineStr"/>
      <c r="AI15" t="inlineStr"/>
      <c r="AJ15" t="inlineStr"/>
      <c r="AK15" t="inlineStr"/>
      <c r="AL15" t="inlineStr"/>
      <c r="AM15" t="inlineStr"/>
    </row>
    <row r="16">
      <c r="A16" t="inlineStr">
        <is>
          <t>099464E</t>
        </is>
      </c>
      <c r="B16" t="inlineStr">
        <is>
          <t>Bachelor of Arts (with Year in Asia)</t>
        </is>
      </c>
      <c r="C16" t="inlineStr">
        <is>
          <t>Bachelor</t>
        </is>
      </c>
      <c r="D16" t="inlineStr">
        <is>
          <t>Undergraduate</t>
        </is>
      </c>
      <c r="E16" t="inlineStr">
        <is>
          <t>Advertised: official page in place</t>
        </is>
      </c>
      <c r="F16" t="inlineStr">
        <is>
          <t>https://programsandcourses.anu.edu.au/program/barty</t>
        </is>
      </c>
      <c r="G16" t="inlineStr">
        <is>
          <t>https://programsandcourses.anu.edu.au/program/barty</t>
        </is>
      </c>
      <c r="H16" t="inlineStr">
        <is>
          <t>Read</t>
        </is>
      </c>
      <c r="I16" t="inlineStr">
        <is>
          <t>CRICOS code on page</t>
        </is>
      </c>
      <c r="J16" t="inlineStr"/>
      <c r="K16" t="inlineStr">
        <is>
          <t>Not sent to re-link</t>
        </is>
      </c>
      <c r="L16" t="inlineStr">
        <is>
          <t>Filled</t>
        </is>
      </c>
      <c r="M16" t="inlineStr">
        <is>
          <t>Filled</t>
        </is>
      </c>
      <c r="N16" t="inlineStr">
        <is>
          <t>51170.00 2026</t>
        </is>
      </c>
      <c r="O16" t="n">
        <v>0</v>
      </c>
      <c r="P16" t="inlineStr">
        <is>
          <t>University adapter</t>
        </is>
      </c>
      <c r="Q16" t="inlineStr">
        <is>
          <t>Filled</t>
        </is>
      </c>
      <c r="R16" t="n">
        <v>6.5</v>
      </c>
      <c r="S16" t="inlineStr">
        <is>
          <t>Central English policy</t>
        </is>
      </c>
      <c r="T16" t="inlineStr">
        <is>
          <t>Central rule applies (value agrees)</t>
        </is>
      </c>
      <c r="U16" t="inlineStr"/>
      <c r="V16" t="inlineStr">
        <is>
          <t>Not stated on course page</t>
        </is>
      </c>
      <c r="W16" t="inlineStr"/>
      <c r="X16" t="inlineStr"/>
      <c r="Y16" t="n">
        <v>0</v>
      </c>
      <c r="Z16" t="inlineStr">
        <is>
          <t>Yes</t>
        </is>
      </c>
      <c r="AA16" t="inlineStr">
        <is>
          <t>Filled</t>
        </is>
      </c>
      <c r="AB16" t="inlineStr">
        <is>
          <t>on campus</t>
        </is>
      </c>
      <c r="AC16" t="inlineStr"/>
      <c r="AD16" t="n">
        <v>0</v>
      </c>
      <c r="AE16" t="inlineStr"/>
      <c r="AF16" t="inlineStr"/>
      <c r="AG16" t="inlineStr"/>
      <c r="AH16" t="inlineStr"/>
      <c r="AI16" t="inlineStr"/>
      <c r="AJ16" t="inlineStr"/>
      <c r="AK16" t="inlineStr"/>
      <c r="AL16" t="inlineStr"/>
      <c r="AM16" t="inlineStr"/>
    </row>
    <row r="17">
      <c r="A17" t="inlineStr">
        <is>
          <t>096442B</t>
        </is>
      </c>
      <c r="B17" t="inlineStr">
        <is>
          <t>Bachelor of Asia-Pacific Affairs</t>
        </is>
      </c>
      <c r="C17" t="inlineStr">
        <is>
          <t>Bachelor</t>
        </is>
      </c>
      <c r="D17" t="inlineStr">
        <is>
          <t>Undergraduate</t>
        </is>
      </c>
      <c r="E17" t="inlineStr">
        <is>
          <t>Advertised: official page in place</t>
        </is>
      </c>
      <c r="F17" t="inlineStr">
        <is>
          <t>https://programsandcourses.anu.edu.au/program/bapaf</t>
        </is>
      </c>
      <c r="G17" t="inlineStr">
        <is>
          <t>https://programsandcourses.anu.edu.au/program/bapaf</t>
        </is>
      </c>
      <c r="H17" t="inlineStr">
        <is>
          <t>Read</t>
        </is>
      </c>
      <c r="I17" t="inlineStr">
        <is>
          <t>Exact title match</t>
        </is>
      </c>
      <c r="J17" t="inlineStr"/>
      <c r="K17" t="inlineStr">
        <is>
          <t>Not sent to re-link</t>
        </is>
      </c>
      <c r="L17" t="inlineStr">
        <is>
          <t>Filled</t>
        </is>
      </c>
      <c r="M17" t="inlineStr">
        <is>
          <t>Filled</t>
        </is>
      </c>
      <c r="N17" t="inlineStr">
        <is>
          <t>54540.00 2026</t>
        </is>
      </c>
      <c r="O17" t="n">
        <v>0</v>
      </c>
      <c r="P17" t="inlineStr">
        <is>
          <t>University adapter</t>
        </is>
      </c>
      <c r="Q17" t="inlineStr">
        <is>
          <t>Filled</t>
        </is>
      </c>
      <c r="R17" t="n">
        <v>6.5</v>
      </c>
      <c r="S17" t="inlineStr">
        <is>
          <t>Central English policy</t>
        </is>
      </c>
      <c r="T17" t="inlineStr">
        <is>
          <t>Central rule applies (value agrees)</t>
        </is>
      </c>
      <c r="U17" t="inlineStr"/>
      <c r="V17" t="inlineStr">
        <is>
          <t>Not stated on course page</t>
        </is>
      </c>
      <c r="W17" t="inlineStr"/>
      <c r="X17" t="inlineStr"/>
      <c r="Y17" t="n">
        <v>0</v>
      </c>
      <c r="Z17" t="inlineStr">
        <is>
          <t>Yes</t>
        </is>
      </c>
      <c r="AA17" t="inlineStr">
        <is>
          <t>Filled</t>
        </is>
      </c>
      <c r="AB17" t="inlineStr">
        <is>
          <t>on campus</t>
        </is>
      </c>
      <c r="AC17" t="inlineStr"/>
      <c r="AD17" t="n">
        <v>0</v>
      </c>
      <c r="AE17" t="inlineStr"/>
      <c r="AF17" t="inlineStr"/>
      <c r="AG17" t="inlineStr"/>
      <c r="AH17" t="inlineStr"/>
      <c r="AI17" t="inlineStr"/>
      <c r="AJ17" t="inlineStr"/>
      <c r="AK17" t="inlineStr"/>
      <c r="AL17" t="inlineStr"/>
      <c r="AM17" t="inlineStr"/>
    </row>
    <row r="18">
      <c r="A18" t="inlineStr">
        <is>
          <t>082710B</t>
        </is>
      </c>
      <c r="B18" t="inlineStr">
        <is>
          <t>Bachelor of Asian Studies</t>
        </is>
      </c>
      <c r="C18" t="inlineStr">
        <is>
          <t>Bachelor</t>
        </is>
      </c>
      <c r="D18" t="inlineStr">
        <is>
          <t>Undergraduate</t>
        </is>
      </c>
      <c r="E18" t="inlineStr">
        <is>
          <t>Advertised: official page in place</t>
        </is>
      </c>
      <c r="F18" t="inlineStr">
        <is>
          <t>https://programsandcourses.anu.edu.au/2022/program/BASIA</t>
        </is>
      </c>
      <c r="G18" t="inlineStr">
        <is>
          <t>https://programsandcourses.anu.edu.au/program/BASIA</t>
        </is>
      </c>
      <c r="H18" t="inlineStr">
        <is>
          <t>Read</t>
        </is>
      </c>
      <c r="I18" t="inlineStr">
        <is>
          <t>CRICOS code on page</t>
        </is>
      </c>
      <c r="J18" t="inlineStr"/>
      <c r="K18" t="inlineStr">
        <is>
          <t>Not sent to re-link</t>
        </is>
      </c>
      <c r="L18" t="inlineStr">
        <is>
          <t>Filled</t>
        </is>
      </c>
      <c r="M18" t="inlineStr">
        <is>
          <t>Filled</t>
        </is>
      </c>
      <c r="N18" t="inlineStr">
        <is>
          <t>51170.00 2026</t>
        </is>
      </c>
      <c r="O18" t="n">
        <v>0</v>
      </c>
      <c r="P18" t="inlineStr">
        <is>
          <t>University adapter</t>
        </is>
      </c>
      <c r="Q18" t="inlineStr">
        <is>
          <t>Filled</t>
        </is>
      </c>
      <c r="R18" t="n">
        <v>6.5</v>
      </c>
      <c r="S18" t="inlineStr">
        <is>
          <t>Central English policy</t>
        </is>
      </c>
      <c r="T18" t="inlineStr">
        <is>
          <t>Central rule applies (value agrees)</t>
        </is>
      </c>
      <c r="U18" t="inlineStr"/>
      <c r="V18" t="inlineStr">
        <is>
          <t>Not stated on course page</t>
        </is>
      </c>
      <c r="W18" t="inlineStr"/>
      <c r="X18" t="inlineStr"/>
      <c r="Y18" t="n">
        <v>0</v>
      </c>
      <c r="Z18" t="inlineStr">
        <is>
          <t>Yes</t>
        </is>
      </c>
      <c r="AA18" t="inlineStr">
        <is>
          <t>Filled</t>
        </is>
      </c>
      <c r="AB18" t="inlineStr">
        <is>
          <t>on campus</t>
        </is>
      </c>
      <c r="AC18" t="inlineStr"/>
      <c r="AD18" t="n">
        <v>0</v>
      </c>
      <c r="AE18" t="inlineStr"/>
      <c r="AF18" t="inlineStr"/>
      <c r="AG18" t="inlineStr"/>
      <c r="AH18" t="inlineStr"/>
      <c r="AI18" t="inlineStr"/>
      <c r="AJ18" t="inlineStr"/>
      <c r="AK18" t="inlineStr"/>
      <c r="AL18" t="inlineStr"/>
      <c r="AM18" t="inlineStr"/>
    </row>
    <row r="19">
      <c r="A19" t="inlineStr">
        <is>
          <t>085327G</t>
        </is>
      </c>
      <c r="B19" t="inlineStr">
        <is>
          <t>Bachelor of Asian Studies (Honours)</t>
        </is>
      </c>
      <c r="C19" t="inlineStr">
        <is>
          <t>Bachelor Honours Degree</t>
        </is>
      </c>
      <c r="D19" t="inlineStr">
        <is>
          <t>Undergraduate</t>
        </is>
      </c>
      <c r="E19" t="inlineStr">
        <is>
          <t>Advertised: official page in place</t>
        </is>
      </c>
      <c r="F19" t="inlineStr">
        <is>
          <t>https://programsandcourses.anu.edu.au/program/hasia</t>
        </is>
      </c>
      <c r="G19" t="inlineStr">
        <is>
          <t>https://programsandcourses.anu.edu.au/program/hasia</t>
        </is>
      </c>
      <c r="H19" t="inlineStr">
        <is>
          <t>Read</t>
        </is>
      </c>
      <c r="I19" t="inlineStr">
        <is>
          <t>CRICOS code on page</t>
        </is>
      </c>
      <c r="J19" t="inlineStr"/>
      <c r="K19" t="inlineStr">
        <is>
          <t>Not sent to re-link</t>
        </is>
      </c>
      <c r="L19" t="inlineStr">
        <is>
          <t>Filled</t>
        </is>
      </c>
      <c r="M19" t="inlineStr">
        <is>
          <t>Filled</t>
        </is>
      </c>
      <c r="N19" t="inlineStr">
        <is>
          <t>51170.00 2026</t>
        </is>
      </c>
      <c r="O19" t="n">
        <v>0</v>
      </c>
      <c r="P19" t="inlineStr">
        <is>
          <t>University adapter</t>
        </is>
      </c>
      <c r="Q19" t="inlineStr">
        <is>
          <t>Filled</t>
        </is>
      </c>
      <c r="R19" t="n">
        <v>6.5</v>
      </c>
      <c r="S19" t="inlineStr">
        <is>
          <t>Central English policy</t>
        </is>
      </c>
      <c r="T19" t="inlineStr">
        <is>
          <t>Central rule applies (value agrees)</t>
        </is>
      </c>
      <c r="U19" t="inlineStr"/>
      <c r="V19" t="inlineStr">
        <is>
          <t>Not stated on course page</t>
        </is>
      </c>
      <c r="W19" t="inlineStr"/>
      <c r="X19" t="inlineStr"/>
      <c r="Y19" t="n">
        <v>0</v>
      </c>
      <c r="Z19" t="inlineStr">
        <is>
          <t>Yes</t>
        </is>
      </c>
      <c r="AA19" t="inlineStr">
        <is>
          <t>Filled</t>
        </is>
      </c>
      <c r="AB19" t="inlineStr">
        <is>
          <t>on campus</t>
        </is>
      </c>
      <c r="AC19" t="inlineStr"/>
      <c r="AD19" t="n">
        <v>0</v>
      </c>
      <c r="AE19" t="inlineStr"/>
      <c r="AF19" t="inlineStr"/>
      <c r="AG19" t="inlineStr"/>
      <c r="AH19" t="inlineStr"/>
      <c r="AI19" t="inlineStr"/>
      <c r="AJ19" t="inlineStr"/>
      <c r="AK19" t="inlineStr"/>
      <c r="AL19" t="inlineStr"/>
      <c r="AM19" t="inlineStr"/>
    </row>
    <row r="20">
      <c r="A20" t="inlineStr">
        <is>
          <t>099468A</t>
        </is>
      </c>
      <c r="B20" t="inlineStr">
        <is>
          <t>Bachelor of Asian Studies (with Year in Asia)</t>
        </is>
      </c>
      <c r="C20" t="inlineStr">
        <is>
          <t>Bachelor</t>
        </is>
      </c>
      <c r="D20" t="inlineStr">
        <is>
          <t>Undergraduate</t>
        </is>
      </c>
      <c r="E20" t="inlineStr">
        <is>
          <t>Advertised: official page in place</t>
        </is>
      </c>
      <c r="F20" t="inlineStr">
        <is>
          <t>https://programsandcourses.anu.edu.au/2024/program/basy</t>
        </is>
      </c>
      <c r="G20" t="inlineStr">
        <is>
          <t>https://programsandcourses.anu.edu.au/program/basy</t>
        </is>
      </c>
      <c r="H20" t="inlineStr">
        <is>
          <t>Read</t>
        </is>
      </c>
      <c r="I20" t="inlineStr">
        <is>
          <t>CRICOS code on page</t>
        </is>
      </c>
      <c r="J20" t="inlineStr"/>
      <c r="K20" t="inlineStr">
        <is>
          <t>Not sent to re-link</t>
        </is>
      </c>
      <c r="L20" t="inlineStr">
        <is>
          <t>Filled</t>
        </is>
      </c>
      <c r="M20" t="inlineStr">
        <is>
          <t>Filled</t>
        </is>
      </c>
      <c r="N20" t="inlineStr">
        <is>
          <t>51170.00 2026</t>
        </is>
      </c>
      <c r="O20" t="n">
        <v>0</v>
      </c>
      <c r="P20" t="inlineStr">
        <is>
          <t>University adapter</t>
        </is>
      </c>
      <c r="Q20" t="inlineStr">
        <is>
          <t>Filled</t>
        </is>
      </c>
      <c r="R20" t="n">
        <v>6.5</v>
      </c>
      <c r="S20" t="inlineStr">
        <is>
          <t>Central English policy</t>
        </is>
      </c>
      <c r="T20" t="inlineStr">
        <is>
          <t>Central rule applies (value agrees)</t>
        </is>
      </c>
      <c r="U20" t="inlineStr"/>
      <c r="V20" t="inlineStr">
        <is>
          <t>Not stated on course page</t>
        </is>
      </c>
      <c r="W20" t="inlineStr"/>
      <c r="X20" t="inlineStr"/>
      <c r="Y20" t="n">
        <v>0</v>
      </c>
      <c r="Z20" t="inlineStr">
        <is>
          <t>Yes</t>
        </is>
      </c>
      <c r="AA20" t="inlineStr">
        <is>
          <t>Filled</t>
        </is>
      </c>
      <c r="AB20" t="inlineStr">
        <is>
          <t>on campus</t>
        </is>
      </c>
      <c r="AC20" t="inlineStr"/>
      <c r="AD20" t="n">
        <v>0</v>
      </c>
      <c r="AE20" t="inlineStr"/>
      <c r="AF20" t="inlineStr"/>
      <c r="AG20" t="inlineStr"/>
      <c r="AH20" t="inlineStr"/>
      <c r="AI20" t="inlineStr"/>
      <c r="AJ20" t="inlineStr"/>
      <c r="AK20" t="inlineStr"/>
      <c r="AL20" t="inlineStr"/>
      <c r="AM20" t="inlineStr"/>
    </row>
    <row r="21">
      <c r="A21" t="inlineStr">
        <is>
          <t>036660M</t>
        </is>
      </c>
      <c r="B21" t="inlineStr">
        <is>
          <t>Bachelor of Biotechnology</t>
        </is>
      </c>
      <c r="C21" t="inlineStr">
        <is>
          <t>Bachelor</t>
        </is>
      </c>
      <c r="D21" t="inlineStr">
        <is>
          <t>Undergraduate</t>
        </is>
      </c>
      <c r="E21" t="inlineStr">
        <is>
          <t>Advertised: official page in place</t>
        </is>
      </c>
      <c r="F21" t="inlineStr">
        <is>
          <t>https://programsandcourses.anu.edu.au/program/bbiot</t>
        </is>
      </c>
      <c r="G21" t="inlineStr">
        <is>
          <t>https://programsandcourses.anu.edu.au/program/bbiot</t>
        </is>
      </c>
      <c r="H21" t="inlineStr">
        <is>
          <t>Read</t>
        </is>
      </c>
      <c r="I21" t="inlineStr">
        <is>
          <t>CRICOS code on page</t>
        </is>
      </c>
      <c r="J21" t="inlineStr"/>
      <c r="K21" t="inlineStr">
        <is>
          <t>Not sent to re-link</t>
        </is>
      </c>
      <c r="L21" t="inlineStr">
        <is>
          <t>Filled</t>
        </is>
      </c>
      <c r="M21" t="inlineStr">
        <is>
          <t>Filled</t>
        </is>
      </c>
      <c r="N21" t="inlineStr">
        <is>
          <t>57640.00 2026</t>
        </is>
      </c>
      <c r="O21" t="n">
        <v>0</v>
      </c>
      <c r="P21" t="inlineStr">
        <is>
          <t>University adapter</t>
        </is>
      </c>
      <c r="Q21" t="inlineStr">
        <is>
          <t>Filled</t>
        </is>
      </c>
      <c r="R21" t="n">
        <v>6.5</v>
      </c>
      <c r="S21" t="inlineStr">
        <is>
          <t>Central English policy</t>
        </is>
      </c>
      <c r="T21" t="inlineStr">
        <is>
          <t>Central rule applies (value agrees)</t>
        </is>
      </c>
      <c r="U21" t="inlineStr"/>
      <c r="V21" t="inlineStr">
        <is>
          <t>Not stated on course page</t>
        </is>
      </c>
      <c r="W21" t="inlineStr"/>
      <c r="X21" t="inlineStr"/>
      <c r="Y21" t="n">
        <v>0</v>
      </c>
      <c r="Z21" t="inlineStr">
        <is>
          <t>Yes</t>
        </is>
      </c>
      <c r="AA21" t="inlineStr">
        <is>
          <t>Filled</t>
        </is>
      </c>
      <c r="AB21" t="inlineStr">
        <is>
          <t>on campus</t>
        </is>
      </c>
      <c r="AC21" t="inlineStr"/>
      <c r="AD21" t="n">
        <v>0</v>
      </c>
      <c r="AE21" t="inlineStr"/>
      <c r="AF21" t="inlineStr"/>
      <c r="AG21" t="inlineStr"/>
      <c r="AH21" t="inlineStr"/>
      <c r="AI21" t="inlineStr"/>
      <c r="AJ21" t="inlineStr"/>
      <c r="AK21" t="inlineStr"/>
      <c r="AL21" t="inlineStr"/>
      <c r="AM21" t="inlineStr"/>
    </row>
    <row r="22">
      <c r="A22" t="inlineStr">
        <is>
          <t>036675D</t>
        </is>
      </c>
      <c r="B22" t="inlineStr">
        <is>
          <t>Bachelor of Biotechnology (Honours)</t>
        </is>
      </c>
      <c r="C22" t="inlineStr">
        <is>
          <t>Bachelor Honours Degree</t>
        </is>
      </c>
      <c r="D22" t="inlineStr">
        <is>
          <t>Undergraduate</t>
        </is>
      </c>
      <c r="E22" t="inlineStr">
        <is>
          <t>Advertised: official page in place</t>
        </is>
      </c>
      <c r="F22" t="inlineStr">
        <is>
          <t>https://programsandcourses.anu.edu.au/program/hbiot</t>
        </is>
      </c>
      <c r="G22" t="inlineStr">
        <is>
          <t>https://programsandcourses.anu.edu.au/program/hbiot</t>
        </is>
      </c>
      <c r="H22" t="inlineStr">
        <is>
          <t>Read</t>
        </is>
      </c>
      <c r="I22" t="inlineStr">
        <is>
          <t>CRICOS code on page</t>
        </is>
      </c>
      <c r="J22" t="inlineStr"/>
      <c r="K22" t="inlineStr">
        <is>
          <t>Not sent to re-link</t>
        </is>
      </c>
      <c r="L22" t="inlineStr">
        <is>
          <t>Filled</t>
        </is>
      </c>
      <c r="M22" t="inlineStr">
        <is>
          <t>Filled</t>
        </is>
      </c>
      <c r="N22" t="inlineStr">
        <is>
          <t>57640.00 2026</t>
        </is>
      </c>
      <c r="O22" t="n">
        <v>0</v>
      </c>
      <c r="P22" t="inlineStr">
        <is>
          <t>University adapter</t>
        </is>
      </c>
      <c r="Q22" t="inlineStr">
        <is>
          <t>Filled</t>
        </is>
      </c>
      <c r="R22" t="n">
        <v>6.5</v>
      </c>
      <c r="S22" t="inlineStr">
        <is>
          <t>Central English policy</t>
        </is>
      </c>
      <c r="T22" t="inlineStr">
        <is>
          <t>Central rule applies (value agrees)</t>
        </is>
      </c>
      <c r="U22" t="inlineStr"/>
      <c r="V22" t="inlineStr">
        <is>
          <t>Not stated on course page</t>
        </is>
      </c>
      <c r="W22" t="inlineStr"/>
      <c r="X22" t="inlineStr"/>
      <c r="Y22" t="n">
        <v>0</v>
      </c>
      <c r="Z22" t="inlineStr">
        <is>
          <t>Yes</t>
        </is>
      </c>
      <c r="AA22" t="inlineStr">
        <is>
          <t>Filled</t>
        </is>
      </c>
      <c r="AB22" t="inlineStr">
        <is>
          <t>on campus</t>
        </is>
      </c>
      <c r="AC22" t="inlineStr"/>
      <c r="AD22" t="n">
        <v>0</v>
      </c>
      <c r="AE22" t="inlineStr"/>
      <c r="AF22" t="inlineStr"/>
      <c r="AG22" t="inlineStr"/>
      <c r="AH22" t="inlineStr"/>
      <c r="AI22" t="inlineStr"/>
      <c r="AJ22" t="inlineStr"/>
      <c r="AK22" t="inlineStr"/>
      <c r="AL22" t="inlineStr"/>
      <c r="AM22" t="inlineStr"/>
    </row>
    <row r="23">
      <c r="A23" t="inlineStr">
        <is>
          <t>062745A</t>
        </is>
      </c>
      <c r="B23" t="inlineStr">
        <is>
          <t>Bachelor of Business Administration</t>
        </is>
      </c>
      <c r="C23" t="inlineStr">
        <is>
          <t>Bachelor</t>
        </is>
      </c>
      <c r="D23" t="inlineStr">
        <is>
          <t>Undergraduate</t>
        </is>
      </c>
      <c r="E23" t="inlineStr">
        <is>
          <t>Advertised: official page in place</t>
        </is>
      </c>
      <c r="F23" t="inlineStr">
        <is>
          <t>https://programsandcourses.anu.edu.au/program/bbusa</t>
        </is>
      </c>
      <c r="G23" t="inlineStr">
        <is>
          <t>https://programsandcourses.anu.edu.au/program/bbusa</t>
        </is>
      </c>
      <c r="H23" t="inlineStr">
        <is>
          <t>Read</t>
        </is>
      </c>
      <c r="I23" t="inlineStr">
        <is>
          <t>CRICOS code on page</t>
        </is>
      </c>
      <c r="J23" t="inlineStr"/>
      <c r="K23" t="inlineStr">
        <is>
          <t>Not sent to re-link</t>
        </is>
      </c>
      <c r="L23" t="inlineStr">
        <is>
          <t>Filled</t>
        </is>
      </c>
      <c r="M23" t="inlineStr">
        <is>
          <t>Filled</t>
        </is>
      </c>
      <c r="N23" t="inlineStr">
        <is>
          <t>57640.00 2026</t>
        </is>
      </c>
      <c r="O23" t="n">
        <v>0</v>
      </c>
      <c r="P23" t="inlineStr">
        <is>
          <t>University adapter</t>
        </is>
      </c>
      <c r="Q23" t="inlineStr">
        <is>
          <t>Filled</t>
        </is>
      </c>
      <c r="R23" t="n">
        <v>6.5</v>
      </c>
      <c r="S23" t="inlineStr">
        <is>
          <t>Central English policy</t>
        </is>
      </c>
      <c r="T23" t="inlineStr">
        <is>
          <t>Central rule applies (value agrees)</t>
        </is>
      </c>
      <c r="U23" t="inlineStr"/>
      <c r="V23" t="inlineStr">
        <is>
          <t>Not stated on course page</t>
        </is>
      </c>
      <c r="W23" t="inlineStr"/>
      <c r="X23" t="inlineStr"/>
      <c r="Y23" t="n">
        <v>0</v>
      </c>
      <c r="Z23" t="inlineStr">
        <is>
          <t>Yes</t>
        </is>
      </c>
      <c r="AA23" t="inlineStr">
        <is>
          <t>Filled</t>
        </is>
      </c>
      <c r="AB23" t="inlineStr">
        <is>
          <t>on campus</t>
        </is>
      </c>
      <c r="AC23" t="inlineStr"/>
      <c r="AD23" t="n">
        <v>0</v>
      </c>
      <c r="AE23" t="inlineStr"/>
      <c r="AF23" t="inlineStr"/>
      <c r="AG23" t="inlineStr"/>
      <c r="AH23" t="inlineStr"/>
      <c r="AI23" t="inlineStr"/>
      <c r="AJ23" t="inlineStr"/>
      <c r="AK23" t="inlineStr"/>
      <c r="AL23" t="inlineStr"/>
      <c r="AM23" t="inlineStr"/>
    </row>
    <row r="24">
      <c r="A24" t="inlineStr">
        <is>
          <t>063990B</t>
        </is>
      </c>
      <c r="B24" t="inlineStr">
        <is>
          <t>Bachelor of Business Administration (Honours)</t>
        </is>
      </c>
      <c r="C24" t="inlineStr">
        <is>
          <t>Bachelor Honours Degree</t>
        </is>
      </c>
      <c r="D24" t="inlineStr">
        <is>
          <t>Undergraduate</t>
        </is>
      </c>
      <c r="E24" t="inlineStr">
        <is>
          <t>Advertised: official page in place</t>
        </is>
      </c>
      <c r="F24" t="inlineStr">
        <is>
          <t>https://programsandcourses.anu.edu.au/program/hbusa</t>
        </is>
      </c>
      <c r="G24" t="inlineStr">
        <is>
          <t>https://programsandcourses.anu.edu.au/program/hbusa</t>
        </is>
      </c>
      <c r="H24" t="inlineStr">
        <is>
          <t>Read</t>
        </is>
      </c>
      <c r="I24" t="inlineStr">
        <is>
          <t>CRICOS code on page</t>
        </is>
      </c>
      <c r="J24" t="inlineStr"/>
      <c r="K24" t="inlineStr">
        <is>
          <t>Not sent to re-link</t>
        </is>
      </c>
      <c r="L24" t="inlineStr">
        <is>
          <t>Filled</t>
        </is>
      </c>
      <c r="M24" t="inlineStr">
        <is>
          <t>Filled</t>
        </is>
      </c>
      <c r="N24" t="inlineStr">
        <is>
          <t>57640.00 2026</t>
        </is>
      </c>
      <c r="O24" t="n">
        <v>0</v>
      </c>
      <c r="P24" t="inlineStr">
        <is>
          <t>University adapter</t>
        </is>
      </c>
      <c r="Q24" t="inlineStr">
        <is>
          <t>Filled</t>
        </is>
      </c>
      <c r="R24" t="n">
        <v>6.5</v>
      </c>
      <c r="S24" t="inlineStr">
        <is>
          <t>Central English policy</t>
        </is>
      </c>
      <c r="T24" t="inlineStr">
        <is>
          <t>Central rule applies (value agrees)</t>
        </is>
      </c>
      <c r="U24" t="inlineStr"/>
      <c r="V24" t="inlineStr">
        <is>
          <t>Filled</t>
        </is>
      </c>
      <c r="W24" t="inlineStr">
        <is>
          <t>February</t>
        </is>
      </c>
      <c r="X24" t="inlineStr">
        <is>
          <t>Page reader</t>
        </is>
      </c>
      <c r="Y24" t="n">
        <v>0</v>
      </c>
      <c r="Z24" t="inlineStr">
        <is>
          <t>Yes</t>
        </is>
      </c>
      <c r="AA24" t="inlineStr">
        <is>
          <t>Filled</t>
        </is>
      </c>
      <c r="AB24" t="inlineStr">
        <is>
          <t>on campus</t>
        </is>
      </c>
      <c r="AC24" t="inlineStr"/>
      <c r="AD24" t="n">
        <v>0</v>
      </c>
      <c r="AE24" t="inlineStr"/>
      <c r="AF24" t="inlineStr"/>
      <c r="AG24" t="inlineStr"/>
      <c r="AH24" t="inlineStr"/>
      <c r="AI24" t="inlineStr"/>
      <c r="AJ24" t="inlineStr"/>
      <c r="AK24" t="inlineStr"/>
      <c r="AL24" t="inlineStr"/>
      <c r="AM24" t="inlineStr"/>
    </row>
    <row r="25">
      <c r="A25" t="inlineStr">
        <is>
          <t>069537G</t>
        </is>
      </c>
      <c r="B25" t="inlineStr">
        <is>
          <t>Bachelor of Business Administration/Bachelor of Laws</t>
        </is>
      </c>
      <c r="C25" t="inlineStr">
        <is>
          <t>Bachelor</t>
        </is>
      </c>
      <c r="D25" t="inlineStr">
        <is>
          <t>Undergraduate</t>
        </is>
      </c>
      <c r="E25" t="inlineStr">
        <is>
          <t>Held: page found is for another course</t>
        </is>
      </c>
      <c r="F25" t="inlineStr"/>
      <c r="G25" t="inlineStr">
        <is>
          <t>https://programsandcourses.anu.edu.au/program/allb</t>
        </is>
      </c>
      <c r="H25" t="inlineStr">
        <is>
          <t>Page is for another course</t>
        </is>
      </c>
      <c r="I25" t="inlineStr"/>
      <c r="J25" t="inlineStr"/>
      <c r="K25" t="inlineStr">
        <is>
          <t>Finished, no page: no address from the university's address forms or stored lis</t>
        </is>
      </c>
      <c r="L25" t="inlineStr">
        <is>
          <t>Searching for course page</t>
        </is>
      </c>
      <c r="M25" t="inlineStr">
        <is>
          <t>Searching for course page</t>
        </is>
      </c>
      <c r="N25" t="inlineStr"/>
      <c r="O25" t="n">
        <v>0</v>
      </c>
      <c r="P25" t="inlineStr"/>
      <c r="Q25" t="inlineStr">
        <is>
          <t>Filled</t>
        </is>
      </c>
      <c r="R25" t="n">
        <v>6.5</v>
      </c>
      <c r="S25" t="inlineStr">
        <is>
          <t>Central English policy</t>
        </is>
      </c>
      <c r="T25" t="inlineStr">
        <is>
          <t>Central rule applies (value agrees)</t>
        </is>
      </c>
      <c r="U25" t="inlineStr"/>
      <c r="V25" t="inlineStr">
        <is>
          <t>Searching for course page</t>
        </is>
      </c>
      <c r="W25" t="inlineStr"/>
      <c r="X25" t="inlineStr"/>
      <c r="Y25" t="n">
        <v>0</v>
      </c>
      <c r="Z25" t="inlineStr">
        <is>
          <t>Yes</t>
        </is>
      </c>
      <c r="AA25" t="inlineStr">
        <is>
          <t>Not stated on course page</t>
        </is>
      </c>
      <c r="AB25" t="inlineStr"/>
      <c r="AC25" t="inlineStr">
        <is>
          <t>Skipped: taken back: read from an earlier page; the course's page is another co</t>
        </is>
      </c>
      <c r="AD25" t="n">
        <v>1</v>
      </c>
      <c r="AE25" t="inlineStr"/>
      <c r="AF25" t="inlineStr"/>
      <c r="AG25" t="inlineStr"/>
      <c r="AH25" t="inlineStr"/>
      <c r="AI25" t="inlineStr"/>
      <c r="AJ25" t="inlineStr"/>
      <c r="AK25" t="inlineStr"/>
      <c r="AL25" t="inlineStr"/>
      <c r="AM25" t="inlineStr"/>
    </row>
    <row r="26">
      <c r="A26" t="inlineStr">
        <is>
          <t>119825D</t>
        </is>
      </c>
      <c r="B26" t="inlineStr">
        <is>
          <t>Bachelor of Business Information Systems</t>
        </is>
      </c>
      <c r="C26" t="inlineStr">
        <is>
          <t>Bachelor</t>
        </is>
      </c>
      <c r="D26" t="inlineStr">
        <is>
          <t>Undergraduate</t>
        </is>
      </c>
      <c r="E26" t="inlineStr">
        <is>
          <t>Advertised: official page in place</t>
        </is>
      </c>
      <c r="F26" t="inlineStr">
        <is>
          <t>https://programsandcourses.anu.edu.au/2027/program/HBISY</t>
        </is>
      </c>
      <c r="G26" t="inlineStr">
        <is>
          <t>https://programsandcourses.anu.edu.au/2027/program/HBISY</t>
        </is>
      </c>
      <c r="H26" t="inlineStr">
        <is>
          <t>Read</t>
        </is>
      </c>
      <c r="I26" t="inlineStr">
        <is>
          <t>Exact title match</t>
        </is>
      </c>
      <c r="J26" t="inlineStr"/>
      <c r="K26" t="inlineStr">
        <is>
          <t>Not sent to re-link</t>
        </is>
      </c>
      <c r="L26" t="inlineStr">
        <is>
          <t>Filled</t>
        </is>
      </c>
      <c r="M26" t="inlineStr">
        <is>
          <t>Filled</t>
        </is>
      </c>
      <c r="N26" t="inlineStr">
        <is>
          <t>57640.00 2026</t>
        </is>
      </c>
      <c r="O26" t="n">
        <v>0</v>
      </c>
      <c r="P26" t="inlineStr">
        <is>
          <t>University adapter</t>
        </is>
      </c>
      <c r="Q26" t="inlineStr">
        <is>
          <t>Filled</t>
        </is>
      </c>
      <c r="R26" t="n">
        <v>6.5</v>
      </c>
      <c r="S26" t="inlineStr">
        <is>
          <t>Central English policy</t>
        </is>
      </c>
      <c r="T26" t="inlineStr">
        <is>
          <t>Central rule applies (value agrees)</t>
        </is>
      </c>
      <c r="U26" t="inlineStr"/>
      <c r="V26" t="inlineStr">
        <is>
          <t>Filled</t>
        </is>
      </c>
      <c r="W26" t="inlineStr">
        <is>
          <t>February</t>
        </is>
      </c>
      <c r="X26" t="inlineStr">
        <is>
          <t>Page reader</t>
        </is>
      </c>
      <c r="Y26" t="n">
        <v>0</v>
      </c>
      <c r="Z26" t="inlineStr">
        <is>
          <t>Yes</t>
        </is>
      </c>
      <c r="AA26" t="inlineStr">
        <is>
          <t>Filled</t>
        </is>
      </c>
      <c r="AB26" t="inlineStr">
        <is>
          <t>on campus</t>
        </is>
      </c>
      <c r="AC26" t="inlineStr"/>
      <c r="AD26" t="n">
        <v>0</v>
      </c>
      <c r="AE26" t="inlineStr"/>
      <c r="AF26" t="inlineStr"/>
      <c r="AG26" t="inlineStr"/>
      <c r="AH26" t="inlineStr"/>
      <c r="AI26" t="inlineStr"/>
      <c r="AJ26" t="inlineStr"/>
      <c r="AK26" t="inlineStr"/>
      <c r="AL26" t="inlineStr"/>
      <c r="AM26" t="inlineStr"/>
    </row>
    <row r="27">
      <c r="A27" t="inlineStr">
        <is>
          <t>119824E</t>
        </is>
      </c>
      <c r="B27" t="inlineStr">
        <is>
          <t>Bachelor of Business Information Systems (Honours)</t>
        </is>
      </c>
      <c r="C27" t="inlineStr">
        <is>
          <t>Bachelor Honours Degree</t>
        </is>
      </c>
      <c r="D27" t="inlineStr">
        <is>
          <t>Undergraduate</t>
        </is>
      </c>
      <c r="E27" t="inlineStr">
        <is>
          <t>Advertised: official page in place</t>
        </is>
      </c>
      <c r="F27" t="inlineStr">
        <is>
          <t>https://programsandcourses.anu.edu.au/2027/program/HBISY</t>
        </is>
      </c>
      <c r="G27" t="inlineStr">
        <is>
          <t>https://programsandcourses.anu.edu.au/2027/program/HBISY</t>
        </is>
      </c>
      <c r="H27" t="inlineStr">
        <is>
          <t>Read</t>
        </is>
      </c>
      <c r="I27" t="inlineStr">
        <is>
          <t>CRICOS code on page</t>
        </is>
      </c>
      <c r="J27" t="inlineStr"/>
      <c r="K27" t="inlineStr">
        <is>
          <t>Not sent to re-link</t>
        </is>
      </c>
      <c r="L27" t="inlineStr">
        <is>
          <t>Filled</t>
        </is>
      </c>
      <c r="M27" t="inlineStr">
        <is>
          <t>Filled</t>
        </is>
      </c>
      <c r="N27" t="inlineStr">
        <is>
          <t>57640.00 2026</t>
        </is>
      </c>
      <c r="O27" t="n">
        <v>0</v>
      </c>
      <c r="P27" t="inlineStr">
        <is>
          <t>University adapter</t>
        </is>
      </c>
      <c r="Q27" t="inlineStr">
        <is>
          <t>Filled</t>
        </is>
      </c>
      <c r="R27" t="n">
        <v>6.5</v>
      </c>
      <c r="S27" t="inlineStr">
        <is>
          <t>Central English policy</t>
        </is>
      </c>
      <c r="T27" t="inlineStr">
        <is>
          <t>Central rule applies (value agrees)</t>
        </is>
      </c>
      <c r="U27" t="inlineStr"/>
      <c r="V27" t="inlineStr">
        <is>
          <t>Filled</t>
        </is>
      </c>
      <c r="W27" t="inlineStr">
        <is>
          <t>February</t>
        </is>
      </c>
      <c r="X27" t="inlineStr">
        <is>
          <t>Page reader</t>
        </is>
      </c>
      <c r="Y27" t="n">
        <v>0</v>
      </c>
      <c r="Z27" t="inlineStr">
        <is>
          <t>Yes</t>
        </is>
      </c>
      <c r="AA27" t="inlineStr">
        <is>
          <t>Filled</t>
        </is>
      </c>
      <c r="AB27" t="inlineStr">
        <is>
          <t>on campus</t>
        </is>
      </c>
      <c r="AC27" t="inlineStr"/>
      <c r="AD27" t="n">
        <v>0</v>
      </c>
      <c r="AE27" t="inlineStr"/>
      <c r="AF27" t="inlineStr"/>
      <c r="AG27" t="inlineStr"/>
      <c r="AH27" t="inlineStr"/>
      <c r="AI27" t="inlineStr"/>
      <c r="AJ27" t="inlineStr"/>
      <c r="AK27" t="inlineStr"/>
      <c r="AL27" t="inlineStr"/>
      <c r="AM27" t="inlineStr"/>
    </row>
    <row r="28">
      <c r="A28" t="inlineStr">
        <is>
          <t>082707G</t>
        </is>
      </c>
      <c r="B28" t="inlineStr">
        <is>
          <t>Bachelor of Classical Studies (Honours)</t>
        </is>
      </c>
      <c r="C28" t="inlineStr">
        <is>
          <t>Bachelor Honours Degree</t>
        </is>
      </c>
      <c r="D28" t="inlineStr">
        <is>
          <t>Undergraduate</t>
        </is>
      </c>
      <c r="E28" t="inlineStr">
        <is>
          <t>Advertised: official page in place</t>
        </is>
      </c>
      <c r="F28" t="inlineStr">
        <is>
          <t>https://programsandcourses.anu.edu.au/program/hclas</t>
        </is>
      </c>
      <c r="G28" t="inlineStr">
        <is>
          <t>https://programsandcourses.anu.edu.au/program/hclas</t>
        </is>
      </c>
      <c r="H28" t="inlineStr">
        <is>
          <t>Read</t>
        </is>
      </c>
      <c r="I28" t="inlineStr">
        <is>
          <t>CRICOS code on page</t>
        </is>
      </c>
      <c r="J28" t="inlineStr"/>
      <c r="K28" t="inlineStr">
        <is>
          <t>Not sent to re-link</t>
        </is>
      </c>
      <c r="L28" t="inlineStr">
        <is>
          <t>Filled</t>
        </is>
      </c>
      <c r="M28" t="inlineStr">
        <is>
          <t>Filled</t>
        </is>
      </c>
      <c r="N28" t="inlineStr">
        <is>
          <t>47940.00 2026</t>
        </is>
      </c>
      <c r="O28" t="n">
        <v>0</v>
      </c>
      <c r="P28" t="inlineStr">
        <is>
          <t>University adapter</t>
        </is>
      </c>
      <c r="Q28" t="inlineStr">
        <is>
          <t>Filled</t>
        </is>
      </c>
      <c r="R28" t="n">
        <v>6.5</v>
      </c>
      <c r="S28" t="inlineStr">
        <is>
          <t>Central English policy</t>
        </is>
      </c>
      <c r="T28" t="inlineStr">
        <is>
          <t>Central rule applies (value agrees)</t>
        </is>
      </c>
      <c r="U28" t="inlineStr"/>
      <c r="V28" t="inlineStr">
        <is>
          <t>Value found, being checked</t>
        </is>
      </c>
      <c r="W28" t="inlineStr"/>
      <c r="X28" t="inlineStr"/>
      <c r="Y28" t="n">
        <v>0</v>
      </c>
      <c r="Z28" t="inlineStr">
        <is>
          <t>Yes</t>
        </is>
      </c>
      <c r="AA28" t="inlineStr">
        <is>
          <t>Filled</t>
        </is>
      </c>
      <c r="AB28" t="inlineStr">
        <is>
          <t>on campus</t>
        </is>
      </c>
      <c r="AC28" t="inlineStr"/>
      <c r="AD28" t="n">
        <v>0</v>
      </c>
      <c r="AE28" t="inlineStr"/>
      <c r="AF28" t="inlineStr">
        <is>
          <t>Yes</t>
        </is>
      </c>
      <c r="AG28" t="inlineStr"/>
      <c r="AH28" t="inlineStr"/>
      <c r="AI28" t="inlineStr"/>
      <c r="AJ28" t="inlineStr"/>
      <c r="AK28" t="inlineStr"/>
      <c r="AL28" t="inlineStr"/>
      <c r="AM28" t="inlineStr"/>
    </row>
    <row r="29">
      <c r="A29" t="inlineStr">
        <is>
          <t>002289F</t>
        </is>
      </c>
      <c r="B29" t="inlineStr">
        <is>
          <t>Bachelor of Commerce</t>
        </is>
      </c>
      <c r="C29" t="inlineStr">
        <is>
          <t>Bachelor</t>
        </is>
      </c>
      <c r="D29" t="inlineStr">
        <is>
          <t>Undergraduate</t>
        </is>
      </c>
      <c r="E29" t="inlineStr">
        <is>
          <t>Advertised: official page in place</t>
        </is>
      </c>
      <c r="F29" t="inlineStr">
        <is>
          <t>https://programsandcourses.anu.edu.au/program/bcomm</t>
        </is>
      </c>
      <c r="G29" t="inlineStr">
        <is>
          <t>https://programsandcourses.anu.edu.au/program/bcomm</t>
        </is>
      </c>
      <c r="H29" t="inlineStr">
        <is>
          <t>Read</t>
        </is>
      </c>
      <c r="I29" t="inlineStr">
        <is>
          <t>CRICOS code on page</t>
        </is>
      </c>
      <c r="J29" t="inlineStr"/>
      <c r="K29" t="inlineStr">
        <is>
          <t>Not sent to re-link</t>
        </is>
      </c>
      <c r="L29" t="inlineStr">
        <is>
          <t>Filled</t>
        </is>
      </c>
      <c r="M29" t="inlineStr">
        <is>
          <t>Filled</t>
        </is>
      </c>
      <c r="N29" t="inlineStr">
        <is>
          <t>57640.00 2026</t>
        </is>
      </c>
      <c r="O29" t="n">
        <v>0</v>
      </c>
      <c r="P29" t="inlineStr">
        <is>
          <t>University adapter</t>
        </is>
      </c>
      <c r="Q29" t="inlineStr">
        <is>
          <t>Filled</t>
        </is>
      </c>
      <c r="R29" t="n">
        <v>6.5</v>
      </c>
      <c r="S29" t="inlineStr">
        <is>
          <t>Central English policy</t>
        </is>
      </c>
      <c r="T29" t="inlineStr">
        <is>
          <t>Central rule applies (value agrees)</t>
        </is>
      </c>
      <c r="U29" t="inlineStr"/>
      <c r="V29" t="inlineStr">
        <is>
          <t>Not stated on course page</t>
        </is>
      </c>
      <c r="W29" t="inlineStr"/>
      <c r="X29" t="inlineStr"/>
      <c r="Y29" t="n">
        <v>0</v>
      </c>
      <c r="Z29" t="inlineStr">
        <is>
          <t>Yes</t>
        </is>
      </c>
      <c r="AA29" t="inlineStr">
        <is>
          <t>Filled</t>
        </is>
      </c>
      <c r="AB29" t="inlineStr">
        <is>
          <t>on campus</t>
        </is>
      </c>
      <c r="AC29" t="inlineStr"/>
      <c r="AD29" t="n">
        <v>0</v>
      </c>
      <c r="AE29" t="inlineStr"/>
      <c r="AF29" t="inlineStr"/>
      <c r="AG29" t="inlineStr"/>
      <c r="AH29" t="inlineStr"/>
      <c r="AI29" t="inlineStr"/>
      <c r="AJ29" t="inlineStr"/>
      <c r="AK29" t="inlineStr"/>
      <c r="AL29" t="inlineStr"/>
      <c r="AM29" t="inlineStr"/>
    </row>
    <row r="30">
      <c r="A30" t="inlineStr">
        <is>
          <t>002288G</t>
        </is>
      </c>
      <c r="B30" t="inlineStr">
        <is>
          <t>Bachelor of Commerce (Honours)</t>
        </is>
      </c>
      <c r="C30" t="inlineStr">
        <is>
          <t>Bachelor Honours Degree</t>
        </is>
      </c>
      <c r="D30" t="inlineStr">
        <is>
          <t>Undergraduate</t>
        </is>
      </c>
      <c r="E30" t="inlineStr">
        <is>
          <t>Advertised: official page in place</t>
        </is>
      </c>
      <c r="F30" t="inlineStr">
        <is>
          <t>https://programsandcourses.anu.edu.au/2023/program/hcomm</t>
        </is>
      </c>
      <c r="G30" t="inlineStr">
        <is>
          <t>https://programsandcourses.anu.edu.au/program/hcomm</t>
        </is>
      </c>
      <c r="H30" t="inlineStr">
        <is>
          <t>Read</t>
        </is>
      </c>
      <c r="I30" t="inlineStr">
        <is>
          <t>CRICOS code on page</t>
        </is>
      </c>
      <c r="J30" t="inlineStr"/>
      <c r="K30" t="inlineStr">
        <is>
          <t>Not sent to re-link</t>
        </is>
      </c>
      <c r="L30" t="inlineStr">
        <is>
          <t>Filled</t>
        </is>
      </c>
      <c r="M30" t="inlineStr">
        <is>
          <t>Filled</t>
        </is>
      </c>
      <c r="N30" t="inlineStr">
        <is>
          <t>57640.00 2026</t>
        </is>
      </c>
      <c r="O30" t="n">
        <v>0</v>
      </c>
      <c r="P30" t="inlineStr">
        <is>
          <t>University adapter</t>
        </is>
      </c>
      <c r="Q30" t="inlineStr">
        <is>
          <t>Filled</t>
        </is>
      </c>
      <c r="R30" t="n">
        <v>6.5</v>
      </c>
      <c r="S30" t="inlineStr">
        <is>
          <t>Central English policy</t>
        </is>
      </c>
      <c r="T30" t="inlineStr">
        <is>
          <t>Central rule applies (value agrees)</t>
        </is>
      </c>
      <c r="U30" t="inlineStr"/>
      <c r="V30" t="inlineStr">
        <is>
          <t>Filled</t>
        </is>
      </c>
      <c r="W30" t="inlineStr">
        <is>
          <t>February, July</t>
        </is>
      </c>
      <c r="X30" t="inlineStr">
        <is>
          <t>Other</t>
        </is>
      </c>
      <c r="Y30" t="n">
        <v>0</v>
      </c>
      <c r="Z30" t="inlineStr">
        <is>
          <t>Yes</t>
        </is>
      </c>
      <c r="AA30" t="inlineStr">
        <is>
          <t>Filled</t>
        </is>
      </c>
      <c r="AB30" t="inlineStr">
        <is>
          <t>on campus</t>
        </is>
      </c>
      <c r="AC30" t="inlineStr"/>
      <c r="AD30" t="n">
        <v>0</v>
      </c>
      <c r="AE30" t="inlineStr"/>
      <c r="AF30" t="inlineStr"/>
      <c r="AG30" t="inlineStr"/>
      <c r="AH30" t="inlineStr"/>
      <c r="AI30" t="inlineStr"/>
      <c r="AJ30" t="inlineStr"/>
      <c r="AK30" t="inlineStr"/>
      <c r="AL30" t="inlineStr"/>
      <c r="AM30" t="inlineStr"/>
    </row>
    <row r="31">
      <c r="A31" t="inlineStr">
        <is>
          <t>112692B</t>
        </is>
      </c>
      <c r="B31" t="inlineStr">
        <is>
          <t>Bachelor of Computing</t>
        </is>
      </c>
      <c r="C31" t="inlineStr">
        <is>
          <t>Bachelor</t>
        </is>
      </c>
      <c r="D31" t="inlineStr">
        <is>
          <t>Undergraduate</t>
        </is>
      </c>
      <c r="E31" t="inlineStr">
        <is>
          <t>Advertised: official page in place</t>
        </is>
      </c>
      <c r="F31" t="inlineStr">
        <is>
          <t>https://programsandcourses.anu.edu.au/program/bcomp</t>
        </is>
      </c>
      <c r="G31" t="inlineStr">
        <is>
          <t>https://programsandcourses.anu.edu.au/program/bcomp</t>
        </is>
      </c>
      <c r="H31" t="inlineStr">
        <is>
          <t>Read</t>
        </is>
      </c>
      <c r="I31" t="inlineStr">
        <is>
          <t>CRICOS code on page</t>
        </is>
      </c>
      <c r="J31" t="inlineStr"/>
      <c r="K31" t="inlineStr">
        <is>
          <t>Not sent to re-link</t>
        </is>
      </c>
      <c r="L31" t="inlineStr">
        <is>
          <t>Filled</t>
        </is>
      </c>
      <c r="M31" t="inlineStr">
        <is>
          <t>Filled</t>
        </is>
      </c>
      <c r="N31" t="inlineStr">
        <is>
          <t>57640.00 2026</t>
        </is>
      </c>
      <c r="O31" t="n">
        <v>0</v>
      </c>
      <c r="P31" t="inlineStr">
        <is>
          <t>University adapter</t>
        </is>
      </c>
      <c r="Q31" t="inlineStr">
        <is>
          <t>Filled</t>
        </is>
      </c>
      <c r="R31" t="n">
        <v>6.5</v>
      </c>
      <c r="S31" t="inlineStr">
        <is>
          <t>Central English policy</t>
        </is>
      </c>
      <c r="T31" t="inlineStr">
        <is>
          <t>Central rule applies (value agrees)</t>
        </is>
      </c>
      <c r="U31" t="inlineStr"/>
      <c r="V31" t="inlineStr">
        <is>
          <t>Not stated on course page</t>
        </is>
      </c>
      <c r="W31" t="inlineStr"/>
      <c r="X31" t="inlineStr"/>
      <c r="Y31" t="n">
        <v>0</v>
      </c>
      <c r="Z31" t="inlineStr">
        <is>
          <t>Yes</t>
        </is>
      </c>
      <c r="AA31" t="inlineStr">
        <is>
          <t>Filled</t>
        </is>
      </c>
      <c r="AB31" t="inlineStr">
        <is>
          <t>on campus</t>
        </is>
      </c>
      <c r="AC31" t="inlineStr"/>
      <c r="AD31" t="n">
        <v>0</v>
      </c>
      <c r="AE31" t="inlineStr"/>
      <c r="AF31" t="inlineStr"/>
      <c r="AG31" t="inlineStr"/>
      <c r="AH31" t="inlineStr"/>
      <c r="AI31" t="inlineStr"/>
      <c r="AJ31" t="inlineStr"/>
      <c r="AK31" t="inlineStr"/>
      <c r="AL31" t="inlineStr"/>
      <c r="AM31" t="inlineStr"/>
    </row>
    <row r="32">
      <c r="A32" t="inlineStr">
        <is>
          <t>112693A</t>
        </is>
      </c>
      <c r="B32" t="inlineStr">
        <is>
          <t>Bachelor of Computing (Honours)</t>
        </is>
      </c>
      <c r="C32" t="inlineStr">
        <is>
          <t>Bachelor Honours Degree</t>
        </is>
      </c>
      <c r="D32" t="inlineStr">
        <is>
          <t>Undergraduate</t>
        </is>
      </c>
      <c r="E32" t="inlineStr">
        <is>
          <t>Advertised: official page in place</t>
        </is>
      </c>
      <c r="F32" t="inlineStr">
        <is>
          <t>https://programsandcourses.anu.edu.au/2024/program/hcomp</t>
        </is>
      </c>
      <c r="G32" t="inlineStr">
        <is>
          <t>https://programsandcourses.anu.edu.au/program/hcomp</t>
        </is>
      </c>
      <c r="H32" t="inlineStr">
        <is>
          <t>Read</t>
        </is>
      </c>
      <c r="I32" t="inlineStr">
        <is>
          <t>CRICOS code on page</t>
        </is>
      </c>
      <c r="J32" t="inlineStr"/>
      <c r="K32" t="inlineStr">
        <is>
          <t>Not sent to re-link</t>
        </is>
      </c>
      <c r="L32" t="inlineStr">
        <is>
          <t>Filled</t>
        </is>
      </c>
      <c r="M32" t="inlineStr">
        <is>
          <t>Filled</t>
        </is>
      </c>
      <c r="N32" t="inlineStr">
        <is>
          <t>57640.00 2026</t>
        </is>
      </c>
      <c r="O32" t="n">
        <v>0</v>
      </c>
      <c r="P32" t="inlineStr">
        <is>
          <t>University adapter</t>
        </is>
      </c>
      <c r="Q32" t="inlineStr">
        <is>
          <t>Filled</t>
        </is>
      </c>
      <c r="R32" t="n">
        <v>6.5</v>
      </c>
      <c r="S32" t="inlineStr">
        <is>
          <t>Central English policy</t>
        </is>
      </c>
      <c r="T32" t="inlineStr">
        <is>
          <t>Central rule applies (value agrees)</t>
        </is>
      </c>
      <c r="U32" t="inlineStr"/>
      <c r="V32" t="inlineStr">
        <is>
          <t>Waiting for Layer 4 review</t>
        </is>
      </c>
      <c r="W32" t="inlineStr"/>
      <c r="X32" t="inlineStr"/>
      <c r="Y32" t="n">
        <v>0</v>
      </c>
      <c r="Z32" t="inlineStr">
        <is>
          <t>Yes</t>
        </is>
      </c>
      <c r="AA32" t="inlineStr">
        <is>
          <t>Filled</t>
        </is>
      </c>
      <c r="AB32" t="inlineStr">
        <is>
          <t>on campus</t>
        </is>
      </c>
      <c r="AC32" t="inlineStr"/>
      <c r="AD32" t="n">
        <v>0</v>
      </c>
      <c r="AE32" t="inlineStr"/>
      <c r="AF32" t="inlineStr">
        <is>
          <t>Yes</t>
        </is>
      </c>
      <c r="AG32" t="inlineStr"/>
      <c r="AH32" t="inlineStr"/>
      <c r="AI32" t="inlineStr"/>
      <c r="AJ32" t="inlineStr"/>
      <c r="AK32" t="inlineStr"/>
      <c r="AL32" t="inlineStr"/>
      <c r="AM32" t="inlineStr"/>
    </row>
    <row r="33">
      <c r="A33" t="inlineStr">
        <is>
          <t>078937F</t>
        </is>
      </c>
      <c r="B33" t="inlineStr">
        <is>
          <t>Bachelor of Criminology</t>
        </is>
      </c>
      <c r="C33" t="inlineStr">
        <is>
          <t>Bachelor</t>
        </is>
      </c>
      <c r="D33" t="inlineStr">
        <is>
          <t>Undergraduate</t>
        </is>
      </c>
      <c r="E33" t="inlineStr">
        <is>
          <t>Advertised: official page in place</t>
        </is>
      </c>
      <c r="F33" t="inlineStr">
        <is>
          <t>https://programsandcourses.anu.edu.au/2021/vertical-double/bcrim-mling</t>
        </is>
      </c>
      <c r="G33" t="inlineStr">
        <is>
          <t>https://programsandcourses.anu.edu.au/2021/vertical-double/bcrim-mling</t>
        </is>
      </c>
      <c r="H33" t="inlineStr">
        <is>
          <t>Read</t>
        </is>
      </c>
      <c r="I33" t="inlineStr">
        <is>
          <t>CRICOS code on page</t>
        </is>
      </c>
      <c r="J33" t="inlineStr"/>
      <c r="K33" t="inlineStr">
        <is>
          <t>Not sent to re-link</t>
        </is>
      </c>
      <c r="L33" t="inlineStr">
        <is>
          <t>Filled</t>
        </is>
      </c>
      <c r="M33" t="inlineStr">
        <is>
          <t>Waiting for Layer 4 review</t>
        </is>
      </c>
      <c r="N33" t="inlineStr"/>
      <c r="O33" t="n">
        <v>0</v>
      </c>
      <c r="P33" t="inlineStr"/>
      <c r="Q33" t="inlineStr">
        <is>
          <t>Filled</t>
        </is>
      </c>
      <c r="R33" t="n">
        <v>6.5</v>
      </c>
      <c r="S33" t="inlineStr">
        <is>
          <t>Central English policy</t>
        </is>
      </c>
      <c r="T33" t="inlineStr">
        <is>
          <t>Central rule applies (value agrees)</t>
        </is>
      </c>
      <c r="U33" t="inlineStr"/>
      <c r="V33" t="inlineStr">
        <is>
          <t>Not stated on course page</t>
        </is>
      </c>
      <c r="W33" t="inlineStr"/>
      <c r="X33" t="inlineStr"/>
      <c r="Y33" t="n">
        <v>0</v>
      </c>
      <c r="Z33" t="inlineStr">
        <is>
          <t>Yes</t>
        </is>
      </c>
      <c r="AA33" t="inlineStr">
        <is>
          <t>Not stated on course page</t>
        </is>
      </c>
      <c r="AB33" t="inlineStr"/>
      <c r="AC33" t="inlineStr">
        <is>
          <t>Skipped: the page does not state it</t>
        </is>
      </c>
      <c r="AD33" t="n">
        <v>0</v>
      </c>
      <c r="AE33" t="inlineStr"/>
      <c r="AF33" t="inlineStr">
        <is>
          <t>Yes</t>
        </is>
      </c>
      <c r="AG33" t="inlineStr"/>
      <c r="AH33" t="inlineStr"/>
      <c r="AI33" t="inlineStr"/>
      <c r="AJ33" t="inlineStr"/>
      <c r="AK33" t="inlineStr"/>
      <c r="AL33" t="inlineStr"/>
      <c r="AM33" t="inlineStr"/>
    </row>
    <row r="34">
      <c r="A34" t="inlineStr">
        <is>
          <t>082702B</t>
        </is>
      </c>
      <c r="B34" t="inlineStr">
        <is>
          <t>Bachelor of Criminology (Honours)</t>
        </is>
      </c>
      <c r="C34" t="inlineStr">
        <is>
          <t>Bachelor Honours Degree</t>
        </is>
      </c>
      <c r="D34" t="inlineStr">
        <is>
          <t>Undergraduate</t>
        </is>
      </c>
      <c r="E34" t="inlineStr">
        <is>
          <t>Advertised: official page in place</t>
        </is>
      </c>
      <c r="F34" t="inlineStr">
        <is>
          <t>https://programsandcourses.anu.edu.au/2022/program/hcrim</t>
        </is>
      </c>
      <c r="G34" t="inlineStr">
        <is>
          <t>https://programsandcourses.anu.edu.au/program/hcrim</t>
        </is>
      </c>
      <c r="H34" t="inlineStr">
        <is>
          <t>Read</t>
        </is>
      </c>
      <c r="I34" t="inlineStr">
        <is>
          <t>CRICOS code on page</t>
        </is>
      </c>
      <c r="J34" t="inlineStr"/>
      <c r="K34" t="inlineStr">
        <is>
          <t>Not sent to re-link</t>
        </is>
      </c>
      <c r="L34" t="inlineStr">
        <is>
          <t>Filled</t>
        </is>
      </c>
      <c r="M34" t="inlineStr">
        <is>
          <t>Filled</t>
        </is>
      </c>
      <c r="N34" t="inlineStr">
        <is>
          <t>47940.00 2026</t>
        </is>
      </c>
      <c r="O34" t="n">
        <v>0</v>
      </c>
      <c r="P34" t="inlineStr">
        <is>
          <t>University adapter</t>
        </is>
      </c>
      <c r="Q34" t="inlineStr">
        <is>
          <t>Filled</t>
        </is>
      </c>
      <c r="R34" t="n">
        <v>6.5</v>
      </c>
      <c r="S34" t="inlineStr">
        <is>
          <t>Central English policy</t>
        </is>
      </c>
      <c r="T34" t="inlineStr">
        <is>
          <t>Central rule applies (value agrees)</t>
        </is>
      </c>
      <c r="U34" t="inlineStr"/>
      <c r="V34" t="inlineStr">
        <is>
          <t>Not stated on course page</t>
        </is>
      </c>
      <c r="W34" t="inlineStr"/>
      <c r="X34" t="inlineStr"/>
      <c r="Y34" t="n">
        <v>0</v>
      </c>
      <c r="Z34" t="inlineStr">
        <is>
          <t>Yes</t>
        </is>
      </c>
      <c r="AA34" t="inlineStr">
        <is>
          <t>Filled</t>
        </is>
      </c>
      <c r="AB34" t="inlineStr">
        <is>
          <t>on campus</t>
        </is>
      </c>
      <c r="AC34" t="inlineStr"/>
      <c r="AD34" t="n">
        <v>0</v>
      </c>
      <c r="AE34" t="inlineStr"/>
      <c r="AF34" t="inlineStr"/>
      <c r="AG34" t="inlineStr"/>
      <c r="AH34" t="inlineStr"/>
      <c r="AI34" t="inlineStr"/>
      <c r="AJ34" t="inlineStr"/>
      <c r="AK34" t="inlineStr"/>
      <c r="AL34" t="inlineStr"/>
      <c r="AM34" t="inlineStr"/>
    </row>
    <row r="35">
      <c r="A35" t="inlineStr">
        <is>
          <t>092387C</t>
        </is>
      </c>
      <c r="B35" t="inlineStr">
        <is>
          <t>Bachelor of Design</t>
        </is>
      </c>
      <c r="C35" t="inlineStr">
        <is>
          <t>Bachelor</t>
        </is>
      </c>
      <c r="D35" t="inlineStr">
        <is>
          <t>Undergraduate</t>
        </is>
      </c>
      <c r="E35" t="inlineStr">
        <is>
          <t>Advertised: official page in place</t>
        </is>
      </c>
      <c r="F35" t="inlineStr">
        <is>
          <t>https://programsandcourses.anu.edu.au/program/bdesn</t>
        </is>
      </c>
      <c r="G35" t="inlineStr">
        <is>
          <t>https://programsandcourses.anu.edu.au/program/bdesn</t>
        </is>
      </c>
      <c r="H35" t="inlineStr">
        <is>
          <t>Read</t>
        </is>
      </c>
      <c r="I35" t="inlineStr">
        <is>
          <t>CRICOS code on page</t>
        </is>
      </c>
      <c r="J35" t="inlineStr"/>
      <c r="K35" t="inlineStr">
        <is>
          <t>Not sent to re-link</t>
        </is>
      </c>
      <c r="L35" t="inlineStr">
        <is>
          <t>Filled</t>
        </is>
      </c>
      <c r="M35" t="inlineStr">
        <is>
          <t>Filled</t>
        </is>
      </c>
      <c r="N35" t="inlineStr">
        <is>
          <t>47940.00 2026</t>
        </is>
      </c>
      <c r="O35" t="n">
        <v>0</v>
      </c>
      <c r="P35" t="inlineStr">
        <is>
          <t>University adapter</t>
        </is>
      </c>
      <c r="Q35" t="inlineStr">
        <is>
          <t>Filled</t>
        </is>
      </c>
      <c r="R35" t="n">
        <v>6.5</v>
      </c>
      <c r="S35" t="inlineStr">
        <is>
          <t>Central English policy</t>
        </is>
      </c>
      <c r="T35" t="inlineStr">
        <is>
          <t>Central rule applies (value agrees)</t>
        </is>
      </c>
      <c r="U35" t="inlineStr"/>
      <c r="V35" t="inlineStr">
        <is>
          <t>Not stated on course page</t>
        </is>
      </c>
      <c r="W35" t="inlineStr"/>
      <c r="X35" t="inlineStr"/>
      <c r="Y35" t="n">
        <v>0</v>
      </c>
      <c r="Z35" t="inlineStr">
        <is>
          <t>Yes</t>
        </is>
      </c>
      <c r="AA35" t="inlineStr">
        <is>
          <t>Filled</t>
        </is>
      </c>
      <c r="AB35" t="inlineStr">
        <is>
          <t>on campus</t>
        </is>
      </c>
      <c r="AC35" t="inlineStr"/>
      <c r="AD35" t="n">
        <v>0</v>
      </c>
      <c r="AE35" t="inlineStr"/>
      <c r="AF35" t="inlineStr"/>
      <c r="AG35" t="inlineStr"/>
      <c r="AH35" t="inlineStr"/>
      <c r="AI35" t="inlineStr"/>
      <c r="AJ35" t="inlineStr"/>
      <c r="AK35" t="inlineStr"/>
      <c r="AL35" t="inlineStr"/>
      <c r="AM35" t="inlineStr"/>
    </row>
    <row r="36">
      <c r="A36" t="inlineStr">
        <is>
          <t>097617J</t>
        </is>
      </c>
      <c r="B36" t="inlineStr">
        <is>
          <t>Bachelor of Design (Honours)</t>
        </is>
      </c>
      <c r="C36" t="inlineStr">
        <is>
          <t>Bachelor Honours Degree</t>
        </is>
      </c>
      <c r="D36" t="inlineStr">
        <is>
          <t>Undergraduate</t>
        </is>
      </c>
      <c r="E36" t="inlineStr">
        <is>
          <t>Advertised: official page in place</t>
        </is>
      </c>
      <c r="F36" t="inlineStr">
        <is>
          <t>https://programsandcourses.anu.edu.au/program/hdesn</t>
        </is>
      </c>
      <c r="G36" t="inlineStr">
        <is>
          <t>https://programsandcourses.anu.edu.au/program/hdesn</t>
        </is>
      </c>
      <c r="H36" t="inlineStr">
        <is>
          <t>Read</t>
        </is>
      </c>
      <c r="I36" t="inlineStr">
        <is>
          <t>CRICOS code on page</t>
        </is>
      </c>
      <c r="J36" t="inlineStr"/>
      <c r="K36" t="inlineStr">
        <is>
          <t>Not sent to re-link</t>
        </is>
      </c>
      <c r="L36" t="inlineStr">
        <is>
          <t>Filled</t>
        </is>
      </c>
      <c r="M36" t="inlineStr">
        <is>
          <t>Filled</t>
        </is>
      </c>
      <c r="N36" t="inlineStr">
        <is>
          <t>47940.00 2026</t>
        </is>
      </c>
      <c r="O36" t="n">
        <v>0</v>
      </c>
      <c r="P36" t="inlineStr">
        <is>
          <t>University adapter</t>
        </is>
      </c>
      <c r="Q36" t="inlineStr">
        <is>
          <t>Filled</t>
        </is>
      </c>
      <c r="R36" t="n">
        <v>6.5</v>
      </c>
      <c r="S36" t="inlineStr">
        <is>
          <t>Central English policy</t>
        </is>
      </c>
      <c r="T36" t="inlineStr">
        <is>
          <t>Central rule applies (value agrees)</t>
        </is>
      </c>
      <c r="U36" t="inlineStr"/>
      <c r="V36" t="inlineStr">
        <is>
          <t>Not stated on course page</t>
        </is>
      </c>
      <c r="W36" t="inlineStr"/>
      <c r="X36" t="inlineStr"/>
      <c r="Y36" t="n">
        <v>0</v>
      </c>
      <c r="Z36" t="inlineStr">
        <is>
          <t>Yes</t>
        </is>
      </c>
      <c r="AA36" t="inlineStr">
        <is>
          <t>Filled</t>
        </is>
      </c>
      <c r="AB36" t="inlineStr">
        <is>
          <t>on campus</t>
        </is>
      </c>
      <c r="AC36" t="inlineStr"/>
      <c r="AD36" t="n">
        <v>0</v>
      </c>
      <c r="AE36" t="inlineStr"/>
      <c r="AF36" t="inlineStr"/>
      <c r="AG36" t="inlineStr"/>
      <c r="AH36" t="inlineStr"/>
      <c r="AI36" t="inlineStr"/>
      <c r="AJ36" t="inlineStr"/>
      <c r="AK36" t="inlineStr"/>
      <c r="AL36" t="inlineStr"/>
      <c r="AM36" t="inlineStr"/>
    </row>
    <row r="37">
      <c r="A37" t="inlineStr">
        <is>
          <t>073987C</t>
        </is>
      </c>
      <c r="B37" t="inlineStr">
        <is>
          <t>Bachelor of Development Studies</t>
        </is>
      </c>
      <c r="C37" t="inlineStr">
        <is>
          <t>Bachelor</t>
        </is>
      </c>
      <c r="D37" t="inlineStr">
        <is>
          <t>Undergraduate</t>
        </is>
      </c>
      <c r="E37" t="inlineStr">
        <is>
          <t>Advertised: official page in place</t>
        </is>
      </c>
      <c r="F37" t="inlineStr">
        <is>
          <t>https://programsandcourses.anu.edu.au/2025/program/bdevs</t>
        </is>
      </c>
      <c r="G37" t="inlineStr">
        <is>
          <t>https://programsandcourses.anu.edu.au/2021/program/bdevs</t>
        </is>
      </c>
      <c r="H37" t="inlineStr">
        <is>
          <t>Read</t>
        </is>
      </c>
      <c r="I37" t="inlineStr">
        <is>
          <t>CRICOS code on page</t>
        </is>
      </c>
      <c r="J37" t="inlineStr"/>
      <c r="K37" t="inlineStr">
        <is>
          <t>Not sent to re-link</t>
        </is>
      </c>
      <c r="L37" t="inlineStr">
        <is>
          <t>Filled</t>
        </is>
      </c>
      <c r="M37" t="inlineStr">
        <is>
          <t>Filled</t>
        </is>
      </c>
      <c r="N37" t="inlineStr">
        <is>
          <t>45690.00 2026</t>
        </is>
      </c>
      <c r="O37" t="n">
        <v>0</v>
      </c>
      <c r="P37" t="inlineStr">
        <is>
          <t>University adapter</t>
        </is>
      </c>
      <c r="Q37" t="inlineStr">
        <is>
          <t>Filled</t>
        </is>
      </c>
      <c r="R37" t="n">
        <v>6.5</v>
      </c>
      <c r="S37" t="inlineStr">
        <is>
          <t>Central English policy</t>
        </is>
      </c>
      <c r="T37" t="inlineStr">
        <is>
          <t>Central rule applies (value agrees)</t>
        </is>
      </c>
      <c r="U37" t="inlineStr"/>
      <c r="V37" t="inlineStr">
        <is>
          <t>Not stated on course page</t>
        </is>
      </c>
      <c r="W37" t="inlineStr"/>
      <c r="X37" t="inlineStr"/>
      <c r="Y37" t="n">
        <v>0</v>
      </c>
      <c r="Z37" t="inlineStr">
        <is>
          <t>Yes</t>
        </is>
      </c>
      <c r="AA37" t="inlineStr">
        <is>
          <t>Filled</t>
        </is>
      </c>
      <c r="AB37" t="inlineStr">
        <is>
          <t>on campus</t>
        </is>
      </c>
      <c r="AC37" t="inlineStr"/>
      <c r="AD37" t="n">
        <v>0</v>
      </c>
      <c r="AE37" t="inlineStr"/>
      <c r="AF37" t="inlineStr"/>
      <c r="AG37" t="inlineStr"/>
      <c r="AH37" t="inlineStr"/>
      <c r="AI37" t="inlineStr"/>
      <c r="AJ37" t="inlineStr"/>
      <c r="AK37" t="inlineStr"/>
      <c r="AL37" t="inlineStr"/>
      <c r="AM37" t="inlineStr"/>
    </row>
    <row r="38">
      <c r="A38" t="inlineStr">
        <is>
          <t>081558B</t>
        </is>
      </c>
      <c r="B38" t="inlineStr">
        <is>
          <t>Bachelor of Development Studies (Honours)</t>
        </is>
      </c>
      <c r="C38" t="inlineStr">
        <is>
          <t>Bachelor Honours Degree</t>
        </is>
      </c>
      <c r="D38" t="inlineStr">
        <is>
          <t>Undergraduate</t>
        </is>
      </c>
      <c r="E38" t="inlineStr">
        <is>
          <t>Advertised: official page in place</t>
        </is>
      </c>
      <c r="F38" t="inlineStr">
        <is>
          <t>https://programsandcourses.anu.edu.au/2021/program/hdevs</t>
        </is>
      </c>
      <c r="G38" t="inlineStr">
        <is>
          <t>https://programsandcourses.anu.edu.au/program/hdevs</t>
        </is>
      </c>
      <c r="H38" t="inlineStr">
        <is>
          <t>Read</t>
        </is>
      </c>
      <c r="I38" t="inlineStr">
        <is>
          <t>CRICOS code on page</t>
        </is>
      </c>
      <c r="J38" t="inlineStr"/>
      <c r="K38" t="inlineStr">
        <is>
          <t>Not sent to re-link</t>
        </is>
      </c>
      <c r="L38" t="inlineStr">
        <is>
          <t>Filled</t>
        </is>
      </c>
      <c r="M38" t="inlineStr">
        <is>
          <t>Filled</t>
        </is>
      </c>
      <c r="N38" t="inlineStr">
        <is>
          <t>57640.00 2026</t>
        </is>
      </c>
      <c r="O38" t="n">
        <v>0</v>
      </c>
      <c r="P38" t="inlineStr">
        <is>
          <t>University adapter</t>
        </is>
      </c>
      <c r="Q38" t="inlineStr">
        <is>
          <t>Filled</t>
        </is>
      </c>
      <c r="R38" t="n">
        <v>6.5</v>
      </c>
      <c r="S38" t="inlineStr">
        <is>
          <t>Central English policy</t>
        </is>
      </c>
      <c r="T38" t="inlineStr">
        <is>
          <t>Central rule applies (value agrees)</t>
        </is>
      </c>
      <c r="U38" t="inlineStr"/>
      <c r="V38" t="inlineStr">
        <is>
          <t>Not stated on course page</t>
        </is>
      </c>
      <c r="W38" t="inlineStr"/>
      <c r="X38" t="inlineStr"/>
      <c r="Y38" t="n">
        <v>0</v>
      </c>
      <c r="Z38" t="inlineStr">
        <is>
          <t>Yes</t>
        </is>
      </c>
      <c r="AA38" t="inlineStr">
        <is>
          <t>Filled</t>
        </is>
      </c>
      <c r="AB38" t="inlineStr">
        <is>
          <t>on campus</t>
        </is>
      </c>
      <c r="AC38" t="inlineStr"/>
      <c r="AD38" t="n">
        <v>0</v>
      </c>
      <c r="AE38" t="inlineStr"/>
      <c r="AF38" t="inlineStr"/>
      <c r="AG38" t="inlineStr"/>
      <c r="AH38" t="inlineStr"/>
      <c r="AI38" t="inlineStr"/>
      <c r="AJ38" t="inlineStr"/>
      <c r="AK38" t="inlineStr"/>
      <c r="AL38" t="inlineStr"/>
      <c r="AM38" t="inlineStr"/>
    </row>
    <row r="39">
      <c r="A39" t="inlineStr">
        <is>
          <t>099465D</t>
        </is>
      </c>
      <c r="B39" t="inlineStr">
        <is>
          <t>Bachelor of Development Studies (with Year in Asia)</t>
        </is>
      </c>
      <c r="C39" t="inlineStr">
        <is>
          <t>Bachelor</t>
        </is>
      </c>
      <c r="D39" t="inlineStr">
        <is>
          <t>Undergraduate</t>
        </is>
      </c>
      <c r="E39" t="inlineStr">
        <is>
          <t>Advertised: official page in place</t>
        </is>
      </c>
      <c r="F39" t="inlineStr">
        <is>
          <t>https://programsandcourses.anu.edu.au/2022/program/bdevy</t>
        </is>
      </c>
      <c r="G39" t="inlineStr">
        <is>
          <t>https://programsandcourses.anu.edu.au/program/bdevy</t>
        </is>
      </c>
      <c r="H39" t="inlineStr">
        <is>
          <t>Read</t>
        </is>
      </c>
      <c r="I39" t="inlineStr">
        <is>
          <t>CRICOS code on page</t>
        </is>
      </c>
      <c r="J39" t="inlineStr"/>
      <c r="K39" t="inlineStr">
        <is>
          <t>Not sent to re-link</t>
        </is>
      </c>
      <c r="L39" t="inlineStr">
        <is>
          <t>Filled</t>
        </is>
      </c>
      <c r="M39" t="inlineStr">
        <is>
          <t>Filled</t>
        </is>
      </c>
      <c r="N39" t="inlineStr">
        <is>
          <t>57640.00 2026</t>
        </is>
      </c>
      <c r="O39" t="n">
        <v>0</v>
      </c>
      <c r="P39" t="inlineStr">
        <is>
          <t>University adapter</t>
        </is>
      </c>
      <c r="Q39" t="inlineStr">
        <is>
          <t>Filled</t>
        </is>
      </c>
      <c r="R39" t="n">
        <v>6.5</v>
      </c>
      <c r="S39" t="inlineStr">
        <is>
          <t>Central English policy</t>
        </is>
      </c>
      <c r="T39" t="inlineStr">
        <is>
          <t>Central rule applies (value agrees)</t>
        </is>
      </c>
      <c r="U39" t="inlineStr"/>
      <c r="V39" t="inlineStr">
        <is>
          <t>Not stated on course page</t>
        </is>
      </c>
      <c r="W39" t="inlineStr"/>
      <c r="X39" t="inlineStr"/>
      <c r="Y39" t="n">
        <v>0</v>
      </c>
      <c r="Z39" t="inlineStr">
        <is>
          <t>Yes</t>
        </is>
      </c>
      <c r="AA39" t="inlineStr">
        <is>
          <t>Filled</t>
        </is>
      </c>
      <c r="AB39" t="inlineStr">
        <is>
          <t>on campus</t>
        </is>
      </c>
      <c r="AC39" t="inlineStr"/>
      <c r="AD39" t="n">
        <v>0</v>
      </c>
      <c r="AE39" t="inlineStr"/>
      <c r="AF39" t="inlineStr"/>
      <c r="AG39" t="inlineStr"/>
      <c r="AH39" t="inlineStr"/>
      <c r="AI39" t="inlineStr"/>
      <c r="AJ39" t="inlineStr"/>
      <c r="AK39" t="inlineStr"/>
      <c r="AL39" t="inlineStr"/>
      <c r="AM39" t="inlineStr"/>
    </row>
    <row r="40">
      <c r="A40" t="inlineStr">
        <is>
          <t>002290B</t>
        </is>
      </c>
      <c r="B40" t="inlineStr">
        <is>
          <t>Bachelor of Economics</t>
        </is>
      </c>
      <c r="C40" t="inlineStr">
        <is>
          <t>Bachelor</t>
        </is>
      </c>
      <c r="D40" t="inlineStr">
        <is>
          <t>Undergraduate</t>
        </is>
      </c>
      <c r="E40" t="inlineStr">
        <is>
          <t>Advertised: official page in place</t>
        </is>
      </c>
      <c r="F40" t="inlineStr">
        <is>
          <t>https://programsandcourses.anu.edu.au/program/becon</t>
        </is>
      </c>
      <c r="G40" t="inlineStr">
        <is>
          <t>https://programsandcourses.anu.edu.au/program/becon</t>
        </is>
      </c>
      <c r="H40" t="inlineStr">
        <is>
          <t>Read</t>
        </is>
      </c>
      <c r="I40" t="inlineStr">
        <is>
          <t>CRICOS code on page</t>
        </is>
      </c>
      <c r="J40" t="inlineStr"/>
      <c r="K40" t="inlineStr">
        <is>
          <t>Not sent to re-link</t>
        </is>
      </c>
      <c r="L40" t="inlineStr">
        <is>
          <t>Filled</t>
        </is>
      </c>
      <c r="M40" t="inlineStr">
        <is>
          <t>Filled</t>
        </is>
      </c>
      <c r="N40" t="inlineStr">
        <is>
          <t>57640.00 2026</t>
        </is>
      </c>
      <c r="O40" t="n">
        <v>0</v>
      </c>
      <c r="P40" t="inlineStr">
        <is>
          <t>University adapter</t>
        </is>
      </c>
      <c r="Q40" t="inlineStr">
        <is>
          <t>Filled</t>
        </is>
      </c>
      <c r="R40" t="n">
        <v>6.5</v>
      </c>
      <c r="S40" t="inlineStr">
        <is>
          <t>Central English policy</t>
        </is>
      </c>
      <c r="T40" t="inlineStr">
        <is>
          <t>Central rule applies (value agrees)</t>
        </is>
      </c>
      <c r="U40" t="inlineStr"/>
      <c r="V40" t="inlineStr">
        <is>
          <t>Waiting for AI reading (Layer 3, now retired)</t>
        </is>
      </c>
      <c r="W40" t="inlineStr"/>
      <c r="X40" t="inlineStr"/>
      <c r="Y40" t="n">
        <v>0</v>
      </c>
      <c r="Z40" t="inlineStr">
        <is>
          <t>Yes</t>
        </is>
      </c>
      <c r="AA40" t="inlineStr">
        <is>
          <t>Filled</t>
        </is>
      </c>
      <c r="AB40" t="inlineStr">
        <is>
          <t>on campus</t>
        </is>
      </c>
      <c r="AC40" t="inlineStr"/>
      <c r="AD40" t="n">
        <v>0</v>
      </c>
      <c r="AE40" t="inlineStr"/>
      <c r="AF40" t="inlineStr"/>
      <c r="AG40" t="inlineStr">
        <is>
          <t>Yes</t>
        </is>
      </c>
      <c r="AH40" t="inlineStr"/>
      <c r="AI40" t="inlineStr"/>
      <c r="AJ40" t="inlineStr"/>
      <c r="AK40" t="inlineStr"/>
      <c r="AL40" t="inlineStr"/>
      <c r="AM40" t="inlineStr"/>
    </row>
    <row r="41">
      <c r="A41" t="inlineStr">
        <is>
          <t>002291A</t>
        </is>
      </c>
      <c r="B41" t="inlineStr">
        <is>
          <t>Bachelor of Economics (Honours)</t>
        </is>
      </c>
      <c r="C41" t="inlineStr">
        <is>
          <t>Bachelor Honours Degree</t>
        </is>
      </c>
      <c r="D41" t="inlineStr">
        <is>
          <t>Undergraduate</t>
        </is>
      </c>
      <c r="E41" t="inlineStr">
        <is>
          <t>Advertised: official page in place</t>
        </is>
      </c>
      <c r="F41" t="inlineStr">
        <is>
          <t>https://programsandcourses.anu.edu.au/program/hecon</t>
        </is>
      </c>
      <c r="G41" t="inlineStr">
        <is>
          <t>https://programsandcourses.anu.edu.au/program/hecon</t>
        </is>
      </c>
      <c r="H41" t="inlineStr">
        <is>
          <t>Read</t>
        </is>
      </c>
      <c r="I41" t="inlineStr">
        <is>
          <t>CRICOS code on page</t>
        </is>
      </c>
      <c r="J41" t="inlineStr"/>
      <c r="K41" t="inlineStr">
        <is>
          <t>Not sent to re-link</t>
        </is>
      </c>
      <c r="L41" t="inlineStr">
        <is>
          <t>Filled</t>
        </is>
      </c>
      <c r="M41" t="inlineStr">
        <is>
          <t>Filled</t>
        </is>
      </c>
      <c r="N41" t="inlineStr">
        <is>
          <t>57640.00 2026</t>
        </is>
      </c>
      <c r="O41" t="n">
        <v>0</v>
      </c>
      <c r="P41" t="inlineStr">
        <is>
          <t>University adapter</t>
        </is>
      </c>
      <c r="Q41" t="inlineStr">
        <is>
          <t>Filled</t>
        </is>
      </c>
      <c r="R41" t="n">
        <v>6.5</v>
      </c>
      <c r="S41" t="inlineStr">
        <is>
          <t>Central English policy</t>
        </is>
      </c>
      <c r="T41" t="inlineStr">
        <is>
          <t>Central rule applies (value agrees)</t>
        </is>
      </c>
      <c r="U41" t="inlineStr"/>
      <c r="V41" t="inlineStr">
        <is>
          <t>Filled</t>
        </is>
      </c>
      <c r="W41" t="inlineStr">
        <is>
          <t>February</t>
        </is>
      </c>
      <c r="X41" t="inlineStr">
        <is>
          <t>Page reader</t>
        </is>
      </c>
      <c r="Y41" t="n">
        <v>0</v>
      </c>
      <c r="Z41" t="inlineStr">
        <is>
          <t>Yes</t>
        </is>
      </c>
      <c r="AA41" t="inlineStr">
        <is>
          <t>Filled</t>
        </is>
      </c>
      <c r="AB41" t="inlineStr">
        <is>
          <t>on campus</t>
        </is>
      </c>
      <c r="AC41" t="inlineStr"/>
      <c r="AD41" t="n">
        <v>0</v>
      </c>
      <c r="AE41" t="inlineStr"/>
      <c r="AF41" t="inlineStr"/>
      <c r="AG41" t="inlineStr"/>
      <c r="AH41" t="inlineStr"/>
      <c r="AI41" t="inlineStr"/>
      <c r="AJ41" t="inlineStr"/>
      <c r="AK41" t="inlineStr"/>
      <c r="AL41" t="inlineStr"/>
      <c r="AM41" t="inlineStr"/>
    </row>
    <row r="42">
      <c r="A42" t="inlineStr">
        <is>
          <t>077943E</t>
        </is>
      </c>
      <c r="B42" t="inlineStr">
        <is>
          <t>Bachelor of Engineering (Honours)</t>
        </is>
      </c>
      <c r="C42" t="inlineStr">
        <is>
          <t>Bachelor Honours Degree</t>
        </is>
      </c>
      <c r="D42" t="inlineStr">
        <is>
          <t>Undergraduate</t>
        </is>
      </c>
      <c r="E42" t="inlineStr">
        <is>
          <t>Advertised: official page in place</t>
        </is>
      </c>
      <c r="F42" t="inlineStr">
        <is>
          <t>https://programsandcourses.anu.edu.au/program/aengi</t>
        </is>
      </c>
      <c r="G42" t="inlineStr">
        <is>
          <t>https://programsandcourses.anu.edu.au/program/aengi</t>
        </is>
      </c>
      <c r="H42" t="inlineStr">
        <is>
          <t>Read</t>
        </is>
      </c>
      <c r="I42" t="inlineStr">
        <is>
          <t>CRICOS code on page</t>
        </is>
      </c>
      <c r="J42" t="inlineStr"/>
      <c r="K42" t="inlineStr">
        <is>
          <t>Not sent to re-link</t>
        </is>
      </c>
      <c r="L42" t="inlineStr">
        <is>
          <t>Filled</t>
        </is>
      </c>
      <c r="M42" t="inlineStr">
        <is>
          <t>Filled</t>
        </is>
      </c>
      <c r="N42" t="inlineStr">
        <is>
          <t>57640.00 2026</t>
        </is>
      </c>
      <c r="O42" t="n">
        <v>0</v>
      </c>
      <c r="P42" t="inlineStr">
        <is>
          <t>University adapter</t>
        </is>
      </c>
      <c r="Q42" t="inlineStr">
        <is>
          <t>Filled</t>
        </is>
      </c>
      <c r="R42" t="n">
        <v>6.5</v>
      </c>
      <c r="S42" t="inlineStr">
        <is>
          <t>Central English policy</t>
        </is>
      </c>
      <c r="T42" t="inlineStr">
        <is>
          <t>Central rule applies (value agrees)</t>
        </is>
      </c>
      <c r="U42" t="inlineStr"/>
      <c r="V42" t="inlineStr">
        <is>
          <t>Filled</t>
        </is>
      </c>
      <c r="W42" t="inlineStr">
        <is>
          <t>July</t>
        </is>
      </c>
      <c r="X42" t="inlineStr">
        <is>
          <t>Page reader</t>
        </is>
      </c>
      <c r="Y42" t="n">
        <v>0</v>
      </c>
      <c r="Z42" t="inlineStr">
        <is>
          <t>Yes</t>
        </is>
      </c>
      <c r="AA42" t="inlineStr">
        <is>
          <t>Filled</t>
        </is>
      </c>
      <c r="AB42" t="inlineStr">
        <is>
          <t>on campus</t>
        </is>
      </c>
      <c r="AC42" t="inlineStr"/>
      <c r="AD42" t="n">
        <v>0</v>
      </c>
      <c r="AE42" t="inlineStr"/>
      <c r="AF42" t="inlineStr"/>
      <c r="AG42" t="inlineStr"/>
      <c r="AH42" t="inlineStr"/>
      <c r="AI42" t="inlineStr"/>
      <c r="AJ42" t="inlineStr"/>
      <c r="AK42" t="inlineStr"/>
      <c r="AL42" t="inlineStr"/>
      <c r="AM42" t="inlineStr"/>
    </row>
    <row r="43">
      <c r="A43" t="inlineStr">
        <is>
          <t>108316E</t>
        </is>
      </c>
      <c r="B43" t="inlineStr">
        <is>
          <t>Bachelor of Engineering (Honours) in Software Engineering</t>
        </is>
      </c>
      <c r="C43" t="inlineStr">
        <is>
          <t>Bachelor Honours Degree</t>
        </is>
      </c>
      <c r="D43" t="inlineStr">
        <is>
          <t>Undergraduate</t>
        </is>
      </c>
      <c r="E43" t="inlineStr">
        <is>
          <t>Advertised: official page in place</t>
        </is>
      </c>
      <c r="F43" t="inlineStr">
        <is>
          <t>https://programsandcourses.anu.edu.au/2021/program/aense</t>
        </is>
      </c>
      <c r="G43" t="inlineStr">
        <is>
          <t>https://programsandcourses.anu.edu.au/program/aense</t>
        </is>
      </c>
      <c r="H43" t="inlineStr">
        <is>
          <t>Read</t>
        </is>
      </c>
      <c r="I43" t="inlineStr">
        <is>
          <t>CRICOS code on page</t>
        </is>
      </c>
      <c r="J43" t="inlineStr"/>
      <c r="K43" t="inlineStr">
        <is>
          <t>Not sent to re-link</t>
        </is>
      </c>
      <c r="L43" t="inlineStr">
        <is>
          <t>Filled</t>
        </is>
      </c>
      <c r="M43" t="inlineStr">
        <is>
          <t>Filled</t>
        </is>
      </c>
      <c r="N43" t="inlineStr">
        <is>
          <t>57640.00 2026</t>
        </is>
      </c>
      <c r="O43" t="n">
        <v>0</v>
      </c>
      <c r="P43" t="inlineStr">
        <is>
          <t>University adapter</t>
        </is>
      </c>
      <c r="Q43" t="inlineStr">
        <is>
          <t>Filled</t>
        </is>
      </c>
      <c r="R43" t="n">
        <v>6.5</v>
      </c>
      <c r="S43" t="inlineStr">
        <is>
          <t>Central English policy</t>
        </is>
      </c>
      <c r="T43" t="inlineStr">
        <is>
          <t>Central rule applies (value agrees)</t>
        </is>
      </c>
      <c r="U43" t="inlineStr"/>
      <c r="V43" t="inlineStr">
        <is>
          <t>Filled</t>
        </is>
      </c>
      <c r="W43" t="inlineStr">
        <is>
          <t>July</t>
        </is>
      </c>
      <c r="X43" t="inlineStr">
        <is>
          <t>Page reader</t>
        </is>
      </c>
      <c r="Y43" t="n">
        <v>0</v>
      </c>
      <c r="Z43" t="inlineStr">
        <is>
          <t>Yes</t>
        </is>
      </c>
      <c r="AA43" t="inlineStr">
        <is>
          <t>Filled</t>
        </is>
      </c>
      <c r="AB43" t="inlineStr">
        <is>
          <t>on campus</t>
        </is>
      </c>
      <c r="AC43" t="inlineStr"/>
      <c r="AD43" t="n">
        <v>0</v>
      </c>
      <c r="AE43" t="inlineStr"/>
      <c r="AF43" t="inlineStr"/>
      <c r="AG43" t="inlineStr"/>
      <c r="AH43" t="inlineStr"/>
      <c r="AI43" t="inlineStr"/>
      <c r="AJ43" t="inlineStr"/>
      <c r="AK43" t="inlineStr"/>
      <c r="AL43" t="inlineStr"/>
      <c r="AM43" t="inlineStr"/>
    </row>
    <row r="44">
      <c r="A44" t="inlineStr">
        <is>
          <t>060542F</t>
        </is>
      </c>
      <c r="B44" t="inlineStr">
        <is>
          <t>Bachelor of Engineering Honours (Research and Development)</t>
        </is>
      </c>
      <c r="C44" t="inlineStr">
        <is>
          <t>Bachelor Honours Degree</t>
        </is>
      </c>
      <c r="D44" t="inlineStr">
        <is>
          <t>Undergraduate</t>
        </is>
      </c>
      <c r="E44" t="inlineStr">
        <is>
          <t>Advertised: official page in place</t>
        </is>
      </c>
      <c r="F44" t="inlineStr">
        <is>
          <t>https://programsandcourses.anu.edu.au/program/aenrd</t>
        </is>
      </c>
      <c r="G44" t="inlineStr">
        <is>
          <t>https://programsandcourses.anu.edu.au/program/aenrd</t>
        </is>
      </c>
      <c r="H44" t="inlineStr">
        <is>
          <t>Read</t>
        </is>
      </c>
      <c r="I44" t="inlineStr">
        <is>
          <t>CRICOS code on page</t>
        </is>
      </c>
      <c r="J44" t="inlineStr"/>
      <c r="K44" t="inlineStr">
        <is>
          <t>Not sent to re-link</t>
        </is>
      </c>
      <c r="L44" t="inlineStr">
        <is>
          <t>Filled</t>
        </is>
      </c>
      <c r="M44" t="inlineStr">
        <is>
          <t>Filled</t>
        </is>
      </c>
      <c r="N44" t="inlineStr">
        <is>
          <t>57640.00 2026</t>
        </is>
      </c>
      <c r="O44" t="n">
        <v>0</v>
      </c>
      <c r="P44" t="inlineStr">
        <is>
          <t>University adapter</t>
        </is>
      </c>
      <c r="Q44" t="inlineStr">
        <is>
          <t>Filled</t>
        </is>
      </c>
      <c r="R44" t="n">
        <v>6.5</v>
      </c>
      <c r="S44" t="inlineStr">
        <is>
          <t>Central English policy</t>
        </is>
      </c>
      <c r="T44" t="inlineStr">
        <is>
          <t>Central rule applies (value agrees)</t>
        </is>
      </c>
      <c r="U44" t="inlineStr"/>
      <c r="V44" t="inlineStr">
        <is>
          <t>Value found, being checked</t>
        </is>
      </c>
      <c r="W44" t="inlineStr"/>
      <c r="X44" t="inlineStr"/>
      <c r="Y44" t="n">
        <v>0</v>
      </c>
      <c r="Z44" t="inlineStr">
        <is>
          <t>Yes</t>
        </is>
      </c>
      <c r="AA44" t="inlineStr">
        <is>
          <t>Filled</t>
        </is>
      </c>
      <c r="AB44" t="inlineStr">
        <is>
          <t>on campus</t>
        </is>
      </c>
      <c r="AC44" t="inlineStr"/>
      <c r="AD44" t="n">
        <v>0</v>
      </c>
      <c r="AE44" t="inlineStr"/>
      <c r="AF44" t="inlineStr">
        <is>
          <t>Yes</t>
        </is>
      </c>
      <c r="AG44" t="inlineStr"/>
      <c r="AH44" t="inlineStr"/>
      <c r="AI44" t="inlineStr"/>
      <c r="AJ44" t="inlineStr"/>
      <c r="AK44" t="inlineStr"/>
      <c r="AL44" t="inlineStr"/>
      <c r="AM44" t="inlineStr"/>
    </row>
    <row r="45">
      <c r="A45" t="inlineStr">
        <is>
          <t>091180D</t>
        </is>
      </c>
      <c r="B45" t="inlineStr">
        <is>
          <t>Bachelor of Environment and Sustainability</t>
        </is>
      </c>
      <c r="C45" t="inlineStr">
        <is>
          <t>Bachelor</t>
        </is>
      </c>
      <c r="D45" t="inlineStr">
        <is>
          <t>Undergraduate</t>
        </is>
      </c>
      <c r="E45" t="inlineStr">
        <is>
          <t>Advertised: official page in place</t>
        </is>
      </c>
      <c r="F45" t="inlineStr">
        <is>
          <t>https://programsandcourses.anu.edu.au/program/bensu</t>
        </is>
      </c>
      <c r="G45" t="inlineStr">
        <is>
          <t>https://programsandcourses.anu.edu.au/program/bensu</t>
        </is>
      </c>
      <c r="H45" t="inlineStr">
        <is>
          <t>Read</t>
        </is>
      </c>
      <c r="I45" t="inlineStr">
        <is>
          <t>CRICOS code on page</t>
        </is>
      </c>
      <c r="J45" t="inlineStr"/>
      <c r="K45" t="inlineStr">
        <is>
          <t>Not sent to re-link</t>
        </is>
      </c>
      <c r="L45" t="inlineStr">
        <is>
          <t>Filled</t>
        </is>
      </c>
      <c r="M45" t="inlineStr">
        <is>
          <t>Filled</t>
        </is>
      </c>
      <c r="N45" t="inlineStr">
        <is>
          <t>57640.00 2026</t>
        </is>
      </c>
      <c r="O45" t="n">
        <v>0</v>
      </c>
      <c r="P45" t="inlineStr">
        <is>
          <t>University adapter</t>
        </is>
      </c>
      <c r="Q45" t="inlineStr">
        <is>
          <t>Filled</t>
        </is>
      </c>
      <c r="R45" t="n">
        <v>6.5</v>
      </c>
      <c r="S45" t="inlineStr">
        <is>
          <t>Central English policy</t>
        </is>
      </c>
      <c r="T45" t="inlineStr">
        <is>
          <t>Central rule applies (value agrees)</t>
        </is>
      </c>
      <c r="U45" t="inlineStr"/>
      <c r="V45" t="inlineStr">
        <is>
          <t>Not stated on course page</t>
        </is>
      </c>
      <c r="W45" t="inlineStr"/>
      <c r="X45" t="inlineStr"/>
      <c r="Y45" t="n">
        <v>0</v>
      </c>
      <c r="Z45" t="inlineStr">
        <is>
          <t>Yes</t>
        </is>
      </c>
      <c r="AA45" t="inlineStr">
        <is>
          <t>Filled</t>
        </is>
      </c>
      <c r="AB45" t="inlineStr">
        <is>
          <t>on campus</t>
        </is>
      </c>
      <c r="AC45" t="inlineStr"/>
      <c r="AD45" t="n">
        <v>0</v>
      </c>
      <c r="AE45" t="inlineStr"/>
      <c r="AF45" t="inlineStr"/>
      <c r="AG45" t="inlineStr"/>
      <c r="AH45" t="inlineStr"/>
      <c r="AI45" t="inlineStr"/>
      <c r="AJ45" t="inlineStr"/>
      <c r="AK45" t="inlineStr"/>
      <c r="AL45" t="inlineStr"/>
      <c r="AM45" t="inlineStr"/>
    </row>
    <row r="46">
      <c r="A46" t="inlineStr">
        <is>
          <t>091181C</t>
        </is>
      </c>
      <c r="B46" t="inlineStr">
        <is>
          <t>Bachelor of Environment and Sustainability (Advanced) (Honours)</t>
        </is>
      </c>
      <c r="C46" t="inlineStr">
        <is>
          <t>Bachelor Honours Degree</t>
        </is>
      </c>
      <c r="D46" t="inlineStr">
        <is>
          <t>Undergraduate</t>
        </is>
      </c>
      <c r="E46" t="inlineStr">
        <is>
          <t>Advertised: official page in place</t>
        </is>
      </c>
      <c r="F46" t="inlineStr">
        <is>
          <t>https://programsandcourses.anu.edu.au/2024/program/aensu</t>
        </is>
      </c>
      <c r="G46" t="inlineStr">
        <is>
          <t>https://programsandcourses.anu.edu.au/2021/program/aensu</t>
        </is>
      </c>
      <c r="H46" t="inlineStr">
        <is>
          <t>Read</t>
        </is>
      </c>
      <c r="I46" t="inlineStr">
        <is>
          <t>CRICOS code on page</t>
        </is>
      </c>
      <c r="J46" t="inlineStr"/>
      <c r="K46" t="inlineStr">
        <is>
          <t>Not sent to re-link</t>
        </is>
      </c>
      <c r="L46" t="inlineStr">
        <is>
          <t>Filled</t>
        </is>
      </c>
      <c r="M46" t="inlineStr">
        <is>
          <t>Filled</t>
        </is>
      </c>
      <c r="N46" t="inlineStr">
        <is>
          <t>46910.00 2026</t>
        </is>
      </c>
      <c r="O46" t="n">
        <v>0</v>
      </c>
      <c r="P46" t="inlineStr">
        <is>
          <t>Other</t>
        </is>
      </c>
      <c r="Q46" t="inlineStr">
        <is>
          <t>Filled</t>
        </is>
      </c>
      <c r="R46" t="n">
        <v>6.5</v>
      </c>
      <c r="S46" t="inlineStr">
        <is>
          <t>Central English policy</t>
        </is>
      </c>
      <c r="T46" t="inlineStr">
        <is>
          <t>Central rule applies (value agrees)</t>
        </is>
      </c>
      <c r="U46" t="inlineStr"/>
      <c r="V46" t="inlineStr">
        <is>
          <t>Not stated on course page</t>
        </is>
      </c>
      <c r="W46" t="inlineStr"/>
      <c r="X46" t="inlineStr"/>
      <c r="Y46" t="n">
        <v>0</v>
      </c>
      <c r="Z46" t="inlineStr">
        <is>
          <t>Yes</t>
        </is>
      </c>
      <c r="AA46" t="inlineStr">
        <is>
          <t>Filled</t>
        </is>
      </c>
      <c r="AB46" t="inlineStr">
        <is>
          <t>on campus</t>
        </is>
      </c>
      <c r="AC46" t="inlineStr"/>
      <c r="AD46" t="n">
        <v>0</v>
      </c>
      <c r="AE46" t="inlineStr"/>
      <c r="AF46" t="inlineStr"/>
      <c r="AG46" t="inlineStr"/>
      <c r="AH46" t="inlineStr"/>
      <c r="AI46" t="inlineStr"/>
      <c r="AJ46" t="inlineStr"/>
      <c r="AK46" t="inlineStr"/>
      <c r="AL46" t="inlineStr"/>
      <c r="AM46" t="inlineStr"/>
    </row>
    <row r="47">
      <c r="A47" t="inlineStr">
        <is>
          <t>091182B</t>
        </is>
      </c>
      <c r="B47" t="inlineStr">
        <is>
          <t>Bachelor of Environment and Sustainability (Honours)</t>
        </is>
      </c>
      <c r="C47" t="inlineStr">
        <is>
          <t>Bachelor Honours Degree</t>
        </is>
      </c>
      <c r="D47" t="inlineStr">
        <is>
          <t>Undergraduate</t>
        </is>
      </c>
      <c r="E47" t="inlineStr">
        <is>
          <t>Advertised: official page in place</t>
        </is>
      </c>
      <c r="F47" t="inlineStr">
        <is>
          <t>https://programsandcourses.anu.edu.au/2021/program/hensu</t>
        </is>
      </c>
      <c r="G47" t="inlineStr">
        <is>
          <t>https://programsandcourses.anu.edu.au/program/hensu</t>
        </is>
      </c>
      <c r="H47" t="inlineStr">
        <is>
          <t>Read</t>
        </is>
      </c>
      <c r="I47" t="inlineStr">
        <is>
          <t>CRICOS code on page</t>
        </is>
      </c>
      <c r="J47" t="inlineStr"/>
      <c r="K47" t="inlineStr">
        <is>
          <t>Not sent to re-link</t>
        </is>
      </c>
      <c r="L47" t="inlineStr">
        <is>
          <t>Filled</t>
        </is>
      </c>
      <c r="M47" t="inlineStr">
        <is>
          <t>Filled</t>
        </is>
      </c>
      <c r="N47" t="inlineStr">
        <is>
          <t>57640.00 2026</t>
        </is>
      </c>
      <c r="O47" t="n">
        <v>0</v>
      </c>
      <c r="P47" t="inlineStr">
        <is>
          <t>University adapter</t>
        </is>
      </c>
      <c r="Q47" t="inlineStr">
        <is>
          <t>Filled</t>
        </is>
      </c>
      <c r="R47" t="n">
        <v>6.5</v>
      </c>
      <c r="S47" t="inlineStr">
        <is>
          <t>Central English policy</t>
        </is>
      </c>
      <c r="T47" t="inlineStr">
        <is>
          <t>Central rule applies (value agrees)</t>
        </is>
      </c>
      <c r="U47" t="inlineStr"/>
      <c r="V47" t="inlineStr">
        <is>
          <t>Not stated on course page</t>
        </is>
      </c>
      <c r="W47" t="inlineStr"/>
      <c r="X47" t="inlineStr"/>
      <c r="Y47" t="n">
        <v>0</v>
      </c>
      <c r="Z47" t="inlineStr">
        <is>
          <t>Yes</t>
        </is>
      </c>
      <c r="AA47" t="inlineStr">
        <is>
          <t>Filled</t>
        </is>
      </c>
      <c r="AB47" t="inlineStr">
        <is>
          <t>on campus</t>
        </is>
      </c>
      <c r="AC47" t="inlineStr"/>
      <c r="AD47" t="n">
        <v>0</v>
      </c>
      <c r="AE47" t="inlineStr"/>
      <c r="AF47" t="inlineStr"/>
      <c r="AG47" t="inlineStr"/>
      <c r="AH47" t="inlineStr"/>
      <c r="AI47" t="inlineStr"/>
      <c r="AJ47" t="inlineStr"/>
      <c r="AK47" t="inlineStr"/>
      <c r="AL47" t="inlineStr"/>
      <c r="AM47" t="inlineStr"/>
    </row>
    <row r="48">
      <c r="A48" t="inlineStr">
        <is>
          <t>082700D</t>
        </is>
      </c>
      <c r="B48" t="inlineStr">
        <is>
          <t>Bachelor of Environmental Studies (Honours)</t>
        </is>
      </c>
      <c r="C48" t="inlineStr">
        <is>
          <t>Bachelor Honours Degree</t>
        </is>
      </c>
      <c r="D48" t="inlineStr">
        <is>
          <t>Undergraduate</t>
        </is>
      </c>
      <c r="E48" t="inlineStr">
        <is>
          <t>Advertised: official page in place</t>
        </is>
      </c>
      <c r="F48" t="inlineStr">
        <is>
          <t>https://programsandcourses.anu.edu.au/2025/program/henvs</t>
        </is>
      </c>
      <c r="G48" t="inlineStr">
        <is>
          <t>https://programsandcourses.anu.edu.au/2025/program/henvs</t>
        </is>
      </c>
      <c r="H48" t="inlineStr">
        <is>
          <t>Read</t>
        </is>
      </c>
      <c r="I48" t="inlineStr">
        <is>
          <t>CRICOS code on page</t>
        </is>
      </c>
      <c r="J48" t="inlineStr"/>
      <c r="K48" t="inlineStr">
        <is>
          <t>Finished, no page: no address from the university's address forms or stored lis</t>
        </is>
      </c>
      <c r="L48" t="inlineStr">
        <is>
          <t>Filled</t>
        </is>
      </c>
      <c r="M48" t="inlineStr">
        <is>
          <t>Filled</t>
        </is>
      </c>
      <c r="N48" t="inlineStr">
        <is>
          <t>53700.00 2026</t>
        </is>
      </c>
      <c r="O48" t="n">
        <v>0</v>
      </c>
      <c r="P48" t="inlineStr">
        <is>
          <t>University adapter</t>
        </is>
      </c>
      <c r="Q48" t="inlineStr">
        <is>
          <t>Filled</t>
        </is>
      </c>
      <c r="R48" t="n">
        <v>6.5</v>
      </c>
      <c r="S48" t="inlineStr">
        <is>
          <t>Central English policy</t>
        </is>
      </c>
      <c r="T48" t="inlineStr">
        <is>
          <t>Central rule applies (value agrees)</t>
        </is>
      </c>
      <c r="U48" t="inlineStr"/>
      <c r="V48" t="inlineStr">
        <is>
          <t>Not stated on course page</t>
        </is>
      </c>
      <c r="W48" t="inlineStr"/>
      <c r="X48" t="inlineStr"/>
      <c r="Y48" t="n">
        <v>0</v>
      </c>
      <c r="Z48" t="inlineStr">
        <is>
          <t>Yes</t>
        </is>
      </c>
      <c r="AA48" t="inlineStr">
        <is>
          <t>Filled</t>
        </is>
      </c>
      <c r="AB48" t="inlineStr">
        <is>
          <t>on campus</t>
        </is>
      </c>
      <c r="AC48" t="inlineStr">
        <is>
          <t>Filled</t>
        </is>
      </c>
      <c r="AD48" t="n">
        <v>0</v>
      </c>
      <c r="AE48" t="inlineStr"/>
      <c r="AF48" t="inlineStr"/>
      <c r="AG48" t="inlineStr"/>
      <c r="AH48" t="inlineStr"/>
      <c r="AI48" t="inlineStr"/>
      <c r="AJ48" t="inlineStr"/>
      <c r="AK48" t="inlineStr"/>
      <c r="AL48" t="inlineStr"/>
      <c r="AM48" t="inlineStr"/>
    </row>
    <row r="49">
      <c r="A49" t="inlineStr">
        <is>
          <t>073994D</t>
        </is>
      </c>
      <c r="B49" t="inlineStr">
        <is>
          <t>Bachelor of European Studies</t>
        </is>
      </c>
      <c r="C49" t="inlineStr">
        <is>
          <t>Bachelor</t>
        </is>
      </c>
      <c r="D49" t="inlineStr">
        <is>
          <t>Undergraduate</t>
        </is>
      </c>
      <c r="E49" t="inlineStr">
        <is>
          <t>Advertised: official page in place</t>
        </is>
      </c>
      <c r="F49" t="inlineStr">
        <is>
          <t>https://programsandcourses.anu.edu.au/2015/program/BEURO</t>
        </is>
      </c>
      <c r="G49" t="inlineStr">
        <is>
          <t>https://programsandcourses.anu.edu.au/2021/program/beuro</t>
        </is>
      </c>
      <c r="H49" t="inlineStr">
        <is>
          <t>Read</t>
        </is>
      </c>
      <c r="I49" t="inlineStr">
        <is>
          <t>CRICOS code on page</t>
        </is>
      </c>
      <c r="J49" t="inlineStr"/>
      <c r="K49" t="inlineStr">
        <is>
          <t>Not sent to re-link</t>
        </is>
      </c>
      <c r="L49" t="inlineStr">
        <is>
          <t>Filled</t>
        </is>
      </c>
      <c r="M49" t="inlineStr">
        <is>
          <t>Filled</t>
        </is>
      </c>
      <c r="N49" t="inlineStr">
        <is>
          <t>39090.00 2026</t>
        </is>
      </c>
      <c r="O49" t="n">
        <v>0</v>
      </c>
      <c r="P49" t="inlineStr">
        <is>
          <t>University adapter</t>
        </is>
      </c>
      <c r="Q49" t="inlineStr">
        <is>
          <t>Filled</t>
        </is>
      </c>
      <c r="R49" t="n">
        <v>6.5</v>
      </c>
      <c r="S49" t="inlineStr">
        <is>
          <t>Central English policy</t>
        </is>
      </c>
      <c r="T49" t="inlineStr">
        <is>
          <t>Central rule applies (value agrees)</t>
        </is>
      </c>
      <c r="U49" t="inlineStr"/>
      <c r="V49" t="inlineStr">
        <is>
          <t>Not stated on course page</t>
        </is>
      </c>
      <c r="W49" t="inlineStr"/>
      <c r="X49" t="inlineStr"/>
      <c r="Y49" t="n">
        <v>0</v>
      </c>
      <c r="Z49" t="inlineStr">
        <is>
          <t>Yes</t>
        </is>
      </c>
      <c r="AA49" t="inlineStr">
        <is>
          <t>Filled</t>
        </is>
      </c>
      <c r="AB49" t="inlineStr">
        <is>
          <t>on campus</t>
        </is>
      </c>
      <c r="AC49" t="inlineStr"/>
      <c r="AD49" t="n">
        <v>0</v>
      </c>
      <c r="AE49" t="inlineStr"/>
      <c r="AF49" t="inlineStr"/>
      <c r="AG49" t="inlineStr"/>
      <c r="AH49" t="inlineStr"/>
      <c r="AI49" t="inlineStr"/>
      <c r="AJ49" t="inlineStr"/>
      <c r="AK49" t="inlineStr"/>
      <c r="AL49" t="inlineStr"/>
      <c r="AM49" t="inlineStr"/>
    </row>
    <row r="50">
      <c r="A50" t="inlineStr">
        <is>
          <t>082708G</t>
        </is>
      </c>
      <c r="B50" t="inlineStr">
        <is>
          <t>Bachelor of European Studies (Honours)</t>
        </is>
      </c>
      <c r="C50" t="inlineStr">
        <is>
          <t>Bachelor Honours Degree</t>
        </is>
      </c>
      <c r="D50" t="inlineStr">
        <is>
          <t>Undergraduate</t>
        </is>
      </c>
      <c r="E50" t="inlineStr">
        <is>
          <t>Advertised: official page in place</t>
        </is>
      </c>
      <c r="F50" t="inlineStr">
        <is>
          <t>https://programsandcourses.anu.edu.au/2022/program/heuro</t>
        </is>
      </c>
      <c r="G50" t="inlineStr">
        <is>
          <t>https://programsandcourses.anu.edu.au/2022/program/heuro</t>
        </is>
      </c>
      <c r="H50" t="inlineStr">
        <is>
          <t>Read</t>
        </is>
      </c>
      <c r="I50" t="inlineStr">
        <is>
          <t>CRICOS code on page</t>
        </is>
      </c>
      <c r="J50" t="inlineStr"/>
      <c r="K50" t="inlineStr">
        <is>
          <t>Not sent to re-link</t>
        </is>
      </c>
      <c r="L50" t="inlineStr">
        <is>
          <t>Filled</t>
        </is>
      </c>
      <c r="M50" t="inlineStr">
        <is>
          <t>Filled</t>
        </is>
      </c>
      <c r="N50" t="inlineStr">
        <is>
          <t>39870.00 2026</t>
        </is>
      </c>
      <c r="O50" t="n">
        <v>0</v>
      </c>
      <c r="P50" t="inlineStr">
        <is>
          <t>Other</t>
        </is>
      </c>
      <c r="Q50" t="inlineStr">
        <is>
          <t>Filled</t>
        </is>
      </c>
      <c r="R50" t="n">
        <v>6.5</v>
      </c>
      <c r="S50" t="inlineStr">
        <is>
          <t>Central English policy</t>
        </is>
      </c>
      <c r="T50" t="inlineStr">
        <is>
          <t>Central rule applies (value agrees)</t>
        </is>
      </c>
      <c r="U50" t="inlineStr"/>
      <c r="V50" t="inlineStr">
        <is>
          <t>Not stated on course page</t>
        </is>
      </c>
      <c r="W50" t="inlineStr"/>
      <c r="X50" t="inlineStr"/>
      <c r="Y50" t="n">
        <v>0</v>
      </c>
      <c r="Z50" t="inlineStr">
        <is>
          <t>Yes</t>
        </is>
      </c>
      <c r="AA50" t="inlineStr">
        <is>
          <t>Filled</t>
        </is>
      </c>
      <c r="AB50" t="inlineStr">
        <is>
          <t>on campus</t>
        </is>
      </c>
      <c r="AC50" t="inlineStr"/>
      <c r="AD50" t="n">
        <v>0</v>
      </c>
      <c r="AE50" t="inlineStr"/>
      <c r="AF50" t="inlineStr"/>
      <c r="AG50" t="inlineStr"/>
      <c r="AH50" t="inlineStr"/>
      <c r="AI50" t="inlineStr"/>
      <c r="AJ50" t="inlineStr"/>
      <c r="AK50" t="inlineStr"/>
      <c r="AL50" t="inlineStr"/>
      <c r="AM50" t="inlineStr"/>
    </row>
    <row r="51">
      <c r="A51" t="inlineStr">
        <is>
          <t>039746C</t>
        </is>
      </c>
      <c r="B51" t="inlineStr">
        <is>
          <t>Bachelor of Finance</t>
        </is>
      </c>
      <c r="C51" t="inlineStr">
        <is>
          <t>Bachelor</t>
        </is>
      </c>
      <c r="D51" t="inlineStr">
        <is>
          <t>Undergraduate</t>
        </is>
      </c>
      <c r="E51" t="inlineStr">
        <is>
          <t>Advertised: official page in place</t>
        </is>
      </c>
      <c r="F51" t="inlineStr">
        <is>
          <t>https://programsandcourses.anu.edu.au/program/bfinn</t>
        </is>
      </c>
      <c r="G51" t="inlineStr">
        <is>
          <t>https://programsandcourses.anu.edu.au/program/bfinn</t>
        </is>
      </c>
      <c r="H51" t="inlineStr">
        <is>
          <t>Read</t>
        </is>
      </c>
      <c r="I51" t="inlineStr">
        <is>
          <t>CRICOS code on page</t>
        </is>
      </c>
      <c r="J51" t="inlineStr"/>
      <c r="K51" t="inlineStr">
        <is>
          <t>Not sent to re-link</t>
        </is>
      </c>
      <c r="L51" t="inlineStr">
        <is>
          <t>Filled</t>
        </is>
      </c>
      <c r="M51" t="inlineStr">
        <is>
          <t>Filled</t>
        </is>
      </c>
      <c r="N51" t="inlineStr">
        <is>
          <t>57640.00 2026</t>
        </is>
      </c>
      <c r="O51" t="n">
        <v>0</v>
      </c>
      <c r="P51" t="inlineStr">
        <is>
          <t>University adapter</t>
        </is>
      </c>
      <c r="Q51" t="inlineStr">
        <is>
          <t>Filled</t>
        </is>
      </c>
      <c r="R51" t="n">
        <v>6.5</v>
      </c>
      <c r="S51" t="inlineStr">
        <is>
          <t>Central English policy</t>
        </is>
      </c>
      <c r="T51" t="inlineStr">
        <is>
          <t>Central rule applies (value agrees)</t>
        </is>
      </c>
      <c r="U51" t="inlineStr"/>
      <c r="V51" t="inlineStr">
        <is>
          <t>Not stated on course page</t>
        </is>
      </c>
      <c r="W51" t="inlineStr"/>
      <c r="X51" t="inlineStr"/>
      <c r="Y51" t="n">
        <v>0</v>
      </c>
      <c r="Z51" t="inlineStr">
        <is>
          <t>Yes</t>
        </is>
      </c>
      <c r="AA51" t="inlineStr">
        <is>
          <t>Filled</t>
        </is>
      </c>
      <c r="AB51" t="inlineStr">
        <is>
          <t>on campus</t>
        </is>
      </c>
      <c r="AC51" t="inlineStr"/>
      <c r="AD51" t="n">
        <v>0</v>
      </c>
      <c r="AE51" t="inlineStr"/>
      <c r="AF51" t="inlineStr"/>
      <c r="AG51" t="inlineStr"/>
      <c r="AH51" t="inlineStr"/>
      <c r="AI51" t="inlineStr"/>
      <c r="AJ51" t="inlineStr"/>
      <c r="AK51" t="inlineStr"/>
      <c r="AL51" t="inlineStr"/>
      <c r="AM51" t="inlineStr"/>
    </row>
    <row r="52">
      <c r="A52" t="inlineStr">
        <is>
          <t>070007B</t>
        </is>
      </c>
      <c r="B52" t="inlineStr">
        <is>
          <t>Bachelor of Finance Honours</t>
        </is>
      </c>
      <c r="C52" t="inlineStr">
        <is>
          <t>Bachelor Honours Degree</t>
        </is>
      </c>
      <c r="D52" t="inlineStr">
        <is>
          <t>Undergraduate</t>
        </is>
      </c>
      <c r="E52" t="inlineStr">
        <is>
          <t>Advertised: official page in place</t>
        </is>
      </c>
      <c r="F52" t="inlineStr">
        <is>
          <t>https://programsandcourses.anu.edu.au/program/hfinn</t>
        </is>
      </c>
      <c r="G52" t="inlineStr">
        <is>
          <t>https://programsandcourses.anu.edu.au/program/hfinn</t>
        </is>
      </c>
      <c r="H52" t="inlineStr">
        <is>
          <t>Read</t>
        </is>
      </c>
      <c r="I52" t="inlineStr">
        <is>
          <t>CRICOS code on page</t>
        </is>
      </c>
      <c r="J52" t="inlineStr"/>
      <c r="K52" t="inlineStr">
        <is>
          <t>Not sent to re-link</t>
        </is>
      </c>
      <c r="L52" t="inlineStr">
        <is>
          <t>Filled</t>
        </is>
      </c>
      <c r="M52" t="inlineStr">
        <is>
          <t>Filled</t>
        </is>
      </c>
      <c r="N52" t="inlineStr">
        <is>
          <t>57640.00 2026</t>
        </is>
      </c>
      <c r="O52" t="n">
        <v>0</v>
      </c>
      <c r="P52" t="inlineStr">
        <is>
          <t>University adapter</t>
        </is>
      </c>
      <c r="Q52" t="inlineStr">
        <is>
          <t>Filled</t>
        </is>
      </c>
      <c r="R52" t="n">
        <v>6.5</v>
      </c>
      <c r="S52" t="inlineStr">
        <is>
          <t>Central English policy</t>
        </is>
      </c>
      <c r="T52" t="inlineStr">
        <is>
          <t>Central rule applies (value agrees)</t>
        </is>
      </c>
      <c r="U52" t="inlineStr"/>
      <c r="V52" t="inlineStr">
        <is>
          <t>Filled</t>
        </is>
      </c>
      <c r="W52" t="inlineStr">
        <is>
          <t>February, July</t>
        </is>
      </c>
      <c r="X52" t="inlineStr">
        <is>
          <t>Page reader</t>
        </is>
      </c>
      <c r="Y52" t="n">
        <v>0</v>
      </c>
      <c r="Z52" t="inlineStr">
        <is>
          <t>Yes</t>
        </is>
      </c>
      <c r="AA52" t="inlineStr">
        <is>
          <t>Filled</t>
        </is>
      </c>
      <c r="AB52" t="inlineStr">
        <is>
          <t>on campus</t>
        </is>
      </c>
      <c r="AC52" t="inlineStr"/>
      <c r="AD52" t="n">
        <v>0</v>
      </c>
      <c r="AE52" t="inlineStr"/>
      <c r="AF52" t="inlineStr"/>
      <c r="AG52" t="inlineStr"/>
      <c r="AH52" t="inlineStr"/>
      <c r="AI52" t="inlineStr"/>
      <c r="AJ52" t="inlineStr"/>
      <c r="AK52" t="inlineStr"/>
      <c r="AL52" t="inlineStr"/>
      <c r="AM52" t="inlineStr"/>
    </row>
    <row r="53">
      <c r="A53" t="inlineStr">
        <is>
          <t>086222G</t>
        </is>
      </c>
      <c r="B53" t="inlineStr">
        <is>
          <t>Bachelor of Finance, Economics and Statistics (Honours)</t>
        </is>
      </c>
      <c r="C53" t="inlineStr">
        <is>
          <t>Bachelor Honours Degree</t>
        </is>
      </c>
      <c r="D53" t="inlineStr">
        <is>
          <t>Undergraduate</t>
        </is>
      </c>
      <c r="E53" t="inlineStr">
        <is>
          <t>Advertised: official page in place</t>
        </is>
      </c>
      <c r="F53" t="inlineStr">
        <is>
          <t>https://programsandcourses.anu.edu.au/2024/program/AFEST</t>
        </is>
      </c>
      <c r="G53" t="inlineStr">
        <is>
          <t>https://programsandcourses.anu.edu.au/program/AFEST</t>
        </is>
      </c>
      <c r="H53" t="inlineStr">
        <is>
          <t>Read</t>
        </is>
      </c>
      <c r="I53" t="inlineStr">
        <is>
          <t>CRICOS code on page</t>
        </is>
      </c>
      <c r="J53" t="inlineStr"/>
      <c r="K53" t="inlineStr">
        <is>
          <t>Not sent to re-link</t>
        </is>
      </c>
      <c r="L53" t="inlineStr">
        <is>
          <t>Filled</t>
        </is>
      </c>
      <c r="M53" t="inlineStr">
        <is>
          <t>Filled</t>
        </is>
      </c>
      <c r="N53" t="inlineStr">
        <is>
          <t>57640.00 2026</t>
        </is>
      </c>
      <c r="O53" t="n">
        <v>0</v>
      </c>
      <c r="P53" t="inlineStr">
        <is>
          <t>University adapter</t>
        </is>
      </c>
      <c r="Q53" t="inlineStr">
        <is>
          <t>Filled</t>
        </is>
      </c>
      <c r="R53" t="n">
        <v>6.5</v>
      </c>
      <c r="S53" t="inlineStr">
        <is>
          <t>Central English policy</t>
        </is>
      </c>
      <c r="T53" t="inlineStr">
        <is>
          <t>Central rule applies (value agrees)</t>
        </is>
      </c>
      <c r="U53" t="inlineStr"/>
      <c r="V53" t="inlineStr">
        <is>
          <t>Waiting for AI reading (Layer 3, now retired)</t>
        </is>
      </c>
      <c r="W53" t="inlineStr"/>
      <c r="X53" t="inlineStr"/>
      <c r="Y53" t="n">
        <v>0</v>
      </c>
      <c r="Z53" t="inlineStr">
        <is>
          <t>Yes</t>
        </is>
      </c>
      <c r="AA53" t="inlineStr">
        <is>
          <t>Filled</t>
        </is>
      </c>
      <c r="AB53" t="inlineStr">
        <is>
          <t>on campus</t>
        </is>
      </c>
      <c r="AC53" t="inlineStr"/>
      <c r="AD53" t="n">
        <v>0</v>
      </c>
      <c r="AE53" t="inlineStr"/>
      <c r="AF53" t="inlineStr"/>
      <c r="AG53" t="inlineStr">
        <is>
          <t>Yes</t>
        </is>
      </c>
      <c r="AH53" t="inlineStr"/>
      <c r="AI53" t="inlineStr"/>
      <c r="AJ53" t="inlineStr"/>
      <c r="AK53" t="inlineStr"/>
      <c r="AL53" t="inlineStr"/>
      <c r="AM53" t="inlineStr"/>
    </row>
    <row r="54">
      <c r="A54" t="inlineStr">
        <is>
          <t>064778J</t>
        </is>
      </c>
      <c r="B54" t="inlineStr">
        <is>
          <t>Bachelor of Genetics</t>
        </is>
      </c>
      <c r="C54" t="inlineStr">
        <is>
          <t>Bachelor</t>
        </is>
      </c>
      <c r="D54" t="inlineStr">
        <is>
          <t>Undergraduate</t>
        </is>
      </c>
      <c r="E54" t="inlineStr">
        <is>
          <t>Advertised: official page in place</t>
        </is>
      </c>
      <c r="F54" t="inlineStr">
        <is>
          <t>https://programsandcourses.anu.edu.au/2026/program/bgene</t>
        </is>
      </c>
      <c r="G54" t="inlineStr">
        <is>
          <t>https://programsandcourses.anu.edu.au/2026/program/bgene</t>
        </is>
      </c>
      <c r="H54" t="inlineStr">
        <is>
          <t>Read</t>
        </is>
      </c>
      <c r="I54" t="inlineStr">
        <is>
          <t>CRICOS code on page</t>
        </is>
      </c>
      <c r="J54" t="inlineStr"/>
      <c r="K54" t="inlineStr">
        <is>
          <t>Not sent to re-link</t>
        </is>
      </c>
      <c r="L54" t="inlineStr">
        <is>
          <t>Filled</t>
        </is>
      </c>
      <c r="M54" t="inlineStr">
        <is>
          <t>Filled</t>
        </is>
      </c>
      <c r="N54" t="inlineStr">
        <is>
          <t>56120.00 2026</t>
        </is>
      </c>
      <c r="O54" t="n">
        <v>0</v>
      </c>
      <c r="P54" t="inlineStr">
        <is>
          <t>University adapter</t>
        </is>
      </c>
      <c r="Q54" t="inlineStr">
        <is>
          <t>Filled</t>
        </is>
      </c>
      <c r="R54" t="n">
        <v>6.5</v>
      </c>
      <c r="S54" t="inlineStr">
        <is>
          <t>Central English policy</t>
        </is>
      </c>
      <c r="T54" t="inlineStr">
        <is>
          <t>Central rule applies (value agrees)</t>
        </is>
      </c>
      <c r="U54" t="inlineStr"/>
      <c r="V54" t="inlineStr">
        <is>
          <t>Not stated on course page</t>
        </is>
      </c>
      <c r="W54" t="inlineStr"/>
      <c r="X54" t="inlineStr"/>
      <c r="Y54" t="n">
        <v>0</v>
      </c>
      <c r="Z54" t="inlineStr">
        <is>
          <t>Yes</t>
        </is>
      </c>
      <c r="AA54" t="inlineStr">
        <is>
          <t>Filled</t>
        </is>
      </c>
      <c r="AB54" t="inlineStr">
        <is>
          <t>on campus</t>
        </is>
      </c>
      <c r="AC54" t="inlineStr"/>
      <c r="AD54" t="n">
        <v>0</v>
      </c>
      <c r="AE54" t="inlineStr"/>
      <c r="AF54" t="inlineStr"/>
      <c r="AG54" t="inlineStr"/>
      <c r="AH54" t="inlineStr"/>
      <c r="AI54" t="inlineStr"/>
      <c r="AJ54" t="inlineStr"/>
      <c r="AK54" t="inlineStr"/>
      <c r="AL54" t="inlineStr"/>
      <c r="AM54" t="inlineStr"/>
    </row>
    <row r="55">
      <c r="A55" t="inlineStr">
        <is>
          <t>079655G</t>
        </is>
      </c>
      <c r="B55" t="inlineStr">
        <is>
          <t>Bachelor of Genetics (Honours)</t>
        </is>
      </c>
      <c r="C55" t="inlineStr">
        <is>
          <t>Bachelor Honours Degree</t>
        </is>
      </c>
      <c r="D55" t="inlineStr">
        <is>
          <t>Undergraduate</t>
        </is>
      </c>
      <c r="E55" t="inlineStr">
        <is>
          <t>Advertised: official page in place</t>
        </is>
      </c>
      <c r="F55" t="inlineStr">
        <is>
          <t>https://programsandcourses.anu.edu.au/program/hgene</t>
        </is>
      </c>
      <c r="G55" t="inlineStr">
        <is>
          <t>https://programsandcourses.anu.edu.au/program/hgene</t>
        </is>
      </c>
      <c r="H55" t="inlineStr">
        <is>
          <t>Read</t>
        </is>
      </c>
      <c r="I55" t="inlineStr">
        <is>
          <t>CRICOS code on page</t>
        </is>
      </c>
      <c r="J55" t="inlineStr"/>
      <c r="K55" t="inlineStr">
        <is>
          <t>Not sent to re-link</t>
        </is>
      </c>
      <c r="L55" t="inlineStr">
        <is>
          <t>Filled</t>
        </is>
      </c>
      <c r="M55" t="inlineStr">
        <is>
          <t>Filled</t>
        </is>
      </c>
      <c r="N55" t="inlineStr">
        <is>
          <t>57640.00 2026</t>
        </is>
      </c>
      <c r="O55" t="n">
        <v>0</v>
      </c>
      <c r="P55" t="inlineStr">
        <is>
          <t>University adapter</t>
        </is>
      </c>
      <c r="Q55" t="inlineStr">
        <is>
          <t>Filled</t>
        </is>
      </c>
      <c r="R55" t="n">
        <v>6.5</v>
      </c>
      <c r="S55" t="inlineStr">
        <is>
          <t>Central English policy</t>
        </is>
      </c>
      <c r="T55" t="inlineStr">
        <is>
          <t>Central rule applies (value agrees)</t>
        </is>
      </c>
      <c r="U55" t="inlineStr"/>
      <c r="V55" t="inlineStr">
        <is>
          <t>Not stated on course page</t>
        </is>
      </c>
      <c r="W55" t="inlineStr"/>
      <c r="X55" t="inlineStr"/>
      <c r="Y55" t="n">
        <v>0</v>
      </c>
      <c r="Z55" t="inlineStr">
        <is>
          <t>Yes</t>
        </is>
      </c>
      <c r="AA55" t="inlineStr">
        <is>
          <t>Filled</t>
        </is>
      </c>
      <c r="AB55" t="inlineStr">
        <is>
          <t>on campus</t>
        </is>
      </c>
      <c r="AC55" t="inlineStr"/>
      <c r="AD55" t="n">
        <v>0</v>
      </c>
      <c r="AE55" t="inlineStr"/>
      <c r="AF55" t="inlineStr"/>
      <c r="AG55" t="inlineStr"/>
      <c r="AH55" t="inlineStr"/>
      <c r="AI55" t="inlineStr"/>
      <c r="AJ55" t="inlineStr"/>
      <c r="AK55" t="inlineStr"/>
      <c r="AL55" t="inlineStr"/>
      <c r="AM55" t="inlineStr"/>
    </row>
    <row r="56">
      <c r="A56" t="inlineStr">
        <is>
          <t>094623B</t>
        </is>
      </c>
      <c r="B56" t="inlineStr">
        <is>
          <t>Bachelor of Health Science</t>
        </is>
      </c>
      <c r="C56" t="inlineStr">
        <is>
          <t>Bachelor</t>
        </is>
      </c>
      <c r="D56" t="inlineStr">
        <is>
          <t>Undergraduate</t>
        </is>
      </c>
      <c r="E56" t="inlineStr">
        <is>
          <t>Advertised: official page in place</t>
        </is>
      </c>
      <c r="F56" t="inlineStr">
        <is>
          <t>https://programsandcourses.anu.edu.au/program/bhlth</t>
        </is>
      </c>
      <c r="G56" t="inlineStr">
        <is>
          <t>https://programsandcourses.anu.edu.au/program/bhlth</t>
        </is>
      </c>
      <c r="H56" t="inlineStr">
        <is>
          <t>Read</t>
        </is>
      </c>
      <c r="I56" t="inlineStr">
        <is>
          <t>CRICOS code on page</t>
        </is>
      </c>
      <c r="J56" t="inlineStr"/>
      <c r="K56" t="inlineStr">
        <is>
          <t>Not sent to re-link</t>
        </is>
      </c>
      <c r="L56" t="inlineStr">
        <is>
          <t>Filled</t>
        </is>
      </c>
      <c r="M56" t="inlineStr">
        <is>
          <t>Filled</t>
        </is>
      </c>
      <c r="N56" t="inlineStr">
        <is>
          <t>57640.00 2026</t>
        </is>
      </c>
      <c r="O56" t="n">
        <v>0</v>
      </c>
      <c r="P56" t="inlineStr">
        <is>
          <t>University adapter</t>
        </is>
      </c>
      <c r="Q56" t="inlineStr">
        <is>
          <t>Filled</t>
        </is>
      </c>
      <c r="R56" t="n">
        <v>6.5</v>
      </c>
      <c r="S56" t="inlineStr">
        <is>
          <t>Central English policy</t>
        </is>
      </c>
      <c r="T56" t="inlineStr">
        <is>
          <t>Central rule applies (value agrees)</t>
        </is>
      </c>
      <c r="U56" t="inlineStr"/>
      <c r="V56" t="inlineStr">
        <is>
          <t>Not stated on course page</t>
        </is>
      </c>
      <c r="W56" t="inlineStr"/>
      <c r="X56" t="inlineStr"/>
      <c r="Y56" t="n">
        <v>0</v>
      </c>
      <c r="Z56" t="inlineStr">
        <is>
          <t>Yes</t>
        </is>
      </c>
      <c r="AA56" t="inlineStr">
        <is>
          <t>Filled</t>
        </is>
      </c>
      <c r="AB56" t="inlineStr">
        <is>
          <t>on campus</t>
        </is>
      </c>
      <c r="AC56" t="inlineStr"/>
      <c r="AD56" t="n">
        <v>0</v>
      </c>
      <c r="AE56" t="inlineStr"/>
      <c r="AF56" t="inlineStr"/>
      <c r="AG56" t="inlineStr"/>
      <c r="AH56" t="inlineStr"/>
      <c r="AI56" t="inlineStr"/>
      <c r="AJ56" t="inlineStr"/>
      <c r="AK56" t="inlineStr"/>
      <c r="AL56" t="inlineStr"/>
      <c r="AM56" t="inlineStr"/>
    </row>
    <row r="57">
      <c r="A57" t="inlineStr">
        <is>
          <t>099244F</t>
        </is>
      </c>
      <c r="B57" t="inlineStr">
        <is>
          <t>Bachelor of Health Science (Honours)</t>
        </is>
      </c>
      <c r="C57" t="inlineStr">
        <is>
          <t>Bachelor Honours Degree</t>
        </is>
      </c>
      <c r="D57" t="inlineStr">
        <is>
          <t>Undergraduate</t>
        </is>
      </c>
      <c r="E57" t="inlineStr">
        <is>
          <t>Advertised: official page in place</t>
        </is>
      </c>
      <c r="F57" t="inlineStr">
        <is>
          <t>https://programsandcourses.anu.edu.au/2024/program/hhlth</t>
        </is>
      </c>
      <c r="G57" t="inlineStr">
        <is>
          <t>https://programsandcourses.anu.edu.au/program/hhlth</t>
        </is>
      </c>
      <c r="H57" t="inlineStr">
        <is>
          <t>Read</t>
        </is>
      </c>
      <c r="I57" t="inlineStr">
        <is>
          <t>CRICOS code on page</t>
        </is>
      </c>
      <c r="J57" t="inlineStr"/>
      <c r="K57" t="inlineStr">
        <is>
          <t>Not sent to re-link</t>
        </is>
      </c>
      <c r="L57" t="inlineStr">
        <is>
          <t>Filled</t>
        </is>
      </c>
      <c r="M57" t="inlineStr">
        <is>
          <t>Filled</t>
        </is>
      </c>
      <c r="N57" t="inlineStr">
        <is>
          <t>57640.00 2026</t>
        </is>
      </c>
      <c r="O57" t="n">
        <v>0</v>
      </c>
      <c r="P57" t="inlineStr">
        <is>
          <t>University adapter</t>
        </is>
      </c>
      <c r="Q57" t="inlineStr">
        <is>
          <t>Filled</t>
        </is>
      </c>
      <c r="R57" t="n">
        <v>6.5</v>
      </c>
      <c r="S57" t="inlineStr">
        <is>
          <t>Central English policy</t>
        </is>
      </c>
      <c r="T57" t="inlineStr">
        <is>
          <t>Central rule applies (value agrees)</t>
        </is>
      </c>
      <c r="U57" t="inlineStr"/>
      <c r="V57" t="inlineStr">
        <is>
          <t>Not stated on course page</t>
        </is>
      </c>
      <c r="W57" t="inlineStr"/>
      <c r="X57" t="inlineStr"/>
      <c r="Y57" t="n">
        <v>0</v>
      </c>
      <c r="Z57" t="inlineStr">
        <is>
          <t>Yes</t>
        </is>
      </c>
      <c r="AA57" t="inlineStr">
        <is>
          <t>Filled</t>
        </is>
      </c>
      <c r="AB57" t="inlineStr">
        <is>
          <t>on campus</t>
        </is>
      </c>
      <c r="AC57" t="inlineStr"/>
      <c r="AD57" t="n">
        <v>0</v>
      </c>
      <c r="AE57" t="inlineStr"/>
      <c r="AF57" t="inlineStr"/>
      <c r="AG57" t="inlineStr"/>
      <c r="AH57" t="inlineStr"/>
      <c r="AI57" t="inlineStr"/>
      <c r="AJ57" t="inlineStr"/>
      <c r="AK57" t="inlineStr"/>
      <c r="AL57" t="inlineStr"/>
      <c r="AM57" t="inlineStr"/>
    </row>
    <row r="58">
      <c r="A58" t="inlineStr">
        <is>
          <t>029996A</t>
        </is>
      </c>
      <c r="B58" t="inlineStr">
        <is>
          <t>Bachelor of Information Technology</t>
        </is>
      </c>
      <c r="C58" t="inlineStr">
        <is>
          <t>Bachelor</t>
        </is>
      </c>
      <c r="D58" t="inlineStr">
        <is>
          <t>Undergraduate</t>
        </is>
      </c>
      <c r="E58" t="inlineStr">
        <is>
          <t>Advertised: official page in place</t>
        </is>
      </c>
      <c r="F58" t="inlineStr">
        <is>
          <t>https://programsandcourses.anu.edu.au/2021/program/bit</t>
        </is>
      </c>
      <c r="G58" t="inlineStr">
        <is>
          <t>https://programsandcourses.anu.edu.au/2021/program/bit</t>
        </is>
      </c>
      <c r="H58" t="inlineStr">
        <is>
          <t>Read</t>
        </is>
      </c>
      <c r="I58" t="inlineStr">
        <is>
          <t>CRICOS code on page</t>
        </is>
      </c>
      <c r="J58" t="inlineStr"/>
      <c r="K58" t="inlineStr">
        <is>
          <t>Not sent to re-link</t>
        </is>
      </c>
      <c r="L58" t="inlineStr">
        <is>
          <t>Filled</t>
        </is>
      </c>
      <c r="M58" t="inlineStr">
        <is>
          <t>Filled</t>
        </is>
      </c>
      <c r="N58" t="inlineStr">
        <is>
          <t>46910.00 2026</t>
        </is>
      </c>
      <c r="O58" t="n">
        <v>0</v>
      </c>
      <c r="P58" t="inlineStr">
        <is>
          <t>Other</t>
        </is>
      </c>
      <c r="Q58" t="inlineStr">
        <is>
          <t>Filled</t>
        </is>
      </c>
      <c r="R58" t="n">
        <v>6.5</v>
      </c>
      <c r="S58" t="inlineStr">
        <is>
          <t>Central English policy</t>
        </is>
      </c>
      <c r="T58" t="inlineStr">
        <is>
          <t>Central rule applies (value agrees)</t>
        </is>
      </c>
      <c r="U58" t="inlineStr"/>
      <c r="V58" t="inlineStr">
        <is>
          <t>Waiting for Layer 4 review</t>
        </is>
      </c>
      <c r="W58" t="inlineStr"/>
      <c r="X58" t="inlineStr"/>
      <c r="Y58" t="n">
        <v>0</v>
      </c>
      <c r="Z58" t="inlineStr">
        <is>
          <t>Yes</t>
        </is>
      </c>
      <c r="AA58" t="inlineStr">
        <is>
          <t>Filled</t>
        </is>
      </c>
      <c r="AB58" t="inlineStr">
        <is>
          <t>on campus</t>
        </is>
      </c>
      <c r="AC58" t="inlineStr"/>
      <c r="AD58" t="n">
        <v>0</v>
      </c>
      <c r="AE58" t="inlineStr"/>
      <c r="AF58" t="inlineStr">
        <is>
          <t>Yes</t>
        </is>
      </c>
      <c r="AG58" t="inlineStr"/>
      <c r="AH58" t="inlineStr"/>
      <c r="AI58" t="inlineStr"/>
      <c r="AJ58" t="inlineStr"/>
      <c r="AK58" t="inlineStr"/>
      <c r="AL58" t="inlineStr"/>
      <c r="AM58" t="inlineStr"/>
    </row>
    <row r="59">
      <c r="A59" t="inlineStr">
        <is>
          <t>036677B</t>
        </is>
      </c>
      <c r="B59" t="inlineStr">
        <is>
          <t>Bachelor of Information Technology (Honours)</t>
        </is>
      </c>
      <c r="C59" t="inlineStr">
        <is>
          <t>Bachelor Honours Degree</t>
        </is>
      </c>
      <c r="D59" t="inlineStr">
        <is>
          <t>Undergraduate</t>
        </is>
      </c>
      <c r="E59" t="inlineStr">
        <is>
          <t>Advertised: official page in place</t>
        </is>
      </c>
      <c r="F59" t="inlineStr">
        <is>
          <t>https://programsandcourses.anu.edu.au/2026/program/hit</t>
        </is>
      </c>
      <c r="G59" t="inlineStr">
        <is>
          <t>https://programsandcourses.anu.edu.au/2026/program/hit</t>
        </is>
      </c>
      <c r="H59" t="inlineStr">
        <is>
          <t>Read</t>
        </is>
      </c>
      <c r="I59" t="inlineStr">
        <is>
          <t>CRICOS code on page</t>
        </is>
      </c>
      <c r="J59" t="inlineStr"/>
      <c r="K59" t="inlineStr">
        <is>
          <t>Not sent to re-link</t>
        </is>
      </c>
      <c r="L59" t="inlineStr">
        <is>
          <t>Filled</t>
        </is>
      </c>
      <c r="M59" t="inlineStr">
        <is>
          <t>Filled</t>
        </is>
      </c>
      <c r="N59" t="inlineStr">
        <is>
          <t>56120.00 2026</t>
        </is>
      </c>
      <c r="O59" t="n">
        <v>0</v>
      </c>
      <c r="P59" t="inlineStr">
        <is>
          <t>University adapter</t>
        </is>
      </c>
      <c r="Q59" t="inlineStr">
        <is>
          <t>Filled</t>
        </is>
      </c>
      <c r="R59" t="n">
        <v>6.5</v>
      </c>
      <c r="S59" t="inlineStr">
        <is>
          <t>Central English policy</t>
        </is>
      </c>
      <c r="T59" t="inlineStr">
        <is>
          <t>Central rule applies (value agrees)</t>
        </is>
      </c>
      <c r="U59" t="inlineStr"/>
      <c r="V59" t="inlineStr">
        <is>
          <t>Not stated on course page</t>
        </is>
      </c>
      <c r="W59" t="inlineStr"/>
      <c r="X59" t="inlineStr"/>
      <c r="Y59" t="n">
        <v>0</v>
      </c>
      <c r="Z59" t="inlineStr">
        <is>
          <t>Yes</t>
        </is>
      </c>
      <c r="AA59" t="inlineStr">
        <is>
          <t>Filled</t>
        </is>
      </c>
      <c r="AB59" t="inlineStr">
        <is>
          <t>on campus</t>
        </is>
      </c>
      <c r="AC59" t="inlineStr"/>
      <c r="AD59" t="n">
        <v>0</v>
      </c>
      <c r="AE59" t="inlineStr"/>
      <c r="AF59" t="inlineStr"/>
      <c r="AG59" t="inlineStr"/>
      <c r="AH59" t="inlineStr"/>
      <c r="AI59" t="inlineStr"/>
      <c r="AJ59" t="inlineStr"/>
      <c r="AK59" t="inlineStr"/>
      <c r="AL59" t="inlineStr"/>
      <c r="AM59" t="inlineStr"/>
    </row>
    <row r="60">
      <c r="A60" t="inlineStr">
        <is>
          <t>047472B</t>
        </is>
      </c>
      <c r="B60" t="inlineStr">
        <is>
          <t>Bachelor of International Business</t>
        </is>
      </c>
      <c r="C60" t="inlineStr">
        <is>
          <t>Bachelor</t>
        </is>
      </c>
      <c r="D60" t="inlineStr">
        <is>
          <t>Undergraduate</t>
        </is>
      </c>
      <c r="E60" t="inlineStr">
        <is>
          <t>Advertised: official page in place</t>
        </is>
      </c>
      <c r="F60" t="inlineStr">
        <is>
          <t>https://programsandcourses.anu.edu.au/program/binbs</t>
        </is>
      </c>
      <c r="G60" t="inlineStr">
        <is>
          <t>https://programsandcourses.anu.edu.au/program/binbs</t>
        </is>
      </c>
      <c r="H60" t="inlineStr">
        <is>
          <t>Read</t>
        </is>
      </c>
      <c r="I60" t="inlineStr">
        <is>
          <t>CRICOS code on page</t>
        </is>
      </c>
      <c r="J60" t="inlineStr"/>
      <c r="K60" t="inlineStr">
        <is>
          <t>Not sent to re-link</t>
        </is>
      </c>
      <c r="L60" t="inlineStr">
        <is>
          <t>Filled</t>
        </is>
      </c>
      <c r="M60" t="inlineStr">
        <is>
          <t>Filled</t>
        </is>
      </c>
      <c r="N60" t="inlineStr">
        <is>
          <t>57640.00 2026</t>
        </is>
      </c>
      <c r="O60" t="n">
        <v>0</v>
      </c>
      <c r="P60" t="inlineStr">
        <is>
          <t>University adapter</t>
        </is>
      </c>
      <c r="Q60" t="inlineStr">
        <is>
          <t>Filled</t>
        </is>
      </c>
      <c r="R60" t="n">
        <v>6.5</v>
      </c>
      <c r="S60" t="inlineStr">
        <is>
          <t>Central English policy</t>
        </is>
      </c>
      <c r="T60" t="inlineStr">
        <is>
          <t>Central rule applies (value agrees)</t>
        </is>
      </c>
      <c r="U60" t="inlineStr"/>
      <c r="V60" t="inlineStr">
        <is>
          <t>Filled</t>
        </is>
      </c>
      <c r="W60" t="inlineStr">
        <is>
          <t>February, July</t>
        </is>
      </c>
      <c r="X60" t="inlineStr">
        <is>
          <t>Page reader</t>
        </is>
      </c>
      <c r="Y60" t="n">
        <v>0</v>
      </c>
      <c r="Z60" t="inlineStr">
        <is>
          <t>Yes</t>
        </is>
      </c>
      <c r="AA60" t="inlineStr">
        <is>
          <t>Filled</t>
        </is>
      </c>
      <c r="AB60" t="inlineStr">
        <is>
          <t>on campus</t>
        </is>
      </c>
      <c r="AC60" t="inlineStr"/>
      <c r="AD60" t="n">
        <v>0</v>
      </c>
      <c r="AE60" t="inlineStr"/>
      <c r="AF60" t="inlineStr"/>
      <c r="AG60" t="inlineStr"/>
      <c r="AH60" t="inlineStr"/>
      <c r="AI60" t="inlineStr"/>
      <c r="AJ60" t="inlineStr"/>
      <c r="AK60" t="inlineStr"/>
      <c r="AL60" t="inlineStr"/>
      <c r="AM60" t="inlineStr"/>
    </row>
    <row r="61">
      <c r="A61" t="inlineStr">
        <is>
          <t>063989F</t>
        </is>
      </c>
      <c r="B61" t="inlineStr">
        <is>
          <t>Bachelor of International Business (Honours)</t>
        </is>
      </c>
      <c r="C61" t="inlineStr">
        <is>
          <t>Bachelor Honours Degree</t>
        </is>
      </c>
      <c r="D61" t="inlineStr">
        <is>
          <t>Undergraduate</t>
        </is>
      </c>
      <c r="E61" t="inlineStr">
        <is>
          <t>Advertised: official page in place</t>
        </is>
      </c>
      <c r="F61" t="inlineStr">
        <is>
          <t>https://programsandcourses.anu.edu.au/program/hinbs</t>
        </is>
      </c>
      <c r="G61" t="inlineStr">
        <is>
          <t>https://programsandcourses.anu.edu.au/program/hinbs</t>
        </is>
      </c>
      <c r="H61" t="inlineStr">
        <is>
          <t>Read</t>
        </is>
      </c>
      <c r="I61" t="inlineStr">
        <is>
          <t>CRICOS code on page</t>
        </is>
      </c>
      <c r="J61" t="inlineStr"/>
      <c r="K61" t="inlineStr">
        <is>
          <t>Not sent to re-link</t>
        </is>
      </c>
      <c r="L61" t="inlineStr">
        <is>
          <t>Filled</t>
        </is>
      </c>
      <c r="M61" t="inlineStr">
        <is>
          <t>Filled</t>
        </is>
      </c>
      <c r="N61" t="inlineStr">
        <is>
          <t>57640.00 2026</t>
        </is>
      </c>
      <c r="O61" t="n">
        <v>0</v>
      </c>
      <c r="P61" t="inlineStr">
        <is>
          <t>University adapter</t>
        </is>
      </c>
      <c r="Q61" t="inlineStr">
        <is>
          <t>Filled</t>
        </is>
      </c>
      <c r="R61" t="n">
        <v>6.5</v>
      </c>
      <c r="S61" t="inlineStr">
        <is>
          <t>Central English policy</t>
        </is>
      </c>
      <c r="T61" t="inlineStr">
        <is>
          <t>Central rule applies (value agrees)</t>
        </is>
      </c>
      <c r="U61" t="inlineStr"/>
      <c r="V61" t="inlineStr">
        <is>
          <t>Filled</t>
        </is>
      </c>
      <c r="W61" t="inlineStr">
        <is>
          <t>February</t>
        </is>
      </c>
      <c r="X61" t="inlineStr">
        <is>
          <t>Page reader</t>
        </is>
      </c>
      <c r="Y61" t="n">
        <v>0</v>
      </c>
      <c r="Z61" t="inlineStr">
        <is>
          <t>Yes</t>
        </is>
      </c>
      <c r="AA61" t="inlineStr">
        <is>
          <t>Filled</t>
        </is>
      </c>
      <c r="AB61" t="inlineStr">
        <is>
          <t>on campus</t>
        </is>
      </c>
      <c r="AC61" t="inlineStr"/>
      <c r="AD61" t="n">
        <v>0</v>
      </c>
      <c r="AE61" t="inlineStr"/>
      <c r="AF61" t="inlineStr"/>
      <c r="AG61" t="inlineStr"/>
      <c r="AH61" t="inlineStr"/>
      <c r="AI61" t="inlineStr"/>
      <c r="AJ61" t="inlineStr"/>
      <c r="AK61" t="inlineStr"/>
      <c r="AL61" t="inlineStr"/>
      <c r="AM61" t="inlineStr"/>
    </row>
    <row r="62">
      <c r="A62" t="inlineStr">
        <is>
          <t>073992F</t>
        </is>
      </c>
      <c r="B62" t="inlineStr">
        <is>
          <t>Bachelor of International Relations</t>
        </is>
      </c>
      <c r="C62" t="inlineStr">
        <is>
          <t>Bachelor</t>
        </is>
      </c>
      <c r="D62" t="inlineStr">
        <is>
          <t>Undergraduate</t>
        </is>
      </c>
      <c r="E62" t="inlineStr">
        <is>
          <t>Advertised: official page in place</t>
        </is>
      </c>
      <c r="F62" t="inlineStr">
        <is>
          <t>https://programsandcourses.anu.edu.au/program/bir</t>
        </is>
      </c>
      <c r="G62" t="inlineStr">
        <is>
          <t>https://programsandcourses.anu.edu.au/program/bir</t>
        </is>
      </c>
      <c r="H62" t="inlineStr">
        <is>
          <t>Read</t>
        </is>
      </c>
      <c r="I62" t="inlineStr">
        <is>
          <t>CRICOS code on page</t>
        </is>
      </c>
      <c r="J62" t="inlineStr"/>
      <c r="K62" t="inlineStr">
        <is>
          <t>Not sent to re-link</t>
        </is>
      </c>
      <c r="L62" t="inlineStr">
        <is>
          <t>Filled</t>
        </is>
      </c>
      <c r="M62" t="inlineStr">
        <is>
          <t>Filled</t>
        </is>
      </c>
      <c r="N62" t="inlineStr">
        <is>
          <t>54540.00 2026</t>
        </is>
      </c>
      <c r="O62" t="n">
        <v>0</v>
      </c>
      <c r="P62" t="inlineStr">
        <is>
          <t>University adapter</t>
        </is>
      </c>
      <c r="Q62" t="inlineStr">
        <is>
          <t>Filled</t>
        </is>
      </c>
      <c r="R62" t="n">
        <v>6.5</v>
      </c>
      <c r="S62" t="inlineStr">
        <is>
          <t>Central English policy</t>
        </is>
      </c>
      <c r="T62" t="inlineStr">
        <is>
          <t>Central rule applies (value agrees)</t>
        </is>
      </c>
      <c r="U62" t="inlineStr"/>
      <c r="V62" t="inlineStr">
        <is>
          <t>Not stated on course page</t>
        </is>
      </c>
      <c r="W62" t="inlineStr"/>
      <c r="X62" t="inlineStr"/>
      <c r="Y62" t="n">
        <v>0</v>
      </c>
      <c r="Z62" t="inlineStr">
        <is>
          <t>Yes</t>
        </is>
      </c>
      <c r="AA62" t="inlineStr">
        <is>
          <t>Filled</t>
        </is>
      </c>
      <c r="AB62" t="inlineStr">
        <is>
          <t>on campus</t>
        </is>
      </c>
      <c r="AC62" t="inlineStr"/>
      <c r="AD62" t="n">
        <v>0</v>
      </c>
      <c r="AE62" t="inlineStr"/>
      <c r="AF62" t="inlineStr"/>
      <c r="AG62" t="inlineStr"/>
      <c r="AH62" t="inlineStr"/>
      <c r="AI62" t="inlineStr"/>
      <c r="AJ62" t="inlineStr"/>
      <c r="AK62" t="inlineStr"/>
      <c r="AL62" t="inlineStr"/>
      <c r="AM62" t="inlineStr"/>
    </row>
    <row r="63">
      <c r="A63" t="inlineStr">
        <is>
          <t>082703A</t>
        </is>
      </c>
      <c r="B63" t="inlineStr">
        <is>
          <t>Bachelor of International Relations (Honours)</t>
        </is>
      </c>
      <c r="C63" t="inlineStr">
        <is>
          <t>Bachelor Honours Degree</t>
        </is>
      </c>
      <c r="D63" t="inlineStr">
        <is>
          <t>Undergraduate</t>
        </is>
      </c>
      <c r="E63" t="inlineStr">
        <is>
          <t>Advertised: official page in place</t>
        </is>
      </c>
      <c r="F63" t="inlineStr">
        <is>
          <t>https://programsandcourses.anu.edu.au/2017/program/hir</t>
        </is>
      </c>
      <c r="G63" t="inlineStr">
        <is>
          <t>https://programsandcourses.anu.edu.au/program/hir</t>
        </is>
      </c>
      <c r="H63" t="inlineStr">
        <is>
          <t>Read</t>
        </is>
      </c>
      <c r="I63" t="inlineStr">
        <is>
          <t>CRICOS code on page</t>
        </is>
      </c>
      <c r="J63" t="inlineStr"/>
      <c r="K63" t="inlineStr">
        <is>
          <t>Not sent to re-link</t>
        </is>
      </c>
      <c r="L63" t="inlineStr">
        <is>
          <t>Filled</t>
        </is>
      </c>
      <c r="M63" t="inlineStr">
        <is>
          <t>Filled</t>
        </is>
      </c>
      <c r="N63" t="inlineStr">
        <is>
          <t>54540.00 2026</t>
        </is>
      </c>
      <c r="O63" t="n">
        <v>0</v>
      </c>
      <c r="P63" t="inlineStr">
        <is>
          <t>University adapter</t>
        </is>
      </c>
      <c r="Q63" t="inlineStr">
        <is>
          <t>Filled</t>
        </is>
      </c>
      <c r="R63" t="n">
        <v>6.5</v>
      </c>
      <c r="S63" t="inlineStr">
        <is>
          <t>Central English policy</t>
        </is>
      </c>
      <c r="T63" t="inlineStr">
        <is>
          <t>Central rule applies (value agrees)</t>
        </is>
      </c>
      <c r="U63" t="inlineStr"/>
      <c r="V63" t="inlineStr">
        <is>
          <t>Not stated on course page</t>
        </is>
      </c>
      <c r="W63" t="inlineStr"/>
      <c r="X63" t="inlineStr"/>
      <c r="Y63" t="n">
        <v>0</v>
      </c>
      <c r="Z63" t="inlineStr">
        <is>
          <t>Yes</t>
        </is>
      </c>
      <c r="AA63" t="inlineStr">
        <is>
          <t>Filled</t>
        </is>
      </c>
      <c r="AB63" t="inlineStr">
        <is>
          <t>on campus</t>
        </is>
      </c>
      <c r="AC63" t="inlineStr"/>
      <c r="AD63" t="n">
        <v>0</v>
      </c>
      <c r="AE63" t="inlineStr"/>
      <c r="AF63" t="inlineStr"/>
      <c r="AG63" t="inlineStr"/>
      <c r="AH63" t="inlineStr"/>
      <c r="AI63" t="inlineStr"/>
      <c r="AJ63" t="inlineStr"/>
      <c r="AK63" t="inlineStr"/>
      <c r="AL63" t="inlineStr"/>
      <c r="AM63" t="inlineStr"/>
    </row>
    <row r="64">
      <c r="A64" t="inlineStr">
        <is>
          <t>099469M</t>
        </is>
      </c>
      <c r="B64" t="inlineStr">
        <is>
          <t>Bachelor of International Relations (with Year in Asia)</t>
        </is>
      </c>
      <c r="C64" t="inlineStr">
        <is>
          <t>Bachelor</t>
        </is>
      </c>
      <c r="D64" t="inlineStr">
        <is>
          <t>Undergraduate</t>
        </is>
      </c>
      <c r="E64" t="inlineStr">
        <is>
          <t>Advertised: official page in place</t>
        </is>
      </c>
      <c r="F64" t="inlineStr">
        <is>
          <t>https://programsandcourses.anu.edu.au/2022/program/biry</t>
        </is>
      </c>
      <c r="G64" t="inlineStr">
        <is>
          <t>https://programsandcourses.anu.edu.au/program/biry</t>
        </is>
      </c>
      <c r="H64" t="inlineStr">
        <is>
          <t>Read</t>
        </is>
      </c>
      <c r="I64" t="inlineStr">
        <is>
          <t>CRICOS code on page</t>
        </is>
      </c>
      <c r="J64" t="inlineStr"/>
      <c r="K64" t="inlineStr">
        <is>
          <t>Not sent to re-link</t>
        </is>
      </c>
      <c r="L64" t="inlineStr">
        <is>
          <t>Filled</t>
        </is>
      </c>
      <c r="M64" t="inlineStr">
        <is>
          <t>Filled</t>
        </is>
      </c>
      <c r="N64" t="inlineStr">
        <is>
          <t>54540.00 2026</t>
        </is>
      </c>
      <c r="O64" t="n">
        <v>0</v>
      </c>
      <c r="P64" t="inlineStr">
        <is>
          <t>University adapter</t>
        </is>
      </c>
      <c r="Q64" t="inlineStr">
        <is>
          <t>Filled</t>
        </is>
      </c>
      <c r="R64" t="n">
        <v>6.5</v>
      </c>
      <c r="S64" t="inlineStr">
        <is>
          <t>Central English policy</t>
        </is>
      </c>
      <c r="T64" t="inlineStr">
        <is>
          <t>Central rule applies (value agrees)</t>
        </is>
      </c>
      <c r="U64" t="inlineStr"/>
      <c r="V64" t="inlineStr">
        <is>
          <t>Not stated on course page</t>
        </is>
      </c>
      <c r="W64" t="inlineStr"/>
      <c r="X64" t="inlineStr"/>
      <c r="Y64" t="n">
        <v>0</v>
      </c>
      <c r="Z64" t="inlineStr">
        <is>
          <t>Yes</t>
        </is>
      </c>
      <c r="AA64" t="inlineStr">
        <is>
          <t>Filled</t>
        </is>
      </c>
      <c r="AB64" t="inlineStr">
        <is>
          <t>on campus</t>
        </is>
      </c>
      <c r="AC64" t="inlineStr"/>
      <c r="AD64" t="n">
        <v>0</v>
      </c>
      <c r="AE64" t="inlineStr"/>
      <c r="AF64" t="inlineStr"/>
      <c r="AG64" t="inlineStr"/>
      <c r="AH64" t="inlineStr"/>
      <c r="AI64" t="inlineStr"/>
      <c r="AJ64" t="inlineStr"/>
      <c r="AK64" t="inlineStr"/>
      <c r="AL64" t="inlineStr"/>
      <c r="AM64" t="inlineStr"/>
    </row>
    <row r="65">
      <c r="A65" t="inlineStr">
        <is>
          <t>082704M</t>
        </is>
      </c>
      <c r="B65" t="inlineStr">
        <is>
          <t>Bachelor of International Security Studies</t>
        </is>
      </c>
      <c r="C65" t="inlineStr">
        <is>
          <t>Bachelor</t>
        </is>
      </c>
      <c r="D65" t="inlineStr">
        <is>
          <t>Undergraduate</t>
        </is>
      </c>
      <c r="E65" t="inlineStr">
        <is>
          <t>Advertised: official page in place</t>
        </is>
      </c>
      <c r="F65" t="inlineStr">
        <is>
          <t>https://programsandcourses.anu.edu.au/program/binss</t>
        </is>
      </c>
      <c r="G65" t="inlineStr">
        <is>
          <t>https://programsandcourses.anu.edu.au/program/binss</t>
        </is>
      </c>
      <c r="H65" t="inlineStr">
        <is>
          <t>Read</t>
        </is>
      </c>
      <c r="I65" t="inlineStr">
        <is>
          <t>CRICOS code on page</t>
        </is>
      </c>
      <c r="J65" t="inlineStr"/>
      <c r="K65" t="inlineStr">
        <is>
          <t>Not sent to re-link</t>
        </is>
      </c>
      <c r="L65" t="inlineStr">
        <is>
          <t>Filled</t>
        </is>
      </c>
      <c r="M65" t="inlineStr">
        <is>
          <t>Filled</t>
        </is>
      </c>
      <c r="N65" t="inlineStr">
        <is>
          <t>54540.00 2026</t>
        </is>
      </c>
      <c r="O65" t="n">
        <v>0</v>
      </c>
      <c r="P65" t="inlineStr">
        <is>
          <t>University adapter</t>
        </is>
      </c>
      <c r="Q65" t="inlineStr">
        <is>
          <t>Filled</t>
        </is>
      </c>
      <c r="R65" t="n">
        <v>6.5</v>
      </c>
      <c r="S65" t="inlineStr">
        <is>
          <t>Central English policy</t>
        </is>
      </c>
      <c r="T65" t="inlineStr">
        <is>
          <t>Central rule applies (value agrees)</t>
        </is>
      </c>
      <c r="U65" t="inlineStr"/>
      <c r="V65" t="inlineStr">
        <is>
          <t>Not stated on course page</t>
        </is>
      </c>
      <c r="W65" t="inlineStr"/>
      <c r="X65" t="inlineStr"/>
      <c r="Y65" t="n">
        <v>0</v>
      </c>
      <c r="Z65" t="inlineStr">
        <is>
          <t>Yes</t>
        </is>
      </c>
      <c r="AA65" t="inlineStr">
        <is>
          <t>Filled</t>
        </is>
      </c>
      <c r="AB65" t="inlineStr">
        <is>
          <t>on campus</t>
        </is>
      </c>
      <c r="AC65" t="inlineStr"/>
      <c r="AD65" t="n">
        <v>0</v>
      </c>
      <c r="AE65" t="inlineStr"/>
      <c r="AF65" t="inlineStr"/>
      <c r="AG65" t="inlineStr"/>
      <c r="AH65" t="inlineStr"/>
      <c r="AI65" t="inlineStr"/>
      <c r="AJ65" t="inlineStr"/>
      <c r="AK65" t="inlineStr"/>
      <c r="AL65" t="inlineStr"/>
      <c r="AM65" t="inlineStr"/>
    </row>
    <row r="66">
      <c r="A66" t="inlineStr">
        <is>
          <t>085328F</t>
        </is>
      </c>
      <c r="B66" t="inlineStr">
        <is>
          <t>Bachelor of International Security Studies (Honours)</t>
        </is>
      </c>
      <c r="C66" t="inlineStr">
        <is>
          <t>Bachelor Honours Degree</t>
        </is>
      </c>
      <c r="D66" t="inlineStr">
        <is>
          <t>Undergraduate</t>
        </is>
      </c>
      <c r="E66" t="inlineStr">
        <is>
          <t>Advertised: official page in place</t>
        </is>
      </c>
      <c r="F66" t="inlineStr">
        <is>
          <t>https://programsandcourses.anu.edu.au/program/hinss</t>
        </is>
      </c>
      <c r="G66" t="inlineStr">
        <is>
          <t>https://programsandcourses.anu.edu.au/program/hinss</t>
        </is>
      </c>
      <c r="H66" t="inlineStr">
        <is>
          <t>Read</t>
        </is>
      </c>
      <c r="I66" t="inlineStr">
        <is>
          <t>CRICOS code on page</t>
        </is>
      </c>
      <c r="J66" t="inlineStr"/>
      <c r="K66" t="inlineStr">
        <is>
          <t>Not sent to re-link</t>
        </is>
      </c>
      <c r="L66" t="inlineStr">
        <is>
          <t>Filled</t>
        </is>
      </c>
      <c r="M66" t="inlineStr">
        <is>
          <t>Filled</t>
        </is>
      </c>
      <c r="N66" t="inlineStr">
        <is>
          <t>54540.00 2026</t>
        </is>
      </c>
      <c r="O66" t="n">
        <v>0</v>
      </c>
      <c r="P66" t="inlineStr">
        <is>
          <t>University adapter</t>
        </is>
      </c>
      <c r="Q66" t="inlineStr">
        <is>
          <t>Filled</t>
        </is>
      </c>
      <c r="R66" t="n">
        <v>6.5</v>
      </c>
      <c r="S66" t="inlineStr">
        <is>
          <t>Central English policy</t>
        </is>
      </c>
      <c r="T66" t="inlineStr">
        <is>
          <t>Central rule applies (value agrees)</t>
        </is>
      </c>
      <c r="U66" t="inlineStr"/>
      <c r="V66" t="inlineStr">
        <is>
          <t>Not stated on course page</t>
        </is>
      </c>
      <c r="W66" t="inlineStr"/>
      <c r="X66" t="inlineStr"/>
      <c r="Y66" t="n">
        <v>0</v>
      </c>
      <c r="Z66" t="inlineStr">
        <is>
          <t>Yes</t>
        </is>
      </c>
      <c r="AA66" t="inlineStr">
        <is>
          <t>Filled</t>
        </is>
      </c>
      <c r="AB66" t="inlineStr">
        <is>
          <t>on campus</t>
        </is>
      </c>
      <c r="AC66" t="inlineStr"/>
      <c r="AD66" t="n">
        <v>0</v>
      </c>
      <c r="AE66" t="inlineStr"/>
      <c r="AF66" t="inlineStr"/>
      <c r="AG66" t="inlineStr"/>
      <c r="AH66" t="inlineStr"/>
      <c r="AI66" t="inlineStr"/>
      <c r="AJ66" t="inlineStr"/>
      <c r="AK66" t="inlineStr"/>
      <c r="AL66" t="inlineStr"/>
      <c r="AM66" t="inlineStr"/>
    </row>
    <row r="67">
      <c r="A67" t="inlineStr">
        <is>
          <t>099466C</t>
        </is>
      </c>
      <c r="B67" t="inlineStr">
        <is>
          <t>Bachelor of International Security Studies (with Year in Asia)</t>
        </is>
      </c>
      <c r="C67" t="inlineStr">
        <is>
          <t>Bachelor</t>
        </is>
      </c>
      <c r="D67" t="inlineStr">
        <is>
          <t>Undergraduate</t>
        </is>
      </c>
      <c r="E67" t="inlineStr">
        <is>
          <t>Advertised: official page in place</t>
        </is>
      </c>
      <c r="F67" t="inlineStr">
        <is>
          <t>https://programsandcourses.anu.edu.au/2021/program/binsy</t>
        </is>
      </c>
      <c r="G67" t="inlineStr">
        <is>
          <t>https://programsandcourses.anu.edu.au/program/binsy</t>
        </is>
      </c>
      <c r="H67" t="inlineStr">
        <is>
          <t>Read</t>
        </is>
      </c>
      <c r="I67" t="inlineStr">
        <is>
          <t>CRICOS code on page</t>
        </is>
      </c>
      <c r="J67" t="inlineStr"/>
      <c r="K67" t="inlineStr">
        <is>
          <t>Not sent to re-link</t>
        </is>
      </c>
      <c r="L67" t="inlineStr">
        <is>
          <t>Filled</t>
        </is>
      </c>
      <c r="M67" t="inlineStr">
        <is>
          <t>Filled</t>
        </is>
      </c>
      <c r="N67" t="inlineStr">
        <is>
          <t>54540.00 2026</t>
        </is>
      </c>
      <c r="O67" t="n">
        <v>0</v>
      </c>
      <c r="P67" t="inlineStr">
        <is>
          <t>University adapter</t>
        </is>
      </c>
      <c r="Q67" t="inlineStr">
        <is>
          <t>Filled</t>
        </is>
      </c>
      <c r="R67" t="n">
        <v>6.5</v>
      </c>
      <c r="S67" t="inlineStr">
        <is>
          <t>Central English policy</t>
        </is>
      </c>
      <c r="T67" t="inlineStr">
        <is>
          <t>Central rule applies (value agrees)</t>
        </is>
      </c>
      <c r="U67" t="inlineStr"/>
      <c r="V67" t="inlineStr">
        <is>
          <t>Not stated on course page</t>
        </is>
      </c>
      <c r="W67" t="inlineStr"/>
      <c r="X67" t="inlineStr"/>
      <c r="Y67" t="n">
        <v>0</v>
      </c>
      <c r="Z67" t="inlineStr">
        <is>
          <t>Yes</t>
        </is>
      </c>
      <c r="AA67" t="inlineStr">
        <is>
          <t>Filled</t>
        </is>
      </c>
      <c r="AB67" t="inlineStr">
        <is>
          <t>on campus</t>
        </is>
      </c>
      <c r="AC67" t="inlineStr"/>
      <c r="AD67" t="n">
        <v>0</v>
      </c>
      <c r="AE67" t="inlineStr"/>
      <c r="AF67" t="inlineStr"/>
      <c r="AG67" t="inlineStr"/>
      <c r="AH67" t="inlineStr"/>
      <c r="AI67" t="inlineStr"/>
      <c r="AJ67" t="inlineStr"/>
      <c r="AK67" t="inlineStr"/>
      <c r="AL67" t="inlineStr"/>
      <c r="AM67" t="inlineStr"/>
    </row>
    <row r="68">
      <c r="A68" t="inlineStr">
        <is>
          <t>073988B</t>
        </is>
      </c>
      <c r="B68" t="inlineStr">
        <is>
          <t>Bachelor of Languages</t>
        </is>
      </c>
      <c r="C68" t="inlineStr">
        <is>
          <t>Bachelor</t>
        </is>
      </c>
      <c r="D68" t="inlineStr">
        <is>
          <t>Undergraduate</t>
        </is>
      </c>
      <c r="E68" t="inlineStr">
        <is>
          <t>Advertised: official page in place</t>
        </is>
      </c>
      <c r="F68" t="inlineStr">
        <is>
          <t>https://programsandcourses.anu.edu.au/2021/vertical-double/blang-mling</t>
        </is>
      </c>
      <c r="G68" t="inlineStr">
        <is>
          <t>https://programsandcourses.anu.edu.au/2021/vertical-double/blang-mling</t>
        </is>
      </c>
      <c r="H68" t="inlineStr">
        <is>
          <t>Read</t>
        </is>
      </c>
      <c r="I68" t="inlineStr">
        <is>
          <t>CRICOS code on page</t>
        </is>
      </c>
      <c r="J68" t="inlineStr"/>
      <c r="K68" t="inlineStr">
        <is>
          <t>Not sent to re-link</t>
        </is>
      </c>
      <c r="L68" t="inlineStr">
        <is>
          <t>Filled</t>
        </is>
      </c>
      <c r="M68" t="inlineStr">
        <is>
          <t>Waiting for Layer 4 review</t>
        </is>
      </c>
      <c r="N68" t="inlineStr"/>
      <c r="O68" t="n">
        <v>0</v>
      </c>
      <c r="P68" t="inlineStr"/>
      <c r="Q68" t="inlineStr">
        <is>
          <t>Filled</t>
        </is>
      </c>
      <c r="R68" t="n">
        <v>6.5</v>
      </c>
      <c r="S68" t="inlineStr">
        <is>
          <t>Central English policy</t>
        </is>
      </c>
      <c r="T68" t="inlineStr">
        <is>
          <t>Central rule applies (value agrees)</t>
        </is>
      </c>
      <c r="U68" t="inlineStr"/>
      <c r="V68" t="inlineStr">
        <is>
          <t>Not stated on course page</t>
        </is>
      </c>
      <c r="W68" t="inlineStr"/>
      <c r="X68" t="inlineStr"/>
      <c r="Y68" t="n">
        <v>0</v>
      </c>
      <c r="Z68" t="inlineStr">
        <is>
          <t>Yes</t>
        </is>
      </c>
      <c r="AA68" t="inlineStr">
        <is>
          <t>Filled</t>
        </is>
      </c>
      <c r="AB68" t="inlineStr">
        <is>
          <t>on campus</t>
        </is>
      </c>
      <c r="AC68" t="inlineStr">
        <is>
          <t>Filled</t>
        </is>
      </c>
      <c r="AD68" t="n">
        <v>0</v>
      </c>
      <c r="AE68" t="inlineStr"/>
      <c r="AF68" t="inlineStr">
        <is>
          <t>Yes</t>
        </is>
      </c>
      <c r="AG68" t="inlineStr"/>
      <c r="AH68" t="inlineStr"/>
      <c r="AI68" t="inlineStr"/>
      <c r="AJ68" t="inlineStr"/>
      <c r="AK68" t="inlineStr"/>
      <c r="AL68" t="inlineStr"/>
      <c r="AM68" t="inlineStr"/>
    </row>
    <row r="69">
      <c r="A69" t="inlineStr">
        <is>
          <t>082699C</t>
        </is>
      </c>
      <c r="B69" t="inlineStr">
        <is>
          <t>Bachelor of Languages (Honours)</t>
        </is>
      </c>
      <c r="C69" t="inlineStr">
        <is>
          <t>Bachelor Honours Degree</t>
        </is>
      </c>
      <c r="D69" t="inlineStr">
        <is>
          <t>Undergraduate</t>
        </is>
      </c>
      <c r="E69" t="inlineStr">
        <is>
          <t>Advertised: official page in place</t>
        </is>
      </c>
      <c r="F69" t="inlineStr">
        <is>
          <t>https://programsandcourses.anu.edu.au/2022/program/hlang</t>
        </is>
      </c>
      <c r="G69" t="inlineStr">
        <is>
          <t>https://programsandcourses.anu.edu.au/program/hlang</t>
        </is>
      </c>
      <c r="H69" t="inlineStr">
        <is>
          <t>Read</t>
        </is>
      </c>
      <c r="I69" t="inlineStr">
        <is>
          <t>CRICOS code on page</t>
        </is>
      </c>
      <c r="J69" t="inlineStr"/>
      <c r="K69" t="inlineStr">
        <is>
          <t>Not sent to re-link</t>
        </is>
      </c>
      <c r="L69" t="inlineStr">
        <is>
          <t>Filled</t>
        </is>
      </c>
      <c r="M69" t="inlineStr">
        <is>
          <t>Filled</t>
        </is>
      </c>
      <c r="N69" t="inlineStr">
        <is>
          <t>47940.00 2026</t>
        </is>
      </c>
      <c r="O69" t="n">
        <v>0</v>
      </c>
      <c r="P69" t="inlineStr">
        <is>
          <t>University adapter</t>
        </is>
      </c>
      <c r="Q69" t="inlineStr">
        <is>
          <t>Filled</t>
        </is>
      </c>
      <c r="R69" t="n">
        <v>6.5</v>
      </c>
      <c r="S69" t="inlineStr">
        <is>
          <t>Central English policy</t>
        </is>
      </c>
      <c r="T69" t="inlineStr">
        <is>
          <t>Central rule applies (value agrees)</t>
        </is>
      </c>
      <c r="U69" t="inlineStr"/>
      <c r="V69" t="inlineStr">
        <is>
          <t>Not stated on course page</t>
        </is>
      </c>
      <c r="W69" t="inlineStr"/>
      <c r="X69" t="inlineStr"/>
      <c r="Y69" t="n">
        <v>0</v>
      </c>
      <c r="Z69" t="inlineStr">
        <is>
          <t>Yes</t>
        </is>
      </c>
      <c r="AA69" t="inlineStr">
        <is>
          <t>Filled</t>
        </is>
      </c>
      <c r="AB69" t="inlineStr">
        <is>
          <t>on campus</t>
        </is>
      </c>
      <c r="AC69" t="inlineStr"/>
      <c r="AD69" t="n">
        <v>0</v>
      </c>
      <c r="AE69" t="inlineStr"/>
      <c r="AF69" t="inlineStr"/>
      <c r="AG69" t="inlineStr"/>
      <c r="AH69" t="inlineStr"/>
      <c r="AI69" t="inlineStr"/>
      <c r="AJ69" t="inlineStr"/>
      <c r="AK69" t="inlineStr"/>
      <c r="AL69" t="inlineStr"/>
      <c r="AM69" t="inlineStr"/>
    </row>
    <row r="70">
      <c r="A70" t="inlineStr">
        <is>
          <t>099470G</t>
        </is>
      </c>
      <c r="B70" t="inlineStr">
        <is>
          <t>Bachelor of Languages (with Year in Asia)</t>
        </is>
      </c>
      <c r="C70" t="inlineStr">
        <is>
          <t>Bachelor</t>
        </is>
      </c>
      <c r="D70" t="inlineStr">
        <is>
          <t>Undergraduate</t>
        </is>
      </c>
      <c r="E70" t="inlineStr">
        <is>
          <t>Advertised: official page in place</t>
        </is>
      </c>
      <c r="F70" t="inlineStr">
        <is>
          <t>https://programsandcourses.anu.edu.au/2022/program/blany</t>
        </is>
      </c>
      <c r="G70" t="inlineStr">
        <is>
          <t>https://programsandcourses.anu.edu.au/program/blany</t>
        </is>
      </c>
      <c r="H70" t="inlineStr">
        <is>
          <t>Read</t>
        </is>
      </c>
      <c r="I70" t="inlineStr">
        <is>
          <t>CRICOS code on page</t>
        </is>
      </c>
      <c r="J70" t="inlineStr"/>
      <c r="K70" t="inlineStr">
        <is>
          <t>Not sent to re-link</t>
        </is>
      </c>
      <c r="L70" t="inlineStr">
        <is>
          <t>Filled</t>
        </is>
      </c>
      <c r="M70" t="inlineStr">
        <is>
          <t>Filled</t>
        </is>
      </c>
      <c r="N70" t="inlineStr">
        <is>
          <t>47940.00 2026</t>
        </is>
      </c>
      <c r="O70" t="n">
        <v>0</v>
      </c>
      <c r="P70" t="inlineStr">
        <is>
          <t>University adapter</t>
        </is>
      </c>
      <c r="Q70" t="inlineStr">
        <is>
          <t>Filled</t>
        </is>
      </c>
      <c r="R70" t="n">
        <v>6.5</v>
      </c>
      <c r="S70" t="inlineStr">
        <is>
          <t>Central English policy</t>
        </is>
      </c>
      <c r="T70" t="inlineStr">
        <is>
          <t>Central rule applies (value agrees)</t>
        </is>
      </c>
      <c r="U70" t="inlineStr"/>
      <c r="V70" t="inlineStr">
        <is>
          <t>Not stated on course page</t>
        </is>
      </c>
      <c r="W70" t="inlineStr"/>
      <c r="X70" t="inlineStr"/>
      <c r="Y70" t="n">
        <v>0</v>
      </c>
      <c r="Z70" t="inlineStr">
        <is>
          <t>Yes</t>
        </is>
      </c>
      <c r="AA70" t="inlineStr">
        <is>
          <t>Filled</t>
        </is>
      </c>
      <c r="AB70" t="inlineStr">
        <is>
          <t>on campus</t>
        </is>
      </c>
      <c r="AC70" t="inlineStr"/>
      <c r="AD70" t="n">
        <v>0</v>
      </c>
      <c r="AE70" t="inlineStr"/>
      <c r="AF70" t="inlineStr"/>
      <c r="AG70" t="inlineStr"/>
      <c r="AH70" t="inlineStr"/>
      <c r="AI70" t="inlineStr"/>
      <c r="AJ70" t="inlineStr"/>
      <c r="AK70" t="inlineStr"/>
      <c r="AL70" t="inlineStr"/>
      <c r="AM70" t="inlineStr"/>
    </row>
    <row r="71">
      <c r="A71" t="inlineStr">
        <is>
          <t>082709F</t>
        </is>
      </c>
      <c r="B71" t="inlineStr">
        <is>
          <t>Bachelor of Latin American Studies (Honours)</t>
        </is>
      </c>
      <c r="C71" t="inlineStr">
        <is>
          <t>Bachelor Honours Degree</t>
        </is>
      </c>
      <c r="D71" t="inlineStr">
        <is>
          <t>Undergraduate</t>
        </is>
      </c>
      <c r="E71" t="inlineStr">
        <is>
          <t>Advertised: official page in place</t>
        </is>
      </c>
      <c r="F71" t="inlineStr">
        <is>
          <t>https://programsandcourses.anu.edu.au/2021/program/hlams</t>
        </is>
      </c>
      <c r="G71" t="inlineStr">
        <is>
          <t>https://programsandcourses.anu.edu.au/2021/program/hlams</t>
        </is>
      </c>
      <c r="H71" t="inlineStr">
        <is>
          <t>Read</t>
        </is>
      </c>
      <c r="I71" t="inlineStr">
        <is>
          <t>CRICOS code on page</t>
        </is>
      </c>
      <c r="J71" t="inlineStr"/>
      <c r="K71" t="inlineStr">
        <is>
          <t>Not sent to re-link</t>
        </is>
      </c>
      <c r="L71" t="inlineStr">
        <is>
          <t>Filled</t>
        </is>
      </c>
      <c r="M71" t="inlineStr">
        <is>
          <t>Filled</t>
        </is>
      </c>
      <c r="N71" t="inlineStr">
        <is>
          <t>44470.00 2026</t>
        </is>
      </c>
      <c r="O71" t="n">
        <v>0</v>
      </c>
      <c r="P71" t="inlineStr">
        <is>
          <t>University adapter</t>
        </is>
      </c>
      <c r="Q71" t="inlineStr">
        <is>
          <t>Filled</t>
        </is>
      </c>
      <c r="R71" t="n">
        <v>6.5</v>
      </c>
      <c r="S71" t="inlineStr">
        <is>
          <t>Central English policy</t>
        </is>
      </c>
      <c r="T71" t="inlineStr">
        <is>
          <t>Central rule applies (value agrees)</t>
        </is>
      </c>
      <c r="U71" t="inlineStr"/>
      <c r="V71" t="inlineStr">
        <is>
          <t>Not stated on course page</t>
        </is>
      </c>
      <c r="W71" t="inlineStr"/>
      <c r="X71" t="inlineStr"/>
      <c r="Y71" t="n">
        <v>0</v>
      </c>
      <c r="Z71" t="inlineStr">
        <is>
          <t>Yes</t>
        </is>
      </c>
      <c r="AA71" t="inlineStr">
        <is>
          <t>Filled</t>
        </is>
      </c>
      <c r="AB71" t="inlineStr">
        <is>
          <t>on campus</t>
        </is>
      </c>
      <c r="AC71" t="inlineStr"/>
      <c r="AD71" t="n">
        <v>0</v>
      </c>
      <c r="AE71" t="inlineStr"/>
      <c r="AF71" t="inlineStr"/>
      <c r="AG71" t="inlineStr"/>
      <c r="AH71" t="inlineStr"/>
      <c r="AI71" t="inlineStr"/>
      <c r="AJ71" t="inlineStr"/>
      <c r="AK71" t="inlineStr"/>
      <c r="AL71" t="inlineStr"/>
      <c r="AM71" t="inlineStr"/>
    </row>
    <row r="72">
      <c r="A72" t="inlineStr">
        <is>
          <t>085042J</t>
        </is>
      </c>
      <c r="B72" t="inlineStr">
        <is>
          <t>Bachelor of Laws (Honours)</t>
        </is>
      </c>
      <c r="C72" t="inlineStr">
        <is>
          <t>Bachelor Honours Degree</t>
        </is>
      </c>
      <c r="D72" t="inlineStr">
        <is>
          <t>Undergraduate</t>
        </is>
      </c>
      <c r="E72" t="inlineStr">
        <is>
          <t>Advertised: official page in place</t>
        </is>
      </c>
      <c r="F72" t="inlineStr">
        <is>
          <t>https://programsandcourses.anu.edu.au/program/allb</t>
        </is>
      </c>
      <c r="G72" t="inlineStr">
        <is>
          <t>https://programsandcourses.anu.edu.au/program/allb</t>
        </is>
      </c>
      <c r="H72" t="inlineStr">
        <is>
          <t>Read</t>
        </is>
      </c>
      <c r="I72" t="inlineStr">
        <is>
          <t>CRICOS code on page</t>
        </is>
      </c>
      <c r="J72" t="inlineStr"/>
      <c r="K72" t="inlineStr">
        <is>
          <t>Not sent to re-link</t>
        </is>
      </c>
      <c r="L72" t="inlineStr">
        <is>
          <t>Filled</t>
        </is>
      </c>
      <c r="M72" t="inlineStr">
        <is>
          <t>Filled</t>
        </is>
      </c>
      <c r="N72" t="inlineStr">
        <is>
          <t>54540.00 2026</t>
        </is>
      </c>
      <c r="O72" t="n">
        <v>0</v>
      </c>
      <c r="P72" t="inlineStr">
        <is>
          <t>University adapter</t>
        </is>
      </c>
      <c r="Q72" t="inlineStr">
        <is>
          <t>Filled</t>
        </is>
      </c>
      <c r="R72" t="n">
        <v>6.5</v>
      </c>
      <c r="S72" t="inlineStr">
        <is>
          <t>Central English policy</t>
        </is>
      </c>
      <c r="T72" t="inlineStr">
        <is>
          <t>Central rule applies (value agrees)</t>
        </is>
      </c>
      <c r="U72" t="inlineStr"/>
      <c r="V72" t="inlineStr">
        <is>
          <t>Not stated on course page</t>
        </is>
      </c>
      <c r="W72" t="inlineStr"/>
      <c r="X72" t="inlineStr"/>
      <c r="Y72" t="n">
        <v>0</v>
      </c>
      <c r="Z72" t="inlineStr">
        <is>
          <t>Yes</t>
        </is>
      </c>
      <c r="AA72" t="inlineStr">
        <is>
          <t>Filled</t>
        </is>
      </c>
      <c r="AB72" t="inlineStr">
        <is>
          <t>on campus</t>
        </is>
      </c>
      <c r="AC72" t="inlineStr"/>
      <c r="AD72" t="n">
        <v>0</v>
      </c>
      <c r="AE72" t="inlineStr"/>
      <c r="AF72" t="inlineStr"/>
      <c r="AG72" t="inlineStr"/>
      <c r="AH72" t="inlineStr"/>
      <c r="AI72" t="inlineStr"/>
      <c r="AJ72" t="inlineStr"/>
      <c r="AK72" t="inlineStr"/>
      <c r="AL72" t="inlineStr"/>
      <c r="AM72" t="inlineStr"/>
    </row>
    <row r="73">
      <c r="A73" t="inlineStr">
        <is>
          <t>086223G</t>
        </is>
      </c>
      <c r="B73" t="inlineStr">
        <is>
          <t>Bachelor of Mathematical Sciences</t>
        </is>
      </c>
      <c r="C73" t="inlineStr">
        <is>
          <t>Bachelor</t>
        </is>
      </c>
      <c r="D73" t="inlineStr">
        <is>
          <t>Undergraduate</t>
        </is>
      </c>
      <c r="E73" t="inlineStr">
        <is>
          <t>Advertised: official page in place</t>
        </is>
      </c>
      <c r="F73" t="inlineStr">
        <is>
          <t>https://programsandcourses.anu.edu.au/program/bmasc</t>
        </is>
      </c>
      <c r="G73" t="inlineStr">
        <is>
          <t>https://programsandcourses.anu.edu.au/program/bmasc</t>
        </is>
      </c>
      <c r="H73" t="inlineStr">
        <is>
          <t>Read</t>
        </is>
      </c>
      <c r="I73" t="inlineStr">
        <is>
          <t>CRICOS code on page</t>
        </is>
      </c>
      <c r="J73" t="inlineStr"/>
      <c r="K73" t="inlineStr">
        <is>
          <t>Not sent to re-link</t>
        </is>
      </c>
      <c r="L73" t="inlineStr">
        <is>
          <t>Filled</t>
        </is>
      </c>
      <c r="M73" t="inlineStr">
        <is>
          <t>Filled</t>
        </is>
      </c>
      <c r="N73" t="inlineStr">
        <is>
          <t>57640.00 2026</t>
        </is>
      </c>
      <c r="O73" t="n">
        <v>0</v>
      </c>
      <c r="P73" t="inlineStr">
        <is>
          <t>University adapter</t>
        </is>
      </c>
      <c r="Q73" t="inlineStr">
        <is>
          <t>Filled</t>
        </is>
      </c>
      <c r="R73" t="n">
        <v>6.5</v>
      </c>
      <c r="S73" t="inlineStr">
        <is>
          <t>Central English policy</t>
        </is>
      </c>
      <c r="T73" t="inlineStr">
        <is>
          <t>Central rule applies (value agrees)</t>
        </is>
      </c>
      <c r="U73" t="inlineStr"/>
      <c r="V73" t="inlineStr">
        <is>
          <t>Not stated on course page</t>
        </is>
      </c>
      <c r="W73" t="inlineStr"/>
      <c r="X73" t="inlineStr"/>
      <c r="Y73" t="n">
        <v>0</v>
      </c>
      <c r="Z73" t="inlineStr">
        <is>
          <t>Yes</t>
        </is>
      </c>
      <c r="AA73" t="inlineStr">
        <is>
          <t>Filled</t>
        </is>
      </c>
      <c r="AB73" t="inlineStr">
        <is>
          <t>on campus</t>
        </is>
      </c>
      <c r="AC73" t="inlineStr"/>
      <c r="AD73" t="n">
        <v>0</v>
      </c>
      <c r="AE73" t="inlineStr"/>
      <c r="AF73" t="inlineStr"/>
      <c r="AG73" t="inlineStr"/>
      <c r="AH73" t="inlineStr"/>
      <c r="AI73" t="inlineStr"/>
      <c r="AJ73" t="inlineStr"/>
      <c r="AK73" t="inlineStr"/>
      <c r="AL73" t="inlineStr"/>
      <c r="AM73" t="inlineStr"/>
    </row>
    <row r="74">
      <c r="A74" t="inlineStr">
        <is>
          <t>093293A</t>
        </is>
      </c>
      <c r="B74" t="inlineStr">
        <is>
          <t>Bachelor of Mathematical Sciences (Honours)</t>
        </is>
      </c>
      <c r="C74" t="inlineStr">
        <is>
          <t>Bachelor Honours Degree</t>
        </is>
      </c>
      <c r="D74" t="inlineStr">
        <is>
          <t>Undergraduate</t>
        </is>
      </c>
      <c r="E74" t="inlineStr">
        <is>
          <t>Advertised: official page in place</t>
        </is>
      </c>
      <c r="F74" t="inlineStr">
        <is>
          <t>https://programsandcourses.anu.edu.au/2021/program/hmasc</t>
        </is>
      </c>
      <c r="G74" t="inlineStr">
        <is>
          <t>https://programsandcourses.anu.edu.au/program/hmasc</t>
        </is>
      </c>
      <c r="H74" t="inlineStr">
        <is>
          <t>Read</t>
        </is>
      </c>
      <c r="I74" t="inlineStr">
        <is>
          <t>CRICOS code on page</t>
        </is>
      </c>
      <c r="J74" t="inlineStr"/>
      <c r="K74" t="inlineStr">
        <is>
          <t>Not sent to re-link</t>
        </is>
      </c>
      <c r="L74" t="inlineStr">
        <is>
          <t>Filled</t>
        </is>
      </c>
      <c r="M74" t="inlineStr">
        <is>
          <t>Filled</t>
        </is>
      </c>
      <c r="N74" t="inlineStr">
        <is>
          <t>57640.00 2026</t>
        </is>
      </c>
      <c r="O74" t="n">
        <v>0</v>
      </c>
      <c r="P74" t="inlineStr">
        <is>
          <t>University adapter</t>
        </is>
      </c>
      <c r="Q74" t="inlineStr">
        <is>
          <t>Filled</t>
        </is>
      </c>
      <c r="R74" t="n">
        <v>6.5</v>
      </c>
      <c r="S74" t="inlineStr">
        <is>
          <t>Central English policy</t>
        </is>
      </c>
      <c r="T74" t="inlineStr">
        <is>
          <t>Central rule applies (value agrees)</t>
        </is>
      </c>
      <c r="U74" t="inlineStr"/>
      <c r="V74" t="inlineStr">
        <is>
          <t>Not stated on course page</t>
        </is>
      </c>
      <c r="W74" t="inlineStr"/>
      <c r="X74" t="inlineStr"/>
      <c r="Y74" t="n">
        <v>0</v>
      </c>
      <c r="Z74" t="inlineStr">
        <is>
          <t>Yes</t>
        </is>
      </c>
      <c r="AA74" t="inlineStr">
        <is>
          <t>Filled</t>
        </is>
      </c>
      <c r="AB74" t="inlineStr">
        <is>
          <t>on campus</t>
        </is>
      </c>
      <c r="AC74" t="inlineStr"/>
      <c r="AD74" t="n">
        <v>0</v>
      </c>
      <c r="AE74" t="inlineStr"/>
      <c r="AF74" t="inlineStr"/>
      <c r="AG74" t="inlineStr"/>
      <c r="AH74" t="inlineStr"/>
      <c r="AI74" t="inlineStr"/>
      <c r="AJ74" t="inlineStr"/>
      <c r="AK74" t="inlineStr"/>
      <c r="AL74" t="inlineStr"/>
      <c r="AM74" t="inlineStr"/>
    </row>
    <row r="75">
      <c r="A75" t="inlineStr">
        <is>
          <t>036662J</t>
        </is>
      </c>
      <c r="B75" t="inlineStr">
        <is>
          <t>Bachelor of Medical Science</t>
        </is>
      </c>
      <c r="C75" t="inlineStr">
        <is>
          <t>Bachelor</t>
        </is>
      </c>
      <c r="D75" t="inlineStr">
        <is>
          <t>Undergraduate</t>
        </is>
      </c>
      <c r="E75" t="inlineStr">
        <is>
          <t>Advertised: official page in place</t>
        </is>
      </c>
      <c r="F75" t="inlineStr">
        <is>
          <t>https://programsandcourses.anu.edu.au/2026/program/BMEDS</t>
        </is>
      </c>
      <c r="G75" t="inlineStr">
        <is>
          <t>https://programsandcourses.anu.edu.au/2026/program/BMEDS</t>
        </is>
      </c>
      <c r="H75" t="inlineStr">
        <is>
          <t>Read</t>
        </is>
      </c>
      <c r="I75" t="inlineStr">
        <is>
          <t>CRICOS code on page</t>
        </is>
      </c>
      <c r="J75" t="inlineStr"/>
      <c r="K75" t="inlineStr">
        <is>
          <t>Not sent to re-link</t>
        </is>
      </c>
      <c r="L75" t="inlineStr">
        <is>
          <t>Filled</t>
        </is>
      </c>
      <c r="M75" t="inlineStr">
        <is>
          <t>Filled</t>
        </is>
      </c>
      <c r="N75" t="inlineStr">
        <is>
          <t>56120.00 2026</t>
        </is>
      </c>
      <c r="O75" t="n">
        <v>0</v>
      </c>
      <c r="P75" t="inlineStr">
        <is>
          <t>University adapter</t>
        </is>
      </c>
      <c r="Q75" t="inlineStr">
        <is>
          <t>Filled</t>
        </is>
      </c>
      <c r="R75" t="n">
        <v>6.5</v>
      </c>
      <c r="S75" t="inlineStr">
        <is>
          <t>Central English policy</t>
        </is>
      </c>
      <c r="T75" t="inlineStr">
        <is>
          <t>Central rule applies (value agrees)</t>
        </is>
      </c>
      <c r="U75" t="inlineStr"/>
      <c r="V75" t="inlineStr">
        <is>
          <t>Waiting for Layer 4 review</t>
        </is>
      </c>
      <c r="W75" t="inlineStr"/>
      <c r="X75" t="inlineStr"/>
      <c r="Y75" t="n">
        <v>0</v>
      </c>
      <c r="Z75" t="inlineStr">
        <is>
          <t>Yes</t>
        </is>
      </c>
      <c r="AA75" t="inlineStr">
        <is>
          <t>Filled</t>
        </is>
      </c>
      <c r="AB75" t="inlineStr">
        <is>
          <t>on campus</t>
        </is>
      </c>
      <c r="AC75" t="inlineStr"/>
      <c r="AD75" t="n">
        <v>0</v>
      </c>
      <c r="AE75" t="inlineStr"/>
      <c r="AF75" t="inlineStr">
        <is>
          <t>Yes</t>
        </is>
      </c>
      <c r="AG75" t="inlineStr"/>
      <c r="AH75" t="inlineStr"/>
      <c r="AI75" t="inlineStr"/>
      <c r="AJ75" t="inlineStr"/>
      <c r="AK75" t="inlineStr"/>
      <c r="AL75" t="inlineStr"/>
      <c r="AM75" t="inlineStr"/>
    </row>
    <row r="76">
      <c r="A76" t="inlineStr">
        <is>
          <t>036678A</t>
        </is>
      </c>
      <c r="B76" t="inlineStr">
        <is>
          <t>Bachelor of Medical Science (Honours)</t>
        </is>
      </c>
      <c r="C76" t="inlineStr">
        <is>
          <t>Bachelor Honours Degree</t>
        </is>
      </c>
      <c r="D76" t="inlineStr">
        <is>
          <t>Undergraduate</t>
        </is>
      </c>
      <c r="E76" t="inlineStr">
        <is>
          <t>Advertised: official page in place</t>
        </is>
      </c>
      <c r="F76" t="inlineStr">
        <is>
          <t>https://programsandcourses.anu.edu.au/program/hmeds</t>
        </is>
      </c>
      <c r="G76" t="inlineStr">
        <is>
          <t>https://programsandcourses.anu.edu.au/program/hmeds</t>
        </is>
      </c>
      <c r="H76" t="inlineStr">
        <is>
          <t>Read</t>
        </is>
      </c>
      <c r="I76" t="inlineStr">
        <is>
          <t>CRICOS code on page</t>
        </is>
      </c>
      <c r="J76" t="inlineStr"/>
      <c r="K76" t="inlineStr">
        <is>
          <t>Not sent to re-link</t>
        </is>
      </c>
      <c r="L76" t="inlineStr">
        <is>
          <t>Filled</t>
        </is>
      </c>
      <c r="M76" t="inlineStr">
        <is>
          <t>Filled</t>
        </is>
      </c>
      <c r="N76" t="inlineStr">
        <is>
          <t>57640.00 2026</t>
        </is>
      </c>
      <c r="O76" t="n">
        <v>0</v>
      </c>
      <c r="P76" t="inlineStr">
        <is>
          <t>University adapter</t>
        </is>
      </c>
      <c r="Q76" t="inlineStr">
        <is>
          <t>Filled</t>
        </is>
      </c>
      <c r="R76" t="n">
        <v>6.5</v>
      </c>
      <c r="S76" t="inlineStr">
        <is>
          <t>Central English policy</t>
        </is>
      </c>
      <c r="T76" t="inlineStr">
        <is>
          <t>Central rule applies (value agrees)</t>
        </is>
      </c>
      <c r="U76" t="inlineStr"/>
      <c r="V76" t="inlineStr">
        <is>
          <t>Not stated on course page</t>
        </is>
      </c>
      <c r="W76" t="inlineStr"/>
      <c r="X76" t="inlineStr"/>
      <c r="Y76" t="n">
        <v>0</v>
      </c>
      <c r="Z76" t="inlineStr">
        <is>
          <t>Yes</t>
        </is>
      </c>
      <c r="AA76" t="inlineStr">
        <is>
          <t>Filled</t>
        </is>
      </c>
      <c r="AB76" t="inlineStr">
        <is>
          <t>on campus</t>
        </is>
      </c>
      <c r="AC76" t="inlineStr"/>
      <c r="AD76" t="n">
        <v>0</v>
      </c>
      <c r="AE76" t="inlineStr"/>
      <c r="AF76" t="inlineStr"/>
      <c r="AG76" t="inlineStr"/>
      <c r="AH76" t="inlineStr"/>
      <c r="AI76" t="inlineStr"/>
      <c r="AJ76" t="inlineStr"/>
      <c r="AK76" t="inlineStr"/>
      <c r="AL76" t="inlineStr"/>
      <c r="AM76" t="inlineStr"/>
    </row>
    <row r="77">
      <c r="A77" t="inlineStr">
        <is>
          <t>074006D</t>
        </is>
      </c>
      <c r="B77" t="inlineStr">
        <is>
          <t>Bachelor of Middle Eastern and Central Asian Studies</t>
        </is>
      </c>
      <c r="C77" t="inlineStr">
        <is>
          <t>Bachelor</t>
        </is>
      </c>
      <c r="D77" t="inlineStr">
        <is>
          <t>Undergraduate</t>
        </is>
      </c>
      <c r="E77" t="inlineStr">
        <is>
          <t>Advertised: official page in place</t>
        </is>
      </c>
      <c r="F77" t="inlineStr">
        <is>
          <t>https://programsandcourses.anu.edu.au/2020/program/bmeca</t>
        </is>
      </c>
      <c r="G77" t="inlineStr">
        <is>
          <t>https://programsandcourses.anu.edu.au/2022/program/bmeca</t>
        </is>
      </c>
      <c r="H77" t="inlineStr">
        <is>
          <t>Read</t>
        </is>
      </c>
      <c r="I77" t="inlineStr">
        <is>
          <t>CRICOS code on page</t>
        </is>
      </c>
      <c r="J77" t="inlineStr"/>
      <c r="K77" t="inlineStr">
        <is>
          <t>Not sent to re-link</t>
        </is>
      </c>
      <c r="L77" t="inlineStr">
        <is>
          <t>Filled</t>
        </is>
      </c>
      <c r="M77" t="inlineStr">
        <is>
          <t>Filled</t>
        </is>
      </c>
      <c r="N77" t="inlineStr">
        <is>
          <t>45360.00 2026</t>
        </is>
      </c>
      <c r="O77" t="n">
        <v>0</v>
      </c>
      <c r="P77" t="inlineStr">
        <is>
          <t>University adapter</t>
        </is>
      </c>
      <c r="Q77" t="inlineStr">
        <is>
          <t>Filled</t>
        </is>
      </c>
      <c r="R77" t="n">
        <v>6.5</v>
      </c>
      <c r="S77" t="inlineStr">
        <is>
          <t>Central English policy</t>
        </is>
      </c>
      <c r="T77" t="inlineStr">
        <is>
          <t>Central rule applies (value agrees)</t>
        </is>
      </c>
      <c r="U77" t="inlineStr"/>
      <c r="V77" t="inlineStr">
        <is>
          <t>Not stated on course page</t>
        </is>
      </c>
      <c r="W77" t="inlineStr"/>
      <c r="X77" t="inlineStr"/>
      <c r="Y77" t="n">
        <v>0</v>
      </c>
      <c r="Z77" t="inlineStr">
        <is>
          <t>Yes</t>
        </is>
      </c>
      <c r="AA77" t="inlineStr">
        <is>
          <t>Filled</t>
        </is>
      </c>
      <c r="AB77" t="inlineStr">
        <is>
          <t>on campus</t>
        </is>
      </c>
      <c r="AC77" t="inlineStr">
        <is>
          <t>Filled</t>
        </is>
      </c>
      <c r="AD77" t="n">
        <v>0</v>
      </c>
      <c r="AE77" t="inlineStr"/>
      <c r="AF77" t="inlineStr"/>
      <c r="AG77" t="inlineStr"/>
      <c r="AH77" t="inlineStr"/>
      <c r="AI77" t="inlineStr"/>
      <c r="AJ77" t="inlineStr"/>
      <c r="AK77" t="inlineStr"/>
      <c r="AL77" t="inlineStr"/>
      <c r="AM77" t="inlineStr"/>
    </row>
    <row r="78">
      <c r="A78" t="inlineStr">
        <is>
          <t>082705K</t>
        </is>
      </c>
      <c r="B78" t="inlineStr">
        <is>
          <t>Bachelor of Middle Eastern and Central Asian Studies (Honours)</t>
        </is>
      </c>
      <c r="C78" t="inlineStr">
        <is>
          <t>Bachelor Honours Degree</t>
        </is>
      </c>
      <c r="D78" t="inlineStr">
        <is>
          <t>Undergraduate</t>
        </is>
      </c>
      <c r="E78" t="inlineStr">
        <is>
          <t>Advertised: official page in place</t>
        </is>
      </c>
      <c r="F78" t="inlineStr">
        <is>
          <t>https://programsandcourses.anu.edu.au/2025/program/hmeca</t>
        </is>
      </c>
      <c r="G78" t="inlineStr">
        <is>
          <t>https://programsandcourses.anu.edu.au/2025/program/hmeca</t>
        </is>
      </c>
      <c r="H78" t="inlineStr">
        <is>
          <t>Read</t>
        </is>
      </c>
      <c r="I78" t="inlineStr">
        <is>
          <t>CRICOS code on page</t>
        </is>
      </c>
      <c r="J78" t="inlineStr"/>
      <c r="K78" t="inlineStr">
        <is>
          <t>Not sent to re-link</t>
        </is>
      </c>
      <c r="L78" t="inlineStr">
        <is>
          <t>Filled</t>
        </is>
      </c>
      <c r="M78" t="inlineStr">
        <is>
          <t>Filled</t>
        </is>
      </c>
      <c r="N78" t="inlineStr">
        <is>
          <t>50820.00 2026</t>
        </is>
      </c>
      <c r="O78" t="n">
        <v>0</v>
      </c>
      <c r="P78" t="inlineStr">
        <is>
          <t>University adapter</t>
        </is>
      </c>
      <c r="Q78" t="inlineStr">
        <is>
          <t>Filled</t>
        </is>
      </c>
      <c r="R78" t="n">
        <v>6.5</v>
      </c>
      <c r="S78" t="inlineStr">
        <is>
          <t>Central English policy</t>
        </is>
      </c>
      <c r="T78" t="inlineStr">
        <is>
          <t>Central rule applies (value agrees)</t>
        </is>
      </c>
      <c r="U78" t="inlineStr"/>
      <c r="V78" t="inlineStr">
        <is>
          <t>Not stated on course page</t>
        </is>
      </c>
      <c r="W78" t="inlineStr"/>
      <c r="X78" t="inlineStr"/>
      <c r="Y78" t="n">
        <v>0</v>
      </c>
      <c r="Z78" t="inlineStr">
        <is>
          <t>Yes</t>
        </is>
      </c>
      <c r="AA78" t="inlineStr">
        <is>
          <t>Filled</t>
        </is>
      </c>
      <c r="AB78" t="inlineStr">
        <is>
          <t>on campus</t>
        </is>
      </c>
      <c r="AC78" t="inlineStr"/>
      <c r="AD78" t="n">
        <v>0</v>
      </c>
      <c r="AE78" t="inlineStr"/>
      <c r="AF78" t="inlineStr"/>
      <c r="AG78" t="inlineStr"/>
      <c r="AH78" t="inlineStr"/>
      <c r="AI78" t="inlineStr"/>
      <c r="AJ78" t="inlineStr"/>
      <c r="AK78" t="inlineStr"/>
      <c r="AL78" t="inlineStr"/>
      <c r="AM78" t="inlineStr"/>
    </row>
    <row r="79">
      <c r="A79" t="inlineStr">
        <is>
          <t>073990G</t>
        </is>
      </c>
      <c r="B79" t="inlineStr">
        <is>
          <t>Bachelor of Music</t>
        </is>
      </c>
      <c r="C79" t="inlineStr">
        <is>
          <t>Bachelor</t>
        </is>
      </c>
      <c r="D79" t="inlineStr">
        <is>
          <t>Undergraduate</t>
        </is>
      </c>
      <c r="E79" t="inlineStr">
        <is>
          <t>Advertised: official page in place</t>
        </is>
      </c>
      <c r="F79" t="inlineStr">
        <is>
          <t>https://programsandcourses.anu.edu.au/program/bmusi</t>
        </is>
      </c>
      <c r="G79" t="inlineStr">
        <is>
          <t>https://programsandcourses.anu.edu.au/program/bmusi</t>
        </is>
      </c>
      <c r="H79" t="inlineStr">
        <is>
          <t>Read</t>
        </is>
      </c>
      <c r="I79" t="inlineStr">
        <is>
          <t>CRICOS code on page</t>
        </is>
      </c>
      <c r="J79" t="inlineStr"/>
      <c r="K79" t="inlineStr">
        <is>
          <t>Not sent to re-link</t>
        </is>
      </c>
      <c r="L79" t="inlineStr">
        <is>
          <t>Filled</t>
        </is>
      </c>
      <c r="M79" t="inlineStr">
        <is>
          <t>Filled</t>
        </is>
      </c>
      <c r="N79" t="inlineStr">
        <is>
          <t>47940.00 2026</t>
        </is>
      </c>
      <c r="O79" t="n">
        <v>0</v>
      </c>
      <c r="P79" t="inlineStr">
        <is>
          <t>University adapter</t>
        </is>
      </c>
      <c r="Q79" t="inlineStr">
        <is>
          <t>Filled</t>
        </is>
      </c>
      <c r="R79" t="n">
        <v>6.5</v>
      </c>
      <c r="S79" t="inlineStr">
        <is>
          <t>Central English policy</t>
        </is>
      </c>
      <c r="T79" t="inlineStr">
        <is>
          <t>Central rule applies (value agrees)</t>
        </is>
      </c>
      <c r="U79" t="inlineStr"/>
      <c r="V79" t="inlineStr">
        <is>
          <t>Not stated on course page</t>
        </is>
      </c>
      <c r="W79" t="inlineStr"/>
      <c r="X79" t="inlineStr"/>
      <c r="Y79" t="n">
        <v>0</v>
      </c>
      <c r="Z79" t="inlineStr">
        <is>
          <t>Yes</t>
        </is>
      </c>
      <c r="AA79" t="inlineStr">
        <is>
          <t>Filled</t>
        </is>
      </c>
      <c r="AB79" t="inlineStr">
        <is>
          <t>on campus</t>
        </is>
      </c>
      <c r="AC79" t="inlineStr"/>
      <c r="AD79" t="n">
        <v>0</v>
      </c>
      <c r="AE79" t="inlineStr"/>
      <c r="AF79" t="inlineStr"/>
      <c r="AG79" t="inlineStr"/>
      <c r="AH79" t="inlineStr"/>
      <c r="AI79" t="inlineStr"/>
      <c r="AJ79" t="inlineStr"/>
      <c r="AK79" t="inlineStr"/>
      <c r="AL79" t="inlineStr"/>
      <c r="AM79" t="inlineStr"/>
    </row>
    <row r="80">
      <c r="A80" t="inlineStr">
        <is>
          <t>085361E</t>
        </is>
      </c>
      <c r="B80" t="inlineStr">
        <is>
          <t>Bachelor of Music (Honours)</t>
        </is>
      </c>
      <c r="C80" t="inlineStr">
        <is>
          <t>Bachelor Honours Degree</t>
        </is>
      </c>
      <c r="D80" t="inlineStr">
        <is>
          <t>Undergraduate</t>
        </is>
      </c>
      <c r="E80" t="inlineStr">
        <is>
          <t>Advertised: official page in place</t>
        </is>
      </c>
      <c r="F80" t="inlineStr">
        <is>
          <t>https://programsandcourses.anu.edu.au/program/hmusi</t>
        </is>
      </c>
      <c r="G80" t="inlineStr">
        <is>
          <t>https://programsandcourses.anu.edu.au/program/hmusi</t>
        </is>
      </c>
      <c r="H80" t="inlineStr">
        <is>
          <t>Read</t>
        </is>
      </c>
      <c r="I80" t="inlineStr">
        <is>
          <t>CRICOS code on page</t>
        </is>
      </c>
      <c r="J80" t="inlineStr"/>
      <c r="K80" t="inlineStr">
        <is>
          <t>Not sent to re-link</t>
        </is>
      </c>
      <c r="L80" t="inlineStr">
        <is>
          <t>Filled</t>
        </is>
      </c>
      <c r="M80" t="inlineStr">
        <is>
          <t>Filled</t>
        </is>
      </c>
      <c r="N80" t="inlineStr">
        <is>
          <t>47940.00 2026</t>
        </is>
      </c>
      <c r="O80" t="n">
        <v>0</v>
      </c>
      <c r="P80" t="inlineStr">
        <is>
          <t>University adapter</t>
        </is>
      </c>
      <c r="Q80" t="inlineStr">
        <is>
          <t>Filled</t>
        </is>
      </c>
      <c r="R80" t="n">
        <v>6.5</v>
      </c>
      <c r="S80" t="inlineStr">
        <is>
          <t>Central English policy</t>
        </is>
      </c>
      <c r="T80" t="inlineStr">
        <is>
          <t>Central rule applies (value agrees)</t>
        </is>
      </c>
      <c r="U80" t="inlineStr"/>
      <c r="V80" t="inlineStr">
        <is>
          <t>Not stated on course page</t>
        </is>
      </c>
      <c r="W80" t="inlineStr"/>
      <c r="X80" t="inlineStr"/>
      <c r="Y80" t="n">
        <v>0</v>
      </c>
      <c r="Z80" t="inlineStr">
        <is>
          <t>Yes</t>
        </is>
      </c>
      <c r="AA80" t="inlineStr">
        <is>
          <t>Filled</t>
        </is>
      </c>
      <c r="AB80" t="inlineStr">
        <is>
          <t>on campus</t>
        </is>
      </c>
      <c r="AC80" t="inlineStr"/>
      <c r="AD80" t="n">
        <v>0</v>
      </c>
      <c r="AE80" t="inlineStr"/>
      <c r="AF80" t="inlineStr"/>
      <c r="AG80" t="inlineStr"/>
      <c r="AH80" t="inlineStr"/>
      <c r="AI80" t="inlineStr"/>
      <c r="AJ80" t="inlineStr"/>
      <c r="AK80" t="inlineStr"/>
      <c r="AL80" t="inlineStr"/>
      <c r="AM80" t="inlineStr"/>
    </row>
    <row r="81">
      <c r="A81" t="inlineStr">
        <is>
          <t>075274J</t>
        </is>
      </c>
      <c r="B81" t="inlineStr">
        <is>
          <t>Bachelor of Pacific Studies</t>
        </is>
      </c>
      <c r="C81" t="inlineStr">
        <is>
          <t>Bachelor</t>
        </is>
      </c>
      <c r="D81" t="inlineStr">
        <is>
          <t>Undergraduate</t>
        </is>
      </c>
      <c r="E81" t="inlineStr">
        <is>
          <t>Advertised: official page in place</t>
        </is>
      </c>
      <c r="F81" t="inlineStr">
        <is>
          <t>https://programsandcourses.anu.edu.au/program/bpast</t>
        </is>
      </c>
      <c r="G81" t="inlineStr">
        <is>
          <t>https://programsandcourses.anu.edu.au/program/bpast</t>
        </is>
      </c>
      <c r="H81" t="inlineStr">
        <is>
          <t>Read</t>
        </is>
      </c>
      <c r="I81" t="inlineStr">
        <is>
          <t>CRICOS code on page</t>
        </is>
      </c>
      <c r="J81" t="inlineStr"/>
      <c r="K81" t="inlineStr">
        <is>
          <t>Not sent to re-link</t>
        </is>
      </c>
      <c r="L81" t="inlineStr">
        <is>
          <t>Filled</t>
        </is>
      </c>
      <c r="M81" t="inlineStr">
        <is>
          <t>Filled</t>
        </is>
      </c>
      <c r="N81" t="inlineStr">
        <is>
          <t>51170.00 2026</t>
        </is>
      </c>
      <c r="O81" t="n">
        <v>0</v>
      </c>
      <c r="P81" t="inlineStr">
        <is>
          <t>University adapter</t>
        </is>
      </c>
      <c r="Q81" t="inlineStr">
        <is>
          <t>Filled</t>
        </is>
      </c>
      <c r="R81" t="n">
        <v>6.5</v>
      </c>
      <c r="S81" t="inlineStr">
        <is>
          <t>Central English policy</t>
        </is>
      </c>
      <c r="T81" t="inlineStr">
        <is>
          <t>Central rule applies (value agrees)</t>
        </is>
      </c>
      <c r="U81" t="inlineStr"/>
      <c r="V81" t="inlineStr">
        <is>
          <t>Not stated on course page</t>
        </is>
      </c>
      <c r="W81" t="inlineStr"/>
      <c r="X81" t="inlineStr"/>
      <c r="Y81" t="n">
        <v>0</v>
      </c>
      <c r="Z81" t="inlineStr">
        <is>
          <t>Yes</t>
        </is>
      </c>
      <c r="AA81" t="inlineStr">
        <is>
          <t>Filled</t>
        </is>
      </c>
      <c r="AB81" t="inlineStr">
        <is>
          <t>on campus</t>
        </is>
      </c>
      <c r="AC81" t="inlineStr"/>
      <c r="AD81" t="n">
        <v>0</v>
      </c>
      <c r="AE81" t="inlineStr"/>
      <c r="AF81" t="inlineStr"/>
      <c r="AG81" t="inlineStr"/>
      <c r="AH81" t="inlineStr"/>
      <c r="AI81" t="inlineStr"/>
      <c r="AJ81" t="inlineStr"/>
      <c r="AK81" t="inlineStr"/>
      <c r="AL81" t="inlineStr"/>
      <c r="AM81" t="inlineStr"/>
    </row>
    <row r="82">
      <c r="A82" t="inlineStr">
        <is>
          <t>099245E</t>
        </is>
      </c>
      <c r="B82" t="inlineStr">
        <is>
          <t>Bachelor of Pacific Studies (Honours)</t>
        </is>
      </c>
      <c r="C82" t="inlineStr">
        <is>
          <t>Bachelor Honours Degree</t>
        </is>
      </c>
      <c r="D82" t="inlineStr">
        <is>
          <t>Undergraduate</t>
        </is>
      </c>
      <c r="E82" t="inlineStr">
        <is>
          <t>Advertised: official page in place</t>
        </is>
      </c>
      <c r="F82" t="inlineStr">
        <is>
          <t>https://programsandcourses.anu.edu.au/program/hpast</t>
        </is>
      </c>
      <c r="G82" t="inlineStr">
        <is>
          <t>https://programsandcourses.anu.edu.au/program/hpast</t>
        </is>
      </c>
      <c r="H82" t="inlineStr">
        <is>
          <t>Read</t>
        </is>
      </c>
      <c r="I82" t="inlineStr">
        <is>
          <t>CRICOS code on page</t>
        </is>
      </c>
      <c r="J82" t="inlineStr"/>
      <c r="K82" t="inlineStr">
        <is>
          <t>Not sent to re-link</t>
        </is>
      </c>
      <c r="L82" t="inlineStr">
        <is>
          <t>Filled</t>
        </is>
      </c>
      <c r="M82" t="inlineStr">
        <is>
          <t>Filled</t>
        </is>
      </c>
      <c r="N82" t="inlineStr">
        <is>
          <t>51170.00 2026</t>
        </is>
      </c>
      <c r="O82" t="n">
        <v>0</v>
      </c>
      <c r="P82" t="inlineStr">
        <is>
          <t>University adapter</t>
        </is>
      </c>
      <c r="Q82" t="inlineStr">
        <is>
          <t>Filled</t>
        </is>
      </c>
      <c r="R82" t="n">
        <v>6.5</v>
      </c>
      <c r="S82" t="inlineStr">
        <is>
          <t>Central English policy</t>
        </is>
      </c>
      <c r="T82" t="inlineStr">
        <is>
          <t>Central rule applies (value agrees)</t>
        </is>
      </c>
      <c r="U82" t="inlineStr"/>
      <c r="V82" t="inlineStr">
        <is>
          <t>Not stated on course page</t>
        </is>
      </c>
      <c r="W82" t="inlineStr"/>
      <c r="X82" t="inlineStr"/>
      <c r="Y82" t="n">
        <v>0</v>
      </c>
      <c r="Z82" t="inlineStr">
        <is>
          <t>Yes</t>
        </is>
      </c>
      <c r="AA82" t="inlineStr">
        <is>
          <t>Filled</t>
        </is>
      </c>
      <c r="AB82" t="inlineStr">
        <is>
          <t>on campus</t>
        </is>
      </c>
      <c r="AC82" t="inlineStr"/>
      <c r="AD82" t="n">
        <v>0</v>
      </c>
      <c r="AE82" t="inlineStr"/>
      <c r="AF82" t="inlineStr"/>
      <c r="AG82" t="inlineStr"/>
      <c r="AH82" t="inlineStr"/>
      <c r="AI82" t="inlineStr"/>
      <c r="AJ82" t="inlineStr"/>
      <c r="AK82" t="inlineStr"/>
      <c r="AL82" t="inlineStr"/>
      <c r="AM82" t="inlineStr"/>
    </row>
    <row r="83">
      <c r="A83" t="inlineStr">
        <is>
          <t>043746B</t>
        </is>
      </c>
      <c r="B83" t="inlineStr">
        <is>
          <t>Bachelor of Philosophy (Honours)</t>
        </is>
      </c>
      <c r="C83" t="inlineStr">
        <is>
          <t>Bachelor Honours Degree</t>
        </is>
      </c>
      <c r="D83" t="inlineStr">
        <is>
          <t>Undergraduate</t>
        </is>
      </c>
      <c r="E83" t="inlineStr">
        <is>
          <t>Advertised: official page in place</t>
        </is>
      </c>
      <c r="F83" t="inlineStr">
        <is>
          <t>https://programsandcourses.anu.edu.au/2017/program/aphsc</t>
        </is>
      </c>
      <c r="G83" t="inlineStr">
        <is>
          <t>https://programsandcourses.anu.edu.au/program/aphsc</t>
        </is>
      </c>
      <c r="H83" t="inlineStr">
        <is>
          <t>Read</t>
        </is>
      </c>
      <c r="I83" t="inlineStr">
        <is>
          <t>CRICOS code on page</t>
        </is>
      </c>
      <c r="J83" t="inlineStr"/>
      <c r="K83" t="inlineStr">
        <is>
          <t>Not sent to re-link</t>
        </is>
      </c>
      <c r="L83" t="inlineStr">
        <is>
          <t>Filled</t>
        </is>
      </c>
      <c r="M83" t="inlineStr">
        <is>
          <t>Filled</t>
        </is>
      </c>
      <c r="N83" t="inlineStr">
        <is>
          <t>57640.00 2026</t>
        </is>
      </c>
      <c r="O83" t="n">
        <v>0</v>
      </c>
      <c r="P83" t="inlineStr">
        <is>
          <t>University adapter</t>
        </is>
      </c>
      <c r="Q83" t="inlineStr">
        <is>
          <t>Filled</t>
        </is>
      </c>
      <c r="R83" t="n">
        <v>6.5</v>
      </c>
      <c r="S83" t="inlineStr">
        <is>
          <t>Central English policy</t>
        </is>
      </c>
      <c r="T83" t="inlineStr">
        <is>
          <t>Central rule applies (value agrees)</t>
        </is>
      </c>
      <c r="U83" t="inlineStr"/>
      <c r="V83" t="inlineStr">
        <is>
          <t>Value found, being checked</t>
        </is>
      </c>
      <c r="W83" t="inlineStr"/>
      <c r="X83" t="inlineStr"/>
      <c r="Y83" t="n">
        <v>0</v>
      </c>
      <c r="Z83" t="inlineStr">
        <is>
          <t>Yes</t>
        </is>
      </c>
      <c r="AA83" t="inlineStr">
        <is>
          <t>Filled</t>
        </is>
      </c>
      <c r="AB83" t="inlineStr">
        <is>
          <t>on campus</t>
        </is>
      </c>
      <c r="AC83" t="inlineStr"/>
      <c r="AD83" t="n">
        <v>0</v>
      </c>
      <c r="AE83" t="inlineStr"/>
      <c r="AF83" t="inlineStr">
        <is>
          <t>Yes</t>
        </is>
      </c>
      <c r="AG83" t="inlineStr"/>
      <c r="AH83" t="inlineStr"/>
      <c r="AI83" t="inlineStr"/>
      <c r="AJ83" t="inlineStr"/>
      <c r="AK83" t="inlineStr"/>
      <c r="AL83" t="inlineStr"/>
      <c r="AM83" t="inlineStr"/>
    </row>
    <row r="84">
      <c r="A84" t="inlineStr">
        <is>
          <t>103363E</t>
        </is>
      </c>
      <c r="B84" t="inlineStr">
        <is>
          <t>Bachelor of Philosophy (Honours)Humanities and Social Sciences</t>
        </is>
      </c>
      <c r="C84" t="inlineStr">
        <is>
          <t>Bachelor Honours Degree</t>
        </is>
      </c>
      <c r="D84" t="inlineStr">
        <is>
          <t>Undergraduate</t>
        </is>
      </c>
      <c r="E84" t="inlineStr">
        <is>
          <t>Advertised: official page in place</t>
        </is>
      </c>
      <c r="F84" t="inlineStr">
        <is>
          <t>https://programsandcourses.anu.edu.au/program/ahuss</t>
        </is>
      </c>
      <c r="G84" t="inlineStr">
        <is>
          <t>https://programsandcourses.anu.edu.au/program/ahuss</t>
        </is>
      </c>
      <c r="H84" t="inlineStr">
        <is>
          <t>Read</t>
        </is>
      </c>
      <c r="I84" t="inlineStr">
        <is>
          <t>CRICOS code on page</t>
        </is>
      </c>
      <c r="J84" t="inlineStr"/>
      <c r="K84" t="inlineStr">
        <is>
          <t>Not sent to re-link</t>
        </is>
      </c>
      <c r="L84" t="inlineStr">
        <is>
          <t>Filled</t>
        </is>
      </c>
      <c r="M84" t="inlineStr">
        <is>
          <t>Filled</t>
        </is>
      </c>
      <c r="N84" t="inlineStr">
        <is>
          <t>57640.00 2026</t>
        </is>
      </c>
      <c r="O84" t="n">
        <v>0</v>
      </c>
      <c r="P84" t="inlineStr">
        <is>
          <t>University adapter</t>
        </is>
      </c>
      <c r="Q84" t="inlineStr">
        <is>
          <t>Filled</t>
        </is>
      </c>
      <c r="R84" t="n">
        <v>6.5</v>
      </c>
      <c r="S84" t="inlineStr">
        <is>
          <t>Central English policy</t>
        </is>
      </c>
      <c r="T84" t="inlineStr">
        <is>
          <t>Central rule applies (value agrees)</t>
        </is>
      </c>
      <c r="U84" t="inlineStr"/>
      <c r="V84" t="inlineStr">
        <is>
          <t>Not stated on course page</t>
        </is>
      </c>
      <c r="W84" t="inlineStr"/>
      <c r="X84" t="inlineStr"/>
      <c r="Y84" t="n">
        <v>0</v>
      </c>
      <c r="Z84" t="inlineStr">
        <is>
          <t>Yes</t>
        </is>
      </c>
      <c r="AA84" t="inlineStr">
        <is>
          <t>Filled</t>
        </is>
      </c>
      <c r="AB84" t="inlineStr">
        <is>
          <t>on campus</t>
        </is>
      </c>
      <c r="AC84" t="inlineStr"/>
      <c r="AD84" t="n">
        <v>0</v>
      </c>
      <c r="AE84" t="inlineStr"/>
      <c r="AF84" t="inlineStr"/>
      <c r="AG84" t="inlineStr"/>
      <c r="AH84" t="inlineStr"/>
      <c r="AI84" t="inlineStr"/>
      <c r="AJ84" t="inlineStr"/>
      <c r="AK84" t="inlineStr"/>
      <c r="AL84" t="inlineStr"/>
      <c r="AM84" t="inlineStr"/>
    </row>
    <row r="85">
      <c r="A85" t="inlineStr">
        <is>
          <t>114958J</t>
        </is>
      </c>
      <c r="B85" t="inlineStr">
        <is>
          <t>Bachelor of Philosophy, Neuroscience, and Psychology</t>
        </is>
      </c>
      <c r="C85" t="inlineStr">
        <is>
          <t>Bachelor</t>
        </is>
      </c>
      <c r="D85" t="inlineStr">
        <is>
          <t>Undergraduate</t>
        </is>
      </c>
      <c r="E85" t="inlineStr">
        <is>
          <t>Advertised: official page in place</t>
        </is>
      </c>
      <c r="F85" t="inlineStr">
        <is>
          <t>https://programsandcourses.anu.edu.au/2026/program/bpnp</t>
        </is>
      </c>
      <c r="G85" t="inlineStr">
        <is>
          <t>https://programsandcourses.anu.edu.au/2026/program/bpnp</t>
        </is>
      </c>
      <c r="H85" t="inlineStr">
        <is>
          <t>Read</t>
        </is>
      </c>
      <c r="I85" t="inlineStr">
        <is>
          <t>CRICOS code on page</t>
        </is>
      </c>
      <c r="J85" t="inlineStr"/>
      <c r="K85" t="inlineStr">
        <is>
          <t>Not sent to re-link</t>
        </is>
      </c>
      <c r="L85" t="inlineStr">
        <is>
          <t>Filled</t>
        </is>
      </c>
      <c r="M85" t="inlineStr">
        <is>
          <t>Filled</t>
        </is>
      </c>
      <c r="N85" t="inlineStr">
        <is>
          <t>56120.00 2026</t>
        </is>
      </c>
      <c r="O85" t="n">
        <v>0</v>
      </c>
      <c r="P85" t="inlineStr">
        <is>
          <t>University adapter</t>
        </is>
      </c>
      <c r="Q85" t="inlineStr">
        <is>
          <t>Filled</t>
        </is>
      </c>
      <c r="R85" t="n">
        <v>6.5</v>
      </c>
      <c r="S85" t="inlineStr">
        <is>
          <t>Central English policy</t>
        </is>
      </c>
      <c r="T85" t="inlineStr">
        <is>
          <t>Central rule applies (value agrees)</t>
        </is>
      </c>
      <c r="U85" t="inlineStr"/>
      <c r="V85" t="inlineStr">
        <is>
          <t>Not stated on course page</t>
        </is>
      </c>
      <c r="W85" t="inlineStr"/>
      <c r="X85" t="inlineStr"/>
      <c r="Y85" t="n">
        <v>0</v>
      </c>
      <c r="Z85" t="inlineStr">
        <is>
          <t>Yes</t>
        </is>
      </c>
      <c r="AA85" t="inlineStr">
        <is>
          <t>Filled</t>
        </is>
      </c>
      <c r="AB85" t="inlineStr">
        <is>
          <t>on campus</t>
        </is>
      </c>
      <c r="AC85" t="inlineStr"/>
      <c r="AD85" t="n">
        <v>0</v>
      </c>
      <c r="AE85" t="inlineStr"/>
      <c r="AF85" t="inlineStr"/>
      <c r="AG85" t="inlineStr"/>
      <c r="AH85" t="inlineStr"/>
      <c r="AI85" t="inlineStr"/>
      <c r="AJ85" t="inlineStr"/>
      <c r="AK85" t="inlineStr"/>
      <c r="AL85" t="inlineStr"/>
      <c r="AM85" t="inlineStr"/>
    </row>
    <row r="86">
      <c r="A86" t="inlineStr">
        <is>
          <t>074004F</t>
        </is>
      </c>
      <c r="B86" t="inlineStr">
        <is>
          <t>Bachelor of Policy Studies</t>
        </is>
      </c>
      <c r="C86" t="inlineStr">
        <is>
          <t>Bachelor</t>
        </is>
      </c>
      <c r="D86" t="inlineStr">
        <is>
          <t>Undergraduate</t>
        </is>
      </c>
      <c r="E86" t="inlineStr">
        <is>
          <t>Advertised: official page in place</t>
        </is>
      </c>
      <c r="F86" t="inlineStr">
        <is>
          <t>https://programsandcourses.anu.edu.au/2017/program/bpols</t>
        </is>
      </c>
      <c r="G86" t="inlineStr">
        <is>
          <t>https://programsandcourses.anu.edu.au/2018/program/bpols</t>
        </is>
      </c>
      <c r="H86" t="inlineStr">
        <is>
          <t>Read</t>
        </is>
      </c>
      <c r="I86" t="inlineStr">
        <is>
          <t>CRICOS code on page</t>
        </is>
      </c>
      <c r="J86" t="inlineStr"/>
      <c r="K86" t="inlineStr">
        <is>
          <t>Not sent to re-link</t>
        </is>
      </c>
      <c r="L86" t="inlineStr">
        <is>
          <t>Filled</t>
        </is>
      </c>
      <c r="M86" t="inlineStr">
        <is>
          <t>Filled</t>
        </is>
      </c>
      <c r="N86" t="inlineStr">
        <is>
          <t>40416.00 2026</t>
        </is>
      </c>
      <c r="O86" t="n">
        <v>0</v>
      </c>
      <c r="P86" t="inlineStr">
        <is>
          <t>University adapter</t>
        </is>
      </c>
      <c r="Q86" t="inlineStr">
        <is>
          <t>Filled</t>
        </is>
      </c>
      <c r="R86" t="n">
        <v>6.5</v>
      </c>
      <c r="S86" t="inlineStr">
        <is>
          <t>Central English policy</t>
        </is>
      </c>
      <c r="T86" t="inlineStr">
        <is>
          <t>Central rule applies (value agrees)</t>
        </is>
      </c>
      <c r="U86" t="inlineStr"/>
      <c r="V86" t="inlineStr">
        <is>
          <t>Not stated on course page</t>
        </is>
      </c>
      <c r="W86" t="inlineStr"/>
      <c r="X86" t="inlineStr"/>
      <c r="Y86" t="n">
        <v>0</v>
      </c>
      <c r="Z86" t="inlineStr">
        <is>
          <t>Yes</t>
        </is>
      </c>
      <c r="AA86" t="inlineStr">
        <is>
          <t>Filled</t>
        </is>
      </c>
      <c r="AB86" t="inlineStr">
        <is>
          <t>on campus</t>
        </is>
      </c>
      <c r="AC86" t="inlineStr">
        <is>
          <t>Filled</t>
        </is>
      </c>
      <c r="AD86" t="n">
        <v>0</v>
      </c>
      <c r="AE86" t="inlineStr"/>
      <c r="AF86" t="inlineStr"/>
      <c r="AG86" t="inlineStr"/>
      <c r="AH86" t="inlineStr"/>
      <c r="AI86" t="inlineStr"/>
      <c r="AJ86" t="inlineStr"/>
      <c r="AK86" t="inlineStr"/>
      <c r="AL86" t="inlineStr"/>
      <c r="AM86" t="inlineStr"/>
    </row>
    <row r="87">
      <c r="A87" t="inlineStr">
        <is>
          <t>082701C</t>
        </is>
      </c>
      <c r="B87" t="inlineStr">
        <is>
          <t>Bachelor of Policy Studies (Honours)</t>
        </is>
      </c>
      <c r="C87" t="inlineStr">
        <is>
          <t>Bachelor Honours Degree</t>
        </is>
      </c>
      <c r="D87" t="inlineStr">
        <is>
          <t>Undergraduate</t>
        </is>
      </c>
      <c r="E87" t="inlineStr">
        <is>
          <t>Advertised: official page in place</t>
        </is>
      </c>
      <c r="F87" t="inlineStr">
        <is>
          <t>https://programsandcourses.anu.edu.au/2022/program/hpols</t>
        </is>
      </c>
      <c r="G87" t="inlineStr">
        <is>
          <t>https://programsandcourses.anu.edu.au/2022/program/hpols</t>
        </is>
      </c>
      <c r="H87" t="inlineStr">
        <is>
          <t>Read</t>
        </is>
      </c>
      <c r="I87" t="inlineStr">
        <is>
          <t>CRICOS code on page</t>
        </is>
      </c>
      <c r="J87" t="inlineStr"/>
      <c r="K87" t="inlineStr">
        <is>
          <t>Not sent to re-link</t>
        </is>
      </c>
      <c r="L87" t="inlineStr">
        <is>
          <t>Filled</t>
        </is>
      </c>
      <c r="M87" t="inlineStr">
        <is>
          <t>Filled</t>
        </is>
      </c>
      <c r="N87" t="inlineStr">
        <is>
          <t>45360.00 2026</t>
        </is>
      </c>
      <c r="O87" t="n">
        <v>0</v>
      </c>
      <c r="P87" t="inlineStr">
        <is>
          <t>University adapter</t>
        </is>
      </c>
      <c r="Q87" t="inlineStr">
        <is>
          <t>Filled</t>
        </is>
      </c>
      <c r="R87" t="n">
        <v>6.5</v>
      </c>
      <c r="S87" t="inlineStr">
        <is>
          <t>Central English policy</t>
        </is>
      </c>
      <c r="T87" t="inlineStr">
        <is>
          <t>Central rule applies (value agrees)</t>
        </is>
      </c>
      <c r="U87" t="inlineStr"/>
      <c r="V87" t="inlineStr">
        <is>
          <t>Not stated on course page</t>
        </is>
      </c>
      <c r="W87" t="inlineStr"/>
      <c r="X87" t="inlineStr"/>
      <c r="Y87" t="n">
        <v>0</v>
      </c>
      <c r="Z87" t="inlineStr">
        <is>
          <t>Yes</t>
        </is>
      </c>
      <c r="AA87" t="inlineStr">
        <is>
          <t>Filled</t>
        </is>
      </c>
      <c r="AB87" t="inlineStr">
        <is>
          <t>on campus</t>
        </is>
      </c>
      <c r="AC87" t="inlineStr"/>
      <c r="AD87" t="n">
        <v>0</v>
      </c>
      <c r="AE87" t="inlineStr"/>
      <c r="AF87" t="inlineStr"/>
      <c r="AG87" t="inlineStr"/>
      <c r="AH87" t="inlineStr"/>
      <c r="AI87" t="inlineStr"/>
      <c r="AJ87" t="inlineStr"/>
      <c r="AK87" t="inlineStr"/>
      <c r="AL87" t="inlineStr"/>
      <c r="AM87" t="inlineStr"/>
    </row>
    <row r="88">
      <c r="A88" t="inlineStr">
        <is>
          <t>086219C</t>
        </is>
      </c>
      <c r="B88" t="inlineStr">
        <is>
          <t>Bachelor of Political Science</t>
        </is>
      </c>
      <c r="C88" t="inlineStr">
        <is>
          <t>Bachelor</t>
        </is>
      </c>
      <c r="D88" t="inlineStr">
        <is>
          <t>Undergraduate</t>
        </is>
      </c>
      <c r="E88" t="inlineStr">
        <is>
          <t>Advertised: official page in place</t>
        </is>
      </c>
      <c r="F88" t="inlineStr">
        <is>
          <t>https://programsandcourses.anu.edu.au/program/BPLSC</t>
        </is>
      </c>
      <c r="G88" t="inlineStr">
        <is>
          <t>https://programsandcourses.anu.edu.au/program/BPLSC</t>
        </is>
      </c>
      <c r="H88" t="inlineStr">
        <is>
          <t>Read</t>
        </is>
      </c>
      <c r="I88" t="inlineStr">
        <is>
          <t>CRICOS code on page</t>
        </is>
      </c>
      <c r="J88" t="inlineStr"/>
      <c r="K88" t="inlineStr">
        <is>
          <t>Not sent to re-link</t>
        </is>
      </c>
      <c r="L88" t="inlineStr">
        <is>
          <t>Filled</t>
        </is>
      </c>
      <c r="M88" t="inlineStr">
        <is>
          <t>Filled</t>
        </is>
      </c>
      <c r="N88" t="inlineStr">
        <is>
          <t>54540.00 2026</t>
        </is>
      </c>
      <c r="O88" t="n">
        <v>0</v>
      </c>
      <c r="P88" t="inlineStr">
        <is>
          <t>University adapter</t>
        </is>
      </c>
      <c r="Q88" t="inlineStr">
        <is>
          <t>Filled</t>
        </is>
      </c>
      <c r="R88" t="n">
        <v>6.5</v>
      </c>
      <c r="S88" t="inlineStr">
        <is>
          <t>Central English policy</t>
        </is>
      </c>
      <c r="T88" t="inlineStr">
        <is>
          <t>Central rule applies (value agrees)</t>
        </is>
      </c>
      <c r="U88" t="inlineStr"/>
      <c r="V88" t="inlineStr">
        <is>
          <t>Not stated on course page</t>
        </is>
      </c>
      <c r="W88" t="inlineStr"/>
      <c r="X88" t="inlineStr"/>
      <c r="Y88" t="n">
        <v>0</v>
      </c>
      <c r="Z88" t="inlineStr">
        <is>
          <t>Yes</t>
        </is>
      </c>
      <c r="AA88" t="inlineStr">
        <is>
          <t>Filled</t>
        </is>
      </c>
      <c r="AB88" t="inlineStr">
        <is>
          <t>on campus</t>
        </is>
      </c>
      <c r="AC88" t="inlineStr"/>
      <c r="AD88" t="n">
        <v>0</v>
      </c>
      <c r="AE88" t="inlineStr"/>
      <c r="AF88" t="inlineStr"/>
      <c r="AG88" t="inlineStr"/>
      <c r="AH88" t="inlineStr"/>
      <c r="AI88" t="inlineStr"/>
      <c r="AJ88" t="inlineStr"/>
      <c r="AK88" t="inlineStr"/>
      <c r="AL88" t="inlineStr"/>
      <c r="AM88" t="inlineStr"/>
    </row>
    <row r="89">
      <c r="A89" t="inlineStr">
        <is>
          <t>086220K</t>
        </is>
      </c>
      <c r="B89" t="inlineStr">
        <is>
          <t>Bachelor of Political Science (Honours)</t>
        </is>
      </c>
      <c r="C89" t="inlineStr">
        <is>
          <t>Bachelor Honours Degree</t>
        </is>
      </c>
      <c r="D89" t="inlineStr">
        <is>
          <t>Undergraduate</t>
        </is>
      </c>
      <c r="E89" t="inlineStr">
        <is>
          <t>Advertised: official page in place</t>
        </is>
      </c>
      <c r="F89" t="inlineStr">
        <is>
          <t>https://programsandcourses.anu.edu.au/2024/program/hplsc</t>
        </is>
      </c>
      <c r="G89" t="inlineStr">
        <is>
          <t>https://programsandcourses.anu.edu.au/program/hplsc</t>
        </is>
      </c>
      <c r="H89" t="inlineStr">
        <is>
          <t>Read</t>
        </is>
      </c>
      <c r="I89" t="inlineStr">
        <is>
          <t>CRICOS code on page</t>
        </is>
      </c>
      <c r="J89" t="inlineStr"/>
      <c r="K89" t="inlineStr">
        <is>
          <t>Not sent to re-link</t>
        </is>
      </c>
      <c r="L89" t="inlineStr">
        <is>
          <t>Filled</t>
        </is>
      </c>
      <c r="M89" t="inlineStr">
        <is>
          <t>Filled</t>
        </is>
      </c>
      <c r="N89" t="inlineStr">
        <is>
          <t>54540.00 2026</t>
        </is>
      </c>
      <c r="O89" t="n">
        <v>0</v>
      </c>
      <c r="P89" t="inlineStr">
        <is>
          <t>University adapter</t>
        </is>
      </c>
      <c r="Q89" t="inlineStr">
        <is>
          <t>Filled</t>
        </is>
      </c>
      <c r="R89" t="n">
        <v>6.5</v>
      </c>
      <c r="S89" t="inlineStr">
        <is>
          <t>Central English policy</t>
        </is>
      </c>
      <c r="T89" t="inlineStr">
        <is>
          <t>Central rule applies (value agrees)</t>
        </is>
      </c>
      <c r="U89" t="inlineStr"/>
      <c r="V89" t="inlineStr">
        <is>
          <t>Not stated on course page</t>
        </is>
      </c>
      <c r="W89" t="inlineStr"/>
      <c r="X89" t="inlineStr"/>
      <c r="Y89" t="n">
        <v>0</v>
      </c>
      <c r="Z89" t="inlineStr">
        <is>
          <t>Yes</t>
        </is>
      </c>
      <c r="AA89" t="inlineStr">
        <is>
          <t>Filled</t>
        </is>
      </c>
      <c r="AB89" t="inlineStr">
        <is>
          <t>on campus</t>
        </is>
      </c>
      <c r="AC89" t="inlineStr"/>
      <c r="AD89" t="n">
        <v>0</v>
      </c>
      <c r="AE89" t="inlineStr"/>
      <c r="AF89" t="inlineStr"/>
      <c r="AG89" t="inlineStr"/>
      <c r="AH89" t="inlineStr"/>
      <c r="AI89" t="inlineStr"/>
      <c r="AJ89" t="inlineStr"/>
      <c r="AK89" t="inlineStr"/>
      <c r="AL89" t="inlineStr"/>
      <c r="AM89" t="inlineStr"/>
    </row>
    <row r="90">
      <c r="A90" t="inlineStr">
        <is>
          <t>076183D</t>
        </is>
      </c>
      <c r="B90" t="inlineStr">
        <is>
          <t>Bachelor of Politics, Philosophy and Economics</t>
        </is>
      </c>
      <c r="C90" t="inlineStr">
        <is>
          <t>Bachelor</t>
        </is>
      </c>
      <c r="D90" t="inlineStr">
        <is>
          <t>Undergraduate</t>
        </is>
      </c>
      <c r="E90" t="inlineStr">
        <is>
          <t>Advertised: official page in place</t>
        </is>
      </c>
      <c r="F90" t="inlineStr">
        <is>
          <t>https://programsandcourses.anu.edu.au/program/bppe</t>
        </is>
      </c>
      <c r="G90" t="inlineStr">
        <is>
          <t>https://programsandcourses.anu.edu.au/program/bppe</t>
        </is>
      </c>
      <c r="H90" t="inlineStr">
        <is>
          <t>Read</t>
        </is>
      </c>
      <c r="I90" t="inlineStr">
        <is>
          <t>CRICOS code on page</t>
        </is>
      </c>
      <c r="J90" t="inlineStr"/>
      <c r="K90" t="inlineStr">
        <is>
          <t>Not sent to re-link</t>
        </is>
      </c>
      <c r="L90" t="inlineStr">
        <is>
          <t>Filled</t>
        </is>
      </c>
      <c r="M90" t="inlineStr">
        <is>
          <t>Filled</t>
        </is>
      </c>
      <c r="N90" t="inlineStr">
        <is>
          <t>57640.00 2026</t>
        </is>
      </c>
      <c r="O90" t="n">
        <v>0</v>
      </c>
      <c r="P90" t="inlineStr">
        <is>
          <t>University adapter</t>
        </is>
      </c>
      <c r="Q90" t="inlineStr">
        <is>
          <t>Filled</t>
        </is>
      </c>
      <c r="R90" t="n">
        <v>6.5</v>
      </c>
      <c r="S90" t="inlineStr">
        <is>
          <t>Central English policy</t>
        </is>
      </c>
      <c r="T90" t="inlineStr">
        <is>
          <t>Central rule applies (value agrees)</t>
        </is>
      </c>
      <c r="U90" t="inlineStr"/>
      <c r="V90" t="inlineStr">
        <is>
          <t>Not stated on course page</t>
        </is>
      </c>
      <c r="W90" t="inlineStr"/>
      <c r="X90" t="inlineStr"/>
      <c r="Y90" t="n">
        <v>0</v>
      </c>
      <c r="Z90" t="inlineStr">
        <is>
          <t>Yes</t>
        </is>
      </c>
      <c r="AA90" t="inlineStr">
        <is>
          <t>Filled</t>
        </is>
      </c>
      <c r="AB90" t="inlineStr">
        <is>
          <t>on campus</t>
        </is>
      </c>
      <c r="AC90" t="inlineStr"/>
      <c r="AD90" t="n">
        <v>0</v>
      </c>
      <c r="AE90" t="inlineStr"/>
      <c r="AF90" t="inlineStr"/>
      <c r="AG90" t="inlineStr"/>
      <c r="AH90" t="inlineStr"/>
      <c r="AI90" t="inlineStr"/>
      <c r="AJ90" t="inlineStr"/>
      <c r="AK90" t="inlineStr"/>
      <c r="AL90" t="inlineStr"/>
      <c r="AM90" t="inlineStr"/>
    </row>
    <row r="91">
      <c r="A91" t="inlineStr">
        <is>
          <t>077324K</t>
        </is>
      </c>
      <c r="B91" t="inlineStr">
        <is>
          <t>Bachelor of Politics, Philosophy and Economics  (Honours)</t>
        </is>
      </c>
      <c r="C91" t="inlineStr">
        <is>
          <t>Bachelor Honours Degree</t>
        </is>
      </c>
      <c r="D91" t="inlineStr">
        <is>
          <t>Undergraduate</t>
        </is>
      </c>
      <c r="E91" t="inlineStr">
        <is>
          <t>Advertised: official page in place</t>
        </is>
      </c>
      <c r="F91" t="inlineStr">
        <is>
          <t>https://programsandcourses.anu.edu.au/program/hppe</t>
        </is>
      </c>
      <c r="G91" t="inlineStr">
        <is>
          <t>https://programsandcourses.anu.edu.au/program/hppe</t>
        </is>
      </c>
      <c r="H91" t="inlineStr">
        <is>
          <t>Read</t>
        </is>
      </c>
      <c r="I91" t="inlineStr">
        <is>
          <t>CRICOS code on page</t>
        </is>
      </c>
      <c r="J91" t="inlineStr"/>
      <c r="K91" t="inlineStr">
        <is>
          <t>Not sent to re-link</t>
        </is>
      </c>
      <c r="L91" t="inlineStr">
        <is>
          <t>Filled</t>
        </is>
      </c>
      <c r="M91" t="inlineStr">
        <is>
          <t>Filled</t>
        </is>
      </c>
      <c r="N91" t="inlineStr">
        <is>
          <t>57640.00 2026</t>
        </is>
      </c>
      <c r="O91" t="n">
        <v>0</v>
      </c>
      <c r="P91" t="inlineStr">
        <is>
          <t>University adapter</t>
        </is>
      </c>
      <c r="Q91" t="inlineStr">
        <is>
          <t>Filled</t>
        </is>
      </c>
      <c r="R91" t="n">
        <v>6.5</v>
      </c>
      <c r="S91" t="inlineStr">
        <is>
          <t>Central English policy</t>
        </is>
      </c>
      <c r="T91" t="inlineStr">
        <is>
          <t>Central rule applies (value agrees)</t>
        </is>
      </c>
      <c r="U91" t="inlineStr"/>
      <c r="V91" t="inlineStr">
        <is>
          <t>Not stated on course page</t>
        </is>
      </c>
      <c r="W91" t="inlineStr"/>
      <c r="X91" t="inlineStr"/>
      <c r="Y91" t="n">
        <v>0</v>
      </c>
      <c r="Z91" t="inlineStr">
        <is>
          <t>Yes</t>
        </is>
      </c>
      <c r="AA91" t="inlineStr">
        <is>
          <t>Filled</t>
        </is>
      </c>
      <c r="AB91" t="inlineStr">
        <is>
          <t>on campus</t>
        </is>
      </c>
      <c r="AC91" t="inlineStr"/>
      <c r="AD91" t="n">
        <v>0</v>
      </c>
      <c r="AE91" t="inlineStr"/>
      <c r="AF91" t="inlineStr"/>
      <c r="AG91" t="inlineStr"/>
      <c r="AH91" t="inlineStr"/>
      <c r="AI91" t="inlineStr"/>
      <c r="AJ91" t="inlineStr"/>
      <c r="AK91" t="inlineStr"/>
      <c r="AL91" t="inlineStr"/>
      <c r="AM91" t="inlineStr"/>
    </row>
    <row r="92">
      <c r="A92" t="inlineStr">
        <is>
          <t>036680G</t>
        </is>
      </c>
      <c r="B92" t="inlineStr">
        <is>
          <t>Bachelor of Psychology (Honours)</t>
        </is>
      </c>
      <c r="C92" t="inlineStr">
        <is>
          <t>Bachelor Honours Degree</t>
        </is>
      </c>
      <c r="D92" t="inlineStr">
        <is>
          <t>Undergraduate</t>
        </is>
      </c>
      <c r="E92" t="inlineStr">
        <is>
          <t>Advertised: official page in place</t>
        </is>
      </c>
      <c r="F92" t="inlineStr">
        <is>
          <t>https://programsandcourses.anu.edu.au/2025/program/apsyc</t>
        </is>
      </c>
      <c r="G92" t="inlineStr">
        <is>
          <t>https://programsandcourses.anu.edu.au/2025/program/apsyc</t>
        </is>
      </c>
      <c r="H92" t="inlineStr">
        <is>
          <t>Read</t>
        </is>
      </c>
      <c r="I92" t="inlineStr">
        <is>
          <t>CRICOS code on page</t>
        </is>
      </c>
      <c r="J92" t="inlineStr"/>
      <c r="K92" t="inlineStr">
        <is>
          <t>Not sent to re-link</t>
        </is>
      </c>
      <c r="L92" t="inlineStr">
        <is>
          <t>Filled</t>
        </is>
      </c>
      <c r="M92" t="inlineStr">
        <is>
          <t>Filled</t>
        </is>
      </c>
      <c r="N92" t="inlineStr">
        <is>
          <t>53700.00 2026</t>
        </is>
      </c>
      <c r="O92" t="n">
        <v>0</v>
      </c>
      <c r="P92" t="inlineStr">
        <is>
          <t>University adapter</t>
        </is>
      </c>
      <c r="Q92" t="inlineStr">
        <is>
          <t>Filled</t>
        </is>
      </c>
      <c r="R92" t="n">
        <v>6.5</v>
      </c>
      <c r="S92" t="inlineStr">
        <is>
          <t>Central English policy</t>
        </is>
      </c>
      <c r="T92" t="inlineStr">
        <is>
          <t>Central rule applies (value agrees)</t>
        </is>
      </c>
      <c r="U92" t="inlineStr"/>
      <c r="V92" t="inlineStr">
        <is>
          <t>Not stated on course page</t>
        </is>
      </c>
      <c r="W92" t="inlineStr"/>
      <c r="X92" t="inlineStr"/>
      <c r="Y92" t="n">
        <v>0</v>
      </c>
      <c r="Z92" t="inlineStr">
        <is>
          <t>Yes</t>
        </is>
      </c>
      <c r="AA92" t="inlineStr">
        <is>
          <t>Filled</t>
        </is>
      </c>
      <c r="AB92" t="inlineStr">
        <is>
          <t>on campus</t>
        </is>
      </c>
      <c r="AC92" t="inlineStr"/>
      <c r="AD92" t="n">
        <v>0</v>
      </c>
      <c r="AE92" t="inlineStr"/>
      <c r="AF92" t="inlineStr"/>
      <c r="AG92" t="inlineStr"/>
      <c r="AH92" t="inlineStr"/>
      <c r="AI92" t="inlineStr"/>
      <c r="AJ92" t="inlineStr"/>
      <c r="AK92" t="inlineStr"/>
      <c r="AL92" t="inlineStr"/>
      <c r="AM92" t="inlineStr"/>
    </row>
    <row r="93">
      <c r="A93" t="inlineStr">
        <is>
          <t>097615M</t>
        </is>
      </c>
      <c r="B93" t="inlineStr">
        <is>
          <t>Bachelor of Public Policy</t>
        </is>
      </c>
      <c r="C93" t="inlineStr">
        <is>
          <t>Bachelor</t>
        </is>
      </c>
      <c r="D93" t="inlineStr">
        <is>
          <t>Undergraduate</t>
        </is>
      </c>
      <c r="E93" t="inlineStr">
        <is>
          <t>Advertised: official page in place</t>
        </is>
      </c>
      <c r="F93" t="inlineStr">
        <is>
          <t>https://programsandcourses.anu.edu.au/program/bppol</t>
        </is>
      </c>
      <c r="G93" t="inlineStr">
        <is>
          <t>https://programsandcourses.anu.edu.au/program/bppol</t>
        </is>
      </c>
      <c r="H93" t="inlineStr">
        <is>
          <t>Read</t>
        </is>
      </c>
      <c r="I93" t="inlineStr">
        <is>
          <t>CRICOS code on page</t>
        </is>
      </c>
      <c r="J93" t="inlineStr"/>
      <c r="K93" t="inlineStr">
        <is>
          <t>Not sent to re-link</t>
        </is>
      </c>
      <c r="L93" t="inlineStr">
        <is>
          <t>Filled</t>
        </is>
      </c>
      <c r="M93" t="inlineStr">
        <is>
          <t>Filled</t>
        </is>
      </c>
      <c r="N93" t="inlineStr">
        <is>
          <t>54540.00 2026</t>
        </is>
      </c>
      <c r="O93" t="n">
        <v>0</v>
      </c>
      <c r="P93" t="inlineStr">
        <is>
          <t>University adapter</t>
        </is>
      </c>
      <c r="Q93" t="inlineStr">
        <is>
          <t>Filled</t>
        </is>
      </c>
      <c r="R93" t="n">
        <v>6.5</v>
      </c>
      <c r="S93" t="inlineStr">
        <is>
          <t>Central English policy</t>
        </is>
      </c>
      <c r="T93" t="inlineStr">
        <is>
          <t>Central rule applies (value agrees)</t>
        </is>
      </c>
      <c r="U93" t="inlineStr"/>
      <c r="V93" t="inlineStr">
        <is>
          <t>Not stated on course page</t>
        </is>
      </c>
      <c r="W93" t="inlineStr"/>
      <c r="X93" t="inlineStr"/>
      <c r="Y93" t="n">
        <v>0</v>
      </c>
      <c r="Z93" t="inlineStr">
        <is>
          <t>Yes</t>
        </is>
      </c>
      <c r="AA93" t="inlineStr">
        <is>
          <t>Filled</t>
        </is>
      </c>
      <c r="AB93" t="inlineStr">
        <is>
          <t>on campus</t>
        </is>
      </c>
      <c r="AC93" t="inlineStr"/>
      <c r="AD93" t="n">
        <v>0</v>
      </c>
      <c r="AE93" t="inlineStr"/>
      <c r="AF93" t="inlineStr"/>
      <c r="AG93" t="inlineStr"/>
      <c r="AH93" t="inlineStr"/>
      <c r="AI93" t="inlineStr"/>
      <c r="AJ93" t="inlineStr"/>
      <c r="AK93" t="inlineStr"/>
      <c r="AL93" t="inlineStr"/>
      <c r="AM93" t="inlineStr"/>
    </row>
    <row r="94">
      <c r="A94" t="inlineStr">
        <is>
          <t>097616K</t>
        </is>
      </c>
      <c r="B94" t="inlineStr">
        <is>
          <t>Bachelor of Public Policy (Honours)</t>
        </is>
      </c>
      <c r="C94" t="inlineStr">
        <is>
          <t>Bachelor Honours Degree</t>
        </is>
      </c>
      <c r="D94" t="inlineStr">
        <is>
          <t>Undergraduate</t>
        </is>
      </c>
      <c r="E94" t="inlineStr">
        <is>
          <t>Advertised: official page in place</t>
        </is>
      </c>
      <c r="F94" t="inlineStr">
        <is>
          <t>https://programsandcourses.anu.edu.au/2023/program/hppol</t>
        </is>
      </c>
      <c r="G94" t="inlineStr">
        <is>
          <t>https://programsandcourses.anu.edu.au/program/hppol</t>
        </is>
      </c>
      <c r="H94" t="inlineStr">
        <is>
          <t>Read</t>
        </is>
      </c>
      <c r="I94" t="inlineStr">
        <is>
          <t>CRICOS code on page</t>
        </is>
      </c>
      <c r="J94" t="inlineStr"/>
      <c r="K94" t="inlineStr">
        <is>
          <t>Not sent to re-link</t>
        </is>
      </c>
      <c r="L94" t="inlineStr">
        <is>
          <t>Filled</t>
        </is>
      </c>
      <c r="M94" t="inlineStr">
        <is>
          <t>Filled</t>
        </is>
      </c>
      <c r="N94" t="inlineStr">
        <is>
          <t>54540.00 2026</t>
        </is>
      </c>
      <c r="O94" t="n">
        <v>0</v>
      </c>
      <c r="P94" t="inlineStr">
        <is>
          <t>University adapter</t>
        </is>
      </c>
      <c r="Q94" t="inlineStr">
        <is>
          <t>Filled</t>
        </is>
      </c>
      <c r="R94" t="n">
        <v>6.5</v>
      </c>
      <c r="S94" t="inlineStr">
        <is>
          <t>Central English policy</t>
        </is>
      </c>
      <c r="T94" t="inlineStr">
        <is>
          <t>Central rule applies (value agrees)</t>
        </is>
      </c>
      <c r="U94" t="inlineStr"/>
      <c r="V94" t="inlineStr">
        <is>
          <t>Not stated on course page</t>
        </is>
      </c>
      <c r="W94" t="inlineStr"/>
      <c r="X94" t="inlineStr"/>
      <c r="Y94" t="n">
        <v>0</v>
      </c>
      <c r="Z94" t="inlineStr">
        <is>
          <t>Yes</t>
        </is>
      </c>
      <c r="AA94" t="inlineStr">
        <is>
          <t>Filled</t>
        </is>
      </c>
      <c r="AB94" t="inlineStr">
        <is>
          <t>on campus</t>
        </is>
      </c>
      <c r="AC94" t="inlineStr"/>
      <c r="AD94" t="n">
        <v>0</v>
      </c>
      <c r="AE94" t="inlineStr"/>
      <c r="AF94" t="inlineStr"/>
      <c r="AG94" t="inlineStr"/>
      <c r="AH94" t="inlineStr"/>
      <c r="AI94" t="inlineStr"/>
      <c r="AJ94" t="inlineStr"/>
      <c r="AK94" t="inlineStr"/>
      <c r="AL94" t="inlineStr"/>
      <c r="AM94" t="inlineStr"/>
    </row>
    <row r="95">
      <c r="A95" t="inlineStr">
        <is>
          <t>000335K</t>
        </is>
      </c>
      <c r="B95" t="inlineStr">
        <is>
          <t>Bachelor of Science</t>
        </is>
      </c>
      <c r="C95" t="inlineStr">
        <is>
          <t>Bachelor</t>
        </is>
      </c>
      <c r="D95" t="inlineStr">
        <is>
          <t>Undergraduate</t>
        </is>
      </c>
      <c r="E95" t="inlineStr">
        <is>
          <t>Advertised: official page in place</t>
        </is>
      </c>
      <c r="F95" t="inlineStr">
        <is>
          <t>https://programsandcourses.anu.edu.au/program/bsc</t>
        </is>
      </c>
      <c r="G95" t="inlineStr">
        <is>
          <t>https://programsandcourses.anu.edu.au/program/bsc</t>
        </is>
      </c>
      <c r="H95" t="inlineStr">
        <is>
          <t>Read</t>
        </is>
      </c>
      <c r="I95" t="inlineStr">
        <is>
          <t>CRICOS code on page</t>
        </is>
      </c>
      <c r="J95" t="inlineStr"/>
      <c r="K95" t="inlineStr">
        <is>
          <t>Not sent to re-link</t>
        </is>
      </c>
      <c r="L95" t="inlineStr">
        <is>
          <t>Filled</t>
        </is>
      </c>
      <c r="M95" t="inlineStr">
        <is>
          <t>Filled</t>
        </is>
      </c>
      <c r="N95" t="inlineStr">
        <is>
          <t>57640.00 2026</t>
        </is>
      </c>
      <c r="O95" t="n">
        <v>0</v>
      </c>
      <c r="P95" t="inlineStr">
        <is>
          <t>University adapter</t>
        </is>
      </c>
      <c r="Q95" t="inlineStr">
        <is>
          <t>Filled</t>
        </is>
      </c>
      <c r="R95" t="n">
        <v>6.5</v>
      </c>
      <c r="S95" t="inlineStr">
        <is>
          <t>Central English policy</t>
        </is>
      </c>
      <c r="T95" t="inlineStr">
        <is>
          <t>Central rule applies (value agrees)</t>
        </is>
      </c>
      <c r="U95" t="inlineStr"/>
      <c r="V95" t="inlineStr">
        <is>
          <t>Not stated on course page</t>
        </is>
      </c>
      <c r="W95" t="inlineStr"/>
      <c r="X95" t="inlineStr"/>
      <c r="Y95" t="n">
        <v>0</v>
      </c>
      <c r="Z95" t="inlineStr">
        <is>
          <t>Yes</t>
        </is>
      </c>
      <c r="AA95" t="inlineStr">
        <is>
          <t>Filled</t>
        </is>
      </c>
      <c r="AB95" t="inlineStr">
        <is>
          <t>on campus</t>
        </is>
      </c>
      <c r="AC95" t="inlineStr"/>
      <c r="AD95" t="n">
        <v>0</v>
      </c>
      <c r="AE95" t="inlineStr"/>
      <c r="AF95" t="inlineStr"/>
      <c r="AG95" t="inlineStr"/>
      <c r="AH95" t="inlineStr"/>
      <c r="AI95" t="inlineStr"/>
      <c r="AJ95" t="inlineStr"/>
      <c r="AK95" t="inlineStr"/>
      <c r="AL95" t="inlineStr"/>
      <c r="AM95" t="inlineStr"/>
    </row>
    <row r="96">
      <c r="A96" t="inlineStr">
        <is>
          <t>065138M</t>
        </is>
      </c>
      <c r="B96" t="inlineStr">
        <is>
          <t>Bachelor of Science (Advanced)(Honours)</t>
        </is>
      </c>
      <c r="C96" t="inlineStr">
        <is>
          <t>Bachelor Honours Degree</t>
        </is>
      </c>
      <c r="D96" t="inlineStr">
        <is>
          <t>Undergraduate</t>
        </is>
      </c>
      <c r="E96" t="inlineStr">
        <is>
          <t>Advertised: official page in place</t>
        </is>
      </c>
      <c r="F96" t="inlineStr">
        <is>
          <t>https://programsandcourses.anu.edu.au/program/ascad</t>
        </is>
      </c>
      <c r="G96" t="inlineStr">
        <is>
          <t>https://programsandcourses.anu.edu.au/program/ascad</t>
        </is>
      </c>
      <c r="H96" t="inlineStr">
        <is>
          <t>Read</t>
        </is>
      </c>
      <c r="I96" t="inlineStr">
        <is>
          <t>CRICOS code on page</t>
        </is>
      </c>
      <c r="J96" t="inlineStr"/>
      <c r="K96" t="inlineStr">
        <is>
          <t>Not sent to re-link</t>
        </is>
      </c>
      <c r="L96" t="inlineStr">
        <is>
          <t>Filled</t>
        </is>
      </c>
      <c r="M96" t="inlineStr">
        <is>
          <t>Filled</t>
        </is>
      </c>
      <c r="N96" t="inlineStr">
        <is>
          <t>57640.00 2026</t>
        </is>
      </c>
      <c r="O96" t="n">
        <v>0</v>
      </c>
      <c r="P96" t="inlineStr">
        <is>
          <t>University adapter</t>
        </is>
      </c>
      <c r="Q96" t="inlineStr">
        <is>
          <t>Filled</t>
        </is>
      </c>
      <c r="R96" t="n">
        <v>6.5</v>
      </c>
      <c r="S96" t="inlineStr">
        <is>
          <t>Central English policy</t>
        </is>
      </c>
      <c r="T96" t="inlineStr">
        <is>
          <t>Central rule applies (value agrees)</t>
        </is>
      </c>
      <c r="U96" t="inlineStr"/>
      <c r="V96" t="inlineStr">
        <is>
          <t>Not stated on course page</t>
        </is>
      </c>
      <c r="W96" t="inlineStr"/>
      <c r="X96" t="inlineStr"/>
      <c r="Y96" t="n">
        <v>0</v>
      </c>
      <c r="Z96" t="inlineStr">
        <is>
          <t>Yes</t>
        </is>
      </c>
      <c r="AA96" t="inlineStr">
        <is>
          <t>Filled</t>
        </is>
      </c>
      <c r="AB96" t="inlineStr">
        <is>
          <t>on campus</t>
        </is>
      </c>
      <c r="AC96" t="inlineStr"/>
      <c r="AD96" t="n">
        <v>0</v>
      </c>
      <c r="AE96" t="inlineStr"/>
      <c r="AF96" t="inlineStr"/>
      <c r="AG96" t="inlineStr"/>
      <c r="AH96" t="inlineStr"/>
      <c r="AI96" t="inlineStr"/>
      <c r="AJ96" t="inlineStr"/>
      <c r="AK96" t="inlineStr"/>
      <c r="AL96" t="inlineStr"/>
      <c r="AM96" t="inlineStr"/>
    </row>
    <row r="97">
      <c r="A97" t="inlineStr">
        <is>
          <t>000334M</t>
        </is>
      </c>
      <c r="B97" t="inlineStr">
        <is>
          <t>Bachelor of Science (Honours)</t>
        </is>
      </c>
      <c r="C97" t="inlineStr">
        <is>
          <t>Bachelor Honours Degree</t>
        </is>
      </c>
      <c r="D97" t="inlineStr">
        <is>
          <t>Undergraduate</t>
        </is>
      </c>
      <c r="E97" t="inlineStr">
        <is>
          <t>Advertised: official page in place</t>
        </is>
      </c>
      <c r="F97" t="inlineStr">
        <is>
          <t>https://programsandcourses.anu.edu.au/program/hsc</t>
        </is>
      </c>
      <c r="G97" t="inlineStr">
        <is>
          <t>https://programsandcourses.anu.edu.au/program/hsc</t>
        </is>
      </c>
      <c r="H97" t="inlineStr">
        <is>
          <t>Read</t>
        </is>
      </c>
      <c r="I97" t="inlineStr">
        <is>
          <t>CRICOS code on page</t>
        </is>
      </c>
      <c r="J97" t="inlineStr"/>
      <c r="K97" t="inlineStr">
        <is>
          <t>Not sent to re-link</t>
        </is>
      </c>
      <c r="L97" t="inlineStr">
        <is>
          <t>Filled</t>
        </is>
      </c>
      <c r="M97" t="inlineStr">
        <is>
          <t>Filled</t>
        </is>
      </c>
      <c r="N97" t="inlineStr">
        <is>
          <t>57640.00 2026</t>
        </is>
      </c>
      <c r="O97" t="n">
        <v>0</v>
      </c>
      <c r="P97" t="inlineStr">
        <is>
          <t>University adapter</t>
        </is>
      </c>
      <c r="Q97" t="inlineStr">
        <is>
          <t>Filled</t>
        </is>
      </c>
      <c r="R97" t="n">
        <v>6.5</v>
      </c>
      <c r="S97" t="inlineStr">
        <is>
          <t>Central English policy</t>
        </is>
      </c>
      <c r="T97" t="inlineStr">
        <is>
          <t>Central rule applies (value agrees)</t>
        </is>
      </c>
      <c r="U97" t="inlineStr"/>
      <c r="V97" t="inlineStr">
        <is>
          <t>Value found, being checked</t>
        </is>
      </c>
      <c r="W97" t="inlineStr"/>
      <c r="X97" t="inlineStr"/>
      <c r="Y97" t="n">
        <v>0</v>
      </c>
      <c r="Z97" t="inlineStr">
        <is>
          <t>Yes</t>
        </is>
      </c>
      <c r="AA97" t="inlineStr">
        <is>
          <t>Filled</t>
        </is>
      </c>
      <c r="AB97" t="inlineStr">
        <is>
          <t>on campus</t>
        </is>
      </c>
      <c r="AC97" t="inlineStr"/>
      <c r="AD97" t="n">
        <v>0</v>
      </c>
      <c r="AE97" t="inlineStr"/>
      <c r="AF97" t="inlineStr">
        <is>
          <t>Yes</t>
        </is>
      </c>
      <c r="AG97" t="inlineStr"/>
      <c r="AH97" t="inlineStr"/>
      <c r="AI97" t="inlineStr"/>
      <c r="AJ97" t="inlineStr"/>
      <c r="AK97" t="inlineStr"/>
      <c r="AL97" t="inlineStr"/>
      <c r="AM97" t="inlineStr"/>
    </row>
    <row r="98">
      <c r="A98" t="inlineStr">
        <is>
          <t>054595K</t>
        </is>
      </c>
      <c r="B98" t="inlineStr">
        <is>
          <t>Bachelor of Science (Joint degree ANU-NUS)</t>
        </is>
      </c>
      <c r="C98" t="inlineStr">
        <is>
          <t>Bachelor</t>
        </is>
      </c>
      <c r="D98" t="inlineStr">
        <is>
          <t>Undergraduate</t>
        </is>
      </c>
      <c r="E98" t="inlineStr">
        <is>
          <t>Advertised: official page in place</t>
        </is>
      </c>
      <c r="F98" t="inlineStr">
        <is>
          <t>https://programsandcourses.anu.edu.au/2021/program/apnsn</t>
        </is>
      </c>
      <c r="G98" t="inlineStr">
        <is>
          <t>https://programsandcourses.anu.edu.au/2021/program/apnsc</t>
        </is>
      </c>
      <c r="H98" t="inlineStr">
        <is>
          <t>Read</t>
        </is>
      </c>
      <c r="I98" t="inlineStr">
        <is>
          <t>CRICOS code on page</t>
        </is>
      </c>
      <c r="J98" t="inlineStr"/>
      <c r="K98" t="inlineStr">
        <is>
          <t>Not sent to re-link</t>
        </is>
      </c>
      <c r="L98" t="inlineStr">
        <is>
          <t>Filled</t>
        </is>
      </c>
      <c r="M98" t="inlineStr">
        <is>
          <t>Filled</t>
        </is>
      </c>
      <c r="N98" t="inlineStr">
        <is>
          <t>46910.00 2026</t>
        </is>
      </c>
      <c r="O98" t="n">
        <v>0</v>
      </c>
      <c r="P98" t="inlineStr">
        <is>
          <t>University adapter</t>
        </is>
      </c>
      <c r="Q98" t="inlineStr">
        <is>
          <t>Filled</t>
        </is>
      </c>
      <c r="R98" t="n">
        <v>6.5</v>
      </c>
      <c r="S98" t="inlineStr">
        <is>
          <t>Central English policy</t>
        </is>
      </c>
      <c r="T98" t="inlineStr">
        <is>
          <t>Central rule applies (value agrees)</t>
        </is>
      </c>
      <c r="U98" t="inlineStr"/>
      <c r="V98" t="inlineStr">
        <is>
          <t>Not stated on course page</t>
        </is>
      </c>
      <c r="W98" t="inlineStr"/>
      <c r="X98" t="inlineStr"/>
      <c r="Y98" t="n">
        <v>0</v>
      </c>
      <c r="Z98" t="inlineStr">
        <is>
          <t>Yes</t>
        </is>
      </c>
      <c r="AA98" t="inlineStr">
        <is>
          <t>Filled</t>
        </is>
      </c>
      <c r="AB98" t="inlineStr">
        <is>
          <t>on campus</t>
        </is>
      </c>
      <c r="AC98" t="inlineStr"/>
      <c r="AD98" t="n">
        <v>0</v>
      </c>
      <c r="AE98" t="inlineStr"/>
      <c r="AF98" t="inlineStr"/>
      <c r="AG98" t="inlineStr"/>
      <c r="AH98" t="inlineStr"/>
      <c r="AI98" t="inlineStr"/>
      <c r="AJ98" t="inlineStr"/>
      <c r="AK98" t="inlineStr"/>
      <c r="AL98" t="inlineStr"/>
      <c r="AM98" t="inlineStr"/>
    </row>
    <row r="99">
      <c r="A99" t="inlineStr">
        <is>
          <t>047423M</t>
        </is>
      </c>
      <c r="B99" t="inlineStr">
        <is>
          <t>Bachelor of Science (Psychology)</t>
        </is>
      </c>
      <c r="C99" t="inlineStr">
        <is>
          <t>Bachelor</t>
        </is>
      </c>
      <c r="D99" t="inlineStr">
        <is>
          <t>Undergraduate</t>
        </is>
      </c>
      <c r="E99" t="inlineStr">
        <is>
          <t>Advertised: official page in place</t>
        </is>
      </c>
      <c r="F99" t="inlineStr">
        <is>
          <t>https://programsandcourses.anu.edu.au/program/bspsy</t>
        </is>
      </c>
      <c r="G99" t="inlineStr">
        <is>
          <t>https://programsandcourses.anu.edu.au/program/bspsy</t>
        </is>
      </c>
      <c r="H99" t="inlineStr">
        <is>
          <t>Read</t>
        </is>
      </c>
      <c r="I99" t="inlineStr">
        <is>
          <t>CRICOS code on page</t>
        </is>
      </c>
      <c r="J99" t="inlineStr"/>
      <c r="K99" t="inlineStr">
        <is>
          <t>Not sent to re-link</t>
        </is>
      </c>
      <c r="L99" t="inlineStr">
        <is>
          <t>Filled</t>
        </is>
      </c>
      <c r="M99" t="inlineStr">
        <is>
          <t>Filled</t>
        </is>
      </c>
      <c r="N99" t="inlineStr">
        <is>
          <t>57640.00 2026</t>
        </is>
      </c>
      <c r="O99" t="n">
        <v>0</v>
      </c>
      <c r="P99" t="inlineStr">
        <is>
          <t>University adapter</t>
        </is>
      </c>
      <c r="Q99" t="inlineStr">
        <is>
          <t>Filled</t>
        </is>
      </c>
      <c r="R99" t="n">
        <v>6.5</v>
      </c>
      <c r="S99" t="inlineStr">
        <is>
          <t>Central English policy</t>
        </is>
      </c>
      <c r="T99" t="inlineStr">
        <is>
          <t>Central rule applies (value agrees)</t>
        </is>
      </c>
      <c r="U99" t="inlineStr"/>
      <c r="V99" t="inlineStr">
        <is>
          <t>Value found, being checked</t>
        </is>
      </c>
      <c r="W99" t="inlineStr"/>
      <c r="X99" t="inlineStr"/>
      <c r="Y99" t="n">
        <v>0</v>
      </c>
      <c r="Z99" t="inlineStr">
        <is>
          <t>Yes</t>
        </is>
      </c>
      <c r="AA99" t="inlineStr">
        <is>
          <t>Filled</t>
        </is>
      </c>
      <c r="AB99" t="inlineStr">
        <is>
          <t>on campus</t>
        </is>
      </c>
      <c r="AC99" t="inlineStr"/>
      <c r="AD99" t="n">
        <v>0</v>
      </c>
      <c r="AE99" t="inlineStr"/>
      <c r="AF99" t="inlineStr">
        <is>
          <t>Yes</t>
        </is>
      </c>
      <c r="AG99" t="inlineStr"/>
      <c r="AH99" t="inlineStr"/>
      <c r="AI99" t="inlineStr"/>
      <c r="AJ99" t="inlineStr"/>
      <c r="AK99" t="inlineStr"/>
      <c r="AL99" t="inlineStr"/>
      <c r="AM99" t="inlineStr"/>
    </row>
    <row r="100">
      <c r="A100" t="inlineStr">
        <is>
          <t>047429E</t>
        </is>
      </c>
      <c r="B100" t="inlineStr">
        <is>
          <t>Bachelor of Science (Psychology) Honours</t>
        </is>
      </c>
      <c r="C100" t="inlineStr">
        <is>
          <t>Bachelor Honours Degree</t>
        </is>
      </c>
      <c r="D100" t="inlineStr">
        <is>
          <t>Undergraduate</t>
        </is>
      </c>
      <c r="E100" t="inlineStr">
        <is>
          <t>Advertised: official page in place</t>
        </is>
      </c>
      <c r="F100" t="inlineStr">
        <is>
          <t>https://programsandcourses.anu.edu.au/program/hspsy</t>
        </is>
      </c>
      <c r="G100" t="inlineStr">
        <is>
          <t>https://programsandcourses.anu.edu.au/program/hspsy</t>
        </is>
      </c>
      <c r="H100" t="inlineStr">
        <is>
          <t>Read</t>
        </is>
      </c>
      <c r="I100" t="inlineStr">
        <is>
          <t>CRICOS code on page</t>
        </is>
      </c>
      <c r="J100" t="inlineStr"/>
      <c r="K100" t="inlineStr">
        <is>
          <t>Not sent to re-link</t>
        </is>
      </c>
      <c r="L100" t="inlineStr">
        <is>
          <t>Filled</t>
        </is>
      </c>
      <c r="M100" t="inlineStr">
        <is>
          <t>Filled</t>
        </is>
      </c>
      <c r="N100" t="inlineStr">
        <is>
          <t>57640.00 2026</t>
        </is>
      </c>
      <c r="O100" t="n">
        <v>0</v>
      </c>
      <c r="P100" t="inlineStr">
        <is>
          <t>University adapter</t>
        </is>
      </c>
      <c r="Q100" t="inlineStr">
        <is>
          <t>Filled</t>
        </is>
      </c>
      <c r="R100" t="n">
        <v>6.5</v>
      </c>
      <c r="S100" t="inlineStr">
        <is>
          <t>Central English policy</t>
        </is>
      </c>
      <c r="T100" t="inlineStr">
        <is>
          <t>Central rule applies (value agrees)</t>
        </is>
      </c>
      <c r="U100" t="inlineStr"/>
      <c r="V100" t="inlineStr">
        <is>
          <t>Value found, being checked</t>
        </is>
      </c>
      <c r="W100" t="inlineStr"/>
      <c r="X100" t="inlineStr"/>
      <c r="Y100" t="n">
        <v>0</v>
      </c>
      <c r="Z100" t="inlineStr">
        <is>
          <t>Yes</t>
        </is>
      </c>
      <c r="AA100" t="inlineStr">
        <is>
          <t>Filled</t>
        </is>
      </c>
      <c r="AB100" t="inlineStr">
        <is>
          <t>on campus</t>
        </is>
      </c>
      <c r="AC100" t="inlineStr"/>
      <c r="AD100" t="n">
        <v>0</v>
      </c>
      <c r="AE100" t="inlineStr"/>
      <c r="AF100" t="inlineStr">
        <is>
          <t>Yes</t>
        </is>
      </c>
      <c r="AG100" t="inlineStr"/>
      <c r="AH100" t="inlineStr"/>
      <c r="AI100" t="inlineStr"/>
      <c r="AJ100" t="inlineStr"/>
      <c r="AK100" t="inlineStr"/>
      <c r="AL100" t="inlineStr"/>
      <c r="AM100" t="inlineStr"/>
    </row>
    <row r="101">
      <c r="A101" t="inlineStr">
        <is>
          <t>099467B</t>
        </is>
      </c>
      <c r="B101" t="inlineStr">
        <is>
          <t>Bachelor of Science (with Year in Asia)</t>
        </is>
      </c>
      <c r="C101" t="inlineStr">
        <is>
          <t>Bachelor</t>
        </is>
      </c>
      <c r="D101" t="inlineStr">
        <is>
          <t>Undergraduate</t>
        </is>
      </c>
      <c r="E101" t="inlineStr">
        <is>
          <t>Advertised: official page in place</t>
        </is>
      </c>
      <c r="F101" t="inlineStr">
        <is>
          <t>https://programsandcourses.anu.edu.au/program/bscy</t>
        </is>
      </c>
      <c r="G101" t="inlineStr">
        <is>
          <t>https://programsandcourses.anu.edu.au/program/bscy</t>
        </is>
      </c>
      <c r="H101" t="inlineStr">
        <is>
          <t>Read</t>
        </is>
      </c>
      <c r="I101" t="inlineStr">
        <is>
          <t>CRICOS code on page</t>
        </is>
      </c>
      <c r="J101" t="inlineStr"/>
      <c r="K101" t="inlineStr">
        <is>
          <t>Not sent to re-link</t>
        </is>
      </c>
      <c r="L101" t="inlineStr">
        <is>
          <t>Filled</t>
        </is>
      </c>
      <c r="M101" t="inlineStr">
        <is>
          <t>Filled</t>
        </is>
      </c>
      <c r="N101" t="inlineStr">
        <is>
          <t>57640.00 2026</t>
        </is>
      </c>
      <c r="O101" t="n">
        <v>0</v>
      </c>
      <c r="P101" t="inlineStr">
        <is>
          <t>University adapter</t>
        </is>
      </c>
      <c r="Q101" t="inlineStr">
        <is>
          <t>Filled</t>
        </is>
      </c>
      <c r="R101" t="n">
        <v>6.5</v>
      </c>
      <c r="S101" t="inlineStr">
        <is>
          <t>Central English policy</t>
        </is>
      </c>
      <c r="T101" t="inlineStr">
        <is>
          <t>Central rule applies (value agrees)</t>
        </is>
      </c>
      <c r="U101" t="inlineStr"/>
      <c r="V101" t="inlineStr">
        <is>
          <t>Not stated on course page</t>
        </is>
      </c>
      <c r="W101" t="inlineStr"/>
      <c r="X101" t="inlineStr"/>
      <c r="Y101" t="n">
        <v>0</v>
      </c>
      <c r="Z101" t="inlineStr">
        <is>
          <t>Yes</t>
        </is>
      </c>
      <c r="AA101" t="inlineStr">
        <is>
          <t>Filled</t>
        </is>
      </c>
      <c r="AB101" t="inlineStr">
        <is>
          <t>on campus</t>
        </is>
      </c>
      <c r="AC101" t="inlineStr"/>
      <c r="AD101" t="n">
        <v>0</v>
      </c>
      <c r="AE101" t="inlineStr"/>
      <c r="AF101" t="inlineStr"/>
      <c r="AG101" t="inlineStr"/>
      <c r="AH101" t="inlineStr"/>
      <c r="AI101" t="inlineStr"/>
      <c r="AJ101" t="inlineStr"/>
      <c r="AK101" t="inlineStr"/>
      <c r="AL101" t="inlineStr"/>
      <c r="AM101" t="inlineStr"/>
    </row>
    <row r="102">
      <c r="A102" t="inlineStr">
        <is>
          <t>077948M</t>
        </is>
      </c>
      <c r="B102" t="inlineStr">
        <is>
          <t>Bachelor of Software Engineering (Honours)</t>
        </is>
      </c>
      <c r="C102" t="inlineStr">
        <is>
          <t>Bachelor Honours Degree</t>
        </is>
      </c>
      <c r="D102" t="inlineStr">
        <is>
          <t>Undergraduate</t>
        </is>
      </c>
      <c r="E102" t="inlineStr">
        <is>
          <t>Advertised: official page in place</t>
        </is>
      </c>
      <c r="F102" t="inlineStr">
        <is>
          <t>https://programsandcourses.anu.edu.au/2024/program/aseng</t>
        </is>
      </c>
      <c r="G102" t="inlineStr">
        <is>
          <t>https://programsandcourses.anu.edu.au/2019/program/aseng</t>
        </is>
      </c>
      <c r="H102" t="inlineStr">
        <is>
          <t>Read</t>
        </is>
      </c>
      <c r="I102" t="inlineStr">
        <is>
          <t>CRICOS code on page</t>
        </is>
      </c>
      <c r="J102" t="inlineStr"/>
      <c r="K102" t="inlineStr">
        <is>
          <t>Not sent to re-link</t>
        </is>
      </c>
      <c r="L102" t="inlineStr">
        <is>
          <t>Filled</t>
        </is>
      </c>
      <c r="M102" t="inlineStr">
        <is>
          <t>Filled</t>
        </is>
      </c>
      <c r="N102" t="inlineStr">
        <is>
          <t>45600.00 2026</t>
        </is>
      </c>
      <c r="O102" t="n">
        <v>0</v>
      </c>
      <c r="P102" t="inlineStr">
        <is>
          <t>University adapter</t>
        </is>
      </c>
      <c r="Q102" t="inlineStr">
        <is>
          <t>Filled</t>
        </is>
      </c>
      <c r="R102" t="n">
        <v>6.5</v>
      </c>
      <c r="S102" t="inlineStr">
        <is>
          <t>Central English policy</t>
        </is>
      </c>
      <c r="T102" t="inlineStr">
        <is>
          <t>Central rule applies (value agrees)</t>
        </is>
      </c>
      <c r="U102" t="inlineStr"/>
      <c r="V102" t="inlineStr">
        <is>
          <t>Value found, being checked</t>
        </is>
      </c>
      <c r="W102" t="inlineStr"/>
      <c r="X102" t="inlineStr"/>
      <c r="Y102" t="n">
        <v>0</v>
      </c>
      <c r="Z102" t="inlineStr">
        <is>
          <t>Yes</t>
        </is>
      </c>
      <c r="AA102" t="inlineStr">
        <is>
          <t>Filled</t>
        </is>
      </c>
      <c r="AB102" t="inlineStr">
        <is>
          <t>on campus</t>
        </is>
      </c>
      <c r="AC102" t="inlineStr"/>
      <c r="AD102" t="n">
        <v>0</v>
      </c>
      <c r="AE102" t="inlineStr"/>
      <c r="AF102" t="inlineStr">
        <is>
          <t>Yes</t>
        </is>
      </c>
      <c r="AG102" t="inlineStr"/>
      <c r="AH102" t="inlineStr"/>
      <c r="AI102" t="inlineStr"/>
      <c r="AJ102" t="inlineStr"/>
      <c r="AK102" t="inlineStr"/>
      <c r="AL102" t="inlineStr"/>
      <c r="AM102" t="inlineStr"/>
    </row>
    <row r="103">
      <c r="A103" t="inlineStr">
        <is>
          <t>061240A</t>
        </is>
      </c>
      <c r="B103" t="inlineStr">
        <is>
          <t>Bachelor of Statistics</t>
        </is>
      </c>
      <c r="C103" t="inlineStr">
        <is>
          <t>Bachelor</t>
        </is>
      </c>
      <c r="D103" t="inlineStr">
        <is>
          <t>Undergraduate</t>
        </is>
      </c>
      <c r="E103" t="inlineStr">
        <is>
          <t>Advertised: official page in place</t>
        </is>
      </c>
      <c r="F103" t="inlineStr">
        <is>
          <t>https://programsandcourses.anu.edu.au/program/bstat</t>
        </is>
      </c>
      <c r="G103" t="inlineStr">
        <is>
          <t>https://programsandcourses.anu.edu.au/program/bstat</t>
        </is>
      </c>
      <c r="H103" t="inlineStr">
        <is>
          <t>Read</t>
        </is>
      </c>
      <c r="I103" t="inlineStr">
        <is>
          <t>CRICOS code on page</t>
        </is>
      </c>
      <c r="J103" t="inlineStr"/>
      <c r="K103" t="inlineStr">
        <is>
          <t>Not sent to re-link</t>
        </is>
      </c>
      <c r="L103" t="inlineStr">
        <is>
          <t>Filled</t>
        </is>
      </c>
      <c r="M103" t="inlineStr">
        <is>
          <t>Filled</t>
        </is>
      </c>
      <c r="N103" t="inlineStr">
        <is>
          <t>57640.00 2026</t>
        </is>
      </c>
      <c r="O103" t="n">
        <v>0</v>
      </c>
      <c r="P103" t="inlineStr">
        <is>
          <t>University adapter</t>
        </is>
      </c>
      <c r="Q103" t="inlineStr">
        <is>
          <t>Filled</t>
        </is>
      </c>
      <c r="R103" t="n">
        <v>6.5</v>
      </c>
      <c r="S103" t="inlineStr">
        <is>
          <t>Central English policy</t>
        </is>
      </c>
      <c r="T103" t="inlineStr">
        <is>
          <t>Central rule applies (value agrees)</t>
        </is>
      </c>
      <c r="U103" t="inlineStr"/>
      <c r="V103" t="inlineStr">
        <is>
          <t>Not stated on course page</t>
        </is>
      </c>
      <c r="W103" t="inlineStr"/>
      <c r="X103" t="inlineStr"/>
      <c r="Y103" t="n">
        <v>0</v>
      </c>
      <c r="Z103" t="inlineStr">
        <is>
          <t>Yes</t>
        </is>
      </c>
      <c r="AA103" t="inlineStr">
        <is>
          <t>Filled</t>
        </is>
      </c>
      <c r="AB103" t="inlineStr">
        <is>
          <t>on campus</t>
        </is>
      </c>
      <c r="AC103" t="inlineStr"/>
      <c r="AD103" t="n">
        <v>0</v>
      </c>
      <c r="AE103" t="inlineStr"/>
      <c r="AF103" t="inlineStr"/>
      <c r="AG103" t="inlineStr"/>
      <c r="AH103" t="inlineStr"/>
      <c r="AI103" t="inlineStr"/>
      <c r="AJ103" t="inlineStr"/>
      <c r="AK103" t="inlineStr"/>
      <c r="AL103" t="inlineStr"/>
      <c r="AM103" t="inlineStr"/>
    </row>
    <row r="104">
      <c r="A104" t="inlineStr">
        <is>
          <t>070156M</t>
        </is>
      </c>
      <c r="B104" t="inlineStr">
        <is>
          <t>Bachelor of Statistics Honours</t>
        </is>
      </c>
      <c r="C104" t="inlineStr">
        <is>
          <t>Bachelor Honours Degree</t>
        </is>
      </c>
      <c r="D104" t="inlineStr">
        <is>
          <t>Undergraduate</t>
        </is>
      </c>
      <c r="E104" t="inlineStr">
        <is>
          <t>Advertised: official page in place</t>
        </is>
      </c>
      <c r="F104" t="inlineStr">
        <is>
          <t>https://programsandcourses.anu.edu.au/program/hstat</t>
        </is>
      </c>
      <c r="G104" t="inlineStr">
        <is>
          <t>https://programsandcourses.anu.edu.au/program/hstat</t>
        </is>
      </c>
      <c r="H104" t="inlineStr">
        <is>
          <t>Read</t>
        </is>
      </c>
      <c r="I104" t="inlineStr">
        <is>
          <t>CRICOS code on page</t>
        </is>
      </c>
      <c r="J104" t="inlineStr"/>
      <c r="K104" t="inlineStr">
        <is>
          <t>Not sent to re-link</t>
        </is>
      </c>
      <c r="L104" t="inlineStr">
        <is>
          <t>Filled</t>
        </is>
      </c>
      <c r="M104" t="inlineStr">
        <is>
          <t>Filled</t>
        </is>
      </c>
      <c r="N104" t="inlineStr">
        <is>
          <t>57640.00 2026</t>
        </is>
      </c>
      <c r="O104" t="n">
        <v>0</v>
      </c>
      <c r="P104" t="inlineStr">
        <is>
          <t>University adapter</t>
        </is>
      </c>
      <c r="Q104" t="inlineStr">
        <is>
          <t>Filled</t>
        </is>
      </c>
      <c r="R104" t="n">
        <v>6.5</v>
      </c>
      <c r="S104" t="inlineStr">
        <is>
          <t>Central English policy</t>
        </is>
      </c>
      <c r="T104" t="inlineStr">
        <is>
          <t>Central rule applies (value agrees)</t>
        </is>
      </c>
      <c r="U104" t="inlineStr"/>
      <c r="V104" t="inlineStr">
        <is>
          <t>Filled</t>
        </is>
      </c>
      <c r="W104" t="inlineStr">
        <is>
          <t>February, July</t>
        </is>
      </c>
      <c r="X104" t="inlineStr">
        <is>
          <t>Page reader</t>
        </is>
      </c>
      <c r="Y104" t="n">
        <v>0</v>
      </c>
      <c r="Z104" t="inlineStr">
        <is>
          <t>Yes</t>
        </is>
      </c>
      <c r="AA104" t="inlineStr">
        <is>
          <t>Filled</t>
        </is>
      </c>
      <c r="AB104" t="inlineStr">
        <is>
          <t>on campus</t>
        </is>
      </c>
      <c r="AC104" t="inlineStr"/>
      <c r="AD104" t="n">
        <v>0</v>
      </c>
      <c r="AE104" t="inlineStr"/>
      <c r="AF104" t="inlineStr"/>
      <c r="AG104" t="inlineStr"/>
      <c r="AH104" t="inlineStr"/>
      <c r="AI104" t="inlineStr"/>
      <c r="AJ104" t="inlineStr"/>
      <c r="AK104" t="inlineStr"/>
      <c r="AL104" t="inlineStr"/>
      <c r="AM104" t="inlineStr"/>
    </row>
    <row r="105">
      <c r="A105" t="inlineStr">
        <is>
          <t>073991G</t>
        </is>
      </c>
      <c r="B105" t="inlineStr">
        <is>
          <t>Bachelor of Visual Arts</t>
        </is>
      </c>
      <c r="C105" t="inlineStr">
        <is>
          <t>Bachelor</t>
        </is>
      </c>
      <c r="D105" t="inlineStr">
        <is>
          <t>Undergraduate</t>
        </is>
      </c>
      <c r="E105" t="inlineStr">
        <is>
          <t>Advertised: official page in place</t>
        </is>
      </c>
      <c r="F105" t="inlineStr">
        <is>
          <t>https://programsandcourses.anu.edu.au/program/bvart</t>
        </is>
      </c>
      <c r="G105" t="inlineStr">
        <is>
          <t>https://programsandcourses.anu.edu.au/program/bvart</t>
        </is>
      </c>
      <c r="H105" t="inlineStr">
        <is>
          <t>Read</t>
        </is>
      </c>
      <c r="I105" t="inlineStr">
        <is>
          <t>CRICOS code on page</t>
        </is>
      </c>
      <c r="J105" t="inlineStr"/>
      <c r="K105" t="inlineStr">
        <is>
          <t>Not sent to re-link</t>
        </is>
      </c>
      <c r="L105" t="inlineStr">
        <is>
          <t>Filled</t>
        </is>
      </c>
      <c r="M105" t="inlineStr">
        <is>
          <t>Filled</t>
        </is>
      </c>
      <c r="N105" t="inlineStr">
        <is>
          <t>47940.00 2026</t>
        </is>
      </c>
      <c r="O105" t="n">
        <v>0</v>
      </c>
      <c r="P105" t="inlineStr">
        <is>
          <t>University adapter</t>
        </is>
      </c>
      <c r="Q105" t="inlineStr">
        <is>
          <t>Filled</t>
        </is>
      </c>
      <c r="R105" t="n">
        <v>6.5</v>
      </c>
      <c r="S105" t="inlineStr">
        <is>
          <t>Central English policy</t>
        </is>
      </c>
      <c r="T105" t="inlineStr">
        <is>
          <t>Central rule applies (value agrees)</t>
        </is>
      </c>
      <c r="U105" t="inlineStr"/>
      <c r="V105" t="inlineStr">
        <is>
          <t>Not stated on course page</t>
        </is>
      </c>
      <c r="W105" t="inlineStr"/>
      <c r="X105" t="inlineStr"/>
      <c r="Y105" t="n">
        <v>0</v>
      </c>
      <c r="Z105" t="inlineStr">
        <is>
          <t>Yes</t>
        </is>
      </c>
      <c r="AA105" t="inlineStr">
        <is>
          <t>Filled</t>
        </is>
      </c>
      <c r="AB105" t="inlineStr">
        <is>
          <t>on campus</t>
        </is>
      </c>
      <c r="AC105" t="inlineStr"/>
      <c r="AD105" t="n">
        <v>0</v>
      </c>
      <c r="AE105" t="inlineStr"/>
      <c r="AF105" t="inlineStr"/>
      <c r="AG105" t="inlineStr"/>
      <c r="AH105" t="inlineStr"/>
      <c r="AI105" t="inlineStr"/>
      <c r="AJ105" t="inlineStr"/>
      <c r="AK105" t="inlineStr"/>
      <c r="AL105" t="inlineStr"/>
      <c r="AM105" t="inlineStr"/>
    </row>
    <row r="106">
      <c r="A106" t="inlineStr">
        <is>
          <t>071656E</t>
        </is>
      </c>
      <c r="B106" t="inlineStr">
        <is>
          <t>Bachelor of Visual Arts (Honours)</t>
        </is>
      </c>
      <c r="C106" t="inlineStr">
        <is>
          <t>Bachelor Honours Degree</t>
        </is>
      </c>
      <c r="D106" t="inlineStr">
        <is>
          <t>Undergraduate</t>
        </is>
      </c>
      <c r="E106" t="inlineStr">
        <is>
          <t>Advertised: official page in place</t>
        </is>
      </c>
      <c r="F106" t="inlineStr">
        <is>
          <t>https://programsandcourses.anu.edu.au/2022/program/hvart</t>
        </is>
      </c>
      <c r="G106" t="inlineStr">
        <is>
          <t>https://programsandcourses.anu.edu.au/program/hvart</t>
        </is>
      </c>
      <c r="H106" t="inlineStr">
        <is>
          <t>Read</t>
        </is>
      </c>
      <c r="I106" t="inlineStr">
        <is>
          <t>CRICOS code on page</t>
        </is>
      </c>
      <c r="J106" t="inlineStr"/>
      <c r="K106" t="inlineStr">
        <is>
          <t>Not sent to re-link</t>
        </is>
      </c>
      <c r="L106" t="inlineStr">
        <is>
          <t>Filled</t>
        </is>
      </c>
      <c r="M106" t="inlineStr">
        <is>
          <t>Filled</t>
        </is>
      </c>
      <c r="N106" t="inlineStr">
        <is>
          <t>47940.00 2026</t>
        </is>
      </c>
      <c r="O106" t="n">
        <v>0</v>
      </c>
      <c r="P106" t="inlineStr">
        <is>
          <t>University adapter</t>
        </is>
      </c>
      <c r="Q106" t="inlineStr">
        <is>
          <t>Filled</t>
        </is>
      </c>
      <c r="R106" t="n">
        <v>6.5</v>
      </c>
      <c r="S106" t="inlineStr">
        <is>
          <t>Central English policy</t>
        </is>
      </c>
      <c r="T106" t="inlineStr">
        <is>
          <t>Central rule applies (value agrees)</t>
        </is>
      </c>
      <c r="U106" t="inlineStr"/>
      <c r="V106" t="inlineStr">
        <is>
          <t>Not stated on course page</t>
        </is>
      </c>
      <c r="W106" t="inlineStr"/>
      <c r="X106" t="inlineStr"/>
      <c r="Y106" t="n">
        <v>0</v>
      </c>
      <c r="Z106" t="inlineStr">
        <is>
          <t>Yes</t>
        </is>
      </c>
      <c r="AA106" t="inlineStr">
        <is>
          <t>Filled</t>
        </is>
      </c>
      <c r="AB106" t="inlineStr">
        <is>
          <t>on campus</t>
        </is>
      </c>
      <c r="AC106" t="inlineStr"/>
      <c r="AD106" t="n">
        <v>0</v>
      </c>
      <c r="AE106" t="inlineStr"/>
      <c r="AF106" t="inlineStr"/>
      <c r="AG106" t="inlineStr"/>
      <c r="AH106" t="inlineStr"/>
      <c r="AI106" t="inlineStr"/>
      <c r="AJ106" t="inlineStr"/>
      <c r="AK106" t="inlineStr"/>
      <c r="AL106" t="inlineStr"/>
      <c r="AM106" t="inlineStr"/>
    </row>
    <row r="107">
      <c r="A107" t="inlineStr">
        <is>
          <t>121405F</t>
        </is>
      </c>
      <c r="B107" t="inlineStr">
        <is>
          <t>Diploma of Business and Economics</t>
        </is>
      </c>
      <c r="C107" t="inlineStr">
        <is>
          <t>Diploma</t>
        </is>
      </c>
      <c r="D107" t="inlineStr">
        <is>
          <t>Diploma</t>
        </is>
      </c>
      <c r="E107" t="inlineStr">
        <is>
          <t>Advertised: official page in place</t>
        </is>
      </c>
      <c r="F107" t="inlineStr">
        <is>
          <t>https://programsandcourses.anu.edu.au/2027/program/EBUEC</t>
        </is>
      </c>
      <c r="G107" t="inlineStr">
        <is>
          <t>https://programsandcourses.anu.edu.au/2027/program/EBUEC</t>
        </is>
      </c>
      <c r="H107" t="inlineStr">
        <is>
          <t>Read</t>
        </is>
      </c>
      <c r="I107" t="inlineStr">
        <is>
          <t>CRICOS code on page</t>
        </is>
      </c>
      <c r="J107" t="inlineStr"/>
      <c r="K107" t="inlineStr">
        <is>
          <t>Not sent to re-link</t>
        </is>
      </c>
      <c r="L107" t="inlineStr">
        <is>
          <t>Filled</t>
        </is>
      </c>
      <c r="M107" t="inlineStr">
        <is>
          <t>Filled</t>
        </is>
      </c>
      <c r="N107" t="inlineStr">
        <is>
          <t>57640.00 2026</t>
        </is>
      </c>
      <c r="O107" t="n">
        <v>0</v>
      </c>
      <c r="P107" t="inlineStr">
        <is>
          <t>University adapter</t>
        </is>
      </c>
      <c r="Q107" t="inlineStr">
        <is>
          <t>Not stated on course page</t>
        </is>
      </c>
      <c r="S107" t="inlineStr"/>
      <c r="T107" t="inlineStr">
        <is>
          <t>Held: level not covered by the policy default</t>
        </is>
      </c>
      <c r="U107" t="inlineStr"/>
      <c r="V107" t="inlineStr">
        <is>
          <t>Not stated on course page</t>
        </is>
      </c>
      <c r="W107" t="inlineStr"/>
      <c r="X107" t="inlineStr"/>
      <c r="Y107" t="n">
        <v>0</v>
      </c>
      <c r="Z107" t="inlineStr">
        <is>
          <t>Yes</t>
        </is>
      </c>
      <c r="AA107" t="inlineStr">
        <is>
          <t>Filled</t>
        </is>
      </c>
      <c r="AB107" t="inlineStr">
        <is>
          <t>on campus</t>
        </is>
      </c>
      <c r="AC107" t="inlineStr"/>
      <c r="AD107" t="n">
        <v>0</v>
      </c>
      <c r="AE107" t="inlineStr"/>
      <c r="AF107" t="inlineStr"/>
      <c r="AG107" t="inlineStr"/>
      <c r="AH107" t="inlineStr"/>
      <c r="AI107" t="inlineStr"/>
      <c r="AJ107" t="inlineStr">
        <is>
          <t>Yes</t>
        </is>
      </c>
      <c r="AK107" t="inlineStr"/>
      <c r="AL107" t="inlineStr"/>
      <c r="AM107" t="inlineStr"/>
    </row>
    <row r="108">
      <c r="A108" t="inlineStr">
        <is>
          <t>084573A</t>
        </is>
      </c>
      <c r="B108" t="inlineStr">
        <is>
          <t>Diploma of Computing</t>
        </is>
      </c>
      <c r="C108" t="inlineStr">
        <is>
          <t>Diploma</t>
        </is>
      </c>
      <c r="D108" t="inlineStr">
        <is>
          <t>Diploma</t>
        </is>
      </c>
      <c r="E108" t="inlineStr">
        <is>
          <t>Advertised: official page in place</t>
        </is>
      </c>
      <c r="F108" t="inlineStr">
        <is>
          <t>https://programsandcourses.anu.edu.au/2015/program/ECOMP</t>
        </is>
      </c>
      <c r="G108" t="inlineStr">
        <is>
          <t>https://programsandcourses.anu.edu.au/2020/program/ecomp</t>
        </is>
      </c>
      <c r="H108" t="inlineStr">
        <is>
          <t>Read</t>
        </is>
      </c>
      <c r="I108" t="inlineStr">
        <is>
          <t>CRICOS code on page</t>
        </is>
      </c>
      <c r="J108" t="inlineStr"/>
      <c r="K108" t="inlineStr">
        <is>
          <t>Not sent to re-link</t>
        </is>
      </c>
      <c r="L108" t="inlineStr">
        <is>
          <t>Filled</t>
        </is>
      </c>
      <c r="M108" t="inlineStr">
        <is>
          <t>Filled</t>
        </is>
      </c>
      <c r="N108" t="inlineStr">
        <is>
          <t>42000.00 2026</t>
        </is>
      </c>
      <c r="O108" t="n">
        <v>0</v>
      </c>
      <c r="P108" t="inlineStr">
        <is>
          <t>University adapter</t>
        </is>
      </c>
      <c r="Q108" t="inlineStr">
        <is>
          <t>Not stated on course page</t>
        </is>
      </c>
      <c r="S108" t="inlineStr"/>
      <c r="T108" t="inlineStr">
        <is>
          <t>Held: level not covered by the policy default</t>
        </is>
      </c>
      <c r="U108" t="inlineStr"/>
      <c r="V108" t="inlineStr">
        <is>
          <t>Not stated on course page</t>
        </is>
      </c>
      <c r="W108" t="inlineStr"/>
      <c r="X108" t="inlineStr"/>
      <c r="Y108" t="n">
        <v>0</v>
      </c>
      <c r="Z108" t="inlineStr">
        <is>
          <t>Yes</t>
        </is>
      </c>
      <c r="AA108" t="inlineStr">
        <is>
          <t>Filled</t>
        </is>
      </c>
      <c r="AB108" t="inlineStr">
        <is>
          <t>on campus</t>
        </is>
      </c>
      <c r="AC108" t="inlineStr"/>
      <c r="AD108" t="n">
        <v>0</v>
      </c>
      <c r="AE108" t="inlineStr"/>
      <c r="AF108" t="inlineStr"/>
      <c r="AG108" t="inlineStr"/>
      <c r="AH108" t="inlineStr"/>
      <c r="AI108" t="inlineStr"/>
      <c r="AJ108" t="inlineStr">
        <is>
          <t>Yes</t>
        </is>
      </c>
      <c r="AK108" t="inlineStr"/>
      <c r="AL108" t="inlineStr"/>
      <c r="AM108" t="inlineStr"/>
    </row>
    <row r="109">
      <c r="A109" t="inlineStr">
        <is>
          <t>121404G</t>
        </is>
      </c>
      <c r="B109" t="inlineStr">
        <is>
          <t>Diploma of Computing</t>
        </is>
      </c>
      <c r="C109" t="inlineStr">
        <is>
          <t>Diploma</t>
        </is>
      </c>
      <c r="D109" t="inlineStr">
        <is>
          <t>Diploma</t>
        </is>
      </c>
      <c r="E109" t="inlineStr">
        <is>
          <t>Advertised: official page in place</t>
        </is>
      </c>
      <c r="F109" t="inlineStr">
        <is>
          <t>https://programsandcourses.anu.edu.au/2020/program/ecomp</t>
        </is>
      </c>
      <c r="G109" t="inlineStr">
        <is>
          <t>https://programsandcourses.anu.edu.au/2020/program/ecomp</t>
        </is>
      </c>
      <c r="H109" t="inlineStr">
        <is>
          <t>Read</t>
        </is>
      </c>
      <c r="I109" t="inlineStr">
        <is>
          <t>Exact title match</t>
        </is>
      </c>
      <c r="J109" t="inlineStr"/>
      <c r="K109" t="inlineStr">
        <is>
          <t>Not sent to re-link</t>
        </is>
      </c>
      <c r="L109" t="inlineStr">
        <is>
          <t>Filled</t>
        </is>
      </c>
      <c r="M109" t="inlineStr">
        <is>
          <t>Filled</t>
        </is>
      </c>
      <c r="N109" t="inlineStr">
        <is>
          <t>42000.00 2026</t>
        </is>
      </c>
      <c r="O109" t="n">
        <v>0</v>
      </c>
      <c r="P109" t="inlineStr">
        <is>
          <t>University adapter</t>
        </is>
      </c>
      <c r="Q109" t="inlineStr">
        <is>
          <t>Not stated on course page</t>
        </is>
      </c>
      <c r="S109" t="inlineStr"/>
      <c r="T109" t="inlineStr">
        <is>
          <t>Held: level not covered by the policy default</t>
        </is>
      </c>
      <c r="U109" t="inlineStr"/>
      <c r="V109" t="inlineStr">
        <is>
          <t>Not stated on course page</t>
        </is>
      </c>
      <c r="W109" t="inlineStr"/>
      <c r="X109" t="inlineStr"/>
      <c r="Y109" t="n">
        <v>0</v>
      </c>
      <c r="Z109" t="inlineStr">
        <is>
          <t>Yes</t>
        </is>
      </c>
      <c r="AA109" t="inlineStr">
        <is>
          <t>Filled</t>
        </is>
      </c>
      <c r="AB109" t="inlineStr">
        <is>
          <t>on campus</t>
        </is>
      </c>
      <c r="AC109" t="inlineStr"/>
      <c r="AD109" t="n">
        <v>0</v>
      </c>
      <c r="AE109" t="inlineStr"/>
      <c r="AF109" t="inlineStr"/>
      <c r="AG109" t="inlineStr"/>
      <c r="AH109" t="inlineStr"/>
      <c r="AI109" t="inlineStr"/>
      <c r="AJ109" t="inlineStr">
        <is>
          <t>Yes</t>
        </is>
      </c>
      <c r="AK109" t="inlineStr"/>
      <c r="AL109" t="inlineStr"/>
      <c r="AM109" t="inlineStr"/>
    </row>
    <row r="110">
      <c r="A110" t="inlineStr">
        <is>
          <t>085933G</t>
        </is>
      </c>
      <c r="B110" t="inlineStr">
        <is>
          <t>Diploma of Liberal Studies</t>
        </is>
      </c>
      <c r="C110" t="inlineStr">
        <is>
          <t>Diploma</t>
        </is>
      </c>
      <c r="D110" t="inlineStr">
        <is>
          <t>Diploma</t>
        </is>
      </c>
      <c r="E110" t="inlineStr">
        <is>
          <t>Advertised: official page in place</t>
        </is>
      </c>
      <c r="F110" t="inlineStr">
        <is>
          <t>https://programsandcourses.anu.edu.au/2015/program/ELIBS</t>
        </is>
      </c>
      <c r="G110" t="inlineStr">
        <is>
          <t>https://programsandcourses.anu.edu.au/2020/program/elibs</t>
        </is>
      </c>
      <c r="H110" t="inlineStr">
        <is>
          <t>Read</t>
        </is>
      </c>
      <c r="I110" t="inlineStr">
        <is>
          <t>CRICOS code on page</t>
        </is>
      </c>
      <c r="J110" t="inlineStr"/>
      <c r="K110" t="inlineStr">
        <is>
          <t>Not sent to re-link</t>
        </is>
      </c>
      <c r="L110" t="inlineStr">
        <is>
          <t>Filled</t>
        </is>
      </c>
      <c r="M110" t="inlineStr">
        <is>
          <t>Filled</t>
        </is>
      </c>
      <c r="N110" t="inlineStr">
        <is>
          <t>42000.00 2026</t>
        </is>
      </c>
      <c r="O110" t="n">
        <v>0</v>
      </c>
      <c r="P110" t="inlineStr">
        <is>
          <t>University adapter</t>
        </is>
      </c>
      <c r="Q110" t="inlineStr">
        <is>
          <t>Not stated on course page</t>
        </is>
      </c>
      <c r="S110" t="inlineStr"/>
      <c r="T110" t="inlineStr">
        <is>
          <t>Held: level not covered by the policy default</t>
        </is>
      </c>
      <c r="U110" t="inlineStr"/>
      <c r="V110" t="inlineStr">
        <is>
          <t>Waiting for AI reading (Layer 3, now retired)</t>
        </is>
      </c>
      <c r="W110" t="inlineStr"/>
      <c r="X110" t="inlineStr"/>
      <c r="Y110" t="n">
        <v>0</v>
      </c>
      <c r="Z110" t="inlineStr">
        <is>
          <t>Yes</t>
        </is>
      </c>
      <c r="AA110" t="inlineStr">
        <is>
          <t>Filled</t>
        </is>
      </c>
      <c r="AB110" t="inlineStr">
        <is>
          <t>on campus</t>
        </is>
      </c>
      <c r="AC110" t="inlineStr"/>
      <c r="AD110" t="n">
        <v>0</v>
      </c>
      <c r="AE110" t="inlineStr"/>
      <c r="AF110" t="inlineStr"/>
      <c r="AG110" t="inlineStr">
        <is>
          <t>Yes</t>
        </is>
      </c>
      <c r="AH110" t="inlineStr"/>
      <c r="AI110" t="inlineStr"/>
      <c r="AJ110" t="inlineStr">
        <is>
          <t>Yes</t>
        </is>
      </c>
      <c r="AK110" t="inlineStr"/>
      <c r="AL110" t="inlineStr"/>
      <c r="AM110" t="inlineStr"/>
    </row>
    <row r="111">
      <c r="A111" t="inlineStr">
        <is>
          <t>121406E</t>
        </is>
      </c>
      <c r="B111" t="inlineStr">
        <is>
          <t>Diploma of Politics and International Relations</t>
        </is>
      </c>
      <c r="C111" t="inlineStr">
        <is>
          <t>Diploma</t>
        </is>
      </c>
      <c r="D111" t="inlineStr">
        <is>
          <t>Diploma</t>
        </is>
      </c>
      <c r="E111" t="inlineStr">
        <is>
          <t>Advertised: official page in place</t>
        </is>
      </c>
      <c r="F111" t="inlineStr">
        <is>
          <t>https://programsandcourses.anu.edu.au/2027/program/EPLIR</t>
        </is>
      </c>
      <c r="G111" t="inlineStr">
        <is>
          <t>https://programsandcourses.anu.edu.au/2027/program/EPLIR</t>
        </is>
      </c>
      <c r="H111" t="inlineStr">
        <is>
          <t>Read</t>
        </is>
      </c>
      <c r="I111" t="inlineStr">
        <is>
          <t>CRICOS code on page</t>
        </is>
      </c>
      <c r="J111" t="inlineStr"/>
      <c r="K111" t="inlineStr">
        <is>
          <t>Not sent to re-link</t>
        </is>
      </c>
      <c r="L111" t="inlineStr">
        <is>
          <t>Filled</t>
        </is>
      </c>
      <c r="M111" t="inlineStr">
        <is>
          <t>Filled</t>
        </is>
      </c>
      <c r="N111" t="inlineStr">
        <is>
          <t>57640.00 2026</t>
        </is>
      </c>
      <c r="O111" t="n">
        <v>0</v>
      </c>
      <c r="P111" t="inlineStr">
        <is>
          <t>University adapter</t>
        </is>
      </c>
      <c r="Q111" t="inlineStr">
        <is>
          <t>Not stated on course page</t>
        </is>
      </c>
      <c r="S111" t="inlineStr"/>
      <c r="T111" t="inlineStr">
        <is>
          <t>Held: level not covered by the policy default</t>
        </is>
      </c>
      <c r="U111" t="inlineStr"/>
      <c r="V111" t="inlineStr">
        <is>
          <t>Waiting for Layer 4 review</t>
        </is>
      </c>
      <c r="W111" t="inlineStr"/>
      <c r="X111" t="inlineStr"/>
      <c r="Y111" t="n">
        <v>0</v>
      </c>
      <c r="Z111" t="inlineStr">
        <is>
          <t>Yes</t>
        </is>
      </c>
      <c r="AA111" t="inlineStr">
        <is>
          <t>Filled</t>
        </is>
      </c>
      <c r="AB111" t="inlineStr">
        <is>
          <t>on campus</t>
        </is>
      </c>
      <c r="AC111" t="inlineStr"/>
      <c r="AD111" t="n">
        <v>0</v>
      </c>
      <c r="AE111" t="inlineStr"/>
      <c r="AF111" t="inlineStr">
        <is>
          <t>Yes</t>
        </is>
      </c>
      <c r="AG111" t="inlineStr"/>
      <c r="AH111" t="inlineStr"/>
      <c r="AI111" t="inlineStr"/>
      <c r="AJ111" t="inlineStr">
        <is>
          <t>Yes</t>
        </is>
      </c>
      <c r="AK111" t="inlineStr"/>
      <c r="AL111" t="inlineStr"/>
      <c r="AM111" t="inlineStr"/>
    </row>
    <row r="112">
      <c r="A112" t="inlineStr">
        <is>
          <t>077442D</t>
        </is>
      </c>
      <c r="B112" t="inlineStr">
        <is>
          <t>Doctor of Medicine and Surgery</t>
        </is>
      </c>
      <c r="C112" t="inlineStr">
        <is>
          <t>Masters Degree (Coursework)</t>
        </is>
      </c>
      <c r="D112" t="inlineStr">
        <is>
          <t>Postgraduate coursework</t>
        </is>
      </c>
      <c r="E112" t="inlineStr">
        <is>
          <t>Advertised: official page in place</t>
        </is>
      </c>
      <c r="F112" t="inlineStr">
        <is>
          <t>https://programsandcourses.anu.edu.au/program/8950xmchd</t>
        </is>
      </c>
      <c r="G112" t="inlineStr">
        <is>
          <t>https://programsandcourses.anu.edu.au/program/8950xmchd</t>
        </is>
      </c>
      <c r="H112" t="inlineStr">
        <is>
          <t>Read</t>
        </is>
      </c>
      <c r="I112" t="inlineStr">
        <is>
          <t>CRICOS code on page</t>
        </is>
      </c>
      <c r="J112" t="inlineStr"/>
      <c r="K112" t="inlineStr">
        <is>
          <t>Not sent to re-link</t>
        </is>
      </c>
      <c r="L112" t="inlineStr">
        <is>
          <t>Filled</t>
        </is>
      </c>
      <c r="M112" t="inlineStr">
        <is>
          <t>Filled</t>
        </is>
      </c>
      <c r="N112" t="inlineStr">
        <is>
          <t>102340.00 2026</t>
        </is>
      </c>
      <c r="O112" t="n">
        <v>0</v>
      </c>
      <c r="P112" t="inlineStr">
        <is>
          <t>University adapter</t>
        </is>
      </c>
      <c r="Q112" t="inlineStr">
        <is>
          <t>Filled</t>
        </is>
      </c>
      <c r="R112" t="n">
        <v>7</v>
      </c>
      <c r="S112" t="inlineStr">
        <is>
          <t>Central English policy</t>
        </is>
      </c>
      <c r="T112" t="inlineStr">
        <is>
          <t>Central rule applies (value agrees)</t>
        </is>
      </c>
      <c r="U112" t="inlineStr"/>
      <c r="V112" t="inlineStr">
        <is>
          <t>Not stated on course page</t>
        </is>
      </c>
      <c r="W112" t="inlineStr"/>
      <c r="X112" t="inlineStr"/>
      <c r="Y112" t="n">
        <v>0</v>
      </c>
      <c r="Z112" t="inlineStr">
        <is>
          <t>No</t>
        </is>
      </c>
      <c r="AA112" t="inlineStr">
        <is>
          <t>Filled</t>
        </is>
      </c>
      <c r="AB112" t="inlineStr">
        <is>
          <t>on campus</t>
        </is>
      </c>
      <c r="AC112" t="inlineStr"/>
      <c r="AD112" t="n">
        <v>0</v>
      </c>
      <c r="AE112" t="inlineStr"/>
      <c r="AF112" t="inlineStr"/>
      <c r="AG112" t="inlineStr"/>
      <c r="AH112" t="inlineStr"/>
      <c r="AI112" t="inlineStr"/>
      <c r="AJ112" t="inlineStr"/>
      <c r="AK112" t="inlineStr"/>
      <c r="AL112" t="inlineStr"/>
      <c r="AM112" t="inlineStr"/>
    </row>
    <row r="113">
      <c r="A113" t="inlineStr">
        <is>
          <t>048345A</t>
        </is>
      </c>
      <c r="B113" t="inlineStr">
        <is>
          <t>Doctor of Philosophy (Business and Economics)</t>
        </is>
      </c>
      <c r="C113" t="inlineStr">
        <is>
          <t>Doctorate / PhD</t>
        </is>
      </c>
      <c r="D113" t="inlineStr">
        <is>
          <t>Research degree</t>
        </is>
      </c>
      <c r="E113" t="inlineStr">
        <is>
          <t>Advertised: official page in place</t>
        </is>
      </c>
      <c r="F113" t="inlineStr">
        <is>
          <t>https://programsandcourses.anu.edu.au/program/9040xphd</t>
        </is>
      </c>
      <c r="G113" t="inlineStr">
        <is>
          <t>https://programsandcourses.anu.edu.au/program/9040xphd</t>
        </is>
      </c>
      <c r="H113" t="inlineStr">
        <is>
          <t>Read</t>
        </is>
      </c>
      <c r="I113" t="inlineStr">
        <is>
          <t>CRICOS code on page</t>
        </is>
      </c>
      <c r="J113" t="inlineStr"/>
      <c r="K113" t="inlineStr">
        <is>
          <t>Not sent to re-link</t>
        </is>
      </c>
      <c r="L113" t="inlineStr">
        <is>
          <t>Filled</t>
        </is>
      </c>
      <c r="M113" t="inlineStr">
        <is>
          <t>Filled</t>
        </is>
      </c>
      <c r="N113" t="inlineStr">
        <is>
          <t>55765.00 2026</t>
        </is>
      </c>
      <c r="O113" t="n">
        <v>0</v>
      </c>
      <c r="P113" t="inlineStr">
        <is>
          <t>University adapter</t>
        </is>
      </c>
      <c r="Q113" t="inlineStr">
        <is>
          <t>Filled</t>
        </is>
      </c>
      <c r="R113" t="n">
        <v>6.5</v>
      </c>
      <c r="S113" t="inlineStr">
        <is>
          <t>Central English policy</t>
        </is>
      </c>
      <c r="T113" t="inlineStr">
        <is>
          <t>Central rule applies (value agrees)</t>
        </is>
      </c>
      <c r="U113" t="inlineStr"/>
      <c r="V113" t="inlineStr">
        <is>
          <t>Filled</t>
        </is>
      </c>
      <c r="W113" t="inlineStr">
        <is>
          <t>February, July</t>
        </is>
      </c>
      <c r="X113" t="inlineStr">
        <is>
          <t>Page reader</t>
        </is>
      </c>
      <c r="Y113" t="n">
        <v>0</v>
      </c>
      <c r="Z113" t="inlineStr">
        <is>
          <t>No</t>
        </is>
      </c>
      <c r="AA113" t="inlineStr">
        <is>
          <t>Filled</t>
        </is>
      </c>
      <c r="AB113" t="inlineStr">
        <is>
          <t>on campus</t>
        </is>
      </c>
      <c r="AC113" t="inlineStr"/>
      <c r="AD113" t="n">
        <v>0</v>
      </c>
      <c r="AE113" t="inlineStr"/>
      <c r="AF113" t="inlineStr"/>
      <c r="AG113" t="inlineStr"/>
      <c r="AH113" t="inlineStr"/>
      <c r="AI113" t="inlineStr"/>
      <c r="AJ113" t="inlineStr"/>
      <c r="AK113" t="inlineStr"/>
      <c r="AL113" t="inlineStr"/>
      <c r="AM113" t="inlineStr"/>
    </row>
    <row r="114">
      <c r="A114" t="inlineStr">
        <is>
          <t>048380J</t>
        </is>
      </c>
      <c r="B114" t="inlineStr">
        <is>
          <t>Doctor of Philosophy (John Curtin School of Medical Research)</t>
        </is>
      </c>
      <c r="C114" t="inlineStr">
        <is>
          <t>Doctorate / PhD</t>
        </is>
      </c>
      <c r="D114" t="inlineStr">
        <is>
          <t>Research degree</t>
        </is>
      </c>
      <c r="E114" t="inlineStr">
        <is>
          <t>Advertised: official page in place</t>
        </is>
      </c>
      <c r="F114" t="inlineStr">
        <is>
          <t>https://programsandcourses.anu.edu.au/program/9710xphd</t>
        </is>
      </c>
      <c r="G114" t="inlineStr">
        <is>
          <t>https://programsandcourses.anu.edu.au/program/9710xphd</t>
        </is>
      </c>
      <c r="H114" t="inlineStr">
        <is>
          <t>Read</t>
        </is>
      </c>
      <c r="I114" t="inlineStr">
        <is>
          <t>CRICOS code on page</t>
        </is>
      </c>
      <c r="J114" t="inlineStr"/>
      <c r="K114" t="inlineStr">
        <is>
          <t>Not sent to re-link</t>
        </is>
      </c>
      <c r="L114" t="inlineStr">
        <is>
          <t>Filled</t>
        </is>
      </c>
      <c r="M114" t="inlineStr">
        <is>
          <t>Filled</t>
        </is>
      </c>
      <c r="N114" t="inlineStr">
        <is>
          <t>65560.00 2026</t>
        </is>
      </c>
      <c r="O114" t="n">
        <v>0</v>
      </c>
      <c r="P114" t="inlineStr">
        <is>
          <t>University adapter</t>
        </is>
      </c>
      <c r="Q114" t="inlineStr">
        <is>
          <t>Filled</t>
        </is>
      </c>
      <c r="R114" t="n">
        <v>6.5</v>
      </c>
      <c r="S114" t="inlineStr">
        <is>
          <t>Central English policy</t>
        </is>
      </c>
      <c r="T114" t="inlineStr">
        <is>
          <t>Central rule applies (value agrees)</t>
        </is>
      </c>
      <c r="U114" t="inlineStr"/>
      <c r="V114" t="inlineStr">
        <is>
          <t>Not stated on course page</t>
        </is>
      </c>
      <c r="W114" t="inlineStr"/>
      <c r="X114" t="inlineStr"/>
      <c r="Y114" t="n">
        <v>0</v>
      </c>
      <c r="Z114" t="inlineStr">
        <is>
          <t>No</t>
        </is>
      </c>
      <c r="AA114" t="inlineStr">
        <is>
          <t>Filled</t>
        </is>
      </c>
      <c r="AB114" t="inlineStr">
        <is>
          <t>on campus</t>
        </is>
      </c>
      <c r="AC114" t="inlineStr"/>
      <c r="AD114" t="n">
        <v>0</v>
      </c>
      <c r="AE114" t="inlineStr"/>
      <c r="AF114" t="inlineStr"/>
      <c r="AG114" t="inlineStr"/>
      <c r="AH114" t="inlineStr"/>
      <c r="AI114" t="inlineStr"/>
      <c r="AJ114" t="inlineStr"/>
      <c r="AK114" t="inlineStr"/>
      <c r="AL114" t="inlineStr"/>
      <c r="AM114" t="inlineStr"/>
    </row>
    <row r="115">
      <c r="A115" t="inlineStr">
        <is>
          <t>048355K</t>
        </is>
      </c>
      <c r="B115" t="inlineStr">
        <is>
          <t>Doctor of Philosophy (Law)</t>
        </is>
      </c>
      <c r="C115" t="inlineStr">
        <is>
          <t>Doctorate / PhD</t>
        </is>
      </c>
      <c r="D115" t="inlineStr">
        <is>
          <t>Research degree</t>
        </is>
      </c>
      <c r="E115" t="inlineStr">
        <is>
          <t>Advertised: official page in place</t>
        </is>
      </c>
      <c r="F115" t="inlineStr">
        <is>
          <t>https://programsandcourses.anu.edu.au/program/9030xphd</t>
        </is>
      </c>
      <c r="G115" t="inlineStr">
        <is>
          <t>https://programsandcourses.anu.edu.au/program/9030xphd</t>
        </is>
      </c>
      <c r="H115" t="inlineStr">
        <is>
          <t>Read</t>
        </is>
      </c>
      <c r="I115" t="inlineStr">
        <is>
          <t>CRICOS code on page</t>
        </is>
      </c>
      <c r="J115" t="inlineStr"/>
      <c r="K115" t="inlineStr">
        <is>
          <t>Not sent to re-link</t>
        </is>
      </c>
      <c r="L115" t="inlineStr">
        <is>
          <t>Filled</t>
        </is>
      </c>
      <c r="M115" t="inlineStr">
        <is>
          <t>Filled</t>
        </is>
      </c>
      <c r="N115" t="inlineStr">
        <is>
          <t>55765.00 2026</t>
        </is>
      </c>
      <c r="O115" t="n">
        <v>0</v>
      </c>
      <c r="P115" t="inlineStr">
        <is>
          <t>University adapter</t>
        </is>
      </c>
      <c r="Q115" t="inlineStr">
        <is>
          <t>Filled</t>
        </is>
      </c>
      <c r="R115" t="n">
        <v>6.5</v>
      </c>
      <c r="S115" t="inlineStr">
        <is>
          <t>Central English policy</t>
        </is>
      </c>
      <c r="T115" t="inlineStr">
        <is>
          <t>Central rule applies (value agrees)</t>
        </is>
      </c>
      <c r="U115" t="inlineStr"/>
      <c r="V115" t="inlineStr">
        <is>
          <t>Not stated on course page</t>
        </is>
      </c>
      <c r="W115" t="inlineStr"/>
      <c r="X115" t="inlineStr"/>
      <c r="Y115" t="n">
        <v>0</v>
      </c>
      <c r="Z115" t="inlineStr">
        <is>
          <t>No</t>
        </is>
      </c>
      <c r="AA115" t="inlineStr">
        <is>
          <t>Filled</t>
        </is>
      </c>
      <c r="AB115" t="inlineStr">
        <is>
          <t>on campus</t>
        </is>
      </c>
      <c r="AC115" t="inlineStr"/>
      <c r="AD115" t="n">
        <v>0</v>
      </c>
      <c r="AE115" t="inlineStr"/>
      <c r="AF115" t="inlineStr"/>
      <c r="AG115" t="inlineStr"/>
      <c r="AH115" t="inlineStr"/>
      <c r="AI115" t="inlineStr"/>
      <c r="AJ115" t="inlineStr"/>
      <c r="AK115" t="inlineStr"/>
      <c r="AL115" t="inlineStr"/>
      <c r="AM115" t="inlineStr"/>
    </row>
    <row r="116">
      <c r="A116" t="inlineStr">
        <is>
          <t>074012F</t>
        </is>
      </c>
      <c r="B116" t="inlineStr">
        <is>
          <t>Doctor of Philosophy (National Security College)</t>
        </is>
      </c>
      <c r="C116" t="inlineStr">
        <is>
          <t>Doctorate / PhD</t>
        </is>
      </c>
      <c r="D116" t="inlineStr">
        <is>
          <t>Research degree</t>
        </is>
      </c>
      <c r="E116" t="inlineStr">
        <is>
          <t>Advertised: official page in place</t>
        </is>
      </c>
      <c r="F116" t="inlineStr">
        <is>
          <t>https://programsandcourses.anu.edu.au/program/9850xphd</t>
        </is>
      </c>
      <c r="G116" t="inlineStr">
        <is>
          <t>https://programsandcourses.anu.edu.au/program/9850xphd</t>
        </is>
      </c>
      <c r="H116" t="inlineStr">
        <is>
          <t>Read</t>
        </is>
      </c>
      <c r="I116" t="inlineStr">
        <is>
          <t>CRICOS code on page</t>
        </is>
      </c>
      <c r="J116" t="inlineStr"/>
      <c r="K116" t="inlineStr">
        <is>
          <t>Not sent to re-link</t>
        </is>
      </c>
      <c r="L116" t="inlineStr">
        <is>
          <t>Filled</t>
        </is>
      </c>
      <c r="M116" t="inlineStr">
        <is>
          <t>Filled</t>
        </is>
      </c>
      <c r="N116" t="inlineStr">
        <is>
          <t>58925.00 2026</t>
        </is>
      </c>
      <c r="O116" t="n">
        <v>0</v>
      </c>
      <c r="P116" t="inlineStr">
        <is>
          <t>University adapter</t>
        </is>
      </c>
      <c r="Q116" t="inlineStr">
        <is>
          <t>Filled</t>
        </is>
      </c>
      <c r="R116" t="n">
        <v>6.5</v>
      </c>
      <c r="S116" t="inlineStr">
        <is>
          <t>Central English policy</t>
        </is>
      </c>
      <c r="T116" t="inlineStr">
        <is>
          <t>Central rule applies (value agrees)</t>
        </is>
      </c>
      <c r="U116" t="inlineStr"/>
      <c r="V116" t="inlineStr">
        <is>
          <t>Not stated on course page</t>
        </is>
      </c>
      <c r="W116" t="inlineStr"/>
      <c r="X116" t="inlineStr"/>
      <c r="Y116" t="n">
        <v>0</v>
      </c>
      <c r="Z116" t="inlineStr">
        <is>
          <t>No</t>
        </is>
      </c>
      <c r="AA116" t="inlineStr">
        <is>
          <t>Filled</t>
        </is>
      </c>
      <c r="AB116" t="inlineStr">
        <is>
          <t>on campus</t>
        </is>
      </c>
      <c r="AC116" t="inlineStr"/>
      <c r="AD116" t="n">
        <v>0</v>
      </c>
      <c r="AE116" t="inlineStr"/>
      <c r="AF116" t="inlineStr"/>
      <c r="AG116" t="inlineStr"/>
      <c r="AH116" t="inlineStr"/>
      <c r="AI116" t="inlineStr"/>
      <c r="AJ116" t="inlineStr"/>
      <c r="AK116" t="inlineStr"/>
      <c r="AL116" t="inlineStr"/>
      <c r="AM116" t="inlineStr"/>
    </row>
    <row r="117">
      <c r="A117" t="inlineStr">
        <is>
          <t>048378C</t>
        </is>
      </c>
      <c r="B117" t="inlineStr">
        <is>
          <t>Doctor of Philosophy (Research School of Astronomy and Astrophysics)</t>
        </is>
      </c>
      <c r="C117" t="inlineStr">
        <is>
          <t>Doctorate / PhD</t>
        </is>
      </c>
      <c r="D117" t="inlineStr">
        <is>
          <t>Research degree</t>
        </is>
      </c>
      <c r="E117" t="inlineStr">
        <is>
          <t>Advertised: official page in place</t>
        </is>
      </c>
      <c r="F117" t="inlineStr">
        <is>
          <t>https://programsandcourses.anu.edu.au/program/9670xphd</t>
        </is>
      </c>
      <c r="G117" t="inlineStr">
        <is>
          <t>https://programsandcourses.anu.edu.au/program/9670xphd</t>
        </is>
      </c>
      <c r="H117" t="inlineStr">
        <is>
          <t>Read</t>
        </is>
      </c>
      <c r="I117" t="inlineStr">
        <is>
          <t>CRICOS code on page</t>
        </is>
      </c>
      <c r="J117" t="inlineStr"/>
      <c r="K117" t="inlineStr">
        <is>
          <t>Not sent to re-link</t>
        </is>
      </c>
      <c r="L117" t="inlineStr">
        <is>
          <t>Filled</t>
        </is>
      </c>
      <c r="M117" t="inlineStr">
        <is>
          <t>Filled</t>
        </is>
      </c>
      <c r="N117" t="inlineStr">
        <is>
          <t>57640.00 2026</t>
        </is>
      </c>
      <c r="O117" t="n">
        <v>0</v>
      </c>
      <c r="P117" t="inlineStr">
        <is>
          <t>University adapter</t>
        </is>
      </c>
      <c r="Q117" t="inlineStr">
        <is>
          <t>Filled</t>
        </is>
      </c>
      <c r="R117" t="n">
        <v>6.5</v>
      </c>
      <c r="S117" t="inlineStr">
        <is>
          <t>Central English policy</t>
        </is>
      </c>
      <c r="T117" t="inlineStr">
        <is>
          <t>Central rule applies (value agrees)</t>
        </is>
      </c>
      <c r="U117" t="inlineStr"/>
      <c r="V117" t="inlineStr">
        <is>
          <t>Not stated on course page</t>
        </is>
      </c>
      <c r="W117" t="inlineStr"/>
      <c r="X117" t="inlineStr"/>
      <c r="Y117" t="n">
        <v>0</v>
      </c>
      <c r="Z117" t="inlineStr">
        <is>
          <t>No</t>
        </is>
      </c>
      <c r="AA117" t="inlineStr">
        <is>
          <t>Filled</t>
        </is>
      </c>
      <c r="AB117" t="inlineStr">
        <is>
          <t>on campus</t>
        </is>
      </c>
      <c r="AC117" t="inlineStr"/>
      <c r="AD117" t="n">
        <v>0</v>
      </c>
      <c r="AE117" t="inlineStr"/>
      <c r="AF117" t="inlineStr"/>
      <c r="AG117" t="inlineStr"/>
      <c r="AH117" t="inlineStr"/>
      <c r="AI117" t="inlineStr"/>
      <c r="AJ117" t="inlineStr"/>
      <c r="AK117" t="inlineStr"/>
      <c r="AL117" t="inlineStr"/>
      <c r="AM117" t="inlineStr"/>
    </row>
    <row r="118">
      <c r="A118" t="inlineStr">
        <is>
          <t>048373G</t>
        </is>
      </c>
      <c r="B118" t="inlineStr">
        <is>
          <t>Doctor of Philosophy (Research School of Chemistry)</t>
        </is>
      </c>
      <c r="C118" t="inlineStr">
        <is>
          <t>Doctorate / PhD</t>
        </is>
      </c>
      <c r="D118" t="inlineStr">
        <is>
          <t>Research degree</t>
        </is>
      </c>
      <c r="E118" t="inlineStr">
        <is>
          <t>Advertised: official page in place</t>
        </is>
      </c>
      <c r="F118" t="inlineStr">
        <is>
          <t>https://programsandcourses.anu.edu.au/program/9620xphd</t>
        </is>
      </c>
      <c r="G118" t="inlineStr">
        <is>
          <t>https://programsandcourses.anu.edu.au/program/9620xphd</t>
        </is>
      </c>
      <c r="H118" t="inlineStr">
        <is>
          <t>Read</t>
        </is>
      </c>
      <c r="I118" t="inlineStr">
        <is>
          <t>CRICOS code on page</t>
        </is>
      </c>
      <c r="J118" t="inlineStr"/>
      <c r="K118" t="inlineStr">
        <is>
          <t>Not sent to re-link</t>
        </is>
      </c>
      <c r="L118" t="inlineStr">
        <is>
          <t>Filled</t>
        </is>
      </c>
      <c r="M118" t="inlineStr">
        <is>
          <t>Filled</t>
        </is>
      </c>
      <c r="N118" t="inlineStr">
        <is>
          <t>58925.00 2026</t>
        </is>
      </c>
      <c r="O118" t="n">
        <v>0</v>
      </c>
      <c r="P118" t="inlineStr">
        <is>
          <t>University adapter</t>
        </is>
      </c>
      <c r="Q118" t="inlineStr">
        <is>
          <t>Filled</t>
        </is>
      </c>
      <c r="R118" t="n">
        <v>6.5</v>
      </c>
      <c r="S118" t="inlineStr">
        <is>
          <t>Central English policy</t>
        </is>
      </c>
      <c r="T118" t="inlineStr">
        <is>
          <t>Central rule applies (value agrees)</t>
        </is>
      </c>
      <c r="U118" t="inlineStr"/>
      <c r="V118" t="inlineStr">
        <is>
          <t>Not stated on course page</t>
        </is>
      </c>
      <c r="W118" t="inlineStr"/>
      <c r="X118" t="inlineStr"/>
      <c r="Y118" t="n">
        <v>0</v>
      </c>
      <c r="Z118" t="inlineStr">
        <is>
          <t>No</t>
        </is>
      </c>
      <c r="AA118" t="inlineStr">
        <is>
          <t>Filled</t>
        </is>
      </c>
      <c r="AB118" t="inlineStr">
        <is>
          <t>on campus</t>
        </is>
      </c>
      <c r="AC118" t="inlineStr"/>
      <c r="AD118" t="n">
        <v>0</v>
      </c>
      <c r="AE118" t="inlineStr"/>
      <c r="AF118" t="inlineStr"/>
      <c r="AG118" t="inlineStr"/>
      <c r="AH118" t="inlineStr"/>
      <c r="AI118" t="inlineStr"/>
      <c r="AJ118" t="inlineStr"/>
      <c r="AK118" t="inlineStr"/>
      <c r="AL118" t="inlineStr"/>
      <c r="AM118" t="inlineStr"/>
    </row>
    <row r="119">
      <c r="A119" t="inlineStr">
        <is>
          <t>048375F</t>
        </is>
      </c>
      <c r="B119" t="inlineStr">
        <is>
          <t>Doctor of Philosophy (Research School of Earth Sciences)</t>
        </is>
      </c>
      <c r="C119" t="inlineStr">
        <is>
          <t>Doctorate / PhD</t>
        </is>
      </c>
      <c r="D119" t="inlineStr">
        <is>
          <t>Research degree</t>
        </is>
      </c>
      <c r="E119" t="inlineStr">
        <is>
          <t>Advertised: official page in place</t>
        </is>
      </c>
      <c r="F119" t="inlineStr">
        <is>
          <t>https://programsandcourses.anu.edu.au/2021/program/9640xphd</t>
        </is>
      </c>
      <c r="G119" t="inlineStr">
        <is>
          <t>https://programsandcourses.anu.edu.au/program/9640xphd</t>
        </is>
      </c>
      <c r="H119" t="inlineStr">
        <is>
          <t>Read</t>
        </is>
      </c>
      <c r="I119" t="inlineStr">
        <is>
          <t>CRICOS code on page</t>
        </is>
      </c>
      <c r="J119" t="inlineStr"/>
      <c r="K119" t="inlineStr">
        <is>
          <t>Not sent to re-link</t>
        </is>
      </c>
      <c r="L119" t="inlineStr">
        <is>
          <t>Filled</t>
        </is>
      </c>
      <c r="M119" t="inlineStr">
        <is>
          <t>Filled</t>
        </is>
      </c>
      <c r="N119" t="inlineStr">
        <is>
          <t>58925.00 2026</t>
        </is>
      </c>
      <c r="O119" t="n">
        <v>0</v>
      </c>
      <c r="P119" t="inlineStr">
        <is>
          <t>University adapter</t>
        </is>
      </c>
      <c r="Q119" t="inlineStr">
        <is>
          <t>Filled</t>
        </is>
      </c>
      <c r="R119" t="n">
        <v>6.5</v>
      </c>
      <c r="S119" t="inlineStr">
        <is>
          <t>Central English policy</t>
        </is>
      </c>
      <c r="T119" t="inlineStr">
        <is>
          <t>Central rule applies (value agrees)</t>
        </is>
      </c>
      <c r="U119" t="inlineStr"/>
      <c r="V119" t="inlineStr">
        <is>
          <t>Not stated on course page</t>
        </is>
      </c>
      <c r="W119" t="inlineStr"/>
      <c r="X119" t="inlineStr"/>
      <c r="Y119" t="n">
        <v>0</v>
      </c>
      <c r="Z119" t="inlineStr">
        <is>
          <t>No</t>
        </is>
      </c>
      <c r="AA119" t="inlineStr">
        <is>
          <t>Filled</t>
        </is>
      </c>
      <c r="AB119" t="inlineStr">
        <is>
          <t>on campus</t>
        </is>
      </c>
      <c r="AC119" t="inlineStr"/>
      <c r="AD119" t="n">
        <v>0</v>
      </c>
      <c r="AE119" t="inlineStr"/>
      <c r="AF119" t="inlineStr"/>
      <c r="AG119" t="inlineStr"/>
      <c r="AH119" t="inlineStr"/>
      <c r="AI119" t="inlineStr"/>
      <c r="AJ119" t="inlineStr"/>
      <c r="AK119" t="inlineStr"/>
      <c r="AL119" t="inlineStr"/>
      <c r="AM119" t="inlineStr"/>
    </row>
    <row r="120">
      <c r="A120" t="inlineStr">
        <is>
          <t>048376E</t>
        </is>
      </c>
      <c r="B120" t="inlineStr">
        <is>
          <t>Doctor of Philosophy (School of Maths Sciences)</t>
        </is>
      </c>
      <c r="C120" t="inlineStr">
        <is>
          <t>Doctorate / PhD</t>
        </is>
      </c>
      <c r="D120" t="inlineStr">
        <is>
          <t>Research degree</t>
        </is>
      </c>
      <c r="E120" t="inlineStr">
        <is>
          <t>Advertised: official page in place</t>
        </is>
      </c>
      <c r="F120" t="inlineStr">
        <is>
          <t>https://programsandcourses.anu.edu.au/program/9650xphd</t>
        </is>
      </c>
      <c r="G120" t="inlineStr">
        <is>
          <t>https://programsandcourses.anu.edu.au/program/9650xphd</t>
        </is>
      </c>
      <c r="H120" t="inlineStr">
        <is>
          <t>Read</t>
        </is>
      </c>
      <c r="I120" t="inlineStr">
        <is>
          <t>CRICOS code on page</t>
        </is>
      </c>
      <c r="J120" t="inlineStr"/>
      <c r="K120" t="inlineStr">
        <is>
          <t>Not sent to re-link</t>
        </is>
      </c>
      <c r="L120" t="inlineStr">
        <is>
          <t>Filled</t>
        </is>
      </c>
      <c r="M120" t="inlineStr">
        <is>
          <t>Filled</t>
        </is>
      </c>
      <c r="N120" t="inlineStr">
        <is>
          <t>58925.00 2026</t>
        </is>
      </c>
      <c r="O120" t="n">
        <v>0</v>
      </c>
      <c r="P120" t="inlineStr">
        <is>
          <t>University adapter</t>
        </is>
      </c>
      <c r="Q120" t="inlineStr">
        <is>
          <t>Filled</t>
        </is>
      </c>
      <c r="R120" t="n">
        <v>6.5</v>
      </c>
      <c r="S120" t="inlineStr">
        <is>
          <t>Central English policy</t>
        </is>
      </c>
      <c r="T120" t="inlineStr">
        <is>
          <t>Central rule applies (value agrees)</t>
        </is>
      </c>
      <c r="U120" t="inlineStr"/>
      <c r="V120" t="inlineStr">
        <is>
          <t>Not stated on course page</t>
        </is>
      </c>
      <c r="W120" t="inlineStr"/>
      <c r="X120" t="inlineStr"/>
      <c r="Y120" t="n">
        <v>0</v>
      </c>
      <c r="Z120" t="inlineStr">
        <is>
          <t>No</t>
        </is>
      </c>
      <c r="AA120" t="inlineStr">
        <is>
          <t>Filled</t>
        </is>
      </c>
      <c r="AB120" t="inlineStr">
        <is>
          <t>on campus</t>
        </is>
      </c>
      <c r="AC120" t="inlineStr"/>
      <c r="AD120" t="n">
        <v>0</v>
      </c>
      <c r="AE120" t="inlineStr"/>
      <c r="AF120" t="inlineStr"/>
      <c r="AG120" t="inlineStr"/>
      <c r="AH120" t="inlineStr"/>
      <c r="AI120" t="inlineStr"/>
      <c r="AJ120" t="inlineStr"/>
      <c r="AK120" t="inlineStr"/>
      <c r="AL120" t="inlineStr"/>
      <c r="AM120" t="inlineStr"/>
    </row>
    <row r="121">
      <c r="A121" t="inlineStr">
        <is>
          <t>094626K</t>
        </is>
      </c>
      <c r="B121" t="inlineStr">
        <is>
          <t>Doctor of Philosophy, Australian National Centre for the Public Awareness of Science</t>
        </is>
      </c>
      <c r="C121" t="inlineStr">
        <is>
          <t>Doctorate / PhD</t>
        </is>
      </c>
      <c r="D121" t="inlineStr">
        <is>
          <t>Research degree</t>
        </is>
      </c>
      <c r="E121" t="inlineStr">
        <is>
          <t>Advertised: official page in place</t>
        </is>
      </c>
      <c r="F121" t="inlineStr">
        <is>
          <t>https://programsandcourses.anu.edu.au/program/9603xphd</t>
        </is>
      </c>
      <c r="G121" t="inlineStr">
        <is>
          <t>https://programsandcourses.anu.edu.au/program/9603xphd</t>
        </is>
      </c>
      <c r="H121" t="inlineStr">
        <is>
          <t>Read</t>
        </is>
      </c>
      <c r="I121" t="inlineStr">
        <is>
          <t>CRICOS code on page</t>
        </is>
      </c>
      <c r="J121" t="inlineStr"/>
      <c r="K121" t="inlineStr">
        <is>
          <t>Not sent to re-link</t>
        </is>
      </c>
      <c r="L121" t="inlineStr">
        <is>
          <t>Filled</t>
        </is>
      </c>
      <c r="M121" t="inlineStr">
        <is>
          <t>Filled</t>
        </is>
      </c>
      <c r="N121" t="inlineStr">
        <is>
          <t>58925.00 2026</t>
        </is>
      </c>
      <c r="O121" t="n">
        <v>0</v>
      </c>
      <c r="P121" t="inlineStr">
        <is>
          <t>University adapter</t>
        </is>
      </c>
      <c r="Q121" t="inlineStr">
        <is>
          <t>Filled</t>
        </is>
      </c>
      <c r="R121" t="n">
        <v>6.5</v>
      </c>
      <c r="S121" t="inlineStr">
        <is>
          <t>Central English policy</t>
        </is>
      </c>
      <c r="T121" t="inlineStr">
        <is>
          <t>Central rule applies (value agrees)</t>
        </is>
      </c>
      <c r="U121" t="inlineStr"/>
      <c r="V121" t="inlineStr">
        <is>
          <t>Not stated on course page</t>
        </is>
      </c>
      <c r="W121" t="inlineStr"/>
      <c r="X121" t="inlineStr"/>
      <c r="Y121" t="n">
        <v>0</v>
      </c>
      <c r="Z121" t="inlineStr">
        <is>
          <t>No</t>
        </is>
      </c>
      <c r="AA121" t="inlineStr">
        <is>
          <t>Filled</t>
        </is>
      </c>
      <c r="AB121" t="inlineStr">
        <is>
          <t>on campus</t>
        </is>
      </c>
      <c r="AC121" t="inlineStr"/>
      <c r="AD121" t="n">
        <v>0</v>
      </c>
      <c r="AE121" t="inlineStr"/>
      <c r="AF121" t="inlineStr"/>
      <c r="AG121" t="inlineStr"/>
      <c r="AH121" t="inlineStr"/>
      <c r="AI121" t="inlineStr"/>
      <c r="AJ121" t="inlineStr"/>
      <c r="AK121" t="inlineStr"/>
      <c r="AL121" t="inlineStr"/>
      <c r="AM121" t="inlineStr"/>
    </row>
    <row r="122">
      <c r="A122" t="inlineStr">
        <is>
          <t>070333K</t>
        </is>
      </c>
      <c r="B122" t="inlineStr">
        <is>
          <t>Doctor of Philosophy, Clinical Psychology</t>
        </is>
      </c>
      <c r="C122" t="inlineStr">
        <is>
          <t>Doctorate / PhD</t>
        </is>
      </c>
      <c r="D122" t="inlineStr">
        <is>
          <t>Research degree</t>
        </is>
      </c>
      <c r="E122" t="inlineStr">
        <is>
          <t>Advertised: official page in place</t>
        </is>
      </c>
      <c r="F122" t="inlineStr">
        <is>
          <t>https://programsandcourses.anu.edu.au/2022/program/9064xclpsy</t>
        </is>
      </c>
      <c r="G122" t="inlineStr">
        <is>
          <t>https://programsandcourses.anu.edu.au/program/9064xclpsy</t>
        </is>
      </c>
      <c r="H122" t="inlineStr">
        <is>
          <t>Read</t>
        </is>
      </c>
      <c r="I122" t="inlineStr">
        <is>
          <t>CRICOS code on page</t>
        </is>
      </c>
      <c r="J122" t="inlineStr"/>
      <c r="K122" t="inlineStr">
        <is>
          <t>Not sent to re-link</t>
        </is>
      </c>
      <c r="L122" t="inlineStr">
        <is>
          <t>Filled</t>
        </is>
      </c>
      <c r="M122" t="inlineStr">
        <is>
          <t>Filled</t>
        </is>
      </c>
      <c r="N122" t="inlineStr">
        <is>
          <t>62700.00 2026</t>
        </is>
      </c>
      <c r="O122" t="n">
        <v>0</v>
      </c>
      <c r="P122" t="inlineStr">
        <is>
          <t>University adapter</t>
        </is>
      </c>
      <c r="Q122" t="inlineStr">
        <is>
          <t>Filled</t>
        </is>
      </c>
      <c r="R122" t="n">
        <v>7</v>
      </c>
      <c r="S122" t="inlineStr">
        <is>
          <t>Central English policy</t>
        </is>
      </c>
      <c r="T122" t="inlineStr">
        <is>
          <t>Central rule applies (value agrees)</t>
        </is>
      </c>
      <c r="U122" t="inlineStr"/>
      <c r="V122" t="inlineStr">
        <is>
          <t>Not stated on course page</t>
        </is>
      </c>
      <c r="W122" t="inlineStr"/>
      <c r="X122" t="inlineStr"/>
      <c r="Y122" t="n">
        <v>0</v>
      </c>
      <c r="Z122" t="inlineStr">
        <is>
          <t>No</t>
        </is>
      </c>
      <c r="AA122" t="inlineStr">
        <is>
          <t>Filled</t>
        </is>
      </c>
      <c r="AB122" t="inlineStr">
        <is>
          <t>on campus</t>
        </is>
      </c>
      <c r="AC122" t="inlineStr"/>
      <c r="AD122" t="n">
        <v>0</v>
      </c>
      <c r="AE122" t="inlineStr"/>
      <c r="AF122" t="inlineStr"/>
      <c r="AG122" t="inlineStr"/>
      <c r="AH122" t="inlineStr"/>
      <c r="AI122" t="inlineStr"/>
      <c r="AJ122" t="inlineStr"/>
      <c r="AK122" t="inlineStr"/>
      <c r="AL122" t="inlineStr"/>
      <c r="AM122" t="inlineStr"/>
    </row>
    <row r="123">
      <c r="A123" t="inlineStr">
        <is>
          <t>048357G</t>
        </is>
      </c>
      <c r="B123" t="inlineStr">
        <is>
          <t>Doctor of Philosophy, Crawford School of Public Policy</t>
        </is>
      </c>
      <c r="C123" t="inlineStr">
        <is>
          <t>Doctorate / PhD</t>
        </is>
      </c>
      <c r="D123" t="inlineStr">
        <is>
          <t>Research degree</t>
        </is>
      </c>
      <c r="E123" t="inlineStr">
        <is>
          <t>Advertised: official page in place</t>
        </is>
      </c>
      <c r="F123" t="inlineStr">
        <is>
          <t>https://programsandcourses.anu.edu.au/program/9540xphd</t>
        </is>
      </c>
      <c r="G123" t="inlineStr">
        <is>
          <t>https://programsandcourses.anu.edu.au/program/9540xphd</t>
        </is>
      </c>
      <c r="H123" t="inlineStr">
        <is>
          <t>Read</t>
        </is>
      </c>
      <c r="I123" t="inlineStr">
        <is>
          <t>CRICOS code on page</t>
        </is>
      </c>
      <c r="J123" t="inlineStr"/>
      <c r="K123" t="inlineStr">
        <is>
          <t>Not sent to re-link</t>
        </is>
      </c>
      <c r="L123" t="inlineStr">
        <is>
          <t>Filled</t>
        </is>
      </c>
      <c r="M123" t="inlineStr">
        <is>
          <t>Filled</t>
        </is>
      </c>
      <c r="N123" t="inlineStr">
        <is>
          <t>58925.00 2026</t>
        </is>
      </c>
      <c r="O123" t="n">
        <v>0</v>
      </c>
      <c r="P123" t="inlineStr">
        <is>
          <t>University adapter</t>
        </is>
      </c>
      <c r="Q123" t="inlineStr">
        <is>
          <t>Filled</t>
        </is>
      </c>
      <c r="R123" t="n">
        <v>6.5</v>
      </c>
      <c r="S123" t="inlineStr">
        <is>
          <t>Central English policy</t>
        </is>
      </c>
      <c r="T123" t="inlineStr">
        <is>
          <t>Central rule applies (value agrees)</t>
        </is>
      </c>
      <c r="U123" t="inlineStr"/>
      <c r="V123" t="inlineStr">
        <is>
          <t>Not stated on course page</t>
        </is>
      </c>
      <c r="W123" t="inlineStr"/>
      <c r="X123" t="inlineStr"/>
      <c r="Y123" t="n">
        <v>0</v>
      </c>
      <c r="Z123" t="inlineStr">
        <is>
          <t>No</t>
        </is>
      </c>
      <c r="AA123" t="inlineStr">
        <is>
          <t>Filled</t>
        </is>
      </c>
      <c r="AB123" t="inlineStr">
        <is>
          <t>on campus</t>
        </is>
      </c>
      <c r="AC123" t="inlineStr"/>
      <c r="AD123" t="n">
        <v>0</v>
      </c>
      <c r="AE123" t="inlineStr"/>
      <c r="AF123" t="inlineStr"/>
      <c r="AG123" t="inlineStr"/>
      <c r="AH123" t="inlineStr"/>
      <c r="AI123" t="inlineStr"/>
      <c r="AJ123" t="inlineStr"/>
      <c r="AK123" t="inlineStr"/>
      <c r="AL123" t="inlineStr"/>
      <c r="AM123" t="inlineStr"/>
    </row>
    <row r="124">
      <c r="A124" t="inlineStr">
        <is>
          <t>048359F</t>
        </is>
      </c>
      <c r="B124" t="inlineStr">
        <is>
          <t>Doctor of Philosophy, Culture, History and Language</t>
        </is>
      </c>
      <c r="C124" t="inlineStr">
        <is>
          <t>Doctorate / PhD</t>
        </is>
      </c>
      <c r="D124" t="inlineStr">
        <is>
          <t>Research degree</t>
        </is>
      </c>
      <c r="E124" t="inlineStr">
        <is>
          <t>Advertised: official page in place</t>
        </is>
      </c>
      <c r="F124" t="inlineStr">
        <is>
          <t>https://programsandcourses.anu.edu.au/program/9050xphd</t>
        </is>
      </c>
      <c r="G124" t="inlineStr">
        <is>
          <t>https://programsandcourses.anu.edu.au/program/9050xphd</t>
        </is>
      </c>
      <c r="H124" t="inlineStr">
        <is>
          <t>Read</t>
        </is>
      </c>
      <c r="I124" t="inlineStr">
        <is>
          <t>CRICOS code on page</t>
        </is>
      </c>
      <c r="J124" t="inlineStr"/>
      <c r="K124" t="inlineStr">
        <is>
          <t>Not sent to re-link</t>
        </is>
      </c>
      <c r="L124" t="inlineStr">
        <is>
          <t>Filled</t>
        </is>
      </c>
      <c r="M124" t="inlineStr">
        <is>
          <t>Filled</t>
        </is>
      </c>
      <c r="N124" t="inlineStr">
        <is>
          <t>49010.00 2026</t>
        </is>
      </c>
      <c r="O124" t="n">
        <v>0</v>
      </c>
      <c r="P124" t="inlineStr">
        <is>
          <t>University adapter</t>
        </is>
      </c>
      <c r="Q124" t="inlineStr">
        <is>
          <t>Filled</t>
        </is>
      </c>
      <c r="R124" t="n">
        <v>6.5</v>
      </c>
      <c r="S124" t="inlineStr">
        <is>
          <t>Central English policy</t>
        </is>
      </c>
      <c r="T124" t="inlineStr">
        <is>
          <t>Central rule applies (value agrees)</t>
        </is>
      </c>
      <c r="U124" t="inlineStr"/>
      <c r="V124" t="inlineStr">
        <is>
          <t>Not stated on course page</t>
        </is>
      </c>
      <c r="W124" t="inlineStr"/>
      <c r="X124" t="inlineStr"/>
      <c r="Y124" t="n">
        <v>0</v>
      </c>
      <c r="Z124" t="inlineStr">
        <is>
          <t>No</t>
        </is>
      </c>
      <c r="AA124" t="inlineStr">
        <is>
          <t>Filled</t>
        </is>
      </c>
      <c r="AB124" t="inlineStr">
        <is>
          <t>on campus</t>
        </is>
      </c>
      <c r="AC124" t="inlineStr"/>
      <c r="AD124" t="n">
        <v>0</v>
      </c>
      <c r="AE124" t="inlineStr"/>
      <c r="AF124" t="inlineStr"/>
      <c r="AG124" t="inlineStr"/>
      <c r="AH124" t="inlineStr"/>
      <c r="AI124" t="inlineStr"/>
      <c r="AJ124" t="inlineStr"/>
      <c r="AK124" t="inlineStr"/>
      <c r="AL124" t="inlineStr"/>
      <c r="AM124" t="inlineStr"/>
    </row>
    <row r="125">
      <c r="A125" t="inlineStr">
        <is>
          <t>048353A</t>
        </is>
      </c>
      <c r="B125" t="inlineStr">
        <is>
          <t>Doctor of Philosophy, Engineering and Computer Science</t>
        </is>
      </c>
      <c r="C125" t="inlineStr">
        <is>
          <t>Doctorate / PhD</t>
        </is>
      </c>
      <c r="D125" t="inlineStr">
        <is>
          <t>Research degree</t>
        </is>
      </c>
      <c r="E125" t="inlineStr">
        <is>
          <t>Advertised: official page in place</t>
        </is>
      </c>
      <c r="F125" t="inlineStr">
        <is>
          <t>https://programsandcourses.anu.edu.au/2021/program/9070xphd</t>
        </is>
      </c>
      <c r="G125" t="inlineStr">
        <is>
          <t>https://programsandcourses.anu.edu.au/2021/program/9070xphd</t>
        </is>
      </c>
      <c r="H125" t="inlineStr">
        <is>
          <t>Read</t>
        </is>
      </c>
      <c r="I125" t="inlineStr">
        <is>
          <t>CRICOS code on page</t>
        </is>
      </c>
      <c r="J125" t="inlineStr"/>
      <c r="K125" t="inlineStr">
        <is>
          <t>Not sent to re-link</t>
        </is>
      </c>
      <c r="L125" t="inlineStr">
        <is>
          <t>Filled</t>
        </is>
      </c>
      <c r="M125" t="inlineStr">
        <is>
          <t>Filled</t>
        </is>
      </c>
      <c r="N125" t="inlineStr">
        <is>
          <t>46910.00 2026</t>
        </is>
      </c>
      <c r="O125" t="n">
        <v>0</v>
      </c>
      <c r="P125" t="inlineStr">
        <is>
          <t>Other</t>
        </is>
      </c>
      <c r="Q125" t="inlineStr">
        <is>
          <t>Filled</t>
        </is>
      </c>
      <c r="R125" t="n">
        <v>6.5</v>
      </c>
      <c r="S125" t="inlineStr">
        <is>
          <t>Central English policy</t>
        </is>
      </c>
      <c r="T125" t="inlineStr">
        <is>
          <t>Central rule applies (value agrees)</t>
        </is>
      </c>
      <c r="U125" t="inlineStr"/>
      <c r="V125" t="inlineStr">
        <is>
          <t>Not stated on course page</t>
        </is>
      </c>
      <c r="W125" t="inlineStr"/>
      <c r="X125" t="inlineStr"/>
      <c r="Y125" t="n">
        <v>0</v>
      </c>
      <c r="Z125" t="inlineStr">
        <is>
          <t>No</t>
        </is>
      </c>
      <c r="AA125" t="inlineStr">
        <is>
          <t>Filled</t>
        </is>
      </c>
      <c r="AB125" t="inlineStr">
        <is>
          <t>on campus</t>
        </is>
      </c>
      <c r="AC125" t="inlineStr"/>
      <c r="AD125" t="n">
        <v>0</v>
      </c>
      <c r="AE125" t="inlineStr"/>
      <c r="AF125" t="inlineStr"/>
      <c r="AG125" t="inlineStr"/>
      <c r="AH125" t="inlineStr"/>
      <c r="AI125" t="inlineStr"/>
      <c r="AJ125" t="inlineStr"/>
      <c r="AK125" t="inlineStr"/>
      <c r="AL125" t="inlineStr"/>
      <c r="AM125" t="inlineStr"/>
    </row>
    <row r="126">
      <c r="A126" t="inlineStr">
        <is>
          <t>070533B</t>
        </is>
      </c>
      <c r="B126" t="inlineStr">
        <is>
          <t>Doctor of Philosophy, Fenner School of Environment and Society</t>
        </is>
      </c>
      <c r="C126" t="inlineStr">
        <is>
          <t>Doctorate / PhD</t>
        </is>
      </c>
      <c r="D126" t="inlineStr">
        <is>
          <t>Research degree</t>
        </is>
      </c>
      <c r="E126" t="inlineStr">
        <is>
          <t>Advertised: official page in place</t>
        </is>
      </c>
      <c r="F126" t="inlineStr">
        <is>
          <t>https://programsandcourses.anu.edu.au/program/9065xphd</t>
        </is>
      </c>
      <c r="G126" t="inlineStr">
        <is>
          <t>https://programsandcourses.anu.edu.au/program/9065xphd</t>
        </is>
      </c>
      <c r="H126" t="inlineStr">
        <is>
          <t>Read</t>
        </is>
      </c>
      <c r="I126" t="inlineStr">
        <is>
          <t>CRICOS code on page</t>
        </is>
      </c>
      <c r="J126" t="inlineStr"/>
      <c r="K126" t="inlineStr">
        <is>
          <t>Not sent to re-link</t>
        </is>
      </c>
      <c r="L126" t="inlineStr">
        <is>
          <t>Filled</t>
        </is>
      </c>
      <c r="M126" t="inlineStr">
        <is>
          <t>Filled</t>
        </is>
      </c>
      <c r="N126" t="inlineStr">
        <is>
          <t>58925.00 2026</t>
        </is>
      </c>
      <c r="O126" t="n">
        <v>0</v>
      </c>
      <c r="P126" t="inlineStr">
        <is>
          <t>University adapter</t>
        </is>
      </c>
      <c r="Q126" t="inlineStr">
        <is>
          <t>Filled</t>
        </is>
      </c>
      <c r="R126" t="n">
        <v>6.5</v>
      </c>
      <c r="S126" t="inlineStr">
        <is>
          <t>Central English policy</t>
        </is>
      </c>
      <c r="T126" t="inlineStr">
        <is>
          <t>Central rule applies (value agrees)</t>
        </is>
      </c>
      <c r="U126" t="inlineStr"/>
      <c r="V126" t="inlineStr">
        <is>
          <t>Not stated on course page</t>
        </is>
      </c>
      <c r="W126" t="inlineStr"/>
      <c r="X126" t="inlineStr"/>
      <c r="Y126" t="n">
        <v>0</v>
      </c>
      <c r="Z126" t="inlineStr">
        <is>
          <t>No</t>
        </is>
      </c>
      <c r="AA126" t="inlineStr">
        <is>
          <t>Filled</t>
        </is>
      </c>
      <c r="AB126" t="inlineStr">
        <is>
          <t>on campus</t>
        </is>
      </c>
      <c r="AC126" t="inlineStr"/>
      <c r="AD126" t="n">
        <v>0</v>
      </c>
      <c r="AE126" t="inlineStr"/>
      <c r="AF126" t="inlineStr"/>
      <c r="AG126" t="inlineStr"/>
      <c r="AH126" t="inlineStr"/>
      <c r="AI126" t="inlineStr"/>
      <c r="AJ126" t="inlineStr"/>
      <c r="AK126" t="inlineStr"/>
      <c r="AL126" t="inlineStr"/>
      <c r="AM126" t="inlineStr"/>
    </row>
    <row r="127">
      <c r="A127" t="inlineStr">
        <is>
          <t>022602C</t>
        </is>
      </c>
      <c r="B127" t="inlineStr">
        <is>
          <t>Doctor of Philosophy, International, Political and Strategic Studies</t>
        </is>
      </c>
      <c r="C127" t="inlineStr">
        <is>
          <t>Doctorate / PhD</t>
        </is>
      </c>
      <c r="D127" t="inlineStr">
        <is>
          <t>Research degree</t>
        </is>
      </c>
      <c r="E127" t="inlineStr">
        <is>
          <t>Advertised: official page in place</t>
        </is>
      </c>
      <c r="F127" t="inlineStr">
        <is>
          <t>https://programsandcourses.anu.edu.au/program/9510xphd</t>
        </is>
      </c>
      <c r="G127" t="inlineStr">
        <is>
          <t>https://programsandcourses.anu.edu.au/program/9510xphd</t>
        </is>
      </c>
      <c r="H127" t="inlineStr">
        <is>
          <t>Read</t>
        </is>
      </c>
      <c r="I127" t="inlineStr">
        <is>
          <t>CRICOS code on page</t>
        </is>
      </c>
      <c r="J127" t="inlineStr"/>
      <c r="K127" t="inlineStr">
        <is>
          <t>Not sent to re-link</t>
        </is>
      </c>
      <c r="L127" t="inlineStr">
        <is>
          <t>Filled</t>
        </is>
      </c>
      <c r="M127" t="inlineStr">
        <is>
          <t>Filled</t>
        </is>
      </c>
      <c r="N127" t="inlineStr">
        <is>
          <t>58925.00 2026</t>
        </is>
      </c>
      <c r="O127" t="n">
        <v>0</v>
      </c>
      <c r="P127" t="inlineStr">
        <is>
          <t>University adapter</t>
        </is>
      </c>
      <c r="Q127" t="inlineStr">
        <is>
          <t>Filled</t>
        </is>
      </c>
      <c r="R127" t="n">
        <v>6.5</v>
      </c>
      <c r="S127" t="inlineStr">
        <is>
          <t>Central English policy</t>
        </is>
      </c>
      <c r="T127" t="inlineStr">
        <is>
          <t>Central rule applies (value agrees)</t>
        </is>
      </c>
      <c r="U127" t="inlineStr"/>
      <c r="V127" t="inlineStr">
        <is>
          <t>Not stated on course page</t>
        </is>
      </c>
      <c r="W127" t="inlineStr"/>
      <c r="X127" t="inlineStr"/>
      <c r="Y127" t="n">
        <v>0</v>
      </c>
      <c r="Z127" t="inlineStr">
        <is>
          <t>No</t>
        </is>
      </c>
      <c r="AA127" t="inlineStr">
        <is>
          <t>Filled</t>
        </is>
      </c>
      <c r="AB127" t="inlineStr">
        <is>
          <t>on campus</t>
        </is>
      </c>
      <c r="AC127" t="inlineStr"/>
      <c r="AD127" t="n">
        <v>0</v>
      </c>
      <c r="AE127" t="inlineStr"/>
      <c r="AF127" t="inlineStr"/>
      <c r="AG127" t="inlineStr"/>
      <c r="AH127" t="inlineStr"/>
      <c r="AI127" t="inlineStr"/>
      <c r="AJ127" t="inlineStr"/>
      <c r="AK127" t="inlineStr"/>
      <c r="AL127" t="inlineStr"/>
      <c r="AM127" t="inlineStr"/>
    </row>
    <row r="128">
      <c r="A128" t="inlineStr">
        <is>
          <t>048348J</t>
        </is>
      </c>
      <c r="B128" t="inlineStr">
        <is>
          <t>Doctor of Philosophy, Medical School</t>
        </is>
      </c>
      <c r="C128" t="inlineStr">
        <is>
          <t>Doctorate / PhD</t>
        </is>
      </c>
      <c r="D128" t="inlineStr">
        <is>
          <t>Research degree</t>
        </is>
      </c>
      <c r="E128" t="inlineStr">
        <is>
          <t>Advertised: official page in place</t>
        </is>
      </c>
      <c r="F128" t="inlineStr">
        <is>
          <t>https://programsandcourses.anu.edu.au/program/9910xphd</t>
        </is>
      </c>
      <c r="G128" t="inlineStr">
        <is>
          <t>https://programsandcourses.anu.edu.au/program/9910xphd</t>
        </is>
      </c>
      <c r="H128" t="inlineStr">
        <is>
          <t>Read</t>
        </is>
      </c>
      <c r="I128" t="inlineStr">
        <is>
          <t>CRICOS code on page</t>
        </is>
      </c>
      <c r="J128" t="inlineStr"/>
      <c r="K128" t="inlineStr">
        <is>
          <t>Not sent to re-link</t>
        </is>
      </c>
      <c r="L128" t="inlineStr">
        <is>
          <t>Filled</t>
        </is>
      </c>
      <c r="M128" t="inlineStr">
        <is>
          <t>Filled</t>
        </is>
      </c>
      <c r="N128" t="inlineStr">
        <is>
          <t>65560.00 2026</t>
        </is>
      </c>
      <c r="O128" t="n">
        <v>0</v>
      </c>
      <c r="P128" t="inlineStr">
        <is>
          <t>University adapter</t>
        </is>
      </c>
      <c r="Q128" t="inlineStr">
        <is>
          <t>Filled</t>
        </is>
      </c>
      <c r="R128" t="n">
        <v>6.5</v>
      </c>
      <c r="S128" t="inlineStr">
        <is>
          <t>Central English policy</t>
        </is>
      </c>
      <c r="T128" t="inlineStr">
        <is>
          <t>Central rule applies (value agrees)</t>
        </is>
      </c>
      <c r="U128" t="inlineStr"/>
      <c r="V128" t="inlineStr">
        <is>
          <t>Not stated on course page</t>
        </is>
      </c>
      <c r="W128" t="inlineStr"/>
      <c r="X128" t="inlineStr"/>
      <c r="Y128" t="n">
        <v>0</v>
      </c>
      <c r="Z128" t="inlineStr">
        <is>
          <t>No</t>
        </is>
      </c>
      <c r="AA128" t="inlineStr">
        <is>
          <t>Filled</t>
        </is>
      </c>
      <c r="AB128" t="inlineStr">
        <is>
          <t>on campus</t>
        </is>
      </c>
      <c r="AC128" t="inlineStr"/>
      <c r="AD128" t="n">
        <v>0</v>
      </c>
      <c r="AE128" t="inlineStr"/>
      <c r="AF128" t="inlineStr"/>
      <c r="AG128" t="inlineStr"/>
      <c r="AH128" t="inlineStr"/>
      <c r="AI128" t="inlineStr"/>
      <c r="AJ128" t="inlineStr"/>
      <c r="AK128" t="inlineStr"/>
      <c r="AL128" t="inlineStr"/>
      <c r="AM128" t="inlineStr"/>
    </row>
    <row r="129">
      <c r="A129" t="inlineStr">
        <is>
          <t>070332M</t>
        </is>
      </c>
      <c r="B129" t="inlineStr">
        <is>
          <t>Doctor of Philosophy, Psychology</t>
        </is>
      </c>
      <c r="C129" t="inlineStr">
        <is>
          <t>Doctorate / PhD</t>
        </is>
      </c>
      <c r="D129" t="inlineStr">
        <is>
          <t>Research degree</t>
        </is>
      </c>
      <c r="E129" t="inlineStr">
        <is>
          <t>Advertised: official page in place</t>
        </is>
      </c>
      <c r="F129" t="inlineStr">
        <is>
          <t>https://programsandcourses.anu.edu.au/program/9723xphd</t>
        </is>
      </c>
      <c r="G129" t="inlineStr">
        <is>
          <t>https://programsandcourses.anu.edu.au/program/9723xphd</t>
        </is>
      </c>
      <c r="H129" t="inlineStr">
        <is>
          <t>Read</t>
        </is>
      </c>
      <c r="I129" t="inlineStr">
        <is>
          <t>CRICOS code on page</t>
        </is>
      </c>
      <c r="J129" t="inlineStr"/>
      <c r="K129" t="inlineStr">
        <is>
          <t>Not sent to re-link</t>
        </is>
      </c>
      <c r="L129" t="inlineStr">
        <is>
          <t>Filled</t>
        </is>
      </c>
      <c r="M129" t="inlineStr">
        <is>
          <t>Filled</t>
        </is>
      </c>
      <c r="N129" t="inlineStr">
        <is>
          <t>62700.00 2026</t>
        </is>
      </c>
      <c r="O129" t="n">
        <v>0</v>
      </c>
      <c r="P129" t="inlineStr">
        <is>
          <t>University adapter</t>
        </is>
      </c>
      <c r="Q129" t="inlineStr">
        <is>
          <t>Not stated on course page</t>
        </is>
      </c>
      <c r="S129" t="inlineStr"/>
      <c r="T129" t="inlineStr">
        <is>
          <t>Held: named in the policy (it may have its own requirement)</t>
        </is>
      </c>
      <c r="U129" t="inlineStr"/>
      <c r="V129" t="inlineStr">
        <is>
          <t>Not stated on course page</t>
        </is>
      </c>
      <c r="W129" t="inlineStr"/>
      <c r="X129" t="inlineStr"/>
      <c r="Y129" t="n">
        <v>0</v>
      </c>
      <c r="Z129" t="inlineStr">
        <is>
          <t>No</t>
        </is>
      </c>
      <c r="AA129" t="inlineStr">
        <is>
          <t>Filled</t>
        </is>
      </c>
      <c r="AB129" t="inlineStr">
        <is>
          <t>on campus</t>
        </is>
      </c>
      <c r="AC129" t="inlineStr"/>
      <c r="AD129" t="n">
        <v>0</v>
      </c>
      <c r="AE129" t="inlineStr"/>
      <c r="AF129" t="inlineStr"/>
      <c r="AG129" t="inlineStr"/>
      <c r="AH129" t="inlineStr"/>
      <c r="AI129" t="inlineStr"/>
      <c r="AJ129" t="inlineStr"/>
      <c r="AK129" t="inlineStr"/>
      <c r="AL129" t="inlineStr"/>
      <c r="AM129" t="inlineStr"/>
    </row>
    <row r="130">
      <c r="A130" t="inlineStr">
        <is>
          <t>049652D</t>
        </is>
      </c>
      <c r="B130" t="inlineStr">
        <is>
          <t>Doctor of Philosophy, Regulation and Governance</t>
        </is>
      </c>
      <c r="C130" t="inlineStr">
        <is>
          <t>Doctorate / PhD</t>
        </is>
      </c>
      <c r="D130" t="inlineStr">
        <is>
          <t>Research degree</t>
        </is>
      </c>
      <c r="E130" t="inlineStr">
        <is>
          <t>Advertised: official page in place</t>
        </is>
      </c>
      <c r="F130" t="inlineStr">
        <is>
          <t>https://programsandcourses.anu.edu.au/program/9560xphd</t>
        </is>
      </c>
      <c r="G130" t="inlineStr">
        <is>
          <t>https://programsandcourses.anu.edu.au/program/9560xphd</t>
        </is>
      </c>
      <c r="H130" t="inlineStr">
        <is>
          <t>Read</t>
        </is>
      </c>
      <c r="I130" t="inlineStr">
        <is>
          <t>CRICOS code on page</t>
        </is>
      </c>
      <c r="J130" t="inlineStr"/>
      <c r="K130" t="inlineStr">
        <is>
          <t>Not sent to re-link</t>
        </is>
      </c>
      <c r="L130" t="inlineStr">
        <is>
          <t>Filled</t>
        </is>
      </c>
      <c r="M130" t="inlineStr">
        <is>
          <t>Filled</t>
        </is>
      </c>
      <c r="N130" t="inlineStr">
        <is>
          <t>58925.00 2026</t>
        </is>
      </c>
      <c r="O130" t="n">
        <v>0</v>
      </c>
      <c r="P130" t="inlineStr">
        <is>
          <t>University adapter</t>
        </is>
      </c>
      <c r="Q130" t="inlineStr">
        <is>
          <t>Filled</t>
        </is>
      </c>
      <c r="R130" t="n">
        <v>6.5</v>
      </c>
      <c r="S130" t="inlineStr">
        <is>
          <t>Central English policy</t>
        </is>
      </c>
      <c r="T130" t="inlineStr">
        <is>
          <t>Central rule applies (value agrees)</t>
        </is>
      </c>
      <c r="U130" t="inlineStr"/>
      <c r="V130" t="inlineStr">
        <is>
          <t>Not stated on course page</t>
        </is>
      </c>
      <c r="W130" t="inlineStr"/>
      <c r="X130" t="inlineStr"/>
      <c r="Y130" t="n">
        <v>0</v>
      </c>
      <c r="Z130" t="inlineStr">
        <is>
          <t>No</t>
        </is>
      </c>
      <c r="AA130" t="inlineStr">
        <is>
          <t>Filled</t>
        </is>
      </c>
      <c r="AB130" t="inlineStr">
        <is>
          <t>on campus</t>
        </is>
      </c>
      <c r="AC130" t="inlineStr"/>
      <c r="AD130" t="n">
        <v>0</v>
      </c>
      <c r="AE130" t="inlineStr"/>
      <c r="AF130" t="inlineStr"/>
      <c r="AG130" t="inlineStr"/>
      <c r="AH130" t="inlineStr"/>
      <c r="AI130" t="inlineStr"/>
      <c r="AJ130" t="inlineStr"/>
      <c r="AK130" t="inlineStr"/>
      <c r="AL130" t="inlineStr"/>
      <c r="AM130" t="inlineStr"/>
    </row>
    <row r="131">
      <c r="A131" t="inlineStr">
        <is>
          <t>070535M</t>
        </is>
      </c>
      <c r="B131" t="inlineStr">
        <is>
          <t>Doctor of Philosophy, Research School of Biology</t>
        </is>
      </c>
      <c r="C131" t="inlineStr">
        <is>
          <t>Doctorate / PhD</t>
        </is>
      </c>
      <c r="D131" t="inlineStr">
        <is>
          <t>Research degree</t>
        </is>
      </c>
      <c r="E131" t="inlineStr">
        <is>
          <t>Advertised: official page in place</t>
        </is>
      </c>
      <c r="F131" t="inlineStr">
        <is>
          <t>https://programsandcourses.anu.edu.au/program/9066xphd</t>
        </is>
      </c>
      <c r="G131" t="inlineStr">
        <is>
          <t>https://programsandcourses.anu.edu.au/program/9066xphd</t>
        </is>
      </c>
      <c r="H131" t="inlineStr">
        <is>
          <t>Read</t>
        </is>
      </c>
      <c r="I131" t="inlineStr">
        <is>
          <t>CRICOS code on page</t>
        </is>
      </c>
      <c r="J131" t="inlineStr"/>
      <c r="K131" t="inlineStr">
        <is>
          <t>Not sent to re-link</t>
        </is>
      </c>
      <c r="L131" t="inlineStr">
        <is>
          <t>Filled</t>
        </is>
      </c>
      <c r="M131" t="inlineStr">
        <is>
          <t>Filled</t>
        </is>
      </c>
      <c r="N131" t="inlineStr">
        <is>
          <t>58925.00 2026</t>
        </is>
      </c>
      <c r="O131" t="n">
        <v>0</v>
      </c>
      <c r="P131" t="inlineStr">
        <is>
          <t>University adapter</t>
        </is>
      </c>
      <c r="Q131" t="inlineStr">
        <is>
          <t>Filled</t>
        </is>
      </c>
      <c r="R131" t="n">
        <v>6.5</v>
      </c>
      <c r="S131" t="inlineStr">
        <is>
          <t>Central English policy</t>
        </is>
      </c>
      <c r="T131" t="inlineStr">
        <is>
          <t>Central rule applies (value agrees)</t>
        </is>
      </c>
      <c r="U131" t="inlineStr"/>
      <c r="V131" t="inlineStr">
        <is>
          <t>Not stated on course page</t>
        </is>
      </c>
      <c r="W131" t="inlineStr"/>
      <c r="X131" t="inlineStr"/>
      <c r="Y131" t="n">
        <v>0</v>
      </c>
      <c r="Z131" t="inlineStr">
        <is>
          <t>No</t>
        </is>
      </c>
      <c r="AA131" t="inlineStr">
        <is>
          <t>Filled</t>
        </is>
      </c>
      <c r="AB131" t="inlineStr">
        <is>
          <t>on campus</t>
        </is>
      </c>
      <c r="AC131" t="inlineStr"/>
      <c r="AD131" t="n">
        <v>0</v>
      </c>
      <c r="AE131" t="inlineStr"/>
      <c r="AF131" t="inlineStr"/>
      <c r="AG131" t="inlineStr"/>
      <c r="AH131" t="inlineStr"/>
      <c r="AI131" t="inlineStr"/>
      <c r="AJ131" t="inlineStr"/>
      <c r="AK131" t="inlineStr"/>
      <c r="AL131" t="inlineStr"/>
      <c r="AM131" t="inlineStr"/>
    </row>
    <row r="132">
      <c r="A132" t="inlineStr">
        <is>
          <t>048381G</t>
        </is>
      </c>
      <c r="B132" t="inlineStr">
        <is>
          <t>Doctor of Philosophy, Research School of Humanities and the Arts</t>
        </is>
      </c>
      <c r="C132" t="inlineStr">
        <is>
          <t>Doctorate / PhD</t>
        </is>
      </c>
      <c r="D132" t="inlineStr">
        <is>
          <t>Research degree</t>
        </is>
      </c>
      <c r="E132" t="inlineStr">
        <is>
          <t>Advertised: official page in place</t>
        </is>
      </c>
      <c r="F132" t="inlineStr">
        <is>
          <t>https://programsandcourses.anu.edu.au/program/9552xphd</t>
        </is>
      </c>
      <c r="G132" t="inlineStr">
        <is>
          <t>https://programsandcourses.anu.edu.au/program/9552xphd</t>
        </is>
      </c>
      <c r="H132" t="inlineStr">
        <is>
          <t>Read</t>
        </is>
      </c>
      <c r="I132" t="inlineStr">
        <is>
          <t>CRICOS code on page</t>
        </is>
      </c>
      <c r="J132" t="inlineStr"/>
      <c r="K132" t="inlineStr">
        <is>
          <t>Not sent to re-link</t>
        </is>
      </c>
      <c r="L132" t="inlineStr">
        <is>
          <t>Filled</t>
        </is>
      </c>
      <c r="M132" t="inlineStr">
        <is>
          <t>Filled</t>
        </is>
      </c>
      <c r="N132" t="inlineStr">
        <is>
          <t>49010.00 2026</t>
        </is>
      </c>
      <c r="O132" t="n">
        <v>0</v>
      </c>
      <c r="P132" t="inlineStr">
        <is>
          <t>University adapter</t>
        </is>
      </c>
      <c r="Q132" t="inlineStr">
        <is>
          <t>Filled</t>
        </is>
      </c>
      <c r="R132" t="n">
        <v>6.5</v>
      </c>
      <c r="S132" t="inlineStr">
        <is>
          <t>Central English policy</t>
        </is>
      </c>
      <c r="T132" t="inlineStr">
        <is>
          <t>Central rule applies (value agrees)</t>
        </is>
      </c>
      <c r="U132" t="inlineStr"/>
      <c r="V132" t="inlineStr">
        <is>
          <t>Not stated on course page</t>
        </is>
      </c>
      <c r="W132" t="inlineStr"/>
      <c r="X132" t="inlineStr"/>
      <c r="Y132" t="n">
        <v>0</v>
      </c>
      <c r="Z132" t="inlineStr">
        <is>
          <t>No</t>
        </is>
      </c>
      <c r="AA132" t="inlineStr">
        <is>
          <t>Filled</t>
        </is>
      </c>
      <c r="AB132" t="inlineStr">
        <is>
          <t>on campus</t>
        </is>
      </c>
      <c r="AC132" t="inlineStr"/>
      <c r="AD132" t="n">
        <v>0</v>
      </c>
      <c r="AE132" t="inlineStr"/>
      <c r="AF132" t="inlineStr"/>
      <c r="AG132" t="inlineStr"/>
      <c r="AH132" t="inlineStr"/>
      <c r="AI132" t="inlineStr"/>
      <c r="AJ132" t="inlineStr"/>
      <c r="AK132" t="inlineStr"/>
      <c r="AL132" t="inlineStr"/>
      <c r="AM132" t="inlineStr"/>
    </row>
    <row r="133">
      <c r="A133" t="inlineStr">
        <is>
          <t>048379B</t>
        </is>
      </c>
      <c r="B133" t="inlineStr">
        <is>
          <t>Doctor of Philosophy, Research School of Physics and Engineering</t>
        </is>
      </c>
      <c r="C133" t="inlineStr">
        <is>
          <t>Doctorate / PhD</t>
        </is>
      </c>
      <c r="D133" t="inlineStr">
        <is>
          <t>Research degree</t>
        </is>
      </c>
      <c r="E133" t="inlineStr">
        <is>
          <t>Advertised: official page in place</t>
        </is>
      </c>
      <c r="F133" t="inlineStr">
        <is>
          <t>https://programsandcourses.anu.edu.au/program/9680xphd</t>
        </is>
      </c>
      <c r="G133" t="inlineStr">
        <is>
          <t>https://programsandcourses.anu.edu.au/program/9680xphd</t>
        </is>
      </c>
      <c r="H133" t="inlineStr">
        <is>
          <t>Read</t>
        </is>
      </c>
      <c r="I133" t="inlineStr">
        <is>
          <t>CRICOS code on page</t>
        </is>
      </c>
      <c r="J133" t="inlineStr"/>
      <c r="K133" t="inlineStr">
        <is>
          <t>Not sent to re-link</t>
        </is>
      </c>
      <c r="L133" t="inlineStr">
        <is>
          <t>Filled</t>
        </is>
      </c>
      <c r="M133" t="inlineStr">
        <is>
          <t>Filled</t>
        </is>
      </c>
      <c r="N133" t="inlineStr">
        <is>
          <t>57640.00 2026</t>
        </is>
      </c>
      <c r="O133" t="n">
        <v>0</v>
      </c>
      <c r="P133" t="inlineStr">
        <is>
          <t>University adapter</t>
        </is>
      </c>
      <c r="Q133" t="inlineStr">
        <is>
          <t>Filled</t>
        </is>
      </c>
      <c r="R133" t="n">
        <v>6.5</v>
      </c>
      <c r="S133" t="inlineStr">
        <is>
          <t>Central English policy</t>
        </is>
      </c>
      <c r="T133" t="inlineStr">
        <is>
          <t>Central rule applies (value agrees)</t>
        </is>
      </c>
      <c r="U133" t="inlineStr"/>
      <c r="V133" t="inlineStr">
        <is>
          <t>Not stated on course page</t>
        </is>
      </c>
      <c r="W133" t="inlineStr"/>
      <c r="X133" t="inlineStr"/>
      <c r="Y133" t="n">
        <v>0</v>
      </c>
      <c r="Z133" t="inlineStr">
        <is>
          <t>No</t>
        </is>
      </c>
      <c r="AA133" t="inlineStr">
        <is>
          <t>Filled</t>
        </is>
      </c>
      <c r="AB133" t="inlineStr">
        <is>
          <t>on campus</t>
        </is>
      </c>
      <c r="AC133" t="inlineStr"/>
      <c r="AD133" t="n">
        <v>0</v>
      </c>
      <c r="AE133" t="inlineStr"/>
      <c r="AF133" t="inlineStr"/>
      <c r="AG133" t="inlineStr"/>
      <c r="AH133" t="inlineStr"/>
      <c r="AI133" t="inlineStr"/>
      <c r="AJ133" t="inlineStr"/>
      <c r="AK133" t="inlineStr"/>
      <c r="AL133" t="inlineStr"/>
      <c r="AM133" t="inlineStr"/>
    </row>
    <row r="134">
      <c r="A134" t="inlineStr">
        <is>
          <t>094628G</t>
        </is>
      </c>
      <c r="B134" t="inlineStr">
        <is>
          <t>Doctor of Philosophy, Research School of Population Health</t>
        </is>
      </c>
      <c r="C134" t="inlineStr">
        <is>
          <t>Doctorate / PhD</t>
        </is>
      </c>
      <c r="D134" t="inlineStr">
        <is>
          <t>Research degree</t>
        </is>
      </c>
      <c r="E134" t="inlineStr">
        <is>
          <t>Advertised: official page in place</t>
        </is>
      </c>
      <c r="F134" t="inlineStr">
        <is>
          <t>https://programsandcourses.anu.edu.au/program/9602xphd</t>
        </is>
      </c>
      <c r="G134" t="inlineStr">
        <is>
          <t>https://programsandcourses.anu.edu.au/program/9602xphd</t>
        </is>
      </c>
      <c r="H134" t="inlineStr">
        <is>
          <t>Read</t>
        </is>
      </c>
      <c r="I134" t="inlineStr">
        <is>
          <t>CRICOS code on page</t>
        </is>
      </c>
      <c r="J134" t="inlineStr"/>
      <c r="K134" t="inlineStr">
        <is>
          <t>Not sent to re-link</t>
        </is>
      </c>
      <c r="L134" t="inlineStr">
        <is>
          <t>Filled</t>
        </is>
      </c>
      <c r="M134" t="inlineStr">
        <is>
          <t>Filled</t>
        </is>
      </c>
      <c r="N134" t="inlineStr">
        <is>
          <t>62700.00 2026</t>
        </is>
      </c>
      <c r="O134" t="n">
        <v>0</v>
      </c>
      <c r="P134" t="inlineStr">
        <is>
          <t>University adapter</t>
        </is>
      </c>
      <c r="Q134" t="inlineStr">
        <is>
          <t>Filled</t>
        </is>
      </c>
      <c r="R134" t="n">
        <v>6.5</v>
      </c>
      <c r="S134" t="inlineStr">
        <is>
          <t>Central English policy</t>
        </is>
      </c>
      <c r="T134" t="inlineStr">
        <is>
          <t>Central rule applies (value agrees)</t>
        </is>
      </c>
      <c r="U134" t="inlineStr"/>
      <c r="V134" t="inlineStr">
        <is>
          <t>Not stated on course page</t>
        </is>
      </c>
      <c r="W134" t="inlineStr"/>
      <c r="X134" t="inlineStr"/>
      <c r="Y134" t="n">
        <v>0</v>
      </c>
      <c r="Z134" t="inlineStr">
        <is>
          <t>No</t>
        </is>
      </c>
      <c r="AA134" t="inlineStr">
        <is>
          <t>Filled</t>
        </is>
      </c>
      <c r="AB134" t="inlineStr">
        <is>
          <t>on campus</t>
        </is>
      </c>
      <c r="AC134" t="inlineStr"/>
      <c r="AD134" t="n">
        <v>0</v>
      </c>
      <c r="AE134" t="inlineStr"/>
      <c r="AF134" t="inlineStr"/>
      <c r="AG134" t="inlineStr"/>
      <c r="AH134" t="inlineStr"/>
      <c r="AI134" t="inlineStr"/>
      <c r="AJ134" t="inlineStr"/>
      <c r="AK134" t="inlineStr"/>
      <c r="AL134" t="inlineStr"/>
      <c r="AM134" t="inlineStr"/>
    </row>
    <row r="135">
      <c r="A135" t="inlineStr">
        <is>
          <t>036805K</t>
        </is>
      </c>
      <c r="B135" t="inlineStr">
        <is>
          <t>Doctor of Philosophy, Research School of Social Sciences</t>
        </is>
      </c>
      <c r="C135" t="inlineStr">
        <is>
          <t>Doctorate / PhD</t>
        </is>
      </c>
      <c r="D135" t="inlineStr">
        <is>
          <t>Research degree</t>
        </is>
      </c>
      <c r="E135" t="inlineStr">
        <is>
          <t>Advertised: official page in place</t>
        </is>
      </c>
      <c r="F135" t="inlineStr">
        <is>
          <t>https://programsandcourses.anu.edu.au/program/9520xphd</t>
        </is>
      </c>
      <c r="G135" t="inlineStr">
        <is>
          <t>https://programsandcourses.anu.edu.au/program/9520xphd</t>
        </is>
      </c>
      <c r="H135" t="inlineStr">
        <is>
          <t>Read</t>
        </is>
      </c>
      <c r="I135" t="inlineStr">
        <is>
          <t>CRICOS code on page</t>
        </is>
      </c>
      <c r="J135" t="inlineStr"/>
      <c r="K135" t="inlineStr">
        <is>
          <t>Not sent to re-link</t>
        </is>
      </c>
      <c r="L135" t="inlineStr">
        <is>
          <t>Filled</t>
        </is>
      </c>
      <c r="M135" t="inlineStr">
        <is>
          <t>Filled</t>
        </is>
      </c>
      <c r="N135" t="inlineStr">
        <is>
          <t>49010.00 2026</t>
        </is>
      </c>
      <c r="O135" t="n">
        <v>0</v>
      </c>
      <c r="P135" t="inlineStr">
        <is>
          <t>University adapter</t>
        </is>
      </c>
      <c r="Q135" t="inlineStr">
        <is>
          <t>Filled</t>
        </is>
      </c>
      <c r="R135" t="n">
        <v>6.5</v>
      </c>
      <c r="S135" t="inlineStr">
        <is>
          <t>Central English policy</t>
        </is>
      </c>
      <c r="T135" t="inlineStr">
        <is>
          <t>Central rule applies (value agrees)</t>
        </is>
      </c>
      <c r="U135" t="inlineStr"/>
      <c r="V135" t="inlineStr">
        <is>
          <t>Not stated on course page</t>
        </is>
      </c>
      <c r="W135" t="inlineStr"/>
      <c r="X135" t="inlineStr"/>
      <c r="Y135" t="n">
        <v>0</v>
      </c>
      <c r="Z135" t="inlineStr">
        <is>
          <t>No</t>
        </is>
      </c>
      <c r="AA135" t="inlineStr">
        <is>
          <t>Filled</t>
        </is>
      </c>
      <c r="AB135" t="inlineStr">
        <is>
          <t>on campus</t>
        </is>
      </c>
      <c r="AC135" t="inlineStr"/>
      <c r="AD135" t="n">
        <v>0</v>
      </c>
      <c r="AE135" t="inlineStr"/>
      <c r="AF135" t="inlineStr"/>
      <c r="AG135" t="inlineStr"/>
      <c r="AH135" t="inlineStr"/>
      <c r="AI135" t="inlineStr"/>
      <c r="AJ135" t="inlineStr"/>
      <c r="AK135" t="inlineStr"/>
      <c r="AL135" t="inlineStr"/>
      <c r="AM135" t="inlineStr"/>
    </row>
    <row r="136">
      <c r="A136" t="inlineStr">
        <is>
          <t>114814C</t>
        </is>
      </c>
      <c r="B136" t="inlineStr">
        <is>
          <t>Doctor of Philosophy, School of Computing</t>
        </is>
      </c>
      <c r="C136" t="inlineStr">
        <is>
          <t>Doctorate / PhD</t>
        </is>
      </c>
      <c r="D136" t="inlineStr">
        <is>
          <t>Research degree</t>
        </is>
      </c>
      <c r="E136" t="inlineStr">
        <is>
          <t>Advertised: official page in place</t>
        </is>
      </c>
      <c r="F136" t="inlineStr">
        <is>
          <t>https://programsandcourses.anu.edu.au/program/9714xphd</t>
        </is>
      </c>
      <c r="G136" t="inlineStr">
        <is>
          <t>https://programsandcourses.anu.edu.au/program/9714xphd</t>
        </is>
      </c>
      <c r="H136" t="inlineStr">
        <is>
          <t>Read</t>
        </is>
      </c>
      <c r="I136" t="inlineStr">
        <is>
          <t>CRICOS code on page</t>
        </is>
      </c>
      <c r="J136" t="inlineStr"/>
      <c r="K136" t="inlineStr">
        <is>
          <t>Not sent to re-link</t>
        </is>
      </c>
      <c r="L136" t="inlineStr">
        <is>
          <t>Filled</t>
        </is>
      </c>
      <c r="M136" t="inlineStr">
        <is>
          <t>Filled</t>
        </is>
      </c>
      <c r="N136" t="inlineStr">
        <is>
          <t>58925.00 2026</t>
        </is>
      </c>
      <c r="O136" t="n">
        <v>0</v>
      </c>
      <c r="P136" t="inlineStr">
        <is>
          <t>University adapter</t>
        </is>
      </c>
      <c r="Q136" t="inlineStr">
        <is>
          <t>Filled</t>
        </is>
      </c>
      <c r="R136" t="n">
        <v>6.5</v>
      </c>
      <c r="S136" t="inlineStr">
        <is>
          <t>Central English policy</t>
        </is>
      </c>
      <c r="T136" t="inlineStr">
        <is>
          <t>Central rule applies (value agrees)</t>
        </is>
      </c>
      <c r="U136" t="inlineStr"/>
      <c r="V136" t="inlineStr">
        <is>
          <t>Not stated on course page</t>
        </is>
      </c>
      <c r="W136" t="inlineStr"/>
      <c r="X136" t="inlineStr"/>
      <c r="Y136" t="n">
        <v>0</v>
      </c>
      <c r="Z136" t="inlineStr">
        <is>
          <t>No</t>
        </is>
      </c>
      <c r="AA136" t="inlineStr">
        <is>
          <t>Filled</t>
        </is>
      </c>
      <c r="AB136" t="inlineStr">
        <is>
          <t>on campus</t>
        </is>
      </c>
      <c r="AC136" t="inlineStr"/>
      <c r="AD136" t="n">
        <v>0</v>
      </c>
      <c r="AE136" t="inlineStr"/>
      <c r="AF136" t="inlineStr"/>
      <c r="AG136" t="inlineStr"/>
      <c r="AH136" t="inlineStr"/>
      <c r="AI136" t="inlineStr"/>
      <c r="AJ136" t="inlineStr"/>
      <c r="AK136" t="inlineStr"/>
      <c r="AL136" t="inlineStr"/>
      <c r="AM136" t="inlineStr"/>
    </row>
    <row r="137">
      <c r="A137" t="inlineStr">
        <is>
          <t>113800F</t>
        </is>
      </c>
      <c r="B137" t="inlineStr">
        <is>
          <t>Doctor of Philosophy, School of Cybernetics</t>
        </is>
      </c>
      <c r="C137" t="inlineStr">
        <is>
          <t>Doctorate / PhD</t>
        </is>
      </c>
      <c r="D137" t="inlineStr">
        <is>
          <t>Research degree</t>
        </is>
      </c>
      <c r="E137" t="inlineStr">
        <is>
          <t>Advertised: official page in place</t>
        </is>
      </c>
      <c r="F137" t="inlineStr">
        <is>
          <t>https://programsandcourses.anu.edu.au/2024/program/9073XPHD</t>
        </is>
      </c>
      <c r="G137" t="inlineStr">
        <is>
          <t>https://programsandcourses.anu.edu.au/program/9073XPHD</t>
        </is>
      </c>
      <c r="H137" t="inlineStr">
        <is>
          <t>Read</t>
        </is>
      </c>
      <c r="I137" t="inlineStr">
        <is>
          <t>CRICOS code on page</t>
        </is>
      </c>
      <c r="J137" t="inlineStr"/>
      <c r="K137" t="inlineStr">
        <is>
          <t>Not sent to re-link</t>
        </is>
      </c>
      <c r="L137" t="inlineStr">
        <is>
          <t>Filled</t>
        </is>
      </c>
      <c r="M137" t="inlineStr">
        <is>
          <t>Filled</t>
        </is>
      </c>
      <c r="N137" t="inlineStr">
        <is>
          <t>58925.00 2026</t>
        </is>
      </c>
      <c r="O137" t="n">
        <v>0</v>
      </c>
      <c r="P137" t="inlineStr">
        <is>
          <t>University adapter</t>
        </is>
      </c>
      <c r="Q137" t="inlineStr">
        <is>
          <t>Filled</t>
        </is>
      </c>
      <c r="R137" t="n">
        <v>6.5</v>
      </c>
      <c r="S137" t="inlineStr">
        <is>
          <t>Central English policy</t>
        </is>
      </c>
      <c r="T137" t="inlineStr">
        <is>
          <t>Central rule applies (value agrees)</t>
        </is>
      </c>
      <c r="U137" t="inlineStr"/>
      <c r="V137" t="inlineStr">
        <is>
          <t>Not stated on course page</t>
        </is>
      </c>
      <c r="W137" t="inlineStr"/>
      <c r="X137" t="inlineStr"/>
      <c r="Y137" t="n">
        <v>0</v>
      </c>
      <c r="Z137" t="inlineStr">
        <is>
          <t>No</t>
        </is>
      </c>
      <c r="AA137" t="inlineStr">
        <is>
          <t>Filled</t>
        </is>
      </c>
      <c r="AB137" t="inlineStr">
        <is>
          <t>blended</t>
        </is>
      </c>
      <c r="AC137" t="inlineStr"/>
      <c r="AD137" t="n">
        <v>0</v>
      </c>
      <c r="AE137" t="inlineStr"/>
      <c r="AF137" t="inlineStr"/>
      <c r="AG137" t="inlineStr"/>
      <c r="AH137" t="inlineStr"/>
      <c r="AI137" t="inlineStr"/>
      <c r="AJ137" t="inlineStr"/>
      <c r="AK137" t="inlineStr"/>
      <c r="AL137" t="inlineStr"/>
      <c r="AM137" t="inlineStr"/>
    </row>
    <row r="138">
      <c r="A138" t="inlineStr">
        <is>
          <t>114813D</t>
        </is>
      </c>
      <c r="B138" t="inlineStr">
        <is>
          <t>Doctor of Philosophy, School of Engineering</t>
        </is>
      </c>
      <c r="C138" t="inlineStr">
        <is>
          <t>Doctorate / PhD</t>
        </is>
      </c>
      <c r="D138" t="inlineStr">
        <is>
          <t>Research degree</t>
        </is>
      </c>
      <c r="E138" t="inlineStr">
        <is>
          <t>Advertised: official page in place</t>
        </is>
      </c>
      <c r="F138" t="inlineStr">
        <is>
          <t>https://programsandcourses.anu.edu.au/program/9715xphd</t>
        </is>
      </c>
      <c r="G138" t="inlineStr">
        <is>
          <t>https://programsandcourses.anu.edu.au/program/9715xphd</t>
        </is>
      </c>
      <c r="H138" t="inlineStr">
        <is>
          <t>Read</t>
        </is>
      </c>
      <c r="I138" t="inlineStr">
        <is>
          <t>CRICOS code on page</t>
        </is>
      </c>
      <c r="J138" t="inlineStr"/>
      <c r="K138" t="inlineStr">
        <is>
          <t>Not sent to re-link</t>
        </is>
      </c>
      <c r="L138" t="inlineStr">
        <is>
          <t>Filled</t>
        </is>
      </c>
      <c r="M138" t="inlineStr">
        <is>
          <t>Filled</t>
        </is>
      </c>
      <c r="N138" t="inlineStr">
        <is>
          <t>58925.00 2026</t>
        </is>
      </c>
      <c r="O138" t="n">
        <v>0</v>
      </c>
      <c r="P138" t="inlineStr">
        <is>
          <t>University adapter</t>
        </is>
      </c>
      <c r="Q138" t="inlineStr">
        <is>
          <t>Filled</t>
        </is>
      </c>
      <c r="R138" t="n">
        <v>6.5</v>
      </c>
      <c r="S138" t="inlineStr">
        <is>
          <t>Central English policy</t>
        </is>
      </c>
      <c r="T138" t="inlineStr">
        <is>
          <t>Central rule applies (value agrees)</t>
        </is>
      </c>
      <c r="U138" t="inlineStr"/>
      <c r="V138" t="inlineStr">
        <is>
          <t>Not stated on course page</t>
        </is>
      </c>
      <c r="W138" t="inlineStr"/>
      <c r="X138" t="inlineStr"/>
      <c r="Y138" t="n">
        <v>0</v>
      </c>
      <c r="Z138" t="inlineStr">
        <is>
          <t>No</t>
        </is>
      </c>
      <c r="AA138" t="inlineStr">
        <is>
          <t>Filled</t>
        </is>
      </c>
      <c r="AB138" t="inlineStr">
        <is>
          <t>on campus</t>
        </is>
      </c>
      <c r="AC138" t="inlineStr"/>
      <c r="AD138" t="n">
        <v>0</v>
      </c>
      <c r="AE138" t="inlineStr"/>
      <c r="AF138" t="inlineStr"/>
      <c r="AG138" t="inlineStr"/>
      <c r="AH138" t="inlineStr"/>
      <c r="AI138" t="inlineStr"/>
      <c r="AJ138" t="inlineStr"/>
      <c r="AK138" t="inlineStr"/>
      <c r="AL138" t="inlineStr"/>
      <c r="AM138" t="inlineStr"/>
    </row>
    <row r="139">
      <c r="A139" t="inlineStr">
        <is>
          <t>048349G</t>
        </is>
      </c>
      <c r="B139" t="inlineStr">
        <is>
          <t>Doctor of Philosophy, Science</t>
        </is>
      </c>
      <c r="C139" t="inlineStr">
        <is>
          <t>Doctorate / PhD</t>
        </is>
      </c>
      <c r="D139" t="inlineStr">
        <is>
          <t>Research degree</t>
        </is>
      </c>
      <c r="E139" t="inlineStr">
        <is>
          <t>Advertised: official page in place</t>
        </is>
      </c>
      <c r="F139" t="inlineStr">
        <is>
          <t>https://programsandcourses.anu.edu.au/program/9060xphd</t>
        </is>
      </c>
      <c r="G139" t="inlineStr">
        <is>
          <t>https://programsandcourses.anu.edu.au/program/9060xphd</t>
        </is>
      </c>
      <c r="H139" t="inlineStr">
        <is>
          <t>Read</t>
        </is>
      </c>
      <c r="I139" t="inlineStr">
        <is>
          <t>CRICOS code on page</t>
        </is>
      </c>
      <c r="J139" t="inlineStr"/>
      <c r="K139" t="inlineStr">
        <is>
          <t>Not sent to re-link</t>
        </is>
      </c>
      <c r="L139" t="inlineStr">
        <is>
          <t>Filled</t>
        </is>
      </c>
      <c r="M139" t="inlineStr">
        <is>
          <t>Filled</t>
        </is>
      </c>
      <c r="N139" t="inlineStr">
        <is>
          <t>58925.00 2026</t>
        </is>
      </c>
      <c r="O139" t="n">
        <v>0</v>
      </c>
      <c r="P139" t="inlineStr">
        <is>
          <t>University adapter</t>
        </is>
      </c>
      <c r="Q139" t="inlineStr">
        <is>
          <t>Filled</t>
        </is>
      </c>
      <c r="R139" t="n">
        <v>6.5</v>
      </c>
      <c r="S139" t="inlineStr">
        <is>
          <t>Central English policy</t>
        </is>
      </c>
      <c r="T139" t="inlineStr">
        <is>
          <t>Central rule applies (value agrees)</t>
        </is>
      </c>
      <c r="U139" t="inlineStr"/>
      <c r="V139" t="inlineStr">
        <is>
          <t>Not stated on course page</t>
        </is>
      </c>
      <c r="W139" t="inlineStr"/>
      <c r="X139" t="inlineStr"/>
      <c r="Y139" t="n">
        <v>0</v>
      </c>
      <c r="Z139" t="inlineStr">
        <is>
          <t>No</t>
        </is>
      </c>
      <c r="AA139" t="inlineStr">
        <is>
          <t>Filled</t>
        </is>
      </c>
      <c r="AB139" t="inlineStr">
        <is>
          <t>on campus</t>
        </is>
      </c>
      <c r="AC139" t="inlineStr"/>
      <c r="AD139" t="n">
        <v>0</v>
      </c>
      <c r="AE139" t="inlineStr"/>
      <c r="AF139" t="inlineStr"/>
      <c r="AG139" t="inlineStr"/>
      <c r="AH139" t="inlineStr"/>
      <c r="AI139" t="inlineStr"/>
      <c r="AJ139" t="inlineStr"/>
      <c r="AK139" t="inlineStr"/>
      <c r="AL139" t="inlineStr"/>
      <c r="AM139" t="inlineStr"/>
    </row>
    <row r="140">
      <c r="A140" t="inlineStr">
        <is>
          <t>037425C</t>
        </is>
      </c>
      <c r="B140" t="inlineStr">
        <is>
          <t>Exchange (Non-Degree)</t>
        </is>
      </c>
      <c r="C140" t="inlineStr">
        <is>
          <t>Non AQF Award</t>
        </is>
      </c>
      <c r="D140" t="inlineStr">
        <is>
          <t>Non-award</t>
        </is>
      </c>
      <c r="E140" t="inlineStr">
        <is>
          <t>Advertised: official page in place</t>
        </is>
      </c>
      <c r="F140" t="inlineStr">
        <is>
          <t>https://programsandcourses.anu.edu.au/program/1301xnawd6</t>
        </is>
      </c>
      <c r="G140" t="inlineStr">
        <is>
          <t>https://programsandcourses.anu.edu.au/program/1301xnawd6</t>
        </is>
      </c>
      <c r="H140" t="inlineStr">
        <is>
          <t>Read</t>
        </is>
      </c>
      <c r="I140" t="inlineStr">
        <is>
          <t>CRICOS code on page</t>
        </is>
      </c>
      <c r="J140" t="inlineStr"/>
      <c r="K140" t="inlineStr">
        <is>
          <t>Not sent to re-link</t>
        </is>
      </c>
      <c r="L140" t="inlineStr">
        <is>
          <t>Filled</t>
        </is>
      </c>
      <c r="M140" t="inlineStr">
        <is>
          <t>Not stated on course page</t>
        </is>
      </c>
      <c r="N140" t="inlineStr"/>
      <c r="O140" t="n">
        <v>0</v>
      </c>
      <c r="P140" t="inlineStr"/>
      <c r="Q140" t="inlineStr">
        <is>
          <t>Not stated on course page</t>
        </is>
      </c>
      <c r="S140" t="inlineStr"/>
      <c r="T140" t="inlineStr">
        <is>
          <t>Held: level not covered by the policy default</t>
        </is>
      </c>
      <c r="U140" t="inlineStr"/>
      <c r="V140" t="inlineStr">
        <is>
          <t>Not stated on course page</t>
        </is>
      </c>
      <c r="W140" t="inlineStr"/>
      <c r="X140" t="inlineStr"/>
      <c r="Y140" t="n">
        <v>0</v>
      </c>
      <c r="Z140" t="inlineStr">
        <is>
          <t>No</t>
        </is>
      </c>
      <c r="AA140" t="inlineStr">
        <is>
          <t>Not stated on course page</t>
        </is>
      </c>
      <c r="AB140" t="inlineStr"/>
      <c r="AC140" t="inlineStr">
        <is>
          <t>Skipped: the page does not state it</t>
        </is>
      </c>
      <c r="AD140" t="n">
        <v>0</v>
      </c>
      <c r="AE140" t="inlineStr"/>
      <c r="AF140" t="inlineStr"/>
      <c r="AG140" t="inlineStr"/>
      <c r="AH140" t="inlineStr"/>
      <c r="AI140" t="inlineStr"/>
      <c r="AJ140" t="inlineStr">
        <is>
          <t>Yes</t>
        </is>
      </c>
      <c r="AK140" t="inlineStr"/>
      <c r="AL140" t="inlineStr"/>
      <c r="AM140" t="inlineStr"/>
    </row>
    <row r="141">
      <c r="A141" t="inlineStr">
        <is>
          <t>025702G</t>
        </is>
      </c>
      <c r="B141" t="inlineStr">
        <is>
          <t>Exchange (Non-Degree)</t>
        </is>
      </c>
      <c r="C141" t="inlineStr">
        <is>
          <t>Non AQF Award</t>
        </is>
      </c>
      <c r="D141" t="inlineStr">
        <is>
          <t>Non-award</t>
        </is>
      </c>
      <c r="E141" t="inlineStr">
        <is>
          <t>Advertised: official page in place</t>
        </is>
      </c>
      <c r="F141" t="inlineStr">
        <is>
          <t>https://programsandcourses.anu.edu.au/program/1301xnawd</t>
        </is>
      </c>
      <c r="G141" t="inlineStr">
        <is>
          <t>https://programsandcourses.anu.edu.au/program/1301xnawd</t>
        </is>
      </c>
      <c r="H141" t="inlineStr">
        <is>
          <t>Read</t>
        </is>
      </c>
      <c r="I141" t="inlineStr">
        <is>
          <t>CRICOS code on page</t>
        </is>
      </c>
      <c r="J141" t="inlineStr"/>
      <c r="K141" t="inlineStr">
        <is>
          <t>Not sent to re-link</t>
        </is>
      </c>
      <c r="L141" t="inlineStr">
        <is>
          <t>Filled</t>
        </is>
      </c>
      <c r="M141" t="inlineStr">
        <is>
          <t>Not stated on course page</t>
        </is>
      </c>
      <c r="N141" t="inlineStr"/>
      <c r="O141" t="n">
        <v>0</v>
      </c>
      <c r="P141" t="inlineStr"/>
      <c r="Q141" t="inlineStr">
        <is>
          <t>Not stated on course page</t>
        </is>
      </c>
      <c r="S141" t="inlineStr"/>
      <c r="T141" t="inlineStr">
        <is>
          <t>Held: level not covered by the policy default</t>
        </is>
      </c>
      <c r="U141" t="inlineStr"/>
      <c r="V141" t="inlineStr">
        <is>
          <t>Not stated on course page</t>
        </is>
      </c>
      <c r="W141" t="inlineStr"/>
      <c r="X141" t="inlineStr"/>
      <c r="Y141" t="n">
        <v>0</v>
      </c>
      <c r="Z141" t="inlineStr">
        <is>
          <t>No</t>
        </is>
      </c>
      <c r="AA141" t="inlineStr">
        <is>
          <t>Not stated on course page</t>
        </is>
      </c>
      <c r="AB141" t="inlineStr"/>
      <c r="AC141" t="inlineStr">
        <is>
          <t>Skipped: the page does not state it</t>
        </is>
      </c>
      <c r="AD141" t="n">
        <v>0</v>
      </c>
      <c r="AE141" t="inlineStr"/>
      <c r="AF141" t="inlineStr"/>
      <c r="AG141" t="inlineStr"/>
      <c r="AH141" t="inlineStr"/>
      <c r="AI141" t="inlineStr"/>
      <c r="AJ141" t="inlineStr">
        <is>
          <t>Yes</t>
        </is>
      </c>
      <c r="AK141" t="inlineStr"/>
      <c r="AL141" t="inlineStr"/>
      <c r="AM141" t="inlineStr"/>
    </row>
    <row r="142">
      <c r="A142" t="inlineStr">
        <is>
          <t>095622F</t>
        </is>
      </c>
      <c r="B142" t="inlineStr">
        <is>
          <t>Executive Master of Public Policy</t>
        </is>
      </c>
      <c r="C142" t="inlineStr">
        <is>
          <t>Masters Degree (Coursework)</t>
        </is>
      </c>
      <c r="D142" t="inlineStr">
        <is>
          <t>Postgraduate coursework</t>
        </is>
      </c>
      <c r="E142" t="inlineStr">
        <is>
          <t>Advertised: official page in place</t>
        </is>
      </c>
      <c r="F142" t="inlineStr">
        <is>
          <t>https://programsandcourses.anu.edu.au/2025/program/mempp</t>
        </is>
      </c>
      <c r="G142" t="inlineStr">
        <is>
          <t>https://programsandcourses.anu.edu.au/2025/program/mempp</t>
        </is>
      </c>
      <c r="H142" t="inlineStr">
        <is>
          <t>Read</t>
        </is>
      </c>
      <c r="I142" t="inlineStr">
        <is>
          <t>CRICOS code on page</t>
        </is>
      </c>
      <c r="J142" t="inlineStr"/>
      <c r="K142" t="inlineStr">
        <is>
          <t>Not sent to re-link</t>
        </is>
      </c>
      <c r="L142" t="inlineStr">
        <is>
          <t>Filled</t>
        </is>
      </c>
      <c r="M142" t="inlineStr">
        <is>
          <t>Filled</t>
        </is>
      </c>
      <c r="N142" t="inlineStr">
        <is>
          <t>53700.00 2026</t>
        </is>
      </c>
      <c r="O142" t="n">
        <v>0</v>
      </c>
      <c r="P142" t="inlineStr">
        <is>
          <t>University adapter</t>
        </is>
      </c>
      <c r="Q142" t="inlineStr">
        <is>
          <t>Filled</t>
        </is>
      </c>
      <c r="R142" t="n">
        <v>6.5</v>
      </c>
      <c r="S142" t="inlineStr">
        <is>
          <t>Central English policy</t>
        </is>
      </c>
      <c r="T142" t="inlineStr">
        <is>
          <t>Central rule applies (value agrees)</t>
        </is>
      </c>
      <c r="U142" t="inlineStr"/>
      <c r="V142" t="inlineStr">
        <is>
          <t>Not stated on course page</t>
        </is>
      </c>
      <c r="W142" t="inlineStr"/>
      <c r="X142" t="inlineStr"/>
      <c r="Y142" t="n">
        <v>0</v>
      </c>
      <c r="Z142" t="inlineStr">
        <is>
          <t>No</t>
        </is>
      </c>
      <c r="AA142" t="inlineStr">
        <is>
          <t>Filled</t>
        </is>
      </c>
      <c r="AB142" t="inlineStr">
        <is>
          <t>on campus</t>
        </is>
      </c>
      <c r="AC142" t="inlineStr"/>
      <c r="AD142" t="n">
        <v>0</v>
      </c>
      <c r="AE142" t="inlineStr"/>
      <c r="AF142" t="inlineStr"/>
      <c r="AG142" t="inlineStr"/>
      <c r="AH142" t="inlineStr"/>
      <c r="AI142" t="inlineStr"/>
      <c r="AJ142" t="inlineStr"/>
      <c r="AK142" t="inlineStr"/>
      <c r="AL142" t="inlineStr"/>
      <c r="AM142" t="inlineStr"/>
    </row>
    <row r="143">
      <c r="A143" t="inlineStr">
        <is>
          <t>119191M</t>
        </is>
      </c>
      <c r="B143" t="inlineStr">
        <is>
          <t>Flexible Double Degree - Advanced Computing (Honours)</t>
        </is>
      </c>
      <c r="C143" t="inlineStr">
        <is>
          <t>Bachelor Honours Degree</t>
        </is>
      </c>
      <c r="D143" t="inlineStr">
        <is>
          <t>Undergraduate</t>
        </is>
      </c>
      <c r="E143" t="inlineStr">
        <is>
          <t>Advertised: official page in place</t>
        </is>
      </c>
      <c r="F143" t="inlineStr">
        <is>
          <t>https://programsandcourses.anu.edu.au/program/aacom-barts</t>
        </is>
      </c>
      <c r="G143" t="inlineStr">
        <is>
          <t>https://programsandcourses.anu.edu.au/program/aacom-barts</t>
        </is>
      </c>
      <c r="H143" t="inlineStr">
        <is>
          <t>Read</t>
        </is>
      </c>
      <c r="I143" t="inlineStr">
        <is>
          <t>CRICOS code on page</t>
        </is>
      </c>
      <c r="J143" t="inlineStr"/>
      <c r="K143" t="inlineStr">
        <is>
          <t>Not sent to re-link</t>
        </is>
      </c>
      <c r="L143" t="inlineStr">
        <is>
          <t>Filled</t>
        </is>
      </c>
      <c r="M143" t="inlineStr">
        <is>
          <t>Filled</t>
        </is>
      </c>
      <c r="N143" t="inlineStr">
        <is>
          <t>57640.00 2026</t>
        </is>
      </c>
      <c r="O143" t="n">
        <v>0</v>
      </c>
      <c r="P143" t="inlineStr">
        <is>
          <t>University adapter</t>
        </is>
      </c>
      <c r="Q143" t="inlineStr">
        <is>
          <t>Filled</t>
        </is>
      </c>
      <c r="R143" t="n">
        <v>6.5</v>
      </c>
      <c r="S143" t="inlineStr">
        <is>
          <t>Central English policy</t>
        </is>
      </c>
      <c r="T143" t="inlineStr">
        <is>
          <t>Central rule applies (value agrees)</t>
        </is>
      </c>
      <c r="U143" t="inlineStr"/>
      <c r="V143" t="inlineStr">
        <is>
          <t>Value found, being checked</t>
        </is>
      </c>
      <c r="W143" t="inlineStr"/>
      <c r="X143" t="inlineStr"/>
      <c r="Y143" t="n">
        <v>0</v>
      </c>
      <c r="Z143" t="inlineStr">
        <is>
          <t>Yes</t>
        </is>
      </c>
      <c r="AA143" t="inlineStr">
        <is>
          <t>Filled</t>
        </is>
      </c>
      <c r="AB143" t="inlineStr">
        <is>
          <t>on campus</t>
        </is>
      </c>
      <c r="AC143" t="inlineStr"/>
      <c r="AD143" t="n">
        <v>0</v>
      </c>
      <c r="AE143" t="inlineStr"/>
      <c r="AF143" t="inlineStr">
        <is>
          <t>Yes</t>
        </is>
      </c>
      <c r="AG143" t="inlineStr"/>
      <c r="AH143" t="inlineStr"/>
      <c r="AI143" t="inlineStr"/>
      <c r="AJ143" t="inlineStr"/>
      <c r="AK143" t="inlineStr"/>
      <c r="AL143" t="inlineStr"/>
      <c r="AM143" t="inlineStr"/>
    </row>
    <row r="144">
      <c r="A144" t="inlineStr">
        <is>
          <t>079093D</t>
        </is>
      </c>
      <c r="B144" t="inlineStr">
        <is>
          <t>Flexible Double Degree - Arts, Social Sciences, Business, Science</t>
        </is>
      </c>
      <c r="C144" t="inlineStr">
        <is>
          <t>Bachelor</t>
        </is>
      </c>
      <c r="D144" t="inlineStr">
        <is>
          <t>Undergraduate</t>
        </is>
      </c>
      <c r="E144" t="inlineStr">
        <is>
          <t>Advertised: official page in place</t>
        </is>
      </c>
      <c r="F144" t="inlineStr">
        <is>
          <t>https://programsandcourses.anu.edu.au/program/4050fdd</t>
        </is>
      </c>
      <c r="G144" t="inlineStr">
        <is>
          <t>https://programsandcourses.anu.edu.au/program/4050fdd</t>
        </is>
      </c>
      <c r="H144" t="inlineStr">
        <is>
          <t>Read</t>
        </is>
      </c>
      <c r="I144" t="inlineStr">
        <is>
          <t>CRICOS code on page</t>
        </is>
      </c>
      <c r="J144" t="inlineStr"/>
      <c r="K144" t="inlineStr">
        <is>
          <t>Not sent to re-link</t>
        </is>
      </c>
      <c r="L144" t="inlineStr">
        <is>
          <t>Filled</t>
        </is>
      </c>
      <c r="M144" t="inlineStr">
        <is>
          <t>Not stated on course page</t>
        </is>
      </c>
      <c r="N144" t="inlineStr"/>
      <c r="O144" t="n">
        <v>0</v>
      </c>
      <c r="P144" t="inlineStr"/>
      <c r="Q144" t="inlineStr">
        <is>
          <t>Filled</t>
        </is>
      </c>
      <c r="R144" t="n">
        <v>6.5</v>
      </c>
      <c r="S144" t="inlineStr">
        <is>
          <t>Central English policy</t>
        </is>
      </c>
      <c r="T144" t="inlineStr">
        <is>
          <t>Central rule applies (value agrees)</t>
        </is>
      </c>
      <c r="U144" t="inlineStr"/>
      <c r="V144" t="inlineStr">
        <is>
          <t>Not stated on course page</t>
        </is>
      </c>
      <c r="W144" t="inlineStr"/>
      <c r="X144" t="inlineStr"/>
      <c r="Y144" t="n">
        <v>0</v>
      </c>
      <c r="Z144" t="inlineStr">
        <is>
          <t>Yes</t>
        </is>
      </c>
      <c r="AA144" t="inlineStr">
        <is>
          <t>Filled</t>
        </is>
      </c>
      <c r="AB144" t="inlineStr">
        <is>
          <t>on campus</t>
        </is>
      </c>
      <c r="AC144" t="inlineStr">
        <is>
          <t>Filled</t>
        </is>
      </c>
      <c r="AD144" t="n">
        <v>0</v>
      </c>
      <c r="AE144" t="inlineStr"/>
      <c r="AF144" t="inlineStr"/>
      <c r="AG144" t="inlineStr"/>
      <c r="AH144" t="inlineStr"/>
      <c r="AI144" t="inlineStr"/>
      <c r="AJ144" t="inlineStr"/>
      <c r="AK144" t="inlineStr"/>
      <c r="AL144" t="inlineStr"/>
      <c r="AM144" t="inlineStr"/>
    </row>
    <row r="145">
      <c r="A145" t="inlineStr">
        <is>
          <t>079656G</t>
        </is>
      </c>
      <c r="B145" t="inlineStr">
        <is>
          <t>Flexible Double Degree - Arts, Social Sciences, Business, Science (5 year)</t>
        </is>
      </c>
      <c r="C145" t="inlineStr">
        <is>
          <t>Bachelor</t>
        </is>
      </c>
      <c r="D145" t="inlineStr">
        <is>
          <t>Undergraduate</t>
        </is>
      </c>
      <c r="E145" t="inlineStr">
        <is>
          <t>Advertised: official page in place</t>
        </is>
      </c>
      <c r="F145" t="inlineStr">
        <is>
          <t>https://programsandcourses.anu.edu.au/program/4569fdd</t>
        </is>
      </c>
      <c r="G145" t="inlineStr">
        <is>
          <t>https://programsandcourses.anu.edu.au/program/4569fdd</t>
        </is>
      </c>
      <c r="H145" t="inlineStr">
        <is>
          <t>Read</t>
        </is>
      </c>
      <c r="I145" t="inlineStr">
        <is>
          <t>CRICOS code on page</t>
        </is>
      </c>
      <c r="J145" t="inlineStr"/>
      <c r="K145" t="inlineStr">
        <is>
          <t>Not sent to re-link</t>
        </is>
      </c>
      <c r="L145" t="inlineStr">
        <is>
          <t>Filled</t>
        </is>
      </c>
      <c r="M145" t="inlineStr">
        <is>
          <t>Not stated on course page</t>
        </is>
      </c>
      <c r="N145" t="inlineStr"/>
      <c r="O145" t="n">
        <v>0</v>
      </c>
      <c r="P145" t="inlineStr"/>
      <c r="Q145" t="inlineStr">
        <is>
          <t>Filled</t>
        </is>
      </c>
      <c r="R145" t="n">
        <v>6.5</v>
      </c>
      <c r="S145" t="inlineStr">
        <is>
          <t>Central English policy</t>
        </is>
      </c>
      <c r="T145" t="inlineStr">
        <is>
          <t>Central rule applies (value agrees)</t>
        </is>
      </c>
      <c r="U145" t="inlineStr"/>
      <c r="V145" t="inlineStr">
        <is>
          <t>Not stated on course page</t>
        </is>
      </c>
      <c r="W145" t="inlineStr"/>
      <c r="X145" t="inlineStr"/>
      <c r="Y145" t="n">
        <v>0</v>
      </c>
      <c r="Z145" t="inlineStr">
        <is>
          <t>Yes</t>
        </is>
      </c>
      <c r="AA145" t="inlineStr">
        <is>
          <t>Filled</t>
        </is>
      </c>
      <c r="AB145" t="inlineStr">
        <is>
          <t>on campus</t>
        </is>
      </c>
      <c r="AC145" t="inlineStr">
        <is>
          <t>Filled</t>
        </is>
      </c>
      <c r="AD145" t="n">
        <v>0</v>
      </c>
      <c r="AE145" t="inlineStr"/>
      <c r="AF145" t="inlineStr"/>
      <c r="AG145" t="inlineStr"/>
      <c r="AH145" t="inlineStr"/>
      <c r="AI145" t="inlineStr"/>
      <c r="AJ145" t="inlineStr"/>
      <c r="AK145" t="inlineStr"/>
      <c r="AL145" t="inlineStr"/>
      <c r="AM145" t="inlineStr"/>
    </row>
    <row r="146">
      <c r="A146" t="inlineStr">
        <is>
          <t>117467D</t>
        </is>
      </c>
      <c r="B146" t="inlineStr">
        <is>
          <t>Flexible Double Degree - Engineering</t>
        </is>
      </c>
      <c r="C146" t="inlineStr">
        <is>
          <t>Bachelor</t>
        </is>
      </c>
      <c r="D146" t="inlineStr">
        <is>
          <t>Undergraduate</t>
        </is>
      </c>
      <c r="E146" t="inlineStr">
        <is>
          <t>Advertised: official page in place</t>
        </is>
      </c>
      <c r="F146" t="inlineStr">
        <is>
          <t>https://programsandcourses.anu.edu.au/program/binss-aenrd</t>
        </is>
      </c>
      <c r="G146" t="inlineStr">
        <is>
          <t>https://programsandcourses.anu.edu.au/program/binss-aenrd</t>
        </is>
      </c>
      <c r="H146" t="inlineStr">
        <is>
          <t>Read</t>
        </is>
      </c>
      <c r="I146" t="inlineStr">
        <is>
          <t>CRICOS code on page</t>
        </is>
      </c>
      <c r="J146" t="inlineStr"/>
      <c r="K146" t="inlineStr">
        <is>
          <t>Not sent to re-link</t>
        </is>
      </c>
      <c r="L146" t="inlineStr">
        <is>
          <t>Filled</t>
        </is>
      </c>
      <c r="M146" t="inlineStr">
        <is>
          <t>Filled</t>
        </is>
      </c>
      <c r="N146" t="inlineStr">
        <is>
          <t>57640.00 2026</t>
        </is>
      </c>
      <c r="O146" t="n">
        <v>0</v>
      </c>
      <c r="P146" t="inlineStr">
        <is>
          <t>University adapter</t>
        </is>
      </c>
      <c r="Q146" t="inlineStr">
        <is>
          <t>Filled</t>
        </is>
      </c>
      <c r="R146" t="n">
        <v>6.5</v>
      </c>
      <c r="S146" t="inlineStr">
        <is>
          <t>Central English policy</t>
        </is>
      </c>
      <c r="T146" t="inlineStr">
        <is>
          <t>Central rule applies (value agrees)</t>
        </is>
      </c>
      <c r="U146" t="inlineStr"/>
      <c r="V146" t="inlineStr">
        <is>
          <t>Waiting for AI reading (Layer 3, now retired)</t>
        </is>
      </c>
      <c r="W146" t="inlineStr"/>
      <c r="X146" t="inlineStr"/>
      <c r="Y146" t="n">
        <v>0</v>
      </c>
      <c r="Z146" t="inlineStr">
        <is>
          <t>Yes</t>
        </is>
      </c>
      <c r="AA146" t="inlineStr">
        <is>
          <t>Filled</t>
        </is>
      </c>
      <c r="AB146" t="inlineStr">
        <is>
          <t>on campus</t>
        </is>
      </c>
      <c r="AC146" t="inlineStr"/>
      <c r="AD146" t="n">
        <v>0</v>
      </c>
      <c r="AE146" t="inlineStr"/>
      <c r="AF146" t="inlineStr"/>
      <c r="AG146" t="inlineStr">
        <is>
          <t>Yes</t>
        </is>
      </c>
      <c r="AH146" t="inlineStr"/>
      <c r="AI146" t="inlineStr"/>
      <c r="AJ146" t="inlineStr"/>
      <c r="AK146" t="inlineStr"/>
      <c r="AL146" t="inlineStr"/>
      <c r="AM146" t="inlineStr"/>
    </row>
    <row r="147">
      <c r="A147" t="inlineStr">
        <is>
          <t>079094C</t>
        </is>
      </c>
      <c r="B147" t="inlineStr">
        <is>
          <t>Flexible Double Degree - Engineering and Advanced Computing (Honours)</t>
        </is>
      </c>
      <c r="C147" t="inlineStr">
        <is>
          <t>Bachelor Honours Degree</t>
        </is>
      </c>
      <c r="D147" t="inlineStr">
        <is>
          <t>Undergraduate</t>
        </is>
      </c>
      <c r="E147" t="inlineStr">
        <is>
          <t>Advertised: official page in place</t>
        </is>
      </c>
      <c r="F147" t="inlineStr">
        <is>
          <t>https://programsandcourses.anu.edu.au/2025/program/bfinn-aenrd</t>
        </is>
      </c>
      <c r="G147" t="inlineStr">
        <is>
          <t>https://programsandcourses.anu.edu.au/2020/program/4050fdd-aengi</t>
        </is>
      </c>
      <c r="H147" t="inlineStr">
        <is>
          <t>Read</t>
        </is>
      </c>
      <c r="I147" t="inlineStr">
        <is>
          <t>CRICOS code on page</t>
        </is>
      </c>
      <c r="J147" t="inlineStr"/>
      <c r="K147" t="inlineStr">
        <is>
          <t>Not sent to re-link</t>
        </is>
      </c>
      <c r="L147" t="inlineStr">
        <is>
          <t>Filled</t>
        </is>
      </c>
      <c r="M147" t="inlineStr">
        <is>
          <t>Filled</t>
        </is>
      </c>
      <c r="N147" t="inlineStr">
        <is>
          <t>46320.00 2026</t>
        </is>
      </c>
      <c r="O147" t="n">
        <v>0</v>
      </c>
      <c r="P147" t="inlineStr">
        <is>
          <t>Other</t>
        </is>
      </c>
      <c r="Q147" t="inlineStr">
        <is>
          <t>Filled</t>
        </is>
      </c>
      <c r="R147" t="n">
        <v>6.5</v>
      </c>
      <c r="S147" t="inlineStr">
        <is>
          <t>Central English policy</t>
        </is>
      </c>
      <c r="T147" t="inlineStr">
        <is>
          <t>Central rule applies (value agrees)</t>
        </is>
      </c>
      <c r="U147" t="inlineStr"/>
      <c r="V147" t="inlineStr">
        <is>
          <t>Filled</t>
        </is>
      </c>
      <c r="W147" t="inlineStr">
        <is>
          <t>July</t>
        </is>
      </c>
      <c r="X147" t="inlineStr">
        <is>
          <t>Page reader</t>
        </is>
      </c>
      <c r="Y147" t="n">
        <v>0</v>
      </c>
      <c r="Z147" t="inlineStr">
        <is>
          <t>Yes</t>
        </is>
      </c>
      <c r="AA147" t="inlineStr">
        <is>
          <t>Filled</t>
        </is>
      </c>
      <c r="AB147" t="inlineStr">
        <is>
          <t>on campus</t>
        </is>
      </c>
      <c r="AC147" t="inlineStr"/>
      <c r="AD147" t="n">
        <v>0</v>
      </c>
      <c r="AE147" t="inlineStr"/>
      <c r="AF147" t="inlineStr"/>
      <c r="AG147" t="inlineStr"/>
      <c r="AH147" t="inlineStr"/>
      <c r="AI147" t="inlineStr"/>
      <c r="AJ147" t="inlineStr"/>
      <c r="AK147" t="inlineStr"/>
      <c r="AL147" t="inlineStr"/>
      <c r="AM147" t="inlineStr"/>
    </row>
    <row r="148">
      <c r="A148" t="inlineStr">
        <is>
          <t>079095B</t>
        </is>
      </c>
      <c r="B148" t="inlineStr">
        <is>
          <t>Flexible Double Degree - Law</t>
        </is>
      </c>
      <c r="C148" t="inlineStr">
        <is>
          <t>Bachelor</t>
        </is>
      </c>
      <c r="D148" t="inlineStr">
        <is>
          <t>Undergraduate</t>
        </is>
      </c>
      <c r="E148" t="inlineStr">
        <is>
          <t>Advertised: official page in place</t>
        </is>
      </c>
      <c r="F148" t="inlineStr">
        <is>
          <t>https://programsandcourses.anu.edu.au/program/allb-bplsc</t>
        </is>
      </c>
      <c r="G148" t="inlineStr">
        <is>
          <t>https://programsandcourses.anu.edu.au/program/allb-bplsc</t>
        </is>
      </c>
      <c r="H148" t="inlineStr">
        <is>
          <t>Read</t>
        </is>
      </c>
      <c r="I148" t="inlineStr">
        <is>
          <t>CRICOS code on page</t>
        </is>
      </c>
      <c r="J148" t="inlineStr"/>
      <c r="K148" t="inlineStr">
        <is>
          <t>Not sent to re-link</t>
        </is>
      </c>
      <c r="L148" t="inlineStr">
        <is>
          <t>Filled</t>
        </is>
      </c>
      <c r="M148" t="inlineStr">
        <is>
          <t>Filled</t>
        </is>
      </c>
      <c r="N148" t="inlineStr">
        <is>
          <t>54540.00 2026</t>
        </is>
      </c>
      <c r="O148" t="n">
        <v>0</v>
      </c>
      <c r="P148" t="inlineStr">
        <is>
          <t>University adapter</t>
        </is>
      </c>
      <c r="Q148" t="inlineStr">
        <is>
          <t>Filled</t>
        </is>
      </c>
      <c r="R148" t="n">
        <v>6.5</v>
      </c>
      <c r="S148" t="inlineStr">
        <is>
          <t>Central English policy</t>
        </is>
      </c>
      <c r="T148" t="inlineStr">
        <is>
          <t>Central rule applies (value agrees)</t>
        </is>
      </c>
      <c r="U148" t="inlineStr"/>
      <c r="V148" t="inlineStr">
        <is>
          <t>Not stated on course page</t>
        </is>
      </c>
      <c r="W148" t="inlineStr"/>
      <c r="X148" t="inlineStr"/>
      <c r="Y148" t="n">
        <v>0</v>
      </c>
      <c r="Z148" t="inlineStr">
        <is>
          <t>Yes</t>
        </is>
      </c>
      <c r="AA148" t="inlineStr">
        <is>
          <t>Filled</t>
        </is>
      </c>
      <c r="AB148" t="inlineStr">
        <is>
          <t>on campus</t>
        </is>
      </c>
      <c r="AC148" t="inlineStr"/>
      <c r="AD148" t="n">
        <v>0</v>
      </c>
      <c r="AE148" t="inlineStr"/>
      <c r="AF148" t="inlineStr"/>
      <c r="AG148" t="inlineStr"/>
      <c r="AH148" t="inlineStr"/>
      <c r="AI148" t="inlineStr"/>
      <c r="AJ148" t="inlineStr"/>
      <c r="AK148" t="inlineStr"/>
      <c r="AL148" t="inlineStr"/>
      <c r="AM148" t="inlineStr"/>
    </row>
    <row r="149">
      <c r="A149" t="inlineStr">
        <is>
          <t>079657F</t>
        </is>
      </c>
      <c r="B149" t="inlineStr">
        <is>
          <t>Flexible Double Degree - Law, Engineering, Advanced Computing (6 Year)</t>
        </is>
      </c>
      <c r="C149" t="inlineStr">
        <is>
          <t>Bachelor</t>
        </is>
      </c>
      <c r="D149" t="inlineStr">
        <is>
          <t>Undergraduate</t>
        </is>
      </c>
      <c r="E149" t="inlineStr">
        <is>
          <t>Held: page found is for another course</t>
        </is>
      </c>
      <c r="F149" t="inlineStr"/>
      <c r="G149" t="inlineStr">
        <is>
          <t>https://programsandcourses.anu.edu.au/program/bsc-aengi</t>
        </is>
      </c>
      <c r="H149" t="inlineStr">
        <is>
          <t>Page is for another course</t>
        </is>
      </c>
      <c r="I149" t="inlineStr"/>
      <c r="J149" t="inlineStr"/>
      <c r="K149" t="inlineStr">
        <is>
          <t>Finished, no page: no address from the university's address forms or stored lis</t>
        </is>
      </c>
      <c r="L149" t="inlineStr">
        <is>
          <t>Searching for course page</t>
        </is>
      </c>
      <c r="M149" t="inlineStr">
        <is>
          <t>Searching for course page</t>
        </is>
      </c>
      <c r="N149" t="inlineStr"/>
      <c r="O149" t="n">
        <v>0</v>
      </c>
      <c r="P149" t="inlineStr"/>
      <c r="Q149" t="inlineStr">
        <is>
          <t>Filled</t>
        </is>
      </c>
      <c r="R149" t="n">
        <v>6.5</v>
      </c>
      <c r="S149" t="inlineStr">
        <is>
          <t>Central English policy</t>
        </is>
      </c>
      <c r="T149" t="inlineStr">
        <is>
          <t>Central rule applies (value agrees)</t>
        </is>
      </c>
      <c r="U149" t="inlineStr"/>
      <c r="V149" t="inlineStr">
        <is>
          <t>Searching for course page</t>
        </is>
      </c>
      <c r="W149" t="inlineStr"/>
      <c r="X149" t="inlineStr"/>
      <c r="Y149" t="n">
        <v>0</v>
      </c>
      <c r="Z149" t="inlineStr">
        <is>
          <t>Yes</t>
        </is>
      </c>
      <c r="AA149" t="inlineStr">
        <is>
          <t>Not stated on course page</t>
        </is>
      </c>
      <c r="AB149" t="inlineStr"/>
      <c r="AC149" t="inlineStr">
        <is>
          <t>Skipped: taken back: read from an earlier page; the course's page is another co</t>
        </is>
      </c>
      <c r="AD149" t="n">
        <v>1</v>
      </c>
      <c r="AE149" t="inlineStr"/>
      <c r="AF149" t="inlineStr"/>
      <c r="AG149" t="inlineStr"/>
      <c r="AH149" t="inlineStr"/>
      <c r="AI149" t="inlineStr"/>
      <c r="AJ149" t="inlineStr"/>
      <c r="AK149" t="inlineStr"/>
      <c r="AL149" t="inlineStr"/>
      <c r="AM149" t="inlineStr"/>
    </row>
    <row r="150">
      <c r="A150" t="inlineStr">
        <is>
          <t>088510F</t>
        </is>
      </c>
      <c r="B150" t="inlineStr">
        <is>
          <t>Flexible Double Master Degree</t>
        </is>
      </c>
      <c r="C150" t="inlineStr">
        <is>
          <t>Masters Degree (Coursework)</t>
        </is>
      </c>
      <c r="D150" t="inlineStr">
        <is>
          <t>Postgraduate coursework</t>
        </is>
      </c>
      <c r="E150" t="inlineStr">
        <is>
          <t>Advertised: official page in place</t>
        </is>
      </c>
      <c r="F150" t="inlineStr">
        <is>
          <t>https://programsandcourses.anu.edu.au/2022/program/7050fdm</t>
        </is>
      </c>
      <c r="G150" t="inlineStr">
        <is>
          <t>https://programsandcourses.anu.edu.au/2017/program/7050fdm</t>
        </is>
      </c>
      <c r="H150" t="inlineStr">
        <is>
          <t>Read</t>
        </is>
      </c>
      <c r="I150" t="inlineStr">
        <is>
          <t>CRICOS code on page</t>
        </is>
      </c>
      <c r="J150" t="inlineStr"/>
      <c r="K150" t="inlineStr">
        <is>
          <t>Finished, no page: no address from the university's address forms or stored lis</t>
        </is>
      </c>
      <c r="L150" t="inlineStr">
        <is>
          <t>Filled</t>
        </is>
      </c>
      <c r="M150" t="inlineStr">
        <is>
          <t>Value found, being checked</t>
        </is>
      </c>
      <c r="N150" t="inlineStr"/>
      <c r="O150" t="n">
        <v>0</v>
      </c>
      <c r="P150" t="inlineStr"/>
      <c r="Q150" t="inlineStr">
        <is>
          <t>Filled</t>
        </is>
      </c>
      <c r="R150" t="n">
        <v>6.5</v>
      </c>
      <c r="S150" t="inlineStr">
        <is>
          <t>Central English policy</t>
        </is>
      </c>
      <c r="T150" t="inlineStr">
        <is>
          <t>Central rule applies (value agrees)</t>
        </is>
      </c>
      <c r="U150" t="inlineStr"/>
      <c r="V150" t="inlineStr">
        <is>
          <t>Not stated on course page</t>
        </is>
      </c>
      <c r="W150" t="inlineStr"/>
      <c r="X150" t="inlineStr"/>
      <c r="Y150" t="n">
        <v>0</v>
      </c>
      <c r="Z150" t="inlineStr">
        <is>
          <t>No</t>
        </is>
      </c>
      <c r="AA150" t="inlineStr">
        <is>
          <t>Filled</t>
        </is>
      </c>
      <c r="AB150" t="inlineStr">
        <is>
          <t>blended</t>
        </is>
      </c>
      <c r="AC150" t="inlineStr">
        <is>
          <t>Filled</t>
        </is>
      </c>
      <c r="AD150" t="n">
        <v>0</v>
      </c>
      <c r="AE150" t="inlineStr"/>
      <c r="AF150" t="inlineStr">
        <is>
          <t>Yes</t>
        </is>
      </c>
      <c r="AG150" t="inlineStr"/>
      <c r="AH150" t="inlineStr"/>
      <c r="AI150" t="inlineStr"/>
      <c r="AJ150" t="inlineStr"/>
      <c r="AK150" t="inlineStr"/>
      <c r="AL150" t="inlineStr"/>
      <c r="AM150" t="inlineStr"/>
    </row>
    <row r="151">
      <c r="A151" t="inlineStr">
        <is>
          <t>112694M</t>
        </is>
      </c>
      <c r="B151" t="inlineStr">
        <is>
          <t>Flexible Double Masters</t>
        </is>
      </c>
      <c r="C151" t="inlineStr">
        <is>
          <t>Masters Degree (Coursework)</t>
        </is>
      </c>
      <c r="D151" t="inlineStr">
        <is>
          <t>Postgraduate coursework</t>
        </is>
      </c>
      <c r="E151" t="inlineStr">
        <is>
          <t>Advertised: official page in place</t>
        </is>
      </c>
      <c r="F151" t="inlineStr">
        <is>
          <t>https://programsandcourses.anu.edu.au/program/7051fdm</t>
        </is>
      </c>
      <c r="G151" t="inlineStr">
        <is>
          <t>https://programsandcourses.anu.edu.au/program/7051fdm</t>
        </is>
      </c>
      <c r="H151" t="inlineStr">
        <is>
          <t>Read</t>
        </is>
      </c>
      <c r="I151" t="inlineStr">
        <is>
          <t>CRICOS code on page</t>
        </is>
      </c>
      <c r="J151" t="inlineStr"/>
      <c r="K151" t="inlineStr">
        <is>
          <t>Not sent to re-link</t>
        </is>
      </c>
      <c r="L151" t="inlineStr">
        <is>
          <t>Filled</t>
        </is>
      </c>
      <c r="M151" t="inlineStr">
        <is>
          <t>Filled</t>
        </is>
      </c>
      <c r="N151" t="inlineStr">
        <is>
          <t>54540.00 2026</t>
        </is>
      </c>
      <c r="O151" t="n">
        <v>0</v>
      </c>
      <c r="P151" t="inlineStr">
        <is>
          <t>University adapter</t>
        </is>
      </c>
      <c r="Q151" t="inlineStr">
        <is>
          <t>Filled</t>
        </is>
      </c>
      <c r="R151" t="n">
        <v>6.5</v>
      </c>
      <c r="S151" t="inlineStr">
        <is>
          <t>Central English policy</t>
        </is>
      </c>
      <c r="T151" t="inlineStr">
        <is>
          <t>Central rule applies (value agrees)</t>
        </is>
      </c>
      <c r="U151" t="inlineStr"/>
      <c r="V151" t="inlineStr">
        <is>
          <t>Not stated on course page</t>
        </is>
      </c>
      <c r="W151" t="inlineStr"/>
      <c r="X151" t="inlineStr"/>
      <c r="Y151" t="n">
        <v>0</v>
      </c>
      <c r="Z151" t="inlineStr">
        <is>
          <t>No</t>
        </is>
      </c>
      <c r="AA151" t="inlineStr">
        <is>
          <t>Filled</t>
        </is>
      </c>
      <c r="AB151" t="inlineStr">
        <is>
          <t>on campus</t>
        </is>
      </c>
      <c r="AC151" t="inlineStr"/>
      <c r="AD151" t="n">
        <v>0</v>
      </c>
      <c r="AE151" t="inlineStr"/>
      <c r="AF151" t="inlineStr"/>
      <c r="AG151" t="inlineStr"/>
      <c r="AH151" t="inlineStr"/>
      <c r="AI151" t="inlineStr"/>
      <c r="AJ151" t="inlineStr"/>
      <c r="AK151" t="inlineStr"/>
      <c r="AL151" t="inlineStr"/>
      <c r="AM151" t="inlineStr"/>
    </row>
    <row r="152">
      <c r="A152" t="inlineStr">
        <is>
          <t>062232D</t>
        </is>
      </c>
      <c r="B152" t="inlineStr">
        <is>
          <t>Global Summer Program (Postgraduate)</t>
        </is>
      </c>
      <c r="C152" t="inlineStr">
        <is>
          <t>Non AQF Award</t>
        </is>
      </c>
      <c r="D152" t="inlineStr">
        <is>
          <t>Non-award</t>
        </is>
      </c>
      <c r="E152" t="inlineStr">
        <is>
          <t>Advertised: official page in place</t>
        </is>
      </c>
      <c r="F152" t="inlineStr">
        <is>
          <t>https://programsandcourses.anu.edu.au/program/5036xgspp</t>
        </is>
      </c>
      <c r="G152" t="inlineStr">
        <is>
          <t>https://programsandcourses.anu.edu.au/program/5036xgspp</t>
        </is>
      </c>
      <c r="H152" t="inlineStr">
        <is>
          <t>Read</t>
        </is>
      </c>
      <c r="I152" t="inlineStr">
        <is>
          <t>CRICOS code on page</t>
        </is>
      </c>
      <c r="J152" t="inlineStr"/>
      <c r="K152" t="inlineStr">
        <is>
          <t>Not sent to re-link</t>
        </is>
      </c>
      <c r="L152" t="inlineStr">
        <is>
          <t>Filled</t>
        </is>
      </c>
      <c r="M152" t="inlineStr">
        <is>
          <t>Not stated on course page</t>
        </is>
      </c>
      <c r="N152" t="inlineStr"/>
      <c r="O152" t="n">
        <v>0</v>
      </c>
      <c r="P152" t="inlineStr"/>
      <c r="Q152" t="inlineStr">
        <is>
          <t>Not stated on course page</t>
        </is>
      </c>
      <c r="S152" t="inlineStr"/>
      <c r="T152" t="inlineStr">
        <is>
          <t>Held: level not covered by the policy default</t>
        </is>
      </c>
      <c r="U152" t="inlineStr"/>
      <c r="V152" t="inlineStr">
        <is>
          <t>Not stated on course page</t>
        </is>
      </c>
      <c r="W152" t="inlineStr"/>
      <c r="X152" t="inlineStr"/>
      <c r="Y152" t="n">
        <v>0</v>
      </c>
      <c r="Z152" t="inlineStr">
        <is>
          <t>No</t>
        </is>
      </c>
      <c r="AA152" t="inlineStr">
        <is>
          <t>Not stated on course page</t>
        </is>
      </c>
      <c r="AB152" t="inlineStr"/>
      <c r="AC152" t="inlineStr">
        <is>
          <t>Skipped: the page does not state it</t>
        </is>
      </c>
      <c r="AD152" t="n">
        <v>0</v>
      </c>
      <c r="AE152" t="inlineStr"/>
      <c r="AF152" t="inlineStr"/>
      <c r="AG152" t="inlineStr"/>
      <c r="AH152" t="inlineStr"/>
      <c r="AI152" t="inlineStr"/>
      <c r="AJ152" t="inlineStr">
        <is>
          <t>Yes</t>
        </is>
      </c>
      <c r="AK152" t="inlineStr"/>
      <c r="AL152" t="inlineStr"/>
      <c r="AM152" t="inlineStr"/>
    </row>
    <row r="153">
      <c r="A153" t="inlineStr">
        <is>
          <t>062233C</t>
        </is>
      </c>
      <c r="B153" t="inlineStr">
        <is>
          <t>Global Summer Program (Undergraduate)</t>
        </is>
      </c>
      <c r="C153" t="inlineStr">
        <is>
          <t>Non AQF Award</t>
        </is>
      </c>
      <c r="D153" t="inlineStr">
        <is>
          <t>Non-award</t>
        </is>
      </c>
      <c r="E153" t="inlineStr">
        <is>
          <t>Advertised: official page in place</t>
        </is>
      </c>
      <c r="F153" t="inlineStr">
        <is>
          <t>https://programsandcourses.anu.edu.au/2015/program/1305xgspu</t>
        </is>
      </c>
      <c r="G153" t="inlineStr">
        <is>
          <t>https://programsandcourses.anu.edu.au/program/1305xgspu</t>
        </is>
      </c>
      <c r="H153" t="inlineStr">
        <is>
          <t>Read</t>
        </is>
      </c>
      <c r="I153" t="inlineStr">
        <is>
          <t>CRICOS code on page</t>
        </is>
      </c>
      <c r="J153" t="inlineStr"/>
      <c r="K153" t="inlineStr">
        <is>
          <t>Not sent to re-link</t>
        </is>
      </c>
      <c r="L153" t="inlineStr">
        <is>
          <t>Filled</t>
        </is>
      </c>
      <c r="M153" t="inlineStr">
        <is>
          <t>Not stated on course page</t>
        </is>
      </c>
      <c r="N153" t="inlineStr"/>
      <c r="O153" t="n">
        <v>0</v>
      </c>
      <c r="P153" t="inlineStr"/>
      <c r="Q153" t="inlineStr">
        <is>
          <t>Not stated on course page</t>
        </is>
      </c>
      <c r="S153" t="inlineStr"/>
      <c r="T153" t="inlineStr">
        <is>
          <t>Held: level not covered by the policy default</t>
        </is>
      </c>
      <c r="U153" t="inlineStr"/>
      <c r="V153" t="inlineStr">
        <is>
          <t>Not stated on course page</t>
        </is>
      </c>
      <c r="W153" t="inlineStr"/>
      <c r="X153" t="inlineStr"/>
      <c r="Y153" t="n">
        <v>0</v>
      </c>
      <c r="Z153" t="inlineStr">
        <is>
          <t>No</t>
        </is>
      </c>
      <c r="AA153" t="inlineStr">
        <is>
          <t>Not stated on course page</t>
        </is>
      </c>
      <c r="AB153" t="inlineStr"/>
      <c r="AC153" t="inlineStr">
        <is>
          <t>Skipped: the page does not state it</t>
        </is>
      </c>
      <c r="AD153" t="n">
        <v>0</v>
      </c>
      <c r="AE153" t="inlineStr"/>
      <c r="AF153" t="inlineStr"/>
      <c r="AG153" t="inlineStr"/>
      <c r="AH153" t="inlineStr"/>
      <c r="AI153" t="inlineStr"/>
      <c r="AJ153" t="inlineStr">
        <is>
          <t>Yes</t>
        </is>
      </c>
      <c r="AK153" t="inlineStr"/>
      <c r="AL153" t="inlineStr"/>
      <c r="AM153" t="inlineStr"/>
    </row>
    <row r="154">
      <c r="A154" t="inlineStr">
        <is>
          <t>103862H</t>
        </is>
      </c>
      <c r="B154" t="inlineStr">
        <is>
          <t>Graduate Certificate in Science Communication</t>
        </is>
      </c>
      <c r="C154" t="inlineStr">
        <is>
          <t>Graduate Certificate</t>
        </is>
      </c>
      <c r="D154" t="inlineStr">
        <is>
          <t>Postgraduate coursework</t>
        </is>
      </c>
      <c r="E154" t="inlineStr">
        <is>
          <t>Advertised: official page in place</t>
        </is>
      </c>
      <c r="F154" t="inlineStr">
        <is>
          <t>https://programsandcourses.anu.edu.au/program/gcscm</t>
        </is>
      </c>
      <c r="G154" t="inlineStr">
        <is>
          <t>https://programsandcourses.anu.edu.au/program/gcscm</t>
        </is>
      </c>
      <c r="H154" t="inlineStr">
        <is>
          <t>Read</t>
        </is>
      </c>
      <c r="I154" t="inlineStr">
        <is>
          <t>CRICOS code on page</t>
        </is>
      </c>
      <c r="J154" t="inlineStr"/>
      <c r="K154" t="inlineStr">
        <is>
          <t>Not sent to re-link</t>
        </is>
      </c>
      <c r="L154" t="inlineStr">
        <is>
          <t>Filled</t>
        </is>
      </c>
      <c r="M154" t="inlineStr">
        <is>
          <t>Not stated on course page</t>
        </is>
      </c>
      <c r="N154" t="inlineStr"/>
      <c r="O154" t="n">
        <v>0</v>
      </c>
      <c r="P154" t="inlineStr"/>
      <c r="Q154" t="inlineStr">
        <is>
          <t>Filled</t>
        </is>
      </c>
      <c r="R154" t="n">
        <v>6.5</v>
      </c>
      <c r="S154" t="inlineStr">
        <is>
          <t>Central English policy</t>
        </is>
      </c>
      <c r="T154" t="inlineStr">
        <is>
          <t>Central rule applies (value agrees)</t>
        </is>
      </c>
      <c r="U154" t="inlineStr"/>
      <c r="V154" t="inlineStr">
        <is>
          <t>Not stated on course page</t>
        </is>
      </c>
      <c r="W154" t="inlineStr"/>
      <c r="X154" t="inlineStr"/>
      <c r="Y154" t="n">
        <v>0</v>
      </c>
      <c r="Z154" t="inlineStr">
        <is>
          <t>No</t>
        </is>
      </c>
      <c r="AA154" t="inlineStr">
        <is>
          <t>Filled</t>
        </is>
      </c>
      <c r="AB154" t="inlineStr">
        <is>
          <t>blended</t>
        </is>
      </c>
      <c r="AC154" t="inlineStr"/>
      <c r="AD154" t="n">
        <v>0</v>
      </c>
      <c r="AE154" t="inlineStr"/>
      <c r="AF154" t="inlineStr"/>
      <c r="AG154" t="inlineStr"/>
      <c r="AH154" t="inlineStr"/>
      <c r="AI154" t="inlineStr"/>
      <c r="AJ154" t="inlineStr"/>
      <c r="AK154" t="inlineStr"/>
      <c r="AL154" t="inlineStr"/>
      <c r="AM154" t="inlineStr"/>
    </row>
    <row r="155">
      <c r="A155" t="inlineStr">
        <is>
          <t>052700G</t>
        </is>
      </c>
      <c r="B155" t="inlineStr">
        <is>
          <t>Graduate Certificate of Accounting</t>
        </is>
      </c>
      <c r="C155" t="inlineStr">
        <is>
          <t>Graduate Certificate</t>
        </is>
      </c>
      <c r="D155" t="inlineStr">
        <is>
          <t>Postgraduate coursework</t>
        </is>
      </c>
      <c r="E155" t="inlineStr">
        <is>
          <t>Advertised: official page in place</t>
        </is>
      </c>
      <c r="F155" t="inlineStr">
        <is>
          <t>https://programsandcourses.anu.edu.au/program/6459xgcacc</t>
        </is>
      </c>
      <c r="G155" t="inlineStr">
        <is>
          <t>https://programsandcourses.anu.edu.au/program/6459xgcacc</t>
        </is>
      </c>
      <c r="H155" t="inlineStr">
        <is>
          <t>Read</t>
        </is>
      </c>
      <c r="I155" t="inlineStr">
        <is>
          <t>CRICOS code on page</t>
        </is>
      </c>
      <c r="J155" t="inlineStr"/>
      <c r="K155" t="inlineStr">
        <is>
          <t>Not sent to re-link</t>
        </is>
      </c>
      <c r="L155" t="inlineStr">
        <is>
          <t>Filled</t>
        </is>
      </c>
      <c r="M155" t="inlineStr">
        <is>
          <t>Not stated on course page</t>
        </is>
      </c>
      <c r="N155" t="inlineStr"/>
      <c r="O155" t="n">
        <v>0</v>
      </c>
      <c r="P155" t="inlineStr"/>
      <c r="Q155" t="inlineStr">
        <is>
          <t>Filled</t>
        </is>
      </c>
      <c r="R155" t="n">
        <v>6.5</v>
      </c>
      <c r="S155" t="inlineStr">
        <is>
          <t>Central English policy</t>
        </is>
      </c>
      <c r="T155" t="inlineStr">
        <is>
          <t>Central rule applies (value agrees)</t>
        </is>
      </c>
      <c r="U155" t="inlineStr"/>
      <c r="V155" t="inlineStr">
        <is>
          <t>Not stated on course page</t>
        </is>
      </c>
      <c r="W155" t="inlineStr"/>
      <c r="X155" t="inlineStr"/>
      <c r="Y155" t="n">
        <v>0</v>
      </c>
      <c r="Z155" t="inlineStr">
        <is>
          <t>No</t>
        </is>
      </c>
      <c r="AA155" t="inlineStr">
        <is>
          <t>Filled</t>
        </is>
      </c>
      <c r="AB155" t="inlineStr">
        <is>
          <t>on campus</t>
        </is>
      </c>
      <c r="AC155" t="inlineStr"/>
      <c r="AD155" t="n">
        <v>0</v>
      </c>
      <c r="AE155" t="inlineStr"/>
      <c r="AF155" t="inlineStr"/>
      <c r="AG155" t="inlineStr"/>
      <c r="AH155" t="inlineStr"/>
      <c r="AI155" t="inlineStr"/>
      <c r="AJ155" t="inlineStr"/>
      <c r="AK155" t="inlineStr"/>
      <c r="AL155" t="inlineStr"/>
      <c r="AM155" t="inlineStr"/>
    </row>
    <row r="156">
      <c r="A156" t="inlineStr">
        <is>
          <t>119048G</t>
        </is>
      </c>
      <c r="B156" t="inlineStr">
        <is>
          <t>Graduate Certificate of Actuarial Statistics</t>
        </is>
      </c>
      <c r="C156" t="inlineStr">
        <is>
          <t>Graduate Certificate</t>
        </is>
      </c>
      <c r="D156" t="inlineStr">
        <is>
          <t>Postgraduate coursework</t>
        </is>
      </c>
      <c r="E156" t="inlineStr">
        <is>
          <t>Advertised: official page in place</t>
        </is>
      </c>
      <c r="F156" t="inlineStr">
        <is>
          <t>https://programsandcourses.anu.edu.au/program/cacst</t>
        </is>
      </c>
      <c r="G156" t="inlineStr">
        <is>
          <t>https://programsandcourses.anu.edu.au/program/cacst</t>
        </is>
      </c>
      <c r="H156" t="inlineStr">
        <is>
          <t>Read</t>
        </is>
      </c>
      <c r="I156" t="inlineStr">
        <is>
          <t>CRICOS code on page</t>
        </is>
      </c>
      <c r="J156" t="inlineStr"/>
      <c r="K156" t="inlineStr">
        <is>
          <t>Not sent to re-link</t>
        </is>
      </c>
      <c r="L156" t="inlineStr">
        <is>
          <t>Filled</t>
        </is>
      </c>
      <c r="M156" t="inlineStr">
        <is>
          <t>Not stated on course page</t>
        </is>
      </c>
      <c r="N156" t="inlineStr"/>
      <c r="O156" t="n">
        <v>0</v>
      </c>
      <c r="P156" t="inlineStr"/>
      <c r="Q156" t="inlineStr">
        <is>
          <t>Filled</t>
        </is>
      </c>
      <c r="R156" t="n">
        <v>6.5</v>
      </c>
      <c r="S156" t="inlineStr">
        <is>
          <t>Central English policy</t>
        </is>
      </c>
      <c r="T156" t="inlineStr">
        <is>
          <t>Central rule applies (value agrees)</t>
        </is>
      </c>
      <c r="U156" t="inlineStr"/>
      <c r="V156" t="inlineStr">
        <is>
          <t>Not stated on course page</t>
        </is>
      </c>
      <c r="W156" t="inlineStr"/>
      <c r="X156" t="inlineStr"/>
      <c r="Y156" t="n">
        <v>0</v>
      </c>
      <c r="Z156" t="inlineStr">
        <is>
          <t>No</t>
        </is>
      </c>
      <c r="AA156" t="inlineStr">
        <is>
          <t>Filled</t>
        </is>
      </c>
      <c r="AB156" t="inlineStr">
        <is>
          <t>on campus</t>
        </is>
      </c>
      <c r="AC156" t="inlineStr"/>
      <c r="AD156" t="n">
        <v>0</v>
      </c>
      <c r="AE156" t="inlineStr"/>
      <c r="AF156" t="inlineStr"/>
      <c r="AG156" t="inlineStr"/>
      <c r="AH156" t="inlineStr"/>
      <c r="AI156" t="inlineStr"/>
      <c r="AJ156" t="inlineStr"/>
      <c r="AK156" t="inlineStr"/>
      <c r="AL156" t="inlineStr"/>
      <c r="AM156" t="inlineStr"/>
    </row>
    <row r="157">
      <c r="A157" t="inlineStr">
        <is>
          <t>118563G</t>
        </is>
      </c>
      <c r="B157" t="inlineStr">
        <is>
          <t>Graduate Certificate of Applied Cybernetics</t>
        </is>
      </c>
      <c r="C157" t="inlineStr">
        <is>
          <t>Graduate Certificate</t>
        </is>
      </c>
      <c r="D157" t="inlineStr">
        <is>
          <t>Postgraduate coursework</t>
        </is>
      </c>
      <c r="E157" t="inlineStr">
        <is>
          <t>Advertised: official page in place</t>
        </is>
      </c>
      <c r="F157" t="inlineStr">
        <is>
          <t>https://programsandcourses.anu.edu.au/program/cacyb</t>
        </is>
      </c>
      <c r="G157" t="inlineStr">
        <is>
          <t>https://programsandcourses.anu.edu.au/program/cacyb</t>
        </is>
      </c>
      <c r="H157" t="inlineStr">
        <is>
          <t>Read</t>
        </is>
      </c>
      <c r="I157" t="inlineStr">
        <is>
          <t>CRICOS code on page</t>
        </is>
      </c>
      <c r="J157" t="inlineStr"/>
      <c r="K157" t="inlineStr">
        <is>
          <t>Not sent to re-link</t>
        </is>
      </c>
      <c r="L157" t="inlineStr">
        <is>
          <t>Filled</t>
        </is>
      </c>
      <c r="M157" t="inlineStr">
        <is>
          <t>Not stated on course page</t>
        </is>
      </c>
      <c r="N157" t="inlineStr"/>
      <c r="O157" t="n">
        <v>0</v>
      </c>
      <c r="P157" t="inlineStr"/>
      <c r="Q157" t="inlineStr">
        <is>
          <t>Filled</t>
        </is>
      </c>
      <c r="R157" t="n">
        <v>6.5</v>
      </c>
      <c r="S157" t="inlineStr">
        <is>
          <t>Central English policy</t>
        </is>
      </c>
      <c r="T157" t="inlineStr">
        <is>
          <t>Central rule applies (value agrees)</t>
        </is>
      </c>
      <c r="U157" t="inlineStr"/>
      <c r="V157" t="inlineStr">
        <is>
          <t>Not stated on course page</t>
        </is>
      </c>
      <c r="W157" t="inlineStr"/>
      <c r="X157" t="inlineStr"/>
      <c r="Y157" t="n">
        <v>0</v>
      </c>
      <c r="Z157" t="inlineStr">
        <is>
          <t>No</t>
        </is>
      </c>
      <c r="AA157" t="inlineStr">
        <is>
          <t>Filled</t>
        </is>
      </c>
      <c r="AB157" t="inlineStr">
        <is>
          <t>on campus</t>
        </is>
      </c>
      <c r="AC157" t="inlineStr"/>
      <c r="AD157" t="n">
        <v>0</v>
      </c>
      <c r="AE157" t="inlineStr"/>
      <c r="AF157" t="inlineStr"/>
      <c r="AG157" t="inlineStr"/>
      <c r="AH157" t="inlineStr"/>
      <c r="AI157" t="inlineStr"/>
      <c r="AJ157" t="inlineStr"/>
      <c r="AK157" t="inlineStr"/>
      <c r="AL157" t="inlineStr"/>
      <c r="AM157" t="inlineStr"/>
    </row>
    <row r="158">
      <c r="A158" t="inlineStr">
        <is>
          <t>114600F</t>
        </is>
      </c>
      <c r="B158" t="inlineStr">
        <is>
          <t>Graduate Certificate of Asia-Pacific Economies</t>
        </is>
      </c>
      <c r="C158" t="inlineStr">
        <is>
          <t>Graduate Certificate</t>
        </is>
      </c>
      <c r="D158" t="inlineStr">
        <is>
          <t>Postgraduate coursework</t>
        </is>
      </c>
      <c r="E158" t="inlineStr">
        <is>
          <t>Advertised: official page in place</t>
        </is>
      </c>
      <c r="F158" t="inlineStr">
        <is>
          <t>https://programsandcourses.anu.edu.au/2024/program/gcape</t>
        </is>
      </c>
      <c r="G158" t="inlineStr">
        <is>
          <t>https://programsandcourses.anu.edu.au/2024/program/gcape</t>
        </is>
      </c>
      <c r="H158" t="inlineStr">
        <is>
          <t>Read</t>
        </is>
      </c>
      <c r="I158" t="inlineStr">
        <is>
          <t>CRICOS code on page</t>
        </is>
      </c>
      <c r="J158" t="inlineStr"/>
      <c r="K158" t="inlineStr">
        <is>
          <t>Not sent to re-link</t>
        </is>
      </c>
      <c r="L158" t="inlineStr">
        <is>
          <t>Filled</t>
        </is>
      </c>
      <c r="M158" t="inlineStr">
        <is>
          <t>Filled</t>
        </is>
      </c>
      <c r="N158" t="inlineStr">
        <is>
          <t>25380.00 2026</t>
        </is>
      </c>
      <c r="O158" t="n">
        <v>0</v>
      </c>
      <c r="P158" t="inlineStr">
        <is>
          <t>Other</t>
        </is>
      </c>
      <c r="Q158" t="inlineStr">
        <is>
          <t>Filled</t>
        </is>
      </c>
      <c r="R158" t="n">
        <v>6.5</v>
      </c>
      <c r="S158" t="inlineStr">
        <is>
          <t>Central English policy</t>
        </is>
      </c>
      <c r="T158" t="inlineStr">
        <is>
          <t>Central rule applies (value agrees)</t>
        </is>
      </c>
      <c r="U158" t="inlineStr"/>
      <c r="V158" t="inlineStr">
        <is>
          <t>Waiting for Layer 4 review</t>
        </is>
      </c>
      <c r="W158" t="inlineStr"/>
      <c r="X158" t="inlineStr"/>
      <c r="Y158" t="n">
        <v>0</v>
      </c>
      <c r="Z158" t="inlineStr">
        <is>
          <t>No</t>
        </is>
      </c>
      <c r="AA158" t="inlineStr">
        <is>
          <t>Filled</t>
        </is>
      </c>
      <c r="AB158" t="inlineStr">
        <is>
          <t>blended</t>
        </is>
      </c>
      <c r="AC158" t="inlineStr"/>
      <c r="AD158" t="n">
        <v>0</v>
      </c>
      <c r="AE158" t="inlineStr"/>
      <c r="AF158" t="inlineStr">
        <is>
          <t>Yes</t>
        </is>
      </c>
      <c r="AG158" t="inlineStr"/>
      <c r="AH158" t="inlineStr"/>
      <c r="AI158" t="inlineStr"/>
      <c r="AJ158" t="inlineStr"/>
      <c r="AK158" t="inlineStr"/>
      <c r="AL158" t="inlineStr"/>
      <c r="AM158" t="inlineStr"/>
    </row>
    <row r="159">
      <c r="A159" t="inlineStr">
        <is>
          <t>119016D</t>
        </is>
      </c>
      <c r="B159" t="inlineStr">
        <is>
          <t>Graduate Certificate of Asian Affairs</t>
        </is>
      </c>
      <c r="C159" t="inlineStr">
        <is>
          <t>Graduate Certificate</t>
        </is>
      </c>
      <c r="D159" t="inlineStr">
        <is>
          <t>Postgraduate coursework</t>
        </is>
      </c>
      <c r="E159" t="inlineStr">
        <is>
          <t>Advertised: official page in place</t>
        </is>
      </c>
      <c r="F159" t="inlineStr">
        <is>
          <t>https://programsandcourses.anu.edu.au/program/casaf</t>
        </is>
      </c>
      <c r="G159" t="inlineStr">
        <is>
          <t>https://programsandcourses.anu.edu.au/program/casaf</t>
        </is>
      </c>
      <c r="H159" t="inlineStr">
        <is>
          <t>Read</t>
        </is>
      </c>
      <c r="I159" t="inlineStr">
        <is>
          <t>CRICOS code on page</t>
        </is>
      </c>
      <c r="J159" t="inlineStr"/>
      <c r="K159" t="inlineStr">
        <is>
          <t>Not sent to re-link</t>
        </is>
      </c>
      <c r="L159" t="inlineStr">
        <is>
          <t>Filled</t>
        </is>
      </c>
      <c r="M159" t="inlineStr">
        <is>
          <t>Not stated on course page</t>
        </is>
      </c>
      <c r="N159" t="inlineStr"/>
      <c r="O159" t="n">
        <v>0</v>
      </c>
      <c r="P159" t="inlineStr"/>
      <c r="Q159" t="inlineStr">
        <is>
          <t>Filled</t>
        </is>
      </c>
      <c r="R159" t="n">
        <v>6.5</v>
      </c>
      <c r="S159" t="inlineStr">
        <is>
          <t>Central English policy</t>
        </is>
      </c>
      <c r="T159" t="inlineStr">
        <is>
          <t>Central rule applies (value agrees)</t>
        </is>
      </c>
      <c r="U159" t="inlineStr"/>
      <c r="V159" t="inlineStr">
        <is>
          <t>Not stated on course page</t>
        </is>
      </c>
      <c r="W159" t="inlineStr"/>
      <c r="X159" t="inlineStr"/>
      <c r="Y159" t="n">
        <v>0</v>
      </c>
      <c r="Z159" t="inlineStr">
        <is>
          <t>No</t>
        </is>
      </c>
      <c r="AA159" t="inlineStr">
        <is>
          <t>Filled</t>
        </is>
      </c>
      <c r="AB159" t="inlineStr">
        <is>
          <t>on campus</t>
        </is>
      </c>
      <c r="AC159" t="inlineStr"/>
      <c r="AD159" t="n">
        <v>0</v>
      </c>
      <c r="AE159" t="inlineStr"/>
      <c r="AF159" t="inlineStr"/>
      <c r="AG159" t="inlineStr"/>
      <c r="AH159" t="inlineStr"/>
      <c r="AI159" t="inlineStr"/>
      <c r="AJ159" t="inlineStr"/>
      <c r="AK159" t="inlineStr"/>
      <c r="AL159" t="inlineStr"/>
      <c r="AM159" t="inlineStr"/>
    </row>
    <row r="160">
      <c r="A160" t="inlineStr">
        <is>
          <t>103367A</t>
        </is>
      </c>
      <c r="B160" t="inlineStr">
        <is>
          <t>Graduate Certificate of Climate Policy</t>
        </is>
      </c>
      <c r="C160" t="inlineStr">
        <is>
          <t>Graduate Certificate</t>
        </is>
      </c>
      <c r="D160" t="inlineStr">
        <is>
          <t>Postgraduate coursework</t>
        </is>
      </c>
      <c r="E160" t="inlineStr">
        <is>
          <t>Advertised: official page in place</t>
        </is>
      </c>
      <c r="F160" t="inlineStr">
        <is>
          <t>https://programsandcourses.anu.edu.au/2025/program/ccpol</t>
        </is>
      </c>
      <c r="G160" t="inlineStr">
        <is>
          <t>https://programsandcourses.anu.edu.au/2025/program/ccpolo</t>
        </is>
      </c>
      <c r="H160" t="inlineStr">
        <is>
          <t>Read</t>
        </is>
      </c>
      <c r="I160" t="inlineStr">
        <is>
          <t>Exact title match</t>
        </is>
      </c>
      <c r="J160" t="inlineStr"/>
      <c r="K160" t="inlineStr">
        <is>
          <t>Not sent to re-link</t>
        </is>
      </c>
      <c r="L160" t="inlineStr">
        <is>
          <t>Filled</t>
        </is>
      </c>
      <c r="M160" t="inlineStr">
        <is>
          <t>Filled</t>
        </is>
      </c>
      <c r="N160" t="inlineStr">
        <is>
          <t>26850.00 2026</t>
        </is>
      </c>
      <c r="O160" t="n">
        <v>0</v>
      </c>
      <c r="P160" t="inlineStr">
        <is>
          <t>University adapter</t>
        </is>
      </c>
      <c r="Q160" t="inlineStr">
        <is>
          <t>Filled</t>
        </is>
      </c>
      <c r="R160" t="n">
        <v>6.5</v>
      </c>
      <c r="S160" t="inlineStr">
        <is>
          <t>Central English policy</t>
        </is>
      </c>
      <c r="T160" t="inlineStr">
        <is>
          <t>Central rule applies (value agrees)</t>
        </is>
      </c>
      <c r="U160" t="inlineStr"/>
      <c r="V160" t="inlineStr">
        <is>
          <t>Not stated on course page</t>
        </is>
      </c>
      <c r="W160" t="inlineStr"/>
      <c r="X160" t="inlineStr"/>
      <c r="Y160" t="n">
        <v>0</v>
      </c>
      <c r="Z160" t="inlineStr">
        <is>
          <t>No</t>
        </is>
      </c>
      <c r="AA160" t="inlineStr">
        <is>
          <t>Filled</t>
        </is>
      </c>
      <c r="AB160" t="inlineStr">
        <is>
          <t>online</t>
        </is>
      </c>
      <c r="AC160" t="inlineStr"/>
      <c r="AD160" t="n">
        <v>0</v>
      </c>
      <c r="AE160" t="inlineStr"/>
      <c r="AF160" t="inlineStr"/>
      <c r="AG160" t="inlineStr"/>
      <c r="AH160" t="inlineStr"/>
      <c r="AI160" t="inlineStr"/>
      <c r="AJ160" t="inlineStr"/>
      <c r="AK160" t="inlineStr"/>
      <c r="AL160" t="inlineStr"/>
      <c r="AM160" t="inlineStr"/>
    </row>
    <row r="161">
      <c r="A161" t="inlineStr">
        <is>
          <t>108301A</t>
        </is>
      </c>
      <c r="B161" t="inlineStr">
        <is>
          <t>Graduate Certificate of Demography</t>
        </is>
      </c>
      <c r="C161" t="inlineStr">
        <is>
          <t>Graduate Certificate</t>
        </is>
      </c>
      <c r="D161" t="inlineStr">
        <is>
          <t>Postgraduate coursework</t>
        </is>
      </c>
      <c r="E161" t="inlineStr">
        <is>
          <t>Advertised: official page in place</t>
        </is>
      </c>
      <c r="F161" t="inlineStr">
        <is>
          <t>https://programsandcourses.anu.edu.au/program/cdemo</t>
        </is>
      </c>
      <c r="G161" t="inlineStr">
        <is>
          <t>https://programsandcourses.anu.edu.au/program/cdemo</t>
        </is>
      </c>
      <c r="H161" t="inlineStr">
        <is>
          <t>Read</t>
        </is>
      </c>
      <c r="I161" t="inlineStr">
        <is>
          <t>CRICOS code on page</t>
        </is>
      </c>
      <c r="J161" t="inlineStr"/>
      <c r="K161" t="inlineStr">
        <is>
          <t>Not sent to re-link</t>
        </is>
      </c>
      <c r="L161" t="inlineStr">
        <is>
          <t>Filled</t>
        </is>
      </c>
      <c r="M161" t="inlineStr">
        <is>
          <t>Not stated on course page</t>
        </is>
      </c>
      <c r="N161" t="inlineStr"/>
      <c r="O161" t="n">
        <v>0</v>
      </c>
      <c r="P161" t="inlineStr"/>
      <c r="Q161" t="inlineStr">
        <is>
          <t>Filled</t>
        </is>
      </c>
      <c r="R161" t="n">
        <v>6.5</v>
      </c>
      <c r="S161" t="inlineStr">
        <is>
          <t>Central English policy</t>
        </is>
      </c>
      <c r="T161" t="inlineStr">
        <is>
          <t>Central rule applies (value agrees)</t>
        </is>
      </c>
      <c r="U161" t="inlineStr"/>
      <c r="V161" t="inlineStr">
        <is>
          <t>Not stated on course page</t>
        </is>
      </c>
      <c r="W161" t="inlineStr"/>
      <c r="X161" t="inlineStr"/>
      <c r="Y161" t="n">
        <v>0</v>
      </c>
      <c r="Z161" t="inlineStr">
        <is>
          <t>No</t>
        </is>
      </c>
      <c r="AA161" t="inlineStr">
        <is>
          <t>Filled</t>
        </is>
      </c>
      <c r="AB161" t="inlineStr">
        <is>
          <t>blended</t>
        </is>
      </c>
      <c r="AC161" t="inlineStr"/>
      <c r="AD161" t="n">
        <v>0</v>
      </c>
      <c r="AE161" t="inlineStr"/>
      <c r="AF161" t="inlineStr"/>
      <c r="AG161" t="inlineStr"/>
      <c r="AH161" t="inlineStr"/>
      <c r="AI161" t="inlineStr"/>
      <c r="AJ161" t="inlineStr"/>
      <c r="AK161" t="inlineStr"/>
      <c r="AL161" t="inlineStr"/>
      <c r="AM161" t="inlineStr"/>
    </row>
    <row r="162">
      <c r="A162" t="inlineStr">
        <is>
          <t>103869A</t>
        </is>
      </c>
      <c r="B162" t="inlineStr">
        <is>
          <t>Graduate Certificate of Diplomacy</t>
        </is>
      </c>
      <c r="C162" t="inlineStr">
        <is>
          <t>Graduate Certificate</t>
        </is>
      </c>
      <c r="D162" t="inlineStr">
        <is>
          <t>Postgraduate coursework</t>
        </is>
      </c>
      <c r="E162" t="inlineStr">
        <is>
          <t>Advertised: official page in place</t>
        </is>
      </c>
      <c r="F162" t="inlineStr">
        <is>
          <t>https://programsandcourses.anu.edu.au/2024/program/cdiplo</t>
        </is>
      </c>
      <c r="G162" t="inlineStr">
        <is>
          <t>https://programsandcourses.anu.edu.au/2024/program/cdiplo</t>
        </is>
      </c>
      <c r="H162" t="inlineStr">
        <is>
          <t>Read</t>
        </is>
      </c>
      <c r="I162" t="inlineStr">
        <is>
          <t>CRICOS code on page</t>
        </is>
      </c>
      <c r="J162" t="inlineStr"/>
      <c r="K162" t="inlineStr">
        <is>
          <t>Not sent to re-link</t>
        </is>
      </c>
      <c r="L162" t="inlineStr">
        <is>
          <t>Filled</t>
        </is>
      </c>
      <c r="M162" t="inlineStr">
        <is>
          <t>Filled</t>
        </is>
      </c>
      <c r="N162" t="inlineStr">
        <is>
          <t>25380.00 2026</t>
        </is>
      </c>
      <c r="O162" t="n">
        <v>0</v>
      </c>
      <c r="P162" t="inlineStr">
        <is>
          <t>University adapter</t>
        </is>
      </c>
      <c r="Q162" t="inlineStr">
        <is>
          <t>Filled</t>
        </is>
      </c>
      <c r="R162" t="n">
        <v>6.5</v>
      </c>
      <c r="S162" t="inlineStr">
        <is>
          <t>Central English policy</t>
        </is>
      </c>
      <c r="T162" t="inlineStr">
        <is>
          <t>Central rule applies (value agrees)</t>
        </is>
      </c>
      <c r="U162" t="inlineStr"/>
      <c r="V162" t="inlineStr">
        <is>
          <t>Not stated on course page</t>
        </is>
      </c>
      <c r="W162" t="inlineStr"/>
      <c r="X162" t="inlineStr"/>
      <c r="Y162" t="n">
        <v>0</v>
      </c>
      <c r="Z162" t="inlineStr">
        <is>
          <t>No</t>
        </is>
      </c>
      <c r="AA162" t="inlineStr">
        <is>
          <t>Filled</t>
        </is>
      </c>
      <c r="AB162" t="inlineStr">
        <is>
          <t>on campus</t>
        </is>
      </c>
      <c r="AC162" t="inlineStr"/>
      <c r="AD162" t="n">
        <v>0</v>
      </c>
      <c r="AE162" t="inlineStr"/>
      <c r="AF162" t="inlineStr"/>
      <c r="AG162" t="inlineStr"/>
      <c r="AH162" t="inlineStr"/>
      <c r="AI162" t="inlineStr"/>
      <c r="AJ162" t="inlineStr"/>
      <c r="AK162" t="inlineStr"/>
      <c r="AL162" t="inlineStr"/>
      <c r="AM162" t="inlineStr"/>
    </row>
    <row r="163">
      <c r="A163" t="inlineStr">
        <is>
          <t>099463F</t>
        </is>
      </c>
      <c r="B163" t="inlineStr">
        <is>
          <t>Graduate Certificate of Disaster Risk Science and Sustainability</t>
        </is>
      </c>
      <c r="C163" t="inlineStr">
        <is>
          <t>Graduate Certificate</t>
        </is>
      </c>
      <c r="D163" t="inlineStr">
        <is>
          <t>Postgraduate coursework</t>
        </is>
      </c>
      <c r="E163" t="inlineStr">
        <is>
          <t>Advertised: official page in place</t>
        </is>
      </c>
      <c r="F163" t="inlineStr">
        <is>
          <t>https://programsandcourses.anu.edu.au/2021/program/cdrss</t>
        </is>
      </c>
      <c r="G163" t="inlineStr">
        <is>
          <t>https://programsandcourses.anu.edu.au/2023/program/cdrss</t>
        </is>
      </c>
      <c r="H163" t="inlineStr">
        <is>
          <t>Read</t>
        </is>
      </c>
      <c r="I163" t="inlineStr">
        <is>
          <t>CRICOS code on page</t>
        </is>
      </c>
      <c r="J163" t="inlineStr"/>
      <c r="K163" t="inlineStr">
        <is>
          <t>Not sent to re-link</t>
        </is>
      </c>
      <c r="L163" t="inlineStr">
        <is>
          <t>Filled</t>
        </is>
      </c>
      <c r="M163" t="inlineStr">
        <is>
          <t>Filled</t>
        </is>
      </c>
      <c r="N163" t="inlineStr">
        <is>
          <t>24665.00 2026</t>
        </is>
      </c>
      <c r="O163" t="n">
        <v>0</v>
      </c>
      <c r="P163" t="inlineStr">
        <is>
          <t>University adapter</t>
        </is>
      </c>
      <c r="Q163" t="inlineStr">
        <is>
          <t>Filled</t>
        </is>
      </c>
      <c r="R163" t="n">
        <v>6.5</v>
      </c>
      <c r="S163" t="inlineStr">
        <is>
          <t>Central English policy</t>
        </is>
      </c>
      <c r="T163" t="inlineStr">
        <is>
          <t>Central rule applies (value agrees)</t>
        </is>
      </c>
      <c r="U163" t="inlineStr"/>
      <c r="V163" t="inlineStr">
        <is>
          <t>Not stated on course page</t>
        </is>
      </c>
      <c r="W163" t="inlineStr"/>
      <c r="X163" t="inlineStr"/>
      <c r="Y163" t="n">
        <v>0</v>
      </c>
      <c r="Z163" t="inlineStr">
        <is>
          <t>No</t>
        </is>
      </c>
      <c r="AA163" t="inlineStr">
        <is>
          <t>Filled</t>
        </is>
      </c>
      <c r="AB163" t="inlineStr">
        <is>
          <t>blended</t>
        </is>
      </c>
      <c r="AC163" t="inlineStr"/>
      <c r="AD163" t="n">
        <v>0</v>
      </c>
      <c r="AE163" t="inlineStr"/>
      <c r="AF163" t="inlineStr"/>
      <c r="AG163" t="inlineStr"/>
      <c r="AH163" t="inlineStr"/>
      <c r="AI163" t="inlineStr"/>
      <c r="AJ163" t="inlineStr"/>
      <c r="AK163" t="inlineStr"/>
      <c r="AL163" t="inlineStr"/>
      <c r="AM163" t="inlineStr"/>
    </row>
    <row r="164">
      <c r="A164" t="inlineStr">
        <is>
          <t>082256G</t>
        </is>
      </c>
      <c r="B164" t="inlineStr">
        <is>
          <t>Graduate Certificate of Economics</t>
        </is>
      </c>
      <c r="C164" t="inlineStr">
        <is>
          <t>Graduate Certificate</t>
        </is>
      </c>
      <c r="D164" t="inlineStr">
        <is>
          <t>Postgraduate coursework</t>
        </is>
      </c>
      <c r="E164" t="inlineStr">
        <is>
          <t>Advertised: official page in place</t>
        </is>
      </c>
      <c r="F164" t="inlineStr">
        <is>
          <t>https://programsandcourses.anu.edu.au/2024/program/cecon</t>
        </is>
      </c>
      <c r="G164" t="inlineStr">
        <is>
          <t>https://programsandcourses.anu.edu.au/program/cecon</t>
        </is>
      </c>
      <c r="H164" t="inlineStr">
        <is>
          <t>Read</t>
        </is>
      </c>
      <c r="I164" t="inlineStr">
        <is>
          <t>CRICOS code on page</t>
        </is>
      </c>
      <c r="J164" t="inlineStr"/>
      <c r="K164" t="inlineStr">
        <is>
          <t>Not sent to re-link</t>
        </is>
      </c>
      <c r="L164" t="inlineStr">
        <is>
          <t>Filled</t>
        </is>
      </c>
      <c r="M164" t="inlineStr">
        <is>
          <t>Not stated on course page</t>
        </is>
      </c>
      <c r="N164" t="inlineStr"/>
      <c r="O164" t="n">
        <v>0</v>
      </c>
      <c r="P164" t="inlineStr"/>
      <c r="Q164" t="inlineStr">
        <is>
          <t>Filled</t>
        </is>
      </c>
      <c r="R164" t="n">
        <v>6.5</v>
      </c>
      <c r="S164" t="inlineStr">
        <is>
          <t>Central English policy</t>
        </is>
      </c>
      <c r="T164" t="inlineStr">
        <is>
          <t>Central rule applies (value agrees)</t>
        </is>
      </c>
      <c r="U164" t="inlineStr"/>
      <c r="V164" t="inlineStr">
        <is>
          <t>Not stated on course page</t>
        </is>
      </c>
      <c r="W164" t="inlineStr"/>
      <c r="X164" t="inlineStr"/>
      <c r="Y164" t="n">
        <v>0</v>
      </c>
      <c r="Z164" t="inlineStr">
        <is>
          <t>No</t>
        </is>
      </c>
      <c r="AA164" t="inlineStr">
        <is>
          <t>Filled</t>
        </is>
      </c>
      <c r="AB164" t="inlineStr">
        <is>
          <t>on campus</t>
        </is>
      </c>
      <c r="AC164" t="inlineStr"/>
      <c r="AD164" t="n">
        <v>0</v>
      </c>
      <c r="AE164" t="inlineStr"/>
      <c r="AF164" t="inlineStr"/>
      <c r="AG164" t="inlineStr"/>
      <c r="AH164" t="inlineStr"/>
      <c r="AI164" t="inlineStr"/>
      <c r="AJ164" t="inlineStr"/>
      <c r="AK164" t="inlineStr"/>
      <c r="AL164" t="inlineStr"/>
      <c r="AM164" t="inlineStr"/>
    </row>
    <row r="165">
      <c r="A165" t="inlineStr">
        <is>
          <t>103364D</t>
        </is>
      </c>
      <c r="B165" t="inlineStr">
        <is>
          <t>Graduate Certificate of Engaging Asia</t>
        </is>
      </c>
      <c r="C165" t="inlineStr">
        <is>
          <t>Graduate Certificate</t>
        </is>
      </c>
      <c r="D165" t="inlineStr">
        <is>
          <t>Postgraduate coursework</t>
        </is>
      </c>
      <c r="E165" t="inlineStr">
        <is>
          <t>Advertised: official page in place</t>
        </is>
      </c>
      <c r="F165" t="inlineStr">
        <is>
          <t>https://programsandcourses.anu.edu.au/2025/program/ceasi</t>
        </is>
      </c>
      <c r="G165" t="inlineStr">
        <is>
          <t>https://programsandcourses.anu.edu.au/2022/program/ceasi</t>
        </is>
      </c>
      <c r="H165" t="inlineStr">
        <is>
          <t>Read</t>
        </is>
      </c>
      <c r="I165" t="inlineStr">
        <is>
          <t>CRICOS code on page</t>
        </is>
      </c>
      <c r="J165" t="inlineStr"/>
      <c r="K165" t="inlineStr">
        <is>
          <t>Not sent to re-link</t>
        </is>
      </c>
      <c r="L165" t="inlineStr">
        <is>
          <t>Filled</t>
        </is>
      </c>
      <c r="M165" t="inlineStr">
        <is>
          <t>Filled</t>
        </is>
      </c>
      <c r="N165" t="inlineStr">
        <is>
          <t>23970.00 2026</t>
        </is>
      </c>
      <c r="O165" t="n">
        <v>0</v>
      </c>
      <c r="P165" t="inlineStr">
        <is>
          <t>University adapter</t>
        </is>
      </c>
      <c r="Q165" t="inlineStr">
        <is>
          <t>Filled</t>
        </is>
      </c>
      <c r="R165" t="n">
        <v>6.5</v>
      </c>
      <c r="S165" t="inlineStr">
        <is>
          <t>Central English policy</t>
        </is>
      </c>
      <c r="T165" t="inlineStr">
        <is>
          <t>Central rule applies (value agrees)</t>
        </is>
      </c>
      <c r="U165" t="inlineStr"/>
      <c r="V165" t="inlineStr">
        <is>
          <t>Not stated on course page</t>
        </is>
      </c>
      <c r="W165" t="inlineStr"/>
      <c r="X165" t="inlineStr"/>
      <c r="Y165" t="n">
        <v>0</v>
      </c>
      <c r="Z165" t="inlineStr">
        <is>
          <t>No</t>
        </is>
      </c>
      <c r="AA165" t="inlineStr">
        <is>
          <t>Filled</t>
        </is>
      </c>
      <c r="AB165" t="inlineStr">
        <is>
          <t>blended</t>
        </is>
      </c>
      <c r="AC165" t="inlineStr"/>
      <c r="AD165" t="n">
        <v>0</v>
      </c>
      <c r="AE165" t="inlineStr"/>
      <c r="AF165" t="inlineStr"/>
      <c r="AG165" t="inlineStr"/>
      <c r="AH165" t="inlineStr"/>
      <c r="AI165" t="inlineStr"/>
      <c r="AJ165" t="inlineStr"/>
      <c r="AK165" t="inlineStr"/>
      <c r="AL165" t="inlineStr"/>
      <c r="AM165" t="inlineStr"/>
    </row>
    <row r="166">
      <c r="A166" t="inlineStr">
        <is>
          <t>103365C</t>
        </is>
      </c>
      <c r="B166" t="inlineStr">
        <is>
          <t>Graduate Certificate of Engaging the Pacific</t>
        </is>
      </c>
      <c r="C166" t="inlineStr">
        <is>
          <t>Graduate Certificate</t>
        </is>
      </c>
      <c r="D166" t="inlineStr">
        <is>
          <t>Postgraduate coursework</t>
        </is>
      </c>
      <c r="E166" t="inlineStr">
        <is>
          <t>Advertised: official page in place</t>
        </is>
      </c>
      <c r="F166" t="inlineStr">
        <is>
          <t>https://programsandcourses.anu.edu.au/2025/program/cenpa</t>
        </is>
      </c>
      <c r="G166" t="inlineStr">
        <is>
          <t>https://programsandcourses.anu.edu.au/2025/program/cenpa</t>
        </is>
      </c>
      <c r="H166" t="inlineStr">
        <is>
          <t>Read</t>
        </is>
      </c>
      <c r="I166" t="inlineStr">
        <is>
          <t>CRICOS code on page</t>
        </is>
      </c>
      <c r="J166" t="inlineStr"/>
      <c r="K166" t="inlineStr">
        <is>
          <t>Not sent to re-link</t>
        </is>
      </c>
      <c r="L166" t="inlineStr">
        <is>
          <t>Filled</t>
        </is>
      </c>
      <c r="M166" t="inlineStr">
        <is>
          <t>Filled</t>
        </is>
      </c>
      <c r="N166" t="inlineStr">
        <is>
          <t>25410.00 2026</t>
        </is>
      </c>
      <c r="O166" t="n">
        <v>0</v>
      </c>
      <c r="P166" t="inlineStr">
        <is>
          <t>University adapter</t>
        </is>
      </c>
      <c r="Q166" t="inlineStr">
        <is>
          <t>Filled</t>
        </is>
      </c>
      <c r="R166" t="n">
        <v>6.5</v>
      </c>
      <c r="S166" t="inlineStr">
        <is>
          <t>Central English policy</t>
        </is>
      </c>
      <c r="T166" t="inlineStr">
        <is>
          <t>Central rule applies (value agrees)</t>
        </is>
      </c>
      <c r="U166" t="inlineStr"/>
      <c r="V166" t="inlineStr">
        <is>
          <t>Not stated on course page</t>
        </is>
      </c>
      <c r="W166" t="inlineStr"/>
      <c r="X166" t="inlineStr"/>
      <c r="Y166" t="n">
        <v>0</v>
      </c>
      <c r="Z166" t="inlineStr">
        <is>
          <t>No</t>
        </is>
      </c>
      <c r="AA166" t="inlineStr">
        <is>
          <t>Filled</t>
        </is>
      </c>
      <c r="AB166" t="inlineStr">
        <is>
          <t>on campus</t>
        </is>
      </c>
      <c r="AC166" t="inlineStr"/>
      <c r="AD166" t="n">
        <v>0</v>
      </c>
      <c r="AE166" t="inlineStr"/>
      <c r="AF166" t="inlineStr"/>
      <c r="AG166" t="inlineStr"/>
      <c r="AH166" t="inlineStr"/>
      <c r="AI166" t="inlineStr"/>
      <c r="AJ166" t="inlineStr"/>
      <c r="AK166" t="inlineStr"/>
      <c r="AL166" t="inlineStr"/>
      <c r="AM166" t="inlineStr"/>
    </row>
    <row r="167">
      <c r="A167" t="inlineStr">
        <is>
          <t>103865E</t>
        </is>
      </c>
      <c r="B167" t="inlineStr">
        <is>
          <t>Graduate Certificate of Environmental and Resource Economics</t>
        </is>
      </c>
      <c r="C167" t="inlineStr">
        <is>
          <t>Graduate Certificate</t>
        </is>
      </c>
      <c r="D167" t="inlineStr">
        <is>
          <t>Postgraduate coursework</t>
        </is>
      </c>
      <c r="E167" t="inlineStr">
        <is>
          <t>Advertised: official page in place</t>
        </is>
      </c>
      <c r="F167" t="inlineStr">
        <is>
          <t>https://programsandcourses.anu.edu.au/2025/program/cerec</t>
        </is>
      </c>
      <c r="G167" t="inlineStr">
        <is>
          <t>https://programsandcourses.anu.edu.au/2023/program/cerec</t>
        </is>
      </c>
      <c r="H167" t="inlineStr">
        <is>
          <t>Read</t>
        </is>
      </c>
      <c r="I167" t="inlineStr">
        <is>
          <t>CRICOS code on page</t>
        </is>
      </c>
      <c r="J167" t="inlineStr"/>
      <c r="K167" t="inlineStr">
        <is>
          <t>Not sent to re-link</t>
        </is>
      </c>
      <c r="L167" t="inlineStr">
        <is>
          <t>Filled</t>
        </is>
      </c>
      <c r="M167" t="inlineStr">
        <is>
          <t>Filled</t>
        </is>
      </c>
      <c r="N167" t="inlineStr">
        <is>
          <t>23340.00 2026</t>
        </is>
      </c>
      <c r="O167" t="n">
        <v>0</v>
      </c>
      <c r="P167" t="inlineStr">
        <is>
          <t>University adapter</t>
        </is>
      </c>
      <c r="Q167" t="inlineStr">
        <is>
          <t>Filled</t>
        </is>
      </c>
      <c r="R167" t="n">
        <v>6.5</v>
      </c>
      <c r="S167" t="inlineStr">
        <is>
          <t>Central English policy</t>
        </is>
      </c>
      <c r="T167" t="inlineStr">
        <is>
          <t>Central rule applies (value agrees)</t>
        </is>
      </c>
      <c r="U167" t="inlineStr"/>
      <c r="V167" t="inlineStr">
        <is>
          <t>Not stated on course page</t>
        </is>
      </c>
      <c r="W167" t="inlineStr"/>
      <c r="X167" t="inlineStr"/>
      <c r="Y167" t="n">
        <v>0</v>
      </c>
      <c r="Z167" t="inlineStr">
        <is>
          <t>No</t>
        </is>
      </c>
      <c r="AA167" t="inlineStr">
        <is>
          <t>Filled</t>
        </is>
      </c>
      <c r="AB167" t="inlineStr">
        <is>
          <t>blended</t>
        </is>
      </c>
      <c r="AC167" t="inlineStr"/>
      <c r="AD167" t="n">
        <v>0</v>
      </c>
      <c r="AE167" t="inlineStr"/>
      <c r="AF167" t="inlineStr"/>
      <c r="AG167" t="inlineStr"/>
      <c r="AH167" t="inlineStr"/>
      <c r="AI167" t="inlineStr"/>
      <c r="AJ167" t="inlineStr"/>
      <c r="AK167" t="inlineStr"/>
      <c r="AL167" t="inlineStr"/>
      <c r="AM167" t="inlineStr"/>
    </row>
    <row r="168">
      <c r="A168" t="inlineStr">
        <is>
          <t>107175K</t>
        </is>
      </c>
      <c r="B168" t="inlineStr">
        <is>
          <t>Graduate Certificate of Environmental Management</t>
        </is>
      </c>
      <c r="C168" t="inlineStr">
        <is>
          <t>Graduate Certificate</t>
        </is>
      </c>
      <c r="D168" t="inlineStr">
        <is>
          <t>Postgraduate coursework</t>
        </is>
      </c>
      <c r="E168" t="inlineStr">
        <is>
          <t>Advertised: official page in place</t>
        </is>
      </c>
      <c r="F168" t="inlineStr">
        <is>
          <t>https://programsandcourses.anu.edu.au/2025/program/GCEVM</t>
        </is>
      </c>
      <c r="G168" t="inlineStr">
        <is>
          <t>https://programsandcourses.anu.edu.au/2020/program/gcevm</t>
        </is>
      </c>
      <c r="H168" t="inlineStr">
        <is>
          <t>Read</t>
        </is>
      </c>
      <c r="I168" t="inlineStr">
        <is>
          <t>Exact title match</t>
        </is>
      </c>
      <c r="J168" t="inlineStr"/>
      <c r="K168" t="inlineStr">
        <is>
          <t>Not sent to re-link</t>
        </is>
      </c>
      <c r="L168" t="inlineStr">
        <is>
          <t>Filled</t>
        </is>
      </c>
      <c r="M168" t="inlineStr">
        <is>
          <t>Not stated on course page</t>
        </is>
      </c>
      <c r="N168" t="inlineStr"/>
      <c r="O168" t="n">
        <v>0</v>
      </c>
      <c r="P168" t="inlineStr"/>
      <c r="Q168" t="inlineStr">
        <is>
          <t>Filled</t>
        </is>
      </c>
      <c r="R168" t="n">
        <v>6.5</v>
      </c>
      <c r="S168" t="inlineStr">
        <is>
          <t>Central English policy</t>
        </is>
      </c>
      <c r="T168" t="inlineStr">
        <is>
          <t>Central rule applies (value agrees)</t>
        </is>
      </c>
      <c r="U168" t="inlineStr"/>
      <c r="V168" t="inlineStr">
        <is>
          <t>Waiting for Layer 4 review</t>
        </is>
      </c>
      <c r="W168" t="inlineStr"/>
      <c r="X168" t="inlineStr"/>
      <c r="Y168" t="n">
        <v>0</v>
      </c>
      <c r="Z168" t="inlineStr">
        <is>
          <t>No</t>
        </is>
      </c>
      <c r="AA168" t="inlineStr">
        <is>
          <t>Filled</t>
        </is>
      </c>
      <c r="AB168" t="inlineStr">
        <is>
          <t>online</t>
        </is>
      </c>
      <c r="AC168" t="inlineStr"/>
      <c r="AD168" t="n">
        <v>0</v>
      </c>
      <c r="AE168" t="inlineStr"/>
      <c r="AF168" t="inlineStr">
        <is>
          <t>Yes</t>
        </is>
      </c>
      <c r="AG168" t="inlineStr"/>
      <c r="AH168" t="inlineStr"/>
      <c r="AI168" t="inlineStr"/>
      <c r="AJ168" t="inlineStr"/>
      <c r="AK168" t="inlineStr"/>
      <c r="AL168" t="inlineStr"/>
      <c r="AM168" t="inlineStr"/>
    </row>
    <row r="169">
      <c r="A169" t="inlineStr">
        <is>
          <t>119047H</t>
        </is>
      </c>
      <c r="B169" t="inlineStr">
        <is>
          <t>Graduate Certificate of Finance</t>
        </is>
      </c>
      <c r="C169" t="inlineStr">
        <is>
          <t>Graduate Certificate</t>
        </is>
      </c>
      <c r="D169" t="inlineStr">
        <is>
          <t>Postgraduate coursework</t>
        </is>
      </c>
      <c r="E169" t="inlineStr">
        <is>
          <t>Advertised: official page in place</t>
        </is>
      </c>
      <c r="F169" t="inlineStr">
        <is>
          <t>https://programsandcourses.anu.edu.au/program/cfinn</t>
        </is>
      </c>
      <c r="G169" t="inlineStr">
        <is>
          <t>https://programsandcourses.anu.edu.au/program/cfinn</t>
        </is>
      </c>
      <c r="H169" t="inlineStr">
        <is>
          <t>Read</t>
        </is>
      </c>
      <c r="I169" t="inlineStr">
        <is>
          <t>CRICOS code on page</t>
        </is>
      </c>
      <c r="J169" t="inlineStr"/>
      <c r="K169" t="inlineStr">
        <is>
          <t>Not sent to re-link</t>
        </is>
      </c>
      <c r="L169" t="inlineStr">
        <is>
          <t>Filled</t>
        </is>
      </c>
      <c r="M169" t="inlineStr">
        <is>
          <t>Not stated on course page</t>
        </is>
      </c>
      <c r="N169" t="inlineStr"/>
      <c r="O169" t="n">
        <v>0</v>
      </c>
      <c r="P169" t="inlineStr"/>
      <c r="Q169" t="inlineStr">
        <is>
          <t>Filled</t>
        </is>
      </c>
      <c r="R169" t="n">
        <v>6.5</v>
      </c>
      <c r="S169" t="inlineStr">
        <is>
          <t>Central English policy</t>
        </is>
      </c>
      <c r="T169" t="inlineStr">
        <is>
          <t>Central rule applies (value agrees)</t>
        </is>
      </c>
      <c r="U169" t="inlineStr"/>
      <c r="V169" t="inlineStr">
        <is>
          <t>Not stated on course page</t>
        </is>
      </c>
      <c r="W169" t="inlineStr"/>
      <c r="X169" t="inlineStr"/>
      <c r="Y169" t="n">
        <v>0</v>
      </c>
      <c r="Z169" t="inlineStr">
        <is>
          <t>No</t>
        </is>
      </c>
      <c r="AA169" t="inlineStr">
        <is>
          <t>Filled</t>
        </is>
      </c>
      <c r="AB169" t="inlineStr">
        <is>
          <t>on campus</t>
        </is>
      </c>
      <c r="AC169" t="inlineStr"/>
      <c r="AD169" t="n">
        <v>0</v>
      </c>
      <c r="AE169" t="inlineStr"/>
      <c r="AF169" t="inlineStr"/>
      <c r="AG169" t="inlineStr"/>
      <c r="AH169" t="inlineStr"/>
      <c r="AI169" t="inlineStr"/>
      <c r="AJ169" t="inlineStr"/>
      <c r="AK169" t="inlineStr"/>
      <c r="AL169" t="inlineStr"/>
      <c r="AM169" t="inlineStr"/>
    </row>
    <row r="170">
      <c r="A170" t="inlineStr">
        <is>
          <t>082257G</t>
        </is>
      </c>
      <c r="B170" t="inlineStr">
        <is>
          <t>Graduate Certificate of Finance and Actuarial Statistics</t>
        </is>
      </c>
      <c r="C170" t="inlineStr">
        <is>
          <t>Graduate Certificate</t>
        </is>
      </c>
      <c r="D170" t="inlineStr">
        <is>
          <t>Postgraduate coursework</t>
        </is>
      </c>
      <c r="E170" t="inlineStr">
        <is>
          <t>Advertised: official page in place</t>
        </is>
      </c>
      <c r="F170" t="inlineStr">
        <is>
          <t>https://programsandcourses.anu.edu.au/2025/program/cfas</t>
        </is>
      </c>
      <c r="G170" t="inlineStr">
        <is>
          <t>https://programsandcourses.anu.edu.au/2025/program/cfas</t>
        </is>
      </c>
      <c r="H170" t="inlineStr">
        <is>
          <t>Read</t>
        </is>
      </c>
      <c r="I170" t="inlineStr">
        <is>
          <t>CRICOS code on page</t>
        </is>
      </c>
      <c r="J170" t="inlineStr"/>
      <c r="K170" t="inlineStr">
        <is>
          <t>Not sent to re-link</t>
        </is>
      </c>
      <c r="L170" t="inlineStr">
        <is>
          <t>Filled</t>
        </is>
      </c>
      <c r="M170" t="inlineStr">
        <is>
          <t>Filled</t>
        </is>
      </c>
      <c r="N170" t="inlineStr">
        <is>
          <t>26850.00 2026</t>
        </is>
      </c>
      <c r="O170" t="n">
        <v>0</v>
      </c>
      <c r="P170" t="inlineStr">
        <is>
          <t>University adapter</t>
        </is>
      </c>
      <c r="Q170" t="inlineStr">
        <is>
          <t>Filled</t>
        </is>
      </c>
      <c r="R170" t="n">
        <v>6.5</v>
      </c>
      <c r="S170" t="inlineStr">
        <is>
          <t>Central English policy</t>
        </is>
      </c>
      <c r="T170" t="inlineStr">
        <is>
          <t>Central rule applies (value agrees)</t>
        </is>
      </c>
      <c r="U170" t="inlineStr"/>
      <c r="V170" t="inlineStr">
        <is>
          <t>Not stated on course page</t>
        </is>
      </c>
      <c r="W170" t="inlineStr"/>
      <c r="X170" t="inlineStr"/>
      <c r="Y170" t="n">
        <v>0</v>
      </c>
      <c r="Z170" t="inlineStr">
        <is>
          <t>No</t>
        </is>
      </c>
      <c r="AA170" t="inlineStr">
        <is>
          <t>Filled</t>
        </is>
      </c>
      <c r="AB170" t="inlineStr">
        <is>
          <t>on campus</t>
        </is>
      </c>
      <c r="AC170" t="inlineStr"/>
      <c r="AD170" t="n">
        <v>0</v>
      </c>
      <c r="AE170" t="inlineStr"/>
      <c r="AF170" t="inlineStr"/>
      <c r="AG170" t="inlineStr"/>
      <c r="AH170" t="inlineStr"/>
      <c r="AI170" t="inlineStr"/>
      <c r="AJ170" t="inlineStr"/>
      <c r="AK170" t="inlineStr"/>
      <c r="AL170" t="inlineStr"/>
      <c r="AM170" t="inlineStr"/>
    </row>
    <row r="171">
      <c r="A171" t="inlineStr">
        <is>
          <t>103866D</t>
        </is>
      </c>
      <c r="B171" t="inlineStr">
        <is>
          <t>Graduate Certificate of International and Development Economics</t>
        </is>
      </c>
      <c r="C171" t="inlineStr">
        <is>
          <t>Graduate Certificate</t>
        </is>
      </c>
      <c r="D171" t="inlineStr">
        <is>
          <t>Postgraduate coursework</t>
        </is>
      </c>
      <c r="E171" t="inlineStr">
        <is>
          <t>Advertised: official page in place</t>
        </is>
      </c>
      <c r="F171" t="inlineStr">
        <is>
          <t>https://programsandcourses.anu.edu.au/2025/program/cidec</t>
        </is>
      </c>
      <c r="G171" t="inlineStr">
        <is>
          <t>https://programsandcourses.anu.edu.au/2022/program/cidec</t>
        </is>
      </c>
      <c r="H171" t="inlineStr">
        <is>
          <t>Read</t>
        </is>
      </c>
      <c r="I171" t="inlineStr">
        <is>
          <t>CRICOS code on page</t>
        </is>
      </c>
      <c r="J171" t="inlineStr"/>
      <c r="K171" t="inlineStr">
        <is>
          <t>Not sent to re-link</t>
        </is>
      </c>
      <c r="L171" t="inlineStr">
        <is>
          <t>Filled</t>
        </is>
      </c>
      <c r="M171" t="inlineStr">
        <is>
          <t>Filled</t>
        </is>
      </c>
      <c r="N171" t="inlineStr">
        <is>
          <t>22680.00 2026</t>
        </is>
      </c>
      <c r="O171" t="n">
        <v>0</v>
      </c>
      <c r="P171" t="inlineStr">
        <is>
          <t>University adapter</t>
        </is>
      </c>
      <c r="Q171" t="inlineStr">
        <is>
          <t>Filled</t>
        </is>
      </c>
      <c r="R171" t="n">
        <v>6.5</v>
      </c>
      <c r="S171" t="inlineStr">
        <is>
          <t>Central English policy</t>
        </is>
      </c>
      <c r="T171" t="inlineStr">
        <is>
          <t>Central rule applies (value agrees)</t>
        </is>
      </c>
      <c r="U171" t="inlineStr"/>
      <c r="V171" t="inlineStr">
        <is>
          <t>Not stated on course page</t>
        </is>
      </c>
      <c r="W171" t="inlineStr"/>
      <c r="X171" t="inlineStr"/>
      <c r="Y171" t="n">
        <v>0</v>
      </c>
      <c r="Z171" t="inlineStr">
        <is>
          <t>No</t>
        </is>
      </c>
      <c r="AA171" t="inlineStr">
        <is>
          <t>Filled</t>
        </is>
      </c>
      <c r="AB171" t="inlineStr">
        <is>
          <t>blended</t>
        </is>
      </c>
      <c r="AC171" t="inlineStr"/>
      <c r="AD171" t="n">
        <v>0</v>
      </c>
      <c r="AE171" t="inlineStr"/>
      <c r="AF171" t="inlineStr"/>
      <c r="AG171" t="inlineStr"/>
      <c r="AH171" t="inlineStr"/>
      <c r="AI171" t="inlineStr"/>
      <c r="AJ171" t="inlineStr"/>
      <c r="AK171" t="inlineStr"/>
      <c r="AL171" t="inlineStr"/>
      <c r="AM171" t="inlineStr"/>
    </row>
    <row r="172">
      <c r="A172" t="inlineStr">
        <is>
          <t>103867C</t>
        </is>
      </c>
      <c r="B172" t="inlineStr">
        <is>
          <t>Graduate Certificate of International Relations</t>
        </is>
      </c>
      <c r="C172" t="inlineStr">
        <is>
          <t>Graduate Certificate</t>
        </is>
      </c>
      <c r="D172" t="inlineStr">
        <is>
          <t>Postgraduate coursework</t>
        </is>
      </c>
      <c r="E172" t="inlineStr">
        <is>
          <t>Advertised: official page in place</t>
        </is>
      </c>
      <c r="F172" t="inlineStr">
        <is>
          <t>https://programsandcourses.anu.edu.au/2023/program/cintr</t>
        </is>
      </c>
      <c r="G172" t="inlineStr">
        <is>
          <t>https://programsandcourses.anu.edu.au/2023/program/cintr</t>
        </is>
      </c>
      <c r="H172" t="inlineStr">
        <is>
          <t>Read</t>
        </is>
      </c>
      <c r="I172" t="inlineStr">
        <is>
          <t>CRICOS code on page</t>
        </is>
      </c>
      <c r="J172" t="inlineStr"/>
      <c r="K172" t="inlineStr">
        <is>
          <t>Not sent to re-link</t>
        </is>
      </c>
      <c r="L172" t="inlineStr">
        <is>
          <t>Filled</t>
        </is>
      </c>
      <c r="M172" t="inlineStr">
        <is>
          <t>Filled</t>
        </is>
      </c>
      <c r="N172" t="inlineStr">
        <is>
          <t>24401.00 2026</t>
        </is>
      </c>
      <c r="O172" t="n">
        <v>0</v>
      </c>
      <c r="P172" t="inlineStr">
        <is>
          <t>University adapter</t>
        </is>
      </c>
      <c r="Q172" t="inlineStr">
        <is>
          <t>Filled</t>
        </is>
      </c>
      <c r="R172" t="n">
        <v>6.5</v>
      </c>
      <c r="S172" t="inlineStr">
        <is>
          <t>Central English policy</t>
        </is>
      </c>
      <c r="T172" t="inlineStr">
        <is>
          <t>Central rule applies (value agrees)</t>
        </is>
      </c>
      <c r="U172" t="inlineStr"/>
      <c r="V172" t="inlineStr">
        <is>
          <t>Not stated on course page</t>
        </is>
      </c>
      <c r="W172" t="inlineStr"/>
      <c r="X172" t="inlineStr"/>
      <c r="Y172" t="n">
        <v>0</v>
      </c>
      <c r="Z172" t="inlineStr">
        <is>
          <t>No</t>
        </is>
      </c>
      <c r="AA172" t="inlineStr">
        <is>
          <t>Filled</t>
        </is>
      </c>
      <c r="AB172" t="inlineStr">
        <is>
          <t>on campus</t>
        </is>
      </c>
      <c r="AC172" t="inlineStr"/>
      <c r="AD172" t="n">
        <v>0</v>
      </c>
      <c r="AE172" t="inlineStr"/>
      <c r="AF172" t="inlineStr"/>
      <c r="AG172" t="inlineStr"/>
      <c r="AH172" t="inlineStr"/>
      <c r="AI172" t="inlineStr"/>
      <c r="AJ172" t="inlineStr"/>
      <c r="AK172" t="inlineStr"/>
      <c r="AL172" t="inlineStr"/>
      <c r="AM172" t="inlineStr"/>
    </row>
    <row r="173">
      <c r="A173" t="inlineStr">
        <is>
          <t>082258F</t>
        </is>
      </c>
      <c r="B173" t="inlineStr">
        <is>
          <t>Graduate Certificate of Law</t>
        </is>
      </c>
      <c r="C173" t="inlineStr">
        <is>
          <t>Graduate Certificate</t>
        </is>
      </c>
      <c r="D173" t="inlineStr">
        <is>
          <t>Postgraduate coursework</t>
        </is>
      </c>
      <c r="E173" t="inlineStr">
        <is>
          <t>Advertised: official page in place</t>
        </is>
      </c>
      <c r="F173" t="inlineStr">
        <is>
          <t>https://programsandcourses.anu.edu.au/program/claw</t>
        </is>
      </c>
      <c r="G173" t="inlineStr">
        <is>
          <t>https://programsandcourses.anu.edu.au/program/claw</t>
        </is>
      </c>
      <c r="H173" t="inlineStr">
        <is>
          <t>Read</t>
        </is>
      </c>
      <c r="I173" t="inlineStr">
        <is>
          <t>CRICOS code on page</t>
        </is>
      </c>
      <c r="J173" t="inlineStr"/>
      <c r="K173" t="inlineStr">
        <is>
          <t>Not sent to re-link</t>
        </is>
      </c>
      <c r="L173" t="inlineStr">
        <is>
          <t>Filled</t>
        </is>
      </c>
      <c r="M173" t="inlineStr">
        <is>
          <t>Not stated on course page</t>
        </is>
      </c>
      <c r="N173" t="inlineStr"/>
      <c r="O173" t="n">
        <v>0</v>
      </c>
      <c r="P173" t="inlineStr"/>
      <c r="Q173" t="inlineStr">
        <is>
          <t>Filled</t>
        </is>
      </c>
      <c r="R173" t="n">
        <v>6.5</v>
      </c>
      <c r="S173" t="inlineStr">
        <is>
          <t>Central English policy</t>
        </is>
      </c>
      <c r="T173" t="inlineStr">
        <is>
          <t>Central rule applies (value agrees)</t>
        </is>
      </c>
      <c r="U173" t="inlineStr"/>
      <c r="V173" t="inlineStr">
        <is>
          <t>Not stated on course page</t>
        </is>
      </c>
      <c r="W173" t="inlineStr"/>
      <c r="X173" t="inlineStr"/>
      <c r="Y173" t="n">
        <v>0</v>
      </c>
      <c r="Z173" t="inlineStr">
        <is>
          <t>No</t>
        </is>
      </c>
      <c r="AA173" t="inlineStr">
        <is>
          <t>Filled</t>
        </is>
      </c>
      <c r="AB173" t="inlineStr">
        <is>
          <t>on campus</t>
        </is>
      </c>
      <c r="AC173" t="inlineStr"/>
      <c r="AD173" t="n">
        <v>0</v>
      </c>
      <c r="AE173" t="inlineStr"/>
      <c r="AF173" t="inlineStr"/>
      <c r="AG173" t="inlineStr"/>
      <c r="AH173" t="inlineStr"/>
      <c r="AI173" t="inlineStr"/>
      <c r="AJ173" t="inlineStr"/>
      <c r="AK173" t="inlineStr"/>
      <c r="AL173" t="inlineStr"/>
      <c r="AM173" t="inlineStr"/>
    </row>
    <row r="174">
      <c r="A174" t="inlineStr">
        <is>
          <t>030000G</t>
        </is>
      </c>
      <c r="B174" t="inlineStr">
        <is>
          <t>Graduate Certificate of Management</t>
        </is>
      </c>
      <c r="C174" t="inlineStr">
        <is>
          <t>Graduate Certificate</t>
        </is>
      </c>
      <c r="D174" t="inlineStr">
        <is>
          <t>Postgraduate coursework</t>
        </is>
      </c>
      <c r="E174" t="inlineStr">
        <is>
          <t>Advertised: official page in place</t>
        </is>
      </c>
      <c r="F174" t="inlineStr">
        <is>
          <t>https://programsandcourses.anu.edu.au/program/cmgmt</t>
        </is>
      </c>
      <c r="G174" t="inlineStr">
        <is>
          <t>https://programsandcourses.anu.edu.au/program/cmgmt</t>
        </is>
      </c>
      <c r="H174" t="inlineStr">
        <is>
          <t>Read</t>
        </is>
      </c>
      <c r="I174" t="inlineStr">
        <is>
          <t>CRICOS code on page</t>
        </is>
      </c>
      <c r="J174" t="inlineStr"/>
      <c r="K174" t="inlineStr">
        <is>
          <t>Not sent to re-link</t>
        </is>
      </c>
      <c r="L174" t="inlineStr">
        <is>
          <t>Filled</t>
        </is>
      </c>
      <c r="M174" t="inlineStr">
        <is>
          <t>Not stated on course page</t>
        </is>
      </c>
      <c r="N174" t="inlineStr"/>
      <c r="O174" t="n">
        <v>0</v>
      </c>
      <c r="P174" t="inlineStr"/>
      <c r="Q174" t="inlineStr">
        <is>
          <t>Filled</t>
        </is>
      </c>
      <c r="R174" t="n">
        <v>6.5</v>
      </c>
      <c r="S174" t="inlineStr">
        <is>
          <t>Central English policy</t>
        </is>
      </c>
      <c r="T174" t="inlineStr">
        <is>
          <t>Central rule applies (value agrees)</t>
        </is>
      </c>
      <c r="U174" t="inlineStr"/>
      <c r="V174" t="inlineStr">
        <is>
          <t>Not stated on course page</t>
        </is>
      </c>
      <c r="W174" t="inlineStr"/>
      <c r="X174" t="inlineStr"/>
      <c r="Y174" t="n">
        <v>0</v>
      </c>
      <c r="Z174" t="inlineStr">
        <is>
          <t>No</t>
        </is>
      </c>
      <c r="AA174" t="inlineStr">
        <is>
          <t>Filled</t>
        </is>
      </c>
      <c r="AB174" t="inlineStr">
        <is>
          <t>on campus</t>
        </is>
      </c>
      <c r="AC174" t="inlineStr"/>
      <c r="AD174" t="n">
        <v>0</v>
      </c>
      <c r="AE174" t="inlineStr"/>
      <c r="AF174" t="inlineStr"/>
      <c r="AG174" t="inlineStr"/>
      <c r="AH174" t="inlineStr"/>
      <c r="AI174" t="inlineStr"/>
      <c r="AJ174" t="inlineStr"/>
      <c r="AK174" t="inlineStr"/>
      <c r="AL174" t="inlineStr"/>
      <c r="AM174" t="inlineStr"/>
    </row>
    <row r="175">
      <c r="A175" t="inlineStr">
        <is>
          <t>107758J</t>
        </is>
      </c>
      <c r="B175" t="inlineStr">
        <is>
          <t>Graduate Certificate of Middle Eastern and Central Asian Studies</t>
        </is>
      </c>
      <c r="C175" t="inlineStr">
        <is>
          <t>Graduate Certificate</t>
        </is>
      </c>
      <c r="D175" t="inlineStr">
        <is>
          <t>Postgraduate coursework</t>
        </is>
      </c>
      <c r="E175" t="inlineStr">
        <is>
          <t>Advertised: official page in place</t>
        </is>
      </c>
      <c r="F175" t="inlineStr">
        <is>
          <t>https://programsandcourses.anu.edu.au/program/cmeca</t>
        </is>
      </c>
      <c r="G175" t="inlineStr">
        <is>
          <t>https://programsandcourses.anu.edu.au/program/cmeca</t>
        </is>
      </c>
      <c r="H175" t="inlineStr">
        <is>
          <t>Read</t>
        </is>
      </c>
      <c r="I175" t="inlineStr">
        <is>
          <t>CRICOS code on page</t>
        </is>
      </c>
      <c r="J175" t="inlineStr"/>
      <c r="K175" t="inlineStr">
        <is>
          <t>Not sent to re-link</t>
        </is>
      </c>
      <c r="L175" t="inlineStr">
        <is>
          <t>Filled</t>
        </is>
      </c>
      <c r="M175" t="inlineStr">
        <is>
          <t>Not stated on course page</t>
        </is>
      </c>
      <c r="N175" t="inlineStr"/>
      <c r="O175" t="n">
        <v>0</v>
      </c>
      <c r="P175" t="inlineStr"/>
      <c r="Q175" t="inlineStr">
        <is>
          <t>Filled</t>
        </is>
      </c>
      <c r="R175" t="n">
        <v>6.5</v>
      </c>
      <c r="S175" t="inlineStr">
        <is>
          <t>Central English policy</t>
        </is>
      </c>
      <c r="T175" t="inlineStr">
        <is>
          <t>Central rule applies (value agrees)</t>
        </is>
      </c>
      <c r="U175" t="inlineStr"/>
      <c r="V175" t="inlineStr">
        <is>
          <t>Not stated on course page</t>
        </is>
      </c>
      <c r="W175" t="inlineStr"/>
      <c r="X175" t="inlineStr"/>
      <c r="Y175" t="n">
        <v>0</v>
      </c>
      <c r="Z175" t="inlineStr">
        <is>
          <t>No</t>
        </is>
      </c>
      <c r="AA175" t="inlineStr">
        <is>
          <t>Filled</t>
        </is>
      </c>
      <c r="AB175" t="inlineStr">
        <is>
          <t>on campus</t>
        </is>
      </c>
      <c r="AC175" t="inlineStr"/>
      <c r="AD175" t="n">
        <v>0</v>
      </c>
      <c r="AE175" t="inlineStr"/>
      <c r="AF175" t="inlineStr"/>
      <c r="AG175" t="inlineStr"/>
      <c r="AH175" t="inlineStr"/>
      <c r="AI175" t="inlineStr"/>
      <c r="AJ175" t="inlineStr"/>
      <c r="AK175" t="inlineStr"/>
      <c r="AL175" t="inlineStr"/>
      <c r="AM175" t="inlineStr"/>
    </row>
    <row r="176">
      <c r="A176" t="inlineStr">
        <is>
          <t>103864F</t>
        </is>
      </c>
      <c r="B176" t="inlineStr">
        <is>
          <t>Graduate Certificate of National Security Policy</t>
        </is>
      </c>
      <c r="C176" t="inlineStr">
        <is>
          <t>Graduate Certificate</t>
        </is>
      </c>
      <c r="D176" t="inlineStr">
        <is>
          <t>Postgraduate coursework</t>
        </is>
      </c>
      <c r="E176" t="inlineStr">
        <is>
          <t>Advertised: official page in place</t>
        </is>
      </c>
      <c r="F176" t="inlineStr">
        <is>
          <t>https://programsandcourses.anu.edu.au/program/cnsep</t>
        </is>
      </c>
      <c r="G176" t="inlineStr">
        <is>
          <t>https://programsandcourses.anu.edu.au/program/cnsep</t>
        </is>
      </c>
      <c r="H176" t="inlineStr">
        <is>
          <t>Read</t>
        </is>
      </c>
      <c r="I176" t="inlineStr">
        <is>
          <t>CRICOS code on page</t>
        </is>
      </c>
      <c r="J176" t="inlineStr"/>
      <c r="K176" t="inlineStr">
        <is>
          <t>Not sent to re-link</t>
        </is>
      </c>
      <c r="L176" t="inlineStr">
        <is>
          <t>Filled</t>
        </is>
      </c>
      <c r="M176" t="inlineStr">
        <is>
          <t>Not stated on course page</t>
        </is>
      </c>
      <c r="N176" t="inlineStr"/>
      <c r="O176" t="n">
        <v>0</v>
      </c>
      <c r="P176" t="inlineStr"/>
      <c r="Q176" t="inlineStr">
        <is>
          <t>Filled</t>
        </is>
      </c>
      <c r="R176" t="n">
        <v>6.5</v>
      </c>
      <c r="S176" t="inlineStr">
        <is>
          <t>Central English policy</t>
        </is>
      </c>
      <c r="T176" t="inlineStr">
        <is>
          <t>Central rule applies (value agrees)</t>
        </is>
      </c>
      <c r="U176" t="inlineStr"/>
      <c r="V176" t="inlineStr">
        <is>
          <t>Not stated on course page</t>
        </is>
      </c>
      <c r="W176" t="inlineStr"/>
      <c r="X176" t="inlineStr"/>
      <c r="Y176" t="n">
        <v>0</v>
      </c>
      <c r="Z176" t="inlineStr">
        <is>
          <t>No</t>
        </is>
      </c>
      <c r="AA176" t="inlineStr">
        <is>
          <t>Filled</t>
        </is>
      </c>
      <c r="AB176" t="inlineStr">
        <is>
          <t>on campus</t>
        </is>
      </c>
      <c r="AC176" t="inlineStr"/>
      <c r="AD176" t="n">
        <v>0</v>
      </c>
      <c r="AE176" t="inlineStr"/>
      <c r="AF176" t="inlineStr"/>
      <c r="AG176" t="inlineStr"/>
      <c r="AH176" t="inlineStr"/>
      <c r="AI176" t="inlineStr"/>
      <c r="AJ176" t="inlineStr"/>
      <c r="AK176" t="inlineStr"/>
      <c r="AL176" t="inlineStr"/>
      <c r="AM176" t="inlineStr"/>
    </row>
    <row r="177">
      <c r="A177" t="inlineStr">
        <is>
          <t>119190A</t>
        </is>
      </c>
      <c r="B177" t="inlineStr">
        <is>
          <t>Graduate Certificate of Nuclear Science and Technology</t>
        </is>
      </c>
      <c r="C177" t="inlineStr">
        <is>
          <t>Graduate Certificate</t>
        </is>
      </c>
      <c r="D177" t="inlineStr">
        <is>
          <t>Postgraduate coursework</t>
        </is>
      </c>
      <c r="E177" t="inlineStr">
        <is>
          <t>Advertised: official page in place</t>
        </is>
      </c>
      <c r="F177" t="inlineStr">
        <is>
          <t>https://programsandcourses.anu.edu.au/program/cnste</t>
        </is>
      </c>
      <c r="G177" t="inlineStr">
        <is>
          <t>https://programsandcourses.anu.edu.au/program/cnste</t>
        </is>
      </c>
      <c r="H177" t="inlineStr">
        <is>
          <t>Read</t>
        </is>
      </c>
      <c r="I177" t="inlineStr">
        <is>
          <t>CRICOS code on page</t>
        </is>
      </c>
      <c r="J177" t="inlineStr"/>
      <c r="K177" t="inlineStr">
        <is>
          <t>Not sent to re-link</t>
        </is>
      </c>
      <c r="L177" t="inlineStr">
        <is>
          <t>Filled</t>
        </is>
      </c>
      <c r="M177" t="inlineStr">
        <is>
          <t>Not stated on course page</t>
        </is>
      </c>
      <c r="N177" t="inlineStr"/>
      <c r="O177" t="n">
        <v>0</v>
      </c>
      <c r="P177" t="inlineStr"/>
      <c r="Q177" t="inlineStr">
        <is>
          <t>Filled</t>
        </is>
      </c>
      <c r="R177" t="n">
        <v>6.5</v>
      </c>
      <c r="S177" t="inlineStr">
        <is>
          <t>Central English policy</t>
        </is>
      </c>
      <c r="T177" t="inlineStr">
        <is>
          <t>Central rule applies (value agrees)</t>
        </is>
      </c>
      <c r="U177" t="inlineStr"/>
      <c r="V177" t="inlineStr">
        <is>
          <t>Waiting for AI reading (Layer 3, now retired)</t>
        </is>
      </c>
      <c r="W177" t="inlineStr"/>
      <c r="X177" t="inlineStr"/>
      <c r="Y177" t="n">
        <v>0</v>
      </c>
      <c r="Z177" t="inlineStr">
        <is>
          <t>No</t>
        </is>
      </c>
      <c r="AA177" t="inlineStr">
        <is>
          <t>Filled</t>
        </is>
      </c>
      <c r="AB177" t="inlineStr">
        <is>
          <t>on campus</t>
        </is>
      </c>
      <c r="AC177" t="inlineStr"/>
      <c r="AD177" t="n">
        <v>0</v>
      </c>
      <c r="AE177" t="inlineStr"/>
      <c r="AF177" t="inlineStr"/>
      <c r="AG177" t="inlineStr">
        <is>
          <t>Yes</t>
        </is>
      </c>
      <c r="AH177" t="inlineStr"/>
      <c r="AI177" t="inlineStr"/>
      <c r="AJ177" t="inlineStr"/>
      <c r="AK177" t="inlineStr"/>
      <c r="AL177" t="inlineStr"/>
      <c r="AM177" t="inlineStr"/>
    </row>
    <row r="178">
      <c r="A178" t="inlineStr">
        <is>
          <t>117800G</t>
        </is>
      </c>
      <c r="B178" t="inlineStr">
        <is>
          <t>Graduate Certificate of Nuclear Technology Regulation</t>
        </is>
      </c>
      <c r="C178" t="inlineStr">
        <is>
          <t>Graduate Certificate</t>
        </is>
      </c>
      <c r="D178" t="inlineStr">
        <is>
          <t>Postgraduate coursework</t>
        </is>
      </c>
      <c r="E178" t="inlineStr">
        <is>
          <t>Advertised: official page in place</t>
        </is>
      </c>
      <c r="F178" t="inlineStr">
        <is>
          <t>https://programsandcourses.anu.edu.au/program/cntr</t>
        </is>
      </c>
      <c r="G178" t="inlineStr">
        <is>
          <t>https://programsandcourses.anu.edu.au/program/cntr</t>
        </is>
      </c>
      <c r="H178" t="inlineStr">
        <is>
          <t>Read</t>
        </is>
      </c>
      <c r="I178" t="inlineStr">
        <is>
          <t>CRICOS code on page</t>
        </is>
      </c>
      <c r="J178" t="inlineStr"/>
      <c r="K178" t="inlineStr">
        <is>
          <t>Not sent to re-link</t>
        </is>
      </c>
      <c r="L178" t="inlineStr">
        <is>
          <t>Filled</t>
        </is>
      </c>
      <c r="M178" t="inlineStr">
        <is>
          <t>Not stated on course page</t>
        </is>
      </c>
      <c r="N178" t="inlineStr"/>
      <c r="O178" t="n">
        <v>0</v>
      </c>
      <c r="P178" t="inlineStr"/>
      <c r="Q178" t="inlineStr">
        <is>
          <t>Filled</t>
        </is>
      </c>
      <c r="R178" t="n">
        <v>6.5</v>
      </c>
      <c r="S178" t="inlineStr">
        <is>
          <t>Central English policy</t>
        </is>
      </c>
      <c r="T178" t="inlineStr">
        <is>
          <t>Central rule applies (value agrees)</t>
        </is>
      </c>
      <c r="U178" t="inlineStr"/>
      <c r="V178" t="inlineStr">
        <is>
          <t>Waiting for Layer 4 review</t>
        </is>
      </c>
      <c r="W178" t="inlineStr"/>
      <c r="X178" t="inlineStr"/>
      <c r="Y178" t="n">
        <v>0</v>
      </c>
      <c r="Z178" t="inlineStr">
        <is>
          <t>No</t>
        </is>
      </c>
      <c r="AA178" t="inlineStr">
        <is>
          <t>Filled</t>
        </is>
      </c>
      <c r="AB178" t="inlineStr">
        <is>
          <t>on campus</t>
        </is>
      </c>
      <c r="AC178" t="inlineStr"/>
      <c r="AD178" t="n">
        <v>0</v>
      </c>
      <c r="AE178" t="inlineStr"/>
      <c r="AF178" t="inlineStr">
        <is>
          <t>Yes</t>
        </is>
      </c>
      <c r="AG178" t="inlineStr"/>
      <c r="AH178" t="inlineStr"/>
      <c r="AI178" t="inlineStr"/>
      <c r="AJ178" t="inlineStr"/>
      <c r="AK178" t="inlineStr"/>
      <c r="AL178" t="inlineStr"/>
      <c r="AM178" t="inlineStr"/>
    </row>
    <row r="179">
      <c r="A179" t="inlineStr">
        <is>
          <t>103366B</t>
        </is>
      </c>
      <c r="B179" t="inlineStr">
        <is>
          <t>Graduate Certificate of Pacific Development</t>
        </is>
      </c>
      <c r="C179" t="inlineStr">
        <is>
          <t>Graduate Certificate</t>
        </is>
      </c>
      <c r="D179" t="inlineStr">
        <is>
          <t>Postgraduate coursework</t>
        </is>
      </c>
      <c r="E179" t="inlineStr">
        <is>
          <t>Advertised: official page in place</t>
        </is>
      </c>
      <c r="F179" t="inlineStr">
        <is>
          <t>https://programsandcourses.anu.edu.au/2025/program/cpade</t>
        </is>
      </c>
      <c r="G179" t="inlineStr">
        <is>
          <t>https://bellschool.anu.edu.au/dpa/study-us-dpa/postgraduate/graduate-certificates-and-graduate-diplomas/graduate-certificate-pacific</t>
        </is>
      </c>
      <c r="H179" t="inlineStr">
        <is>
          <t>Read</t>
        </is>
      </c>
      <c r="I179" t="inlineStr">
        <is>
          <t>Exact title match</t>
        </is>
      </c>
      <c r="J179" t="inlineStr"/>
      <c r="K179" t="inlineStr">
        <is>
          <t>Not sent to re-link</t>
        </is>
      </c>
      <c r="L179" t="inlineStr">
        <is>
          <t>Filled</t>
        </is>
      </c>
      <c r="M179" t="inlineStr">
        <is>
          <t>Not stated on course page</t>
        </is>
      </c>
      <c r="N179" t="inlineStr"/>
      <c r="O179" t="n">
        <v>0</v>
      </c>
      <c r="P179" t="inlineStr"/>
      <c r="Q179" t="inlineStr">
        <is>
          <t>Filled</t>
        </is>
      </c>
      <c r="R179" t="n">
        <v>6.5</v>
      </c>
      <c r="S179" t="inlineStr">
        <is>
          <t>Central English policy</t>
        </is>
      </c>
      <c r="T179" t="inlineStr">
        <is>
          <t>Central rule applies (value agrees)</t>
        </is>
      </c>
      <c r="U179" t="inlineStr"/>
      <c r="V179" t="inlineStr">
        <is>
          <t>Not stated on course page</t>
        </is>
      </c>
      <c r="W179" t="inlineStr"/>
      <c r="X179" t="inlineStr"/>
      <c r="Y179" t="n">
        <v>0</v>
      </c>
      <c r="Z179" t="inlineStr">
        <is>
          <t>No</t>
        </is>
      </c>
      <c r="AA179" t="inlineStr">
        <is>
          <t>Filled</t>
        </is>
      </c>
      <c r="AB179" t="inlineStr">
        <is>
          <t>on campus</t>
        </is>
      </c>
      <c r="AC179" t="inlineStr">
        <is>
          <t>Filled</t>
        </is>
      </c>
      <c r="AD179" t="n">
        <v>0</v>
      </c>
      <c r="AE179" t="inlineStr"/>
      <c r="AF179" t="inlineStr"/>
      <c r="AG179" t="inlineStr"/>
      <c r="AH179" t="inlineStr"/>
      <c r="AI179" t="inlineStr"/>
      <c r="AJ179" t="inlineStr"/>
      <c r="AK179" t="inlineStr"/>
      <c r="AL179" t="inlineStr"/>
      <c r="AM179" t="inlineStr"/>
    </row>
    <row r="180">
      <c r="A180" t="inlineStr">
        <is>
          <t>118565E</t>
        </is>
      </c>
      <c r="B180" t="inlineStr">
        <is>
          <t>Graduate Certificate of Pacific Studies</t>
        </is>
      </c>
      <c r="C180" t="inlineStr">
        <is>
          <t>Graduate Certificate</t>
        </is>
      </c>
      <c r="D180" t="inlineStr">
        <is>
          <t>Postgraduate coursework</t>
        </is>
      </c>
      <c r="E180" t="inlineStr">
        <is>
          <t>Advertised: official page in place</t>
        </is>
      </c>
      <c r="F180" t="inlineStr">
        <is>
          <t>https://programsandcourses.anu.edu.au/2026/program/cpast</t>
        </is>
      </c>
      <c r="G180" t="inlineStr">
        <is>
          <t>https://programsandcourses.anu.edu.au/2026/program/cpast</t>
        </is>
      </c>
      <c r="H180" t="inlineStr">
        <is>
          <t>Read</t>
        </is>
      </c>
      <c r="I180" t="inlineStr">
        <is>
          <t>CRICOS code on page</t>
        </is>
      </c>
      <c r="J180" t="inlineStr"/>
      <c r="K180" t="inlineStr">
        <is>
          <t>Not sent to re-link</t>
        </is>
      </c>
      <c r="L180" t="inlineStr">
        <is>
          <t>Filled</t>
        </is>
      </c>
      <c r="M180" t="inlineStr">
        <is>
          <t>Not stated on course page</t>
        </is>
      </c>
      <c r="N180" t="inlineStr"/>
      <c r="O180" t="n">
        <v>0</v>
      </c>
      <c r="P180" t="inlineStr"/>
      <c r="Q180" t="inlineStr">
        <is>
          <t>Filled</t>
        </is>
      </c>
      <c r="R180" t="n">
        <v>6.5</v>
      </c>
      <c r="S180" t="inlineStr">
        <is>
          <t>Central English policy</t>
        </is>
      </c>
      <c r="T180" t="inlineStr">
        <is>
          <t>Central rule applies (value agrees)</t>
        </is>
      </c>
      <c r="U180" t="inlineStr"/>
      <c r="V180" t="inlineStr">
        <is>
          <t>Waiting for AI reading (Layer 3, now retired)</t>
        </is>
      </c>
      <c r="W180" t="inlineStr"/>
      <c r="X180" t="inlineStr"/>
      <c r="Y180" t="n">
        <v>0</v>
      </c>
      <c r="Z180" t="inlineStr">
        <is>
          <t>No</t>
        </is>
      </c>
      <c r="AA180" t="inlineStr">
        <is>
          <t>Filled</t>
        </is>
      </c>
      <c r="AB180" t="inlineStr">
        <is>
          <t>on campus</t>
        </is>
      </c>
      <c r="AC180" t="inlineStr"/>
      <c r="AD180" t="n">
        <v>0</v>
      </c>
      <c r="AE180" t="inlineStr"/>
      <c r="AF180" t="inlineStr"/>
      <c r="AG180" t="inlineStr">
        <is>
          <t>Yes</t>
        </is>
      </c>
      <c r="AH180" t="inlineStr"/>
      <c r="AI180" t="inlineStr"/>
      <c r="AJ180" t="inlineStr"/>
      <c r="AK180" t="inlineStr"/>
      <c r="AL180" t="inlineStr"/>
      <c r="AM180" t="inlineStr"/>
    </row>
    <row r="181">
      <c r="A181" t="inlineStr">
        <is>
          <t>103871G</t>
        </is>
      </c>
      <c r="B181" t="inlineStr">
        <is>
          <t>Graduate Certificate of Policy Design and Analysis</t>
        </is>
      </c>
      <c r="C181" t="inlineStr">
        <is>
          <t>Graduate Certificate</t>
        </is>
      </c>
      <c r="D181" t="inlineStr">
        <is>
          <t>Postgraduate coursework</t>
        </is>
      </c>
      <c r="E181" t="inlineStr">
        <is>
          <t>Advertised: official page in place</t>
        </is>
      </c>
      <c r="F181" t="inlineStr">
        <is>
          <t>https://programsandcourses.anu.edu.au/2025/program/cpoda</t>
        </is>
      </c>
      <c r="G181" t="inlineStr">
        <is>
          <t>https://programsandcourses.anu.edu.au/2025/program/cpoda</t>
        </is>
      </c>
      <c r="H181" t="inlineStr">
        <is>
          <t>Read</t>
        </is>
      </c>
      <c r="I181" t="inlineStr">
        <is>
          <t>CRICOS code on page</t>
        </is>
      </c>
      <c r="J181" t="inlineStr"/>
      <c r="K181" t="inlineStr">
        <is>
          <t>Not sent to re-link</t>
        </is>
      </c>
      <c r="L181" t="inlineStr">
        <is>
          <t>Filled</t>
        </is>
      </c>
      <c r="M181" t="inlineStr">
        <is>
          <t>Filled</t>
        </is>
      </c>
      <c r="N181" t="inlineStr">
        <is>
          <t>26850.00 2026</t>
        </is>
      </c>
      <c r="O181" t="n">
        <v>0</v>
      </c>
      <c r="P181" t="inlineStr">
        <is>
          <t>University adapter</t>
        </is>
      </c>
      <c r="Q181" t="inlineStr">
        <is>
          <t>Filled</t>
        </is>
      </c>
      <c r="R181" t="n">
        <v>6.5</v>
      </c>
      <c r="S181" t="inlineStr">
        <is>
          <t>Central English policy</t>
        </is>
      </c>
      <c r="T181" t="inlineStr">
        <is>
          <t>Central rule applies (value agrees)</t>
        </is>
      </c>
      <c r="U181" t="inlineStr"/>
      <c r="V181" t="inlineStr">
        <is>
          <t>Not stated on course page</t>
        </is>
      </c>
      <c r="W181" t="inlineStr"/>
      <c r="X181" t="inlineStr"/>
      <c r="Y181" t="n">
        <v>0</v>
      </c>
      <c r="Z181" t="inlineStr">
        <is>
          <t>No</t>
        </is>
      </c>
      <c r="AA181" t="inlineStr">
        <is>
          <t>Filled</t>
        </is>
      </c>
      <c r="AB181" t="inlineStr">
        <is>
          <t>on campus</t>
        </is>
      </c>
      <c r="AC181" t="inlineStr"/>
      <c r="AD181" t="n">
        <v>0</v>
      </c>
      <c r="AE181" t="inlineStr"/>
      <c r="AF181" t="inlineStr"/>
      <c r="AG181" t="inlineStr"/>
      <c r="AH181" t="inlineStr"/>
      <c r="AI181" t="inlineStr"/>
      <c r="AJ181" t="inlineStr"/>
      <c r="AK181" t="inlineStr"/>
      <c r="AL181" t="inlineStr"/>
      <c r="AM181" t="inlineStr"/>
    </row>
    <row r="182">
      <c r="A182" t="inlineStr">
        <is>
          <t>103870H</t>
        </is>
      </c>
      <c r="B182" t="inlineStr">
        <is>
          <t>Graduate Certificate of Political Science</t>
        </is>
      </c>
      <c r="C182" t="inlineStr">
        <is>
          <t>Graduate Certificate</t>
        </is>
      </c>
      <c r="D182" t="inlineStr">
        <is>
          <t>Postgraduate coursework</t>
        </is>
      </c>
      <c r="E182" t="inlineStr">
        <is>
          <t>Advertised: official page in place</t>
        </is>
      </c>
      <c r="F182" t="inlineStr">
        <is>
          <t>https://programsandcourses.anu.edu.au/2025/program/cpols</t>
        </is>
      </c>
      <c r="G182" t="inlineStr">
        <is>
          <t>https://programsandcourses.anu.edu.au/2025/program/cpols</t>
        </is>
      </c>
      <c r="H182" t="inlineStr">
        <is>
          <t>Read</t>
        </is>
      </c>
      <c r="I182" t="inlineStr">
        <is>
          <t>CRICOS code on page</t>
        </is>
      </c>
      <c r="J182" t="inlineStr"/>
      <c r="K182" t="inlineStr">
        <is>
          <t>Not sent to re-link</t>
        </is>
      </c>
      <c r="L182" t="inlineStr">
        <is>
          <t>Filled</t>
        </is>
      </c>
      <c r="M182" t="inlineStr">
        <is>
          <t>Filled</t>
        </is>
      </c>
      <c r="N182" t="inlineStr">
        <is>
          <t>26850.00 2026</t>
        </is>
      </c>
      <c r="O182" t="n">
        <v>0</v>
      </c>
      <c r="P182" t="inlineStr">
        <is>
          <t>University adapter</t>
        </is>
      </c>
      <c r="Q182" t="inlineStr">
        <is>
          <t>Filled</t>
        </is>
      </c>
      <c r="R182" t="n">
        <v>6.5</v>
      </c>
      <c r="S182" t="inlineStr">
        <is>
          <t>Central English policy</t>
        </is>
      </c>
      <c r="T182" t="inlineStr">
        <is>
          <t>Central rule applies (value agrees)</t>
        </is>
      </c>
      <c r="U182" t="inlineStr"/>
      <c r="V182" t="inlineStr">
        <is>
          <t>Not stated on course page</t>
        </is>
      </c>
      <c r="W182" t="inlineStr"/>
      <c r="X182" t="inlineStr"/>
      <c r="Y182" t="n">
        <v>0</v>
      </c>
      <c r="Z182" t="inlineStr">
        <is>
          <t>No</t>
        </is>
      </c>
      <c r="AA182" t="inlineStr">
        <is>
          <t>Filled</t>
        </is>
      </c>
      <c r="AB182" t="inlineStr">
        <is>
          <t>on campus</t>
        </is>
      </c>
      <c r="AC182" t="inlineStr"/>
      <c r="AD182" t="n">
        <v>0</v>
      </c>
      <c r="AE182" t="inlineStr"/>
      <c r="AF182" t="inlineStr"/>
      <c r="AG182" t="inlineStr"/>
      <c r="AH182" t="inlineStr"/>
      <c r="AI182" t="inlineStr"/>
      <c r="AJ182" t="inlineStr"/>
      <c r="AK182" t="inlineStr"/>
      <c r="AL182" t="inlineStr"/>
      <c r="AM182" t="inlineStr"/>
    </row>
    <row r="183">
      <c r="A183" t="inlineStr">
        <is>
          <t>103863G</t>
        </is>
      </c>
      <c r="B183" t="inlineStr">
        <is>
          <t>Graduate Certificate of Public Management</t>
        </is>
      </c>
      <c r="C183" t="inlineStr">
        <is>
          <t>Graduate Certificate</t>
        </is>
      </c>
      <c r="D183" t="inlineStr">
        <is>
          <t>Postgraduate coursework</t>
        </is>
      </c>
      <c r="E183" t="inlineStr">
        <is>
          <t>Advertised: official page in place</t>
        </is>
      </c>
      <c r="F183" t="inlineStr">
        <is>
          <t>https://programsandcourses.anu.edu.au/2025/program/cpbma</t>
        </is>
      </c>
      <c r="G183" t="inlineStr">
        <is>
          <t>https://programsandcourses.anu.edu.au/2023/program/cpbma</t>
        </is>
      </c>
      <c r="H183" t="inlineStr">
        <is>
          <t>Read</t>
        </is>
      </c>
      <c r="I183" t="inlineStr">
        <is>
          <t>CRICOS code on page</t>
        </is>
      </c>
      <c r="J183" t="inlineStr"/>
      <c r="K183" t="inlineStr">
        <is>
          <t>Not sent to re-link</t>
        </is>
      </c>
      <c r="L183" t="inlineStr">
        <is>
          <t>Filled</t>
        </is>
      </c>
      <c r="M183" t="inlineStr">
        <is>
          <t>Filled</t>
        </is>
      </c>
      <c r="N183" t="inlineStr">
        <is>
          <t>24401.00 2026</t>
        </is>
      </c>
      <c r="O183" t="n">
        <v>0</v>
      </c>
      <c r="P183" t="inlineStr">
        <is>
          <t>University adapter</t>
        </is>
      </c>
      <c r="Q183" t="inlineStr">
        <is>
          <t>Filled</t>
        </is>
      </c>
      <c r="R183" t="n">
        <v>6.5</v>
      </c>
      <c r="S183" t="inlineStr">
        <is>
          <t>Central English policy</t>
        </is>
      </c>
      <c r="T183" t="inlineStr">
        <is>
          <t>Central rule applies (value agrees)</t>
        </is>
      </c>
      <c r="U183" t="inlineStr"/>
      <c r="V183" t="inlineStr">
        <is>
          <t>Not stated on course page</t>
        </is>
      </c>
      <c r="W183" t="inlineStr"/>
      <c r="X183" t="inlineStr"/>
      <c r="Y183" t="n">
        <v>0</v>
      </c>
      <c r="Z183" t="inlineStr">
        <is>
          <t>No</t>
        </is>
      </c>
      <c r="AA183" t="inlineStr">
        <is>
          <t>Filled</t>
        </is>
      </c>
      <c r="AB183" t="inlineStr">
        <is>
          <t>blended</t>
        </is>
      </c>
      <c r="AC183" t="inlineStr"/>
      <c r="AD183" t="n">
        <v>0</v>
      </c>
      <c r="AE183" t="inlineStr"/>
      <c r="AF183" t="inlineStr"/>
      <c r="AG183" t="inlineStr"/>
      <c r="AH183" t="inlineStr"/>
      <c r="AI183" t="inlineStr"/>
      <c r="AJ183" t="inlineStr"/>
      <c r="AK183" t="inlineStr"/>
      <c r="AL183" t="inlineStr"/>
      <c r="AM183" t="inlineStr"/>
    </row>
    <row r="184">
      <c r="A184" t="inlineStr">
        <is>
          <t>089715G</t>
        </is>
      </c>
      <c r="B184" t="inlineStr">
        <is>
          <t>Graduate Certificate of Public Policy</t>
        </is>
      </c>
      <c r="C184" t="inlineStr">
        <is>
          <t>Graduate Certificate</t>
        </is>
      </c>
      <c r="D184" t="inlineStr">
        <is>
          <t>Postgraduate coursework</t>
        </is>
      </c>
      <c r="E184" t="inlineStr">
        <is>
          <t>Advertised: official page in place</t>
        </is>
      </c>
      <c r="F184" t="inlineStr">
        <is>
          <t>https://programsandcourses.anu.edu.au/program/6192xgcppp</t>
        </is>
      </c>
      <c r="G184" t="inlineStr">
        <is>
          <t>https://programsandcourses.anu.edu.au/program/6192xgcppp</t>
        </is>
      </c>
      <c r="H184" t="inlineStr">
        <is>
          <t>Read</t>
        </is>
      </c>
      <c r="I184" t="inlineStr">
        <is>
          <t>CRICOS code on page</t>
        </is>
      </c>
      <c r="J184" t="inlineStr"/>
      <c r="K184" t="inlineStr">
        <is>
          <t>Not sent to re-link</t>
        </is>
      </c>
      <c r="L184" t="inlineStr">
        <is>
          <t>Filled</t>
        </is>
      </c>
      <c r="M184" t="inlineStr">
        <is>
          <t>Not stated on course page</t>
        </is>
      </c>
      <c r="N184" t="inlineStr"/>
      <c r="O184" t="n">
        <v>0</v>
      </c>
      <c r="P184" t="inlineStr"/>
      <c r="Q184" t="inlineStr">
        <is>
          <t>Filled</t>
        </is>
      </c>
      <c r="R184" t="n">
        <v>6.5</v>
      </c>
      <c r="S184" t="inlineStr">
        <is>
          <t>Central English policy</t>
        </is>
      </c>
      <c r="T184" t="inlineStr">
        <is>
          <t>Central rule applies (value agrees)</t>
        </is>
      </c>
      <c r="U184" t="inlineStr"/>
      <c r="V184" t="inlineStr">
        <is>
          <t>Not stated on course page</t>
        </is>
      </c>
      <c r="W184" t="inlineStr"/>
      <c r="X184" t="inlineStr"/>
      <c r="Y184" t="n">
        <v>0</v>
      </c>
      <c r="Z184" t="inlineStr">
        <is>
          <t>No</t>
        </is>
      </c>
      <c r="AA184" t="inlineStr">
        <is>
          <t>Filled</t>
        </is>
      </c>
      <c r="AB184" t="inlineStr">
        <is>
          <t>on campus</t>
        </is>
      </c>
      <c r="AC184" t="inlineStr"/>
      <c r="AD184" t="n">
        <v>0</v>
      </c>
      <c r="AE184" t="inlineStr"/>
      <c r="AF184" t="inlineStr"/>
      <c r="AG184" t="inlineStr"/>
      <c r="AH184" t="inlineStr"/>
      <c r="AI184" t="inlineStr"/>
      <c r="AJ184" t="inlineStr"/>
      <c r="AK184" t="inlineStr"/>
      <c r="AL184" t="inlineStr"/>
      <c r="AM184" t="inlineStr"/>
    </row>
    <row r="185">
      <c r="A185" t="inlineStr">
        <is>
          <t>103868B</t>
        </is>
      </c>
      <c r="B185" t="inlineStr">
        <is>
          <t>Graduate Certificate of Strategic Studies</t>
        </is>
      </c>
      <c r="C185" t="inlineStr">
        <is>
          <t>Graduate Certificate</t>
        </is>
      </c>
      <c r="D185" t="inlineStr">
        <is>
          <t>Postgraduate coursework</t>
        </is>
      </c>
      <c r="E185" t="inlineStr">
        <is>
          <t>Advertised: official page in place</t>
        </is>
      </c>
      <c r="F185" t="inlineStr">
        <is>
          <t>https://programsandcourses.anu.edu.au/2025/program/cstrat</t>
        </is>
      </c>
      <c r="G185" t="inlineStr">
        <is>
          <t>https://programsandcourses.anu.edu.au/2025/program/cstrat</t>
        </is>
      </c>
      <c r="H185" t="inlineStr">
        <is>
          <t>Read</t>
        </is>
      </c>
      <c r="I185" t="inlineStr">
        <is>
          <t>CRICOS code on page</t>
        </is>
      </c>
      <c r="J185" t="inlineStr"/>
      <c r="K185" t="inlineStr">
        <is>
          <t>Not sent to re-link</t>
        </is>
      </c>
      <c r="L185" t="inlineStr">
        <is>
          <t>Filled</t>
        </is>
      </c>
      <c r="M185" t="inlineStr">
        <is>
          <t>Filled</t>
        </is>
      </c>
      <c r="N185" t="inlineStr">
        <is>
          <t>26850.00 2026</t>
        </is>
      </c>
      <c r="O185" t="n">
        <v>0</v>
      </c>
      <c r="P185" t="inlineStr">
        <is>
          <t>University adapter</t>
        </is>
      </c>
      <c r="Q185" t="inlineStr">
        <is>
          <t>Filled</t>
        </is>
      </c>
      <c r="R185" t="n">
        <v>6.5</v>
      </c>
      <c r="S185" t="inlineStr">
        <is>
          <t>Central English policy</t>
        </is>
      </c>
      <c r="T185" t="inlineStr">
        <is>
          <t>Central rule applies (value agrees)</t>
        </is>
      </c>
      <c r="U185" t="inlineStr"/>
      <c r="V185" t="inlineStr">
        <is>
          <t>Not stated on course page</t>
        </is>
      </c>
      <c r="W185" t="inlineStr"/>
      <c r="X185" t="inlineStr"/>
      <c r="Y185" t="n">
        <v>0</v>
      </c>
      <c r="Z185" t="inlineStr">
        <is>
          <t>No</t>
        </is>
      </c>
      <c r="AA185" t="inlineStr">
        <is>
          <t>Filled</t>
        </is>
      </c>
      <c r="AB185" t="inlineStr">
        <is>
          <t>on campus</t>
        </is>
      </c>
      <c r="AC185" t="inlineStr"/>
      <c r="AD185" t="n">
        <v>0</v>
      </c>
      <c r="AE185" t="inlineStr"/>
      <c r="AF185" t="inlineStr"/>
      <c r="AG185" t="inlineStr"/>
      <c r="AH185" t="inlineStr"/>
      <c r="AI185" t="inlineStr"/>
      <c r="AJ185" t="inlineStr"/>
      <c r="AK185" t="inlineStr"/>
      <c r="AL185" t="inlineStr"/>
      <c r="AM185" t="inlineStr"/>
    </row>
    <row r="186">
      <c r="A186" t="inlineStr">
        <is>
          <t>082261M</t>
        </is>
      </c>
      <c r="B186" t="inlineStr">
        <is>
          <t>Graduate Certificate of Studies</t>
        </is>
      </c>
      <c r="C186" t="inlineStr">
        <is>
          <t>Graduate Certificate</t>
        </is>
      </c>
      <c r="D186" t="inlineStr">
        <is>
          <t>Postgraduate coursework</t>
        </is>
      </c>
      <c r="E186" t="inlineStr">
        <is>
          <t>Advertised: official page in place</t>
        </is>
      </c>
      <c r="F186" t="inlineStr">
        <is>
          <t>https://programsandcourses.anu.edu.au/program/cstud</t>
        </is>
      </c>
      <c r="G186" t="inlineStr">
        <is>
          <t>https://programsandcourses.anu.edu.au/program/cstud</t>
        </is>
      </c>
      <c r="H186" t="inlineStr">
        <is>
          <t>Read</t>
        </is>
      </c>
      <c r="I186" t="inlineStr">
        <is>
          <t>CRICOS code on page</t>
        </is>
      </c>
      <c r="J186" t="inlineStr"/>
      <c r="K186" t="inlineStr">
        <is>
          <t>Not sent to re-link</t>
        </is>
      </c>
      <c r="L186" t="inlineStr">
        <is>
          <t>Filled</t>
        </is>
      </c>
      <c r="M186" t="inlineStr">
        <is>
          <t>Not stated on course page</t>
        </is>
      </c>
      <c r="N186" t="inlineStr"/>
      <c r="O186" t="n">
        <v>0</v>
      </c>
      <c r="P186" t="inlineStr"/>
      <c r="Q186" t="inlineStr">
        <is>
          <t>Filled</t>
        </is>
      </c>
      <c r="R186" t="n">
        <v>6.5</v>
      </c>
      <c r="S186" t="inlineStr">
        <is>
          <t>Central English policy</t>
        </is>
      </c>
      <c r="T186" t="inlineStr">
        <is>
          <t>Central rule applies (value agrees)</t>
        </is>
      </c>
      <c r="U186" t="inlineStr"/>
      <c r="V186" t="inlineStr">
        <is>
          <t>Not stated on course page</t>
        </is>
      </c>
      <c r="W186" t="inlineStr"/>
      <c r="X186" t="inlineStr"/>
      <c r="Y186" t="n">
        <v>0</v>
      </c>
      <c r="Z186" t="inlineStr">
        <is>
          <t>No</t>
        </is>
      </c>
      <c r="AA186" t="inlineStr">
        <is>
          <t>Filled</t>
        </is>
      </c>
      <c r="AB186" t="inlineStr">
        <is>
          <t>on campus</t>
        </is>
      </c>
      <c r="AC186" t="inlineStr"/>
      <c r="AD186" t="n">
        <v>0</v>
      </c>
      <c r="AE186" t="inlineStr"/>
      <c r="AF186" t="inlineStr"/>
      <c r="AG186" t="inlineStr"/>
      <c r="AH186" t="inlineStr"/>
      <c r="AI186" t="inlineStr"/>
      <c r="AJ186" t="inlineStr"/>
      <c r="AK186" t="inlineStr"/>
      <c r="AL186" t="inlineStr"/>
      <c r="AM186" t="inlineStr"/>
    </row>
    <row r="187">
      <c r="A187" t="inlineStr">
        <is>
          <t>099473D</t>
        </is>
      </c>
      <c r="B187" t="inlineStr">
        <is>
          <t>Graduate Diploma of Applied Cybernetics</t>
        </is>
      </c>
      <c r="C187" t="inlineStr">
        <is>
          <t>Graduate Diploma</t>
        </is>
      </c>
      <c r="D187" t="inlineStr">
        <is>
          <t>Postgraduate coursework</t>
        </is>
      </c>
      <c r="E187" t="inlineStr">
        <is>
          <t>Advertised: official page in place</t>
        </is>
      </c>
      <c r="F187" t="inlineStr">
        <is>
          <t>https://programsandcourses.anu.edu.au/2022/program/dapcy</t>
        </is>
      </c>
      <c r="G187" t="inlineStr">
        <is>
          <t>https://programsandcourses.anu.edu.au/2022/program/dapcy</t>
        </is>
      </c>
      <c r="H187" t="inlineStr">
        <is>
          <t>Read</t>
        </is>
      </c>
      <c r="I187" t="inlineStr">
        <is>
          <t>CRICOS code on page</t>
        </is>
      </c>
      <c r="J187" t="inlineStr"/>
      <c r="K187" t="inlineStr">
        <is>
          <t>Finished, no page: no address from the university's address forms or stored lis</t>
        </is>
      </c>
      <c r="L187" t="inlineStr">
        <is>
          <t>Filled</t>
        </is>
      </c>
      <c r="M187" t="inlineStr">
        <is>
          <t>Filled</t>
        </is>
      </c>
      <c r="N187" t="inlineStr">
        <is>
          <t>47940.00 2026</t>
        </is>
      </c>
      <c r="O187" t="n">
        <v>0</v>
      </c>
      <c r="P187" t="inlineStr">
        <is>
          <t>University adapter</t>
        </is>
      </c>
      <c r="Q187" t="inlineStr">
        <is>
          <t>Filled</t>
        </is>
      </c>
      <c r="R187" t="n">
        <v>6.5</v>
      </c>
      <c r="S187" t="inlineStr">
        <is>
          <t>Central English policy</t>
        </is>
      </c>
      <c r="T187" t="inlineStr">
        <is>
          <t>Central rule applies (value agrees)</t>
        </is>
      </c>
      <c r="U187" t="inlineStr"/>
      <c r="V187" t="inlineStr">
        <is>
          <t>Not stated on course page</t>
        </is>
      </c>
      <c r="W187" t="inlineStr"/>
      <c r="X187" t="inlineStr"/>
      <c r="Y187" t="n">
        <v>0</v>
      </c>
      <c r="Z187" t="inlineStr">
        <is>
          <t>No</t>
        </is>
      </c>
      <c r="AA187" t="inlineStr">
        <is>
          <t>Filled</t>
        </is>
      </c>
      <c r="AB187" t="inlineStr">
        <is>
          <t>on campus</t>
        </is>
      </c>
      <c r="AC187" t="inlineStr">
        <is>
          <t>Filled</t>
        </is>
      </c>
      <c r="AD187" t="n">
        <v>0</v>
      </c>
      <c r="AE187" t="inlineStr"/>
      <c r="AF187" t="inlineStr"/>
      <c r="AG187" t="inlineStr"/>
      <c r="AH187" t="inlineStr"/>
      <c r="AI187" t="inlineStr"/>
      <c r="AJ187" t="inlineStr"/>
      <c r="AK187" t="inlineStr"/>
      <c r="AL187" t="inlineStr"/>
      <c r="AM187" t="inlineStr"/>
    </row>
    <row r="188">
      <c r="A188" t="inlineStr">
        <is>
          <t>097201M</t>
        </is>
      </c>
      <c r="B188" t="inlineStr">
        <is>
          <t>Graduate Diploma of Applied Data Analytics</t>
        </is>
      </c>
      <c r="C188" t="inlineStr">
        <is>
          <t>Graduate Diploma</t>
        </is>
      </c>
      <c r="D188" t="inlineStr">
        <is>
          <t>Postgraduate coursework</t>
        </is>
      </c>
      <c r="E188" t="inlineStr">
        <is>
          <t>Advertised: official page in place</t>
        </is>
      </c>
      <c r="F188" t="inlineStr">
        <is>
          <t>https://programsandcourses.anu.edu.au/program/dadan</t>
        </is>
      </c>
      <c r="G188" t="inlineStr">
        <is>
          <t>https://programsandcourses.anu.edu.au/program/dadan</t>
        </is>
      </c>
      <c r="H188" t="inlineStr">
        <is>
          <t>Read</t>
        </is>
      </c>
      <c r="I188" t="inlineStr">
        <is>
          <t>CRICOS code on page</t>
        </is>
      </c>
      <c r="J188" t="inlineStr"/>
      <c r="K188" t="inlineStr">
        <is>
          <t>Not sent to re-link</t>
        </is>
      </c>
      <c r="L188" t="inlineStr">
        <is>
          <t>Filled</t>
        </is>
      </c>
      <c r="M188" t="inlineStr">
        <is>
          <t>Filled</t>
        </is>
      </c>
      <c r="N188" t="inlineStr">
        <is>
          <t>57640.00 2026</t>
        </is>
      </c>
      <c r="O188" t="n">
        <v>0</v>
      </c>
      <c r="P188" t="inlineStr">
        <is>
          <t>University adapter</t>
        </is>
      </c>
      <c r="Q188" t="inlineStr">
        <is>
          <t>Filled</t>
        </is>
      </c>
      <c r="R188" t="n">
        <v>6.5</v>
      </c>
      <c r="S188" t="inlineStr">
        <is>
          <t>Central English policy</t>
        </is>
      </c>
      <c r="T188" t="inlineStr">
        <is>
          <t>Central rule applies (value agrees)</t>
        </is>
      </c>
      <c r="U188" t="inlineStr"/>
      <c r="V188" t="inlineStr">
        <is>
          <t>Not stated on course page</t>
        </is>
      </c>
      <c r="W188" t="inlineStr"/>
      <c r="X188" t="inlineStr"/>
      <c r="Y188" t="n">
        <v>0</v>
      </c>
      <c r="Z188" t="inlineStr">
        <is>
          <t>No</t>
        </is>
      </c>
      <c r="AA188" t="inlineStr">
        <is>
          <t>Filled</t>
        </is>
      </c>
      <c r="AB188" t="inlineStr">
        <is>
          <t>on campus</t>
        </is>
      </c>
      <c r="AC188" t="inlineStr"/>
      <c r="AD188" t="n">
        <v>0</v>
      </c>
      <c r="AE188" t="inlineStr"/>
      <c r="AF188" t="inlineStr"/>
      <c r="AG188" t="inlineStr"/>
      <c r="AH188" t="inlineStr"/>
      <c r="AI188" t="inlineStr"/>
      <c r="AJ188" t="inlineStr"/>
      <c r="AK188" t="inlineStr"/>
      <c r="AL188" t="inlineStr"/>
      <c r="AM188" t="inlineStr"/>
    </row>
    <row r="189">
      <c r="A189" t="inlineStr">
        <is>
          <t>078938E</t>
        </is>
      </c>
      <c r="B189" t="inlineStr">
        <is>
          <t>Graduate Diploma of Computing</t>
        </is>
      </c>
      <c r="C189" t="inlineStr">
        <is>
          <t>Graduate Diploma</t>
        </is>
      </c>
      <c r="D189" t="inlineStr">
        <is>
          <t>Postgraduate coursework</t>
        </is>
      </c>
      <c r="E189" t="inlineStr">
        <is>
          <t>Advertised: official page in place</t>
        </is>
      </c>
      <c r="F189" t="inlineStr">
        <is>
          <t>https://programsandcourses.anu.edu.au/program/6706xgdcp</t>
        </is>
      </c>
      <c r="G189" t="inlineStr">
        <is>
          <t>https://programsandcourses.anu.edu.au/program/6706xgdcp</t>
        </is>
      </c>
      <c r="H189" t="inlineStr">
        <is>
          <t>Read</t>
        </is>
      </c>
      <c r="I189" t="inlineStr">
        <is>
          <t>CRICOS code on page</t>
        </is>
      </c>
      <c r="J189" t="inlineStr"/>
      <c r="K189" t="inlineStr">
        <is>
          <t>Not sent to re-link</t>
        </is>
      </c>
      <c r="L189" t="inlineStr">
        <is>
          <t>Filled</t>
        </is>
      </c>
      <c r="M189" t="inlineStr">
        <is>
          <t>Filled</t>
        </is>
      </c>
      <c r="N189" t="inlineStr">
        <is>
          <t>57640.00 2026</t>
        </is>
      </c>
      <c r="O189" t="n">
        <v>0</v>
      </c>
      <c r="P189" t="inlineStr">
        <is>
          <t>University adapter</t>
        </is>
      </c>
      <c r="Q189" t="inlineStr">
        <is>
          <t>Filled</t>
        </is>
      </c>
      <c r="R189" t="n">
        <v>6.5</v>
      </c>
      <c r="S189" t="inlineStr">
        <is>
          <t>Central English policy</t>
        </is>
      </c>
      <c r="T189" t="inlineStr">
        <is>
          <t>Central rule applies (value agrees)</t>
        </is>
      </c>
      <c r="U189" t="inlineStr"/>
      <c r="V189" t="inlineStr">
        <is>
          <t>Not stated on course page</t>
        </is>
      </c>
      <c r="W189" t="inlineStr"/>
      <c r="X189" t="inlineStr"/>
      <c r="Y189" t="n">
        <v>0</v>
      </c>
      <c r="Z189" t="inlineStr">
        <is>
          <t>No</t>
        </is>
      </c>
      <c r="AA189" t="inlineStr">
        <is>
          <t>Filled</t>
        </is>
      </c>
      <c r="AB189" t="inlineStr">
        <is>
          <t>on campus</t>
        </is>
      </c>
      <c r="AC189" t="inlineStr"/>
      <c r="AD189" t="n">
        <v>0</v>
      </c>
      <c r="AE189" t="inlineStr"/>
      <c r="AF189" t="inlineStr"/>
      <c r="AG189" t="inlineStr"/>
      <c r="AH189" t="inlineStr"/>
      <c r="AI189" t="inlineStr"/>
      <c r="AJ189" t="inlineStr"/>
      <c r="AK189" t="inlineStr"/>
      <c r="AL189" t="inlineStr"/>
      <c r="AM189" t="inlineStr"/>
    </row>
    <row r="190">
      <c r="A190" t="inlineStr">
        <is>
          <t>082263J</t>
        </is>
      </c>
      <c r="B190" t="inlineStr">
        <is>
          <t>Graduate Diploma of Economics</t>
        </is>
      </c>
      <c r="C190" t="inlineStr">
        <is>
          <t>Graduate Diploma</t>
        </is>
      </c>
      <c r="D190" t="inlineStr">
        <is>
          <t>Postgraduate coursework</t>
        </is>
      </c>
      <c r="E190" t="inlineStr">
        <is>
          <t>Advertised: official page in place</t>
        </is>
      </c>
      <c r="F190" t="inlineStr">
        <is>
          <t>https://programsandcourses.anu.edu.au/program/decon</t>
        </is>
      </c>
      <c r="G190" t="inlineStr">
        <is>
          <t>https://programsandcourses.anu.edu.au/program/decon</t>
        </is>
      </c>
      <c r="H190" t="inlineStr">
        <is>
          <t>Read</t>
        </is>
      </c>
      <c r="I190" t="inlineStr">
        <is>
          <t>CRICOS code on page</t>
        </is>
      </c>
      <c r="J190" t="inlineStr"/>
      <c r="K190" t="inlineStr">
        <is>
          <t>Not sent to re-link</t>
        </is>
      </c>
      <c r="L190" t="inlineStr">
        <is>
          <t>Filled</t>
        </is>
      </c>
      <c r="M190" t="inlineStr">
        <is>
          <t>Filled</t>
        </is>
      </c>
      <c r="N190" t="inlineStr">
        <is>
          <t>57640.00 2026</t>
        </is>
      </c>
      <c r="O190" t="n">
        <v>0</v>
      </c>
      <c r="P190" t="inlineStr">
        <is>
          <t>University adapter</t>
        </is>
      </c>
      <c r="Q190" t="inlineStr">
        <is>
          <t>Filled</t>
        </is>
      </c>
      <c r="R190" t="n">
        <v>6.5</v>
      </c>
      <c r="S190" t="inlineStr">
        <is>
          <t>Central English policy</t>
        </is>
      </c>
      <c r="T190" t="inlineStr">
        <is>
          <t>Central rule applies (value agrees)</t>
        </is>
      </c>
      <c r="U190" t="inlineStr"/>
      <c r="V190" t="inlineStr">
        <is>
          <t>Not stated on course page</t>
        </is>
      </c>
      <c r="W190" t="inlineStr"/>
      <c r="X190" t="inlineStr"/>
      <c r="Y190" t="n">
        <v>0</v>
      </c>
      <c r="Z190" t="inlineStr">
        <is>
          <t>No</t>
        </is>
      </c>
      <c r="AA190" t="inlineStr">
        <is>
          <t>Filled</t>
        </is>
      </c>
      <c r="AB190" t="inlineStr">
        <is>
          <t>on campus</t>
        </is>
      </c>
      <c r="AC190" t="inlineStr"/>
      <c r="AD190" t="n">
        <v>0</v>
      </c>
      <c r="AE190" t="inlineStr"/>
      <c r="AF190" t="inlineStr"/>
      <c r="AG190" t="inlineStr"/>
      <c r="AH190" t="inlineStr"/>
      <c r="AI190" t="inlineStr"/>
      <c r="AJ190" t="inlineStr"/>
      <c r="AK190" t="inlineStr"/>
      <c r="AL190" t="inlineStr"/>
      <c r="AM190" t="inlineStr"/>
    </row>
    <row r="191">
      <c r="A191" t="inlineStr">
        <is>
          <t>085447K</t>
        </is>
      </c>
      <c r="B191" t="inlineStr">
        <is>
          <t>Graduate Diploma of Environment</t>
        </is>
      </c>
      <c r="C191" t="inlineStr">
        <is>
          <t>Graduate Diploma</t>
        </is>
      </c>
      <c r="D191" t="inlineStr">
        <is>
          <t>Postgraduate coursework</t>
        </is>
      </c>
      <c r="E191" t="inlineStr">
        <is>
          <t>Advertised: official page in place</t>
        </is>
      </c>
      <c r="F191" t="inlineStr">
        <is>
          <t>https://programsandcourses.anu.edu.au/program/denvi</t>
        </is>
      </c>
      <c r="G191" t="inlineStr">
        <is>
          <t>https://programsandcourses.anu.edu.au/program/denvi</t>
        </is>
      </c>
      <c r="H191" t="inlineStr">
        <is>
          <t>Read</t>
        </is>
      </c>
      <c r="I191" t="inlineStr">
        <is>
          <t>CRICOS code on page</t>
        </is>
      </c>
      <c r="J191" t="inlineStr"/>
      <c r="K191" t="inlineStr">
        <is>
          <t>Not sent to re-link</t>
        </is>
      </c>
      <c r="L191" t="inlineStr">
        <is>
          <t>Filled</t>
        </is>
      </c>
      <c r="M191" t="inlineStr">
        <is>
          <t>Not stated on course page</t>
        </is>
      </c>
      <c r="N191" t="inlineStr"/>
      <c r="O191" t="n">
        <v>0</v>
      </c>
      <c r="P191" t="inlineStr"/>
      <c r="Q191" t="inlineStr">
        <is>
          <t>Filled</t>
        </is>
      </c>
      <c r="R191" t="n">
        <v>6.5</v>
      </c>
      <c r="S191" t="inlineStr">
        <is>
          <t>Central English policy</t>
        </is>
      </c>
      <c r="T191" t="inlineStr">
        <is>
          <t>Central rule applies (value agrees)</t>
        </is>
      </c>
      <c r="U191" t="inlineStr"/>
      <c r="V191" t="inlineStr">
        <is>
          <t>Not stated on course page</t>
        </is>
      </c>
      <c r="W191" t="inlineStr"/>
      <c r="X191" t="inlineStr"/>
      <c r="Y191" t="n">
        <v>0</v>
      </c>
      <c r="Z191" t="inlineStr">
        <is>
          <t>No</t>
        </is>
      </c>
      <c r="AA191" t="inlineStr">
        <is>
          <t>Filled</t>
        </is>
      </c>
      <c r="AB191" t="inlineStr">
        <is>
          <t>on campus</t>
        </is>
      </c>
      <c r="AC191" t="inlineStr"/>
      <c r="AD191" t="n">
        <v>0</v>
      </c>
      <c r="AE191" t="inlineStr"/>
      <c r="AF191" t="inlineStr"/>
      <c r="AG191" t="inlineStr"/>
      <c r="AH191" t="inlineStr"/>
      <c r="AI191" t="inlineStr"/>
      <c r="AJ191" t="inlineStr"/>
      <c r="AK191" t="inlineStr"/>
      <c r="AL191" t="inlineStr"/>
      <c r="AM191" t="inlineStr"/>
    </row>
    <row r="192">
      <c r="A192" t="inlineStr">
        <is>
          <t>088970M</t>
        </is>
      </c>
      <c r="B192" t="inlineStr">
        <is>
          <t>Graduate Diploma of International Affairs</t>
        </is>
      </c>
      <c r="C192" t="inlineStr">
        <is>
          <t>Graduate Diploma</t>
        </is>
      </c>
      <c r="D192" t="inlineStr">
        <is>
          <t>Postgraduate coursework</t>
        </is>
      </c>
      <c r="E192" t="inlineStr">
        <is>
          <t>Advertised: official page in place</t>
        </is>
      </c>
      <c r="F192" t="inlineStr">
        <is>
          <t>https://programsandcourses.anu.edu.au/program/diaff</t>
        </is>
      </c>
      <c r="G192" t="inlineStr">
        <is>
          <t>https://programsandcourses.anu.edu.au/program/diaff</t>
        </is>
      </c>
      <c r="H192" t="inlineStr">
        <is>
          <t>Read</t>
        </is>
      </c>
      <c r="I192" t="inlineStr">
        <is>
          <t>CRICOS code on page</t>
        </is>
      </c>
      <c r="J192" t="inlineStr"/>
      <c r="K192" t="inlineStr">
        <is>
          <t>Not sent to re-link</t>
        </is>
      </c>
      <c r="L192" t="inlineStr">
        <is>
          <t>Filled</t>
        </is>
      </c>
      <c r="M192" t="inlineStr">
        <is>
          <t>Filled</t>
        </is>
      </c>
      <c r="N192" t="inlineStr">
        <is>
          <t>57640.00 2026</t>
        </is>
      </c>
      <c r="O192" t="n">
        <v>0</v>
      </c>
      <c r="P192" t="inlineStr">
        <is>
          <t>University adapter</t>
        </is>
      </c>
      <c r="Q192" t="inlineStr">
        <is>
          <t>Filled</t>
        </is>
      </c>
      <c r="R192" t="n">
        <v>6.5</v>
      </c>
      <c r="S192" t="inlineStr">
        <is>
          <t>Central English policy</t>
        </is>
      </c>
      <c r="T192" t="inlineStr">
        <is>
          <t>Central rule applies (value agrees)</t>
        </is>
      </c>
      <c r="U192" t="inlineStr"/>
      <c r="V192" t="inlineStr">
        <is>
          <t>Not stated on course page</t>
        </is>
      </c>
      <c r="W192" t="inlineStr"/>
      <c r="X192" t="inlineStr"/>
      <c r="Y192" t="n">
        <v>0</v>
      </c>
      <c r="Z192" t="inlineStr">
        <is>
          <t>No</t>
        </is>
      </c>
      <c r="AA192" t="inlineStr">
        <is>
          <t>Filled</t>
        </is>
      </c>
      <c r="AB192" t="inlineStr">
        <is>
          <t>on campus</t>
        </is>
      </c>
      <c r="AC192" t="inlineStr"/>
      <c r="AD192" t="n">
        <v>0</v>
      </c>
      <c r="AE192" t="inlineStr"/>
      <c r="AF192" t="inlineStr"/>
      <c r="AG192" t="inlineStr"/>
      <c r="AH192" t="inlineStr"/>
      <c r="AI192" t="inlineStr"/>
      <c r="AJ192" t="inlineStr"/>
      <c r="AK192" t="inlineStr"/>
      <c r="AL192" t="inlineStr"/>
      <c r="AM192" t="inlineStr"/>
    </row>
    <row r="193">
      <c r="A193" t="inlineStr">
        <is>
          <t>099471F</t>
        </is>
      </c>
      <c r="B193" t="inlineStr">
        <is>
          <t>Graduate Diploma of Professional Psychology</t>
        </is>
      </c>
      <c r="C193" t="inlineStr">
        <is>
          <t>Graduate Diploma</t>
        </is>
      </c>
      <c r="D193" t="inlineStr">
        <is>
          <t>Postgraduate coursework</t>
        </is>
      </c>
      <c r="E193" t="inlineStr">
        <is>
          <t>Advertised: official page in place</t>
        </is>
      </c>
      <c r="F193" t="inlineStr">
        <is>
          <t>https://programsandcourses.anu.edu.au/program/gppsy</t>
        </is>
      </c>
      <c r="G193" t="inlineStr">
        <is>
          <t>https://programsandcourses.anu.edu.au/program/gppsy</t>
        </is>
      </c>
      <c r="H193" t="inlineStr">
        <is>
          <t>Read</t>
        </is>
      </c>
      <c r="I193" t="inlineStr">
        <is>
          <t>CRICOS code on page</t>
        </is>
      </c>
      <c r="J193" t="inlineStr"/>
      <c r="K193" t="inlineStr">
        <is>
          <t>Not sent to re-link</t>
        </is>
      </c>
      <c r="L193" t="inlineStr">
        <is>
          <t>Filled</t>
        </is>
      </c>
      <c r="M193" t="inlineStr">
        <is>
          <t>Not stated on course page</t>
        </is>
      </c>
      <c r="N193" t="inlineStr"/>
      <c r="O193" t="n">
        <v>0</v>
      </c>
      <c r="P193" t="inlineStr"/>
      <c r="Q193" t="inlineStr">
        <is>
          <t>Filled</t>
        </is>
      </c>
      <c r="R193" t="n">
        <v>6.5</v>
      </c>
      <c r="S193" t="inlineStr">
        <is>
          <t>Central English policy</t>
        </is>
      </c>
      <c r="T193" t="inlineStr">
        <is>
          <t>Central rule applies (value agrees)</t>
        </is>
      </c>
      <c r="U193" t="inlineStr"/>
      <c r="V193" t="inlineStr">
        <is>
          <t>Not stated on course page</t>
        </is>
      </c>
      <c r="W193" t="inlineStr"/>
      <c r="X193" t="inlineStr"/>
      <c r="Y193" t="n">
        <v>0</v>
      </c>
      <c r="Z193" t="inlineStr">
        <is>
          <t>No</t>
        </is>
      </c>
      <c r="AA193" t="inlineStr">
        <is>
          <t>Filled</t>
        </is>
      </c>
      <c r="AB193" t="inlineStr">
        <is>
          <t>on campus</t>
        </is>
      </c>
      <c r="AC193" t="inlineStr"/>
      <c r="AD193" t="n">
        <v>0</v>
      </c>
      <c r="AE193" t="inlineStr"/>
      <c r="AF193" t="inlineStr"/>
      <c r="AG193" t="inlineStr"/>
      <c r="AH193" t="inlineStr"/>
      <c r="AI193" t="inlineStr"/>
      <c r="AJ193" t="inlineStr"/>
      <c r="AK193" t="inlineStr"/>
      <c r="AL193" t="inlineStr"/>
      <c r="AM193" t="inlineStr"/>
    </row>
    <row r="194">
      <c r="A194" t="inlineStr">
        <is>
          <t>085329E</t>
        </is>
      </c>
      <c r="B194" t="inlineStr">
        <is>
          <t>Graduate Diploma of Public Policy</t>
        </is>
      </c>
      <c r="C194" t="inlineStr">
        <is>
          <t>Graduate Diploma</t>
        </is>
      </c>
      <c r="D194" t="inlineStr">
        <is>
          <t>Postgraduate coursework</t>
        </is>
      </c>
      <c r="E194" t="inlineStr">
        <is>
          <t>Advertised: official page in place</t>
        </is>
      </c>
      <c r="F194" t="inlineStr">
        <is>
          <t>https://programsandcourses.anu.edu.au/2022/program/dpubp</t>
        </is>
      </c>
      <c r="G194" t="inlineStr">
        <is>
          <t>https://programsandcourses.anu.edu.au/program/dpubp</t>
        </is>
      </c>
      <c r="H194" t="inlineStr">
        <is>
          <t>Read</t>
        </is>
      </c>
      <c r="I194" t="inlineStr">
        <is>
          <t>CRICOS code on page</t>
        </is>
      </c>
      <c r="J194" t="inlineStr"/>
      <c r="K194" t="inlineStr">
        <is>
          <t>Not sent to re-link</t>
        </is>
      </c>
      <c r="L194" t="inlineStr">
        <is>
          <t>Filled</t>
        </is>
      </c>
      <c r="M194" t="inlineStr">
        <is>
          <t>Not stated on course page</t>
        </is>
      </c>
      <c r="N194" t="inlineStr"/>
      <c r="O194" t="n">
        <v>0</v>
      </c>
      <c r="P194" t="inlineStr"/>
      <c r="Q194" t="inlineStr">
        <is>
          <t>Filled</t>
        </is>
      </c>
      <c r="R194" t="n">
        <v>6.5</v>
      </c>
      <c r="S194" t="inlineStr">
        <is>
          <t>Central English policy</t>
        </is>
      </c>
      <c r="T194" t="inlineStr">
        <is>
          <t>Central rule applies (value agrees)</t>
        </is>
      </c>
      <c r="U194" t="inlineStr"/>
      <c r="V194" t="inlineStr">
        <is>
          <t>Not stated on course page</t>
        </is>
      </c>
      <c r="W194" t="inlineStr"/>
      <c r="X194" t="inlineStr"/>
      <c r="Y194" t="n">
        <v>0</v>
      </c>
      <c r="Z194" t="inlineStr">
        <is>
          <t>No</t>
        </is>
      </c>
      <c r="AA194" t="inlineStr">
        <is>
          <t>Filled</t>
        </is>
      </c>
      <c r="AB194" t="inlineStr">
        <is>
          <t>on campus</t>
        </is>
      </c>
      <c r="AC194" t="inlineStr"/>
      <c r="AD194" t="n">
        <v>0</v>
      </c>
      <c r="AE194" t="inlineStr"/>
      <c r="AF194" t="inlineStr"/>
      <c r="AG194" t="inlineStr"/>
      <c r="AH194" t="inlineStr"/>
      <c r="AI194" t="inlineStr"/>
      <c r="AJ194" t="inlineStr"/>
      <c r="AK194" t="inlineStr"/>
      <c r="AL194" t="inlineStr"/>
      <c r="AM194" t="inlineStr"/>
    </row>
    <row r="195">
      <c r="A195" t="inlineStr">
        <is>
          <t>003114K</t>
        </is>
      </c>
      <c r="B195" t="inlineStr">
        <is>
          <t>Graduate Diploma of Science (Laboratory Based)</t>
        </is>
      </c>
      <c r="C195" t="inlineStr">
        <is>
          <t>Graduate Diploma</t>
        </is>
      </c>
      <c r="D195" t="inlineStr">
        <is>
          <t>Postgraduate coursework</t>
        </is>
      </c>
      <c r="E195" t="inlineStr">
        <is>
          <t>Advertised: official page in place</t>
        </is>
      </c>
      <c r="F195" t="inlineStr">
        <is>
          <t>https://programsandcourses.anu.edu.au/program/6600xgdsci</t>
        </is>
      </c>
      <c r="G195" t="inlineStr">
        <is>
          <t>https://programsandcourses.anu.edu.au/program/6600xgdsci</t>
        </is>
      </c>
      <c r="H195" t="inlineStr">
        <is>
          <t>Read</t>
        </is>
      </c>
      <c r="I195" t="inlineStr">
        <is>
          <t>CRICOS code on page</t>
        </is>
      </c>
      <c r="J195" t="inlineStr"/>
      <c r="K195" t="inlineStr">
        <is>
          <t>Not sent to re-link</t>
        </is>
      </c>
      <c r="L195" t="inlineStr">
        <is>
          <t>Filled</t>
        </is>
      </c>
      <c r="M195" t="inlineStr">
        <is>
          <t>Filled</t>
        </is>
      </c>
      <c r="N195" t="inlineStr">
        <is>
          <t>57640.00 2026</t>
        </is>
      </c>
      <c r="O195" t="n">
        <v>0</v>
      </c>
      <c r="P195" t="inlineStr">
        <is>
          <t>University adapter</t>
        </is>
      </c>
      <c r="Q195" t="inlineStr">
        <is>
          <t>Filled</t>
        </is>
      </c>
      <c r="R195" t="n">
        <v>6.5</v>
      </c>
      <c r="S195" t="inlineStr">
        <is>
          <t>Central English policy</t>
        </is>
      </c>
      <c r="T195" t="inlineStr">
        <is>
          <t>Central rule applies (value agrees)</t>
        </is>
      </c>
      <c r="U195" t="inlineStr"/>
      <c r="V195" t="inlineStr">
        <is>
          <t>Not stated on course page</t>
        </is>
      </c>
      <c r="W195" t="inlineStr"/>
      <c r="X195" t="inlineStr"/>
      <c r="Y195" t="n">
        <v>0</v>
      </c>
      <c r="Z195" t="inlineStr">
        <is>
          <t>No</t>
        </is>
      </c>
      <c r="AA195" t="inlineStr">
        <is>
          <t>Filled</t>
        </is>
      </c>
      <c r="AB195" t="inlineStr">
        <is>
          <t>on campus</t>
        </is>
      </c>
      <c r="AC195" t="inlineStr"/>
      <c r="AD195" t="n">
        <v>0</v>
      </c>
      <c r="AE195" t="inlineStr"/>
      <c r="AF195" t="inlineStr"/>
      <c r="AG195" t="inlineStr"/>
      <c r="AH195" t="inlineStr"/>
      <c r="AI195" t="inlineStr"/>
      <c r="AJ195" t="inlineStr"/>
      <c r="AK195" t="inlineStr"/>
      <c r="AL195" t="inlineStr"/>
      <c r="AM195" t="inlineStr"/>
    </row>
    <row r="196">
      <c r="A196" t="inlineStr">
        <is>
          <t>048425A</t>
        </is>
      </c>
      <c r="B196" t="inlineStr">
        <is>
          <t>Graduate Non-Award  (Engineering; IT)</t>
        </is>
      </c>
      <c r="C196" t="inlineStr">
        <is>
          <t>Non AQF Award</t>
        </is>
      </c>
      <c r="D196" t="inlineStr">
        <is>
          <t>Non-award</t>
        </is>
      </c>
      <c r="E196" t="inlineStr">
        <is>
          <t>Advertised: official page in place</t>
        </is>
      </c>
      <c r="F196" t="inlineStr">
        <is>
          <t>https://programsandcourses.anu.edu.au/2025/program/5170XNAWD</t>
        </is>
      </c>
      <c r="G196" t="inlineStr">
        <is>
          <t>https://programsandcourses.anu.edu.au/program/5170XNAWD</t>
        </is>
      </c>
      <c r="H196" t="inlineStr">
        <is>
          <t>Read</t>
        </is>
      </c>
      <c r="I196" t="inlineStr">
        <is>
          <t>CRICOS code on page</t>
        </is>
      </c>
      <c r="J196" t="inlineStr"/>
      <c r="K196" t="inlineStr">
        <is>
          <t>Not sent to re-link</t>
        </is>
      </c>
      <c r="L196" t="inlineStr">
        <is>
          <t>Filled</t>
        </is>
      </c>
      <c r="M196" t="inlineStr">
        <is>
          <t>Value found, being checked</t>
        </is>
      </c>
      <c r="N196" t="inlineStr"/>
      <c r="O196" t="n">
        <v>0</v>
      </c>
      <c r="P196" t="inlineStr"/>
      <c r="Q196" t="inlineStr">
        <is>
          <t>Not stated on course page</t>
        </is>
      </c>
      <c r="S196" t="inlineStr"/>
      <c r="T196" t="inlineStr">
        <is>
          <t>Held: level not covered by the policy default</t>
        </is>
      </c>
      <c r="U196" t="inlineStr"/>
      <c r="V196" t="inlineStr">
        <is>
          <t>Not stated on course page</t>
        </is>
      </c>
      <c r="W196" t="inlineStr"/>
      <c r="X196" t="inlineStr"/>
      <c r="Y196" t="n">
        <v>0</v>
      </c>
      <c r="Z196" t="inlineStr">
        <is>
          <t>No</t>
        </is>
      </c>
      <c r="AA196" t="inlineStr">
        <is>
          <t>Not stated on course page</t>
        </is>
      </c>
      <c r="AB196" t="inlineStr"/>
      <c r="AC196" t="inlineStr">
        <is>
          <t>Skipped: the page does not state it</t>
        </is>
      </c>
      <c r="AD196" t="n">
        <v>0</v>
      </c>
      <c r="AE196" t="inlineStr"/>
      <c r="AF196" t="inlineStr">
        <is>
          <t>Yes</t>
        </is>
      </c>
      <c r="AG196" t="inlineStr"/>
      <c r="AH196" t="inlineStr"/>
      <c r="AI196" t="inlineStr"/>
      <c r="AJ196" t="inlineStr">
        <is>
          <t>Yes</t>
        </is>
      </c>
      <c r="AK196" t="inlineStr"/>
      <c r="AL196" t="inlineStr"/>
      <c r="AM196" t="inlineStr"/>
    </row>
    <row r="197">
      <c r="A197" t="inlineStr">
        <is>
          <t>048423C</t>
        </is>
      </c>
      <c r="B197" t="inlineStr">
        <is>
          <t>Graduate Non-Award (Economics and Commerce; Visual Arts and Music)</t>
        </is>
      </c>
      <c r="C197" t="inlineStr">
        <is>
          <t>Non AQF Award</t>
        </is>
      </c>
      <c r="D197" t="inlineStr">
        <is>
          <t>Non-award</t>
        </is>
      </c>
      <c r="E197" t="inlineStr">
        <is>
          <t>Advertised: official page in place</t>
        </is>
      </c>
      <c r="F197" t="inlineStr">
        <is>
          <t>https://programsandcourses.anu.edu.au/2017/program/5140xnawd</t>
        </is>
      </c>
      <c r="G197" t="inlineStr">
        <is>
          <t>https://programsandcourses.anu.edu.au/2017/program/5140xnawd</t>
        </is>
      </c>
      <c r="H197" t="inlineStr">
        <is>
          <t>Read</t>
        </is>
      </c>
      <c r="I197" t="inlineStr">
        <is>
          <t>CRICOS code on page</t>
        </is>
      </c>
      <c r="J197" t="inlineStr"/>
      <c r="K197" t="inlineStr">
        <is>
          <t>Finished, no page: no address from the university's address forms or stored lis</t>
        </is>
      </c>
      <c r="L197" t="inlineStr">
        <is>
          <t>Filled</t>
        </is>
      </c>
      <c r="M197" t="inlineStr">
        <is>
          <t>Not stated on course page</t>
        </is>
      </c>
      <c r="N197" t="inlineStr"/>
      <c r="O197" t="n">
        <v>0</v>
      </c>
      <c r="P197" t="inlineStr"/>
      <c r="Q197" t="inlineStr">
        <is>
          <t>Not stated on course page</t>
        </is>
      </c>
      <c r="S197" t="inlineStr"/>
      <c r="T197" t="inlineStr">
        <is>
          <t>Held: level not covered by the policy default</t>
        </is>
      </c>
      <c r="U197" t="inlineStr"/>
      <c r="V197" t="inlineStr">
        <is>
          <t>Not stated on course page</t>
        </is>
      </c>
      <c r="W197" t="inlineStr"/>
      <c r="X197" t="inlineStr"/>
      <c r="Y197" t="n">
        <v>0</v>
      </c>
      <c r="Z197" t="inlineStr">
        <is>
          <t>No</t>
        </is>
      </c>
      <c r="AA197" t="inlineStr">
        <is>
          <t>Not stated on course page</t>
        </is>
      </c>
      <c r="AB197" t="inlineStr"/>
      <c r="AC197" t="inlineStr">
        <is>
          <t>Skipped: the page does not state it</t>
        </is>
      </c>
      <c r="AD197" t="n">
        <v>0</v>
      </c>
      <c r="AE197" t="inlineStr"/>
      <c r="AF197" t="inlineStr"/>
      <c r="AG197" t="inlineStr"/>
      <c r="AH197" t="inlineStr"/>
      <c r="AI197" t="inlineStr"/>
      <c r="AJ197" t="inlineStr">
        <is>
          <t>Yes</t>
        </is>
      </c>
      <c r="AK197" t="inlineStr"/>
      <c r="AL197" t="inlineStr"/>
      <c r="AM197" t="inlineStr"/>
    </row>
    <row r="198">
      <c r="A198" t="inlineStr">
        <is>
          <t>048424B</t>
        </is>
      </c>
      <c r="B198" t="inlineStr">
        <is>
          <t>Graduate Non-Award (Law)</t>
        </is>
      </c>
      <c r="C198" t="inlineStr">
        <is>
          <t>Non AQF Award</t>
        </is>
      </c>
      <c r="D198" t="inlineStr">
        <is>
          <t>Non-award</t>
        </is>
      </c>
      <c r="E198" t="inlineStr">
        <is>
          <t>Advertised: official page in place</t>
        </is>
      </c>
      <c r="F198" t="inlineStr">
        <is>
          <t>https://programsandcourses.anu.edu.au/program/5130xnawd</t>
        </is>
      </c>
      <c r="G198" t="inlineStr">
        <is>
          <t>https://programsandcourses.anu.edu.au/program/5130xnawd</t>
        </is>
      </c>
      <c r="H198" t="inlineStr">
        <is>
          <t>Read</t>
        </is>
      </c>
      <c r="I198" t="inlineStr">
        <is>
          <t>CRICOS code on page</t>
        </is>
      </c>
      <c r="J198" t="inlineStr"/>
      <c r="K198" t="inlineStr">
        <is>
          <t>Not sent to re-link</t>
        </is>
      </c>
      <c r="L198" t="inlineStr">
        <is>
          <t>Filled</t>
        </is>
      </c>
      <c r="M198" t="inlineStr">
        <is>
          <t>Value found, being checked</t>
        </is>
      </c>
      <c r="N198" t="inlineStr"/>
      <c r="O198" t="n">
        <v>0</v>
      </c>
      <c r="P198" t="inlineStr"/>
      <c r="Q198" t="inlineStr">
        <is>
          <t>Not stated on course page</t>
        </is>
      </c>
      <c r="S198" t="inlineStr"/>
      <c r="T198" t="inlineStr">
        <is>
          <t>Held: level not covered by the policy default</t>
        </is>
      </c>
      <c r="U198" t="inlineStr"/>
      <c r="V198" t="inlineStr">
        <is>
          <t>Not stated on course page</t>
        </is>
      </c>
      <c r="W198" t="inlineStr"/>
      <c r="X198" t="inlineStr"/>
      <c r="Y198" t="n">
        <v>0</v>
      </c>
      <c r="Z198" t="inlineStr">
        <is>
          <t>No</t>
        </is>
      </c>
      <c r="AA198" t="inlineStr">
        <is>
          <t>Not stated on course page</t>
        </is>
      </c>
      <c r="AB198" t="inlineStr"/>
      <c r="AC198" t="inlineStr">
        <is>
          <t>Skipped: the page does not state it</t>
        </is>
      </c>
      <c r="AD198" t="n">
        <v>0</v>
      </c>
      <c r="AE198" t="inlineStr"/>
      <c r="AF198" t="inlineStr">
        <is>
          <t>Yes</t>
        </is>
      </c>
      <c r="AG198" t="inlineStr"/>
      <c r="AH198" t="inlineStr"/>
      <c r="AI198" t="inlineStr"/>
      <c r="AJ198" t="inlineStr">
        <is>
          <t>Yes</t>
        </is>
      </c>
      <c r="AK198" t="inlineStr"/>
      <c r="AL198" t="inlineStr"/>
      <c r="AM198" t="inlineStr"/>
    </row>
    <row r="199">
      <c r="A199" t="inlineStr">
        <is>
          <t>048421E</t>
        </is>
      </c>
      <c r="B199" t="inlineStr">
        <is>
          <t>Graduate Non-Award (Science)</t>
        </is>
      </c>
      <c r="C199" t="inlineStr">
        <is>
          <t>Non AQF Award</t>
        </is>
      </c>
      <c r="D199" t="inlineStr">
        <is>
          <t>Non-award</t>
        </is>
      </c>
      <c r="E199" t="inlineStr">
        <is>
          <t>Advertised: official page in place</t>
        </is>
      </c>
      <c r="F199" t="inlineStr">
        <is>
          <t>https://programsandcourses.anu.edu.au/program/5160xnawd</t>
        </is>
      </c>
      <c r="G199" t="inlineStr">
        <is>
          <t>https://programsandcourses.anu.edu.au/program/5160xnawd</t>
        </is>
      </c>
      <c r="H199" t="inlineStr">
        <is>
          <t>Read</t>
        </is>
      </c>
      <c r="I199" t="inlineStr">
        <is>
          <t>CRICOS code on page</t>
        </is>
      </c>
      <c r="J199" t="inlineStr"/>
      <c r="K199" t="inlineStr">
        <is>
          <t>Not sent to re-link</t>
        </is>
      </c>
      <c r="L199" t="inlineStr">
        <is>
          <t>Filled</t>
        </is>
      </c>
      <c r="M199" t="inlineStr">
        <is>
          <t>Not stated on course page</t>
        </is>
      </c>
      <c r="N199" t="inlineStr"/>
      <c r="O199" t="n">
        <v>0</v>
      </c>
      <c r="P199" t="inlineStr"/>
      <c r="Q199" t="inlineStr">
        <is>
          <t>Not stated on course page</t>
        </is>
      </c>
      <c r="S199" t="inlineStr"/>
      <c r="T199" t="inlineStr">
        <is>
          <t>Held: level not covered by the policy default</t>
        </is>
      </c>
      <c r="U199" t="inlineStr"/>
      <c r="V199" t="inlineStr">
        <is>
          <t>Not stated on course page</t>
        </is>
      </c>
      <c r="W199" t="inlineStr"/>
      <c r="X199" t="inlineStr"/>
      <c r="Y199" t="n">
        <v>0</v>
      </c>
      <c r="Z199" t="inlineStr">
        <is>
          <t>No</t>
        </is>
      </c>
      <c r="AA199" t="inlineStr">
        <is>
          <t>Not stated on course page</t>
        </is>
      </c>
      <c r="AB199" t="inlineStr"/>
      <c r="AC199" t="inlineStr">
        <is>
          <t>Skipped: the page does not state it</t>
        </is>
      </c>
      <c r="AD199" t="n">
        <v>0</v>
      </c>
      <c r="AE199" t="inlineStr"/>
      <c r="AF199" t="inlineStr"/>
      <c r="AG199" t="inlineStr"/>
      <c r="AH199" t="inlineStr"/>
      <c r="AI199" t="inlineStr"/>
      <c r="AJ199" t="inlineStr">
        <is>
          <t>Yes</t>
        </is>
      </c>
      <c r="AK199" t="inlineStr"/>
      <c r="AL199" t="inlineStr"/>
      <c r="AM199" t="inlineStr"/>
    </row>
    <row r="200">
      <c r="A200" t="inlineStr">
        <is>
          <t>048422D</t>
        </is>
      </c>
      <c r="B200" t="inlineStr">
        <is>
          <t>Graduate Non-Award Culture, History and Language</t>
        </is>
      </c>
      <c r="C200" t="inlineStr">
        <is>
          <t>Non AQF Award</t>
        </is>
      </c>
      <c r="D200" t="inlineStr">
        <is>
          <t>Non-award</t>
        </is>
      </c>
      <c r="E200" t="inlineStr">
        <is>
          <t>Advertised: official page in place</t>
        </is>
      </c>
      <c r="F200" t="inlineStr">
        <is>
          <t>https://programsandcourses.anu.edu.au/program/5150XNAWD</t>
        </is>
      </c>
      <c r="G200" t="inlineStr">
        <is>
          <t>https://programsandcourses.anu.edu.au/program/5150XNAWD</t>
        </is>
      </c>
      <c r="H200" t="inlineStr">
        <is>
          <t>Read</t>
        </is>
      </c>
      <c r="I200" t="inlineStr">
        <is>
          <t>CRICOS code on page</t>
        </is>
      </c>
      <c r="J200" t="inlineStr"/>
      <c r="K200" t="inlineStr">
        <is>
          <t>Not sent to re-link</t>
        </is>
      </c>
      <c r="L200" t="inlineStr">
        <is>
          <t>Filled</t>
        </is>
      </c>
      <c r="M200" t="inlineStr">
        <is>
          <t>Value found, being checked</t>
        </is>
      </c>
      <c r="N200" t="inlineStr"/>
      <c r="O200" t="n">
        <v>0</v>
      </c>
      <c r="P200" t="inlineStr"/>
      <c r="Q200" t="inlineStr">
        <is>
          <t>Not stated on course page</t>
        </is>
      </c>
      <c r="S200" t="inlineStr"/>
      <c r="T200" t="inlineStr">
        <is>
          <t>Held: level not covered by the policy default</t>
        </is>
      </c>
      <c r="U200" t="inlineStr"/>
      <c r="V200" t="inlineStr">
        <is>
          <t>Not stated on course page</t>
        </is>
      </c>
      <c r="W200" t="inlineStr"/>
      <c r="X200" t="inlineStr"/>
      <c r="Y200" t="n">
        <v>0</v>
      </c>
      <c r="Z200" t="inlineStr">
        <is>
          <t>No</t>
        </is>
      </c>
      <c r="AA200" t="inlineStr">
        <is>
          <t>Filled</t>
        </is>
      </c>
      <c r="AB200" t="inlineStr">
        <is>
          <t>blended</t>
        </is>
      </c>
      <c r="AC200" t="inlineStr"/>
      <c r="AD200" t="n">
        <v>0</v>
      </c>
      <c r="AE200" t="inlineStr"/>
      <c r="AF200" t="inlineStr">
        <is>
          <t>Yes</t>
        </is>
      </c>
      <c r="AG200" t="inlineStr"/>
      <c r="AH200" t="inlineStr"/>
      <c r="AI200" t="inlineStr"/>
      <c r="AJ200" t="inlineStr">
        <is>
          <t>Yes</t>
        </is>
      </c>
      <c r="AK200" t="inlineStr"/>
      <c r="AL200" t="inlineStr"/>
      <c r="AM200" t="inlineStr"/>
    </row>
    <row r="201">
      <c r="A201" t="inlineStr">
        <is>
          <t>061559M</t>
        </is>
      </c>
      <c r="B201" t="inlineStr">
        <is>
          <t>Juris Doctor</t>
        </is>
      </c>
      <c r="C201" t="inlineStr">
        <is>
          <t>Masters Degree (Coursework)</t>
        </is>
      </c>
      <c r="D201" t="inlineStr">
        <is>
          <t>Postgraduate coursework</t>
        </is>
      </c>
      <c r="E201" t="inlineStr">
        <is>
          <t>Advertised: official page in place</t>
        </is>
      </c>
      <c r="F201" t="inlineStr">
        <is>
          <t>https://programsandcourses.anu.edu.au/program/mjd</t>
        </is>
      </c>
      <c r="G201" t="inlineStr">
        <is>
          <t>https://programsandcourses.anu.edu.au/program/mjd</t>
        </is>
      </c>
      <c r="H201" t="inlineStr">
        <is>
          <t>Read</t>
        </is>
      </c>
      <c r="I201" t="inlineStr">
        <is>
          <t>CRICOS code on page</t>
        </is>
      </c>
      <c r="J201" t="inlineStr"/>
      <c r="K201" t="inlineStr">
        <is>
          <t>Not sent to re-link</t>
        </is>
      </c>
      <c r="L201" t="inlineStr">
        <is>
          <t>Filled</t>
        </is>
      </c>
      <c r="M201" t="inlineStr">
        <is>
          <t>Filled</t>
        </is>
      </c>
      <c r="N201" t="inlineStr">
        <is>
          <t>64130.00 2026</t>
        </is>
      </c>
      <c r="O201" t="n">
        <v>0</v>
      </c>
      <c r="P201" t="inlineStr">
        <is>
          <t>University adapter</t>
        </is>
      </c>
      <c r="Q201" t="inlineStr">
        <is>
          <t>Filled</t>
        </is>
      </c>
      <c r="R201" t="n">
        <v>6.5</v>
      </c>
      <c r="S201" t="inlineStr">
        <is>
          <t>Central English policy</t>
        </is>
      </c>
      <c r="T201" t="inlineStr">
        <is>
          <t>Central rule applies (value agrees)</t>
        </is>
      </c>
      <c r="U201" t="inlineStr"/>
      <c r="V201" t="inlineStr">
        <is>
          <t>Not stated on course page</t>
        </is>
      </c>
      <c r="W201" t="inlineStr"/>
      <c r="X201" t="inlineStr"/>
      <c r="Y201" t="n">
        <v>0</v>
      </c>
      <c r="Z201" t="inlineStr">
        <is>
          <t>No</t>
        </is>
      </c>
      <c r="AA201" t="inlineStr">
        <is>
          <t>Filled</t>
        </is>
      </c>
      <c r="AB201" t="inlineStr">
        <is>
          <t>on campus</t>
        </is>
      </c>
      <c r="AC201" t="inlineStr"/>
      <c r="AD201" t="n">
        <v>0</v>
      </c>
      <c r="AE201" t="inlineStr"/>
      <c r="AF201" t="inlineStr"/>
      <c r="AG201" t="inlineStr"/>
      <c r="AH201" t="inlineStr"/>
      <c r="AI201" t="inlineStr"/>
      <c r="AJ201" t="inlineStr"/>
      <c r="AK201" t="inlineStr"/>
      <c r="AL201" t="inlineStr"/>
      <c r="AM201" t="inlineStr"/>
    </row>
    <row r="202">
      <c r="A202" t="inlineStr">
        <is>
          <t>050800J</t>
        </is>
      </c>
      <c r="B202" t="inlineStr">
        <is>
          <t>Master of Accounting</t>
        </is>
      </c>
      <c r="C202" t="inlineStr">
        <is>
          <t>Masters Degree (Coursework)</t>
        </is>
      </c>
      <c r="D202" t="inlineStr">
        <is>
          <t>Postgraduate coursework</t>
        </is>
      </c>
      <c r="E202" t="inlineStr">
        <is>
          <t>Advertised: official page in place</t>
        </is>
      </c>
      <c r="F202" t="inlineStr">
        <is>
          <t>https://programsandcourses.anu.edu.au/program/7414xmacct</t>
        </is>
      </c>
      <c r="G202" t="inlineStr">
        <is>
          <t>https://programsandcourses.anu.edu.au/program/7414xmacct</t>
        </is>
      </c>
      <c r="H202" t="inlineStr">
        <is>
          <t>Read</t>
        </is>
      </c>
      <c r="I202" t="inlineStr">
        <is>
          <t>CRICOS code on page</t>
        </is>
      </c>
      <c r="J202" t="inlineStr"/>
      <c r="K202" t="inlineStr">
        <is>
          <t>Not sent to re-link</t>
        </is>
      </c>
      <c r="L202" t="inlineStr">
        <is>
          <t>Filled</t>
        </is>
      </c>
      <c r="M202" t="inlineStr">
        <is>
          <t>Filled</t>
        </is>
      </c>
      <c r="N202" t="inlineStr">
        <is>
          <t>57640.00 2026</t>
        </is>
      </c>
      <c r="O202" t="n">
        <v>0</v>
      </c>
      <c r="P202" t="inlineStr">
        <is>
          <t>University adapter</t>
        </is>
      </c>
      <c r="Q202" t="inlineStr">
        <is>
          <t>Filled</t>
        </is>
      </c>
      <c r="R202" t="n">
        <v>6.5</v>
      </c>
      <c r="S202" t="inlineStr">
        <is>
          <t>Central English policy</t>
        </is>
      </c>
      <c r="T202" t="inlineStr">
        <is>
          <t>Central rule applies (value agrees)</t>
        </is>
      </c>
      <c r="U202" t="inlineStr"/>
      <c r="V202" t="inlineStr">
        <is>
          <t>Not stated on course page</t>
        </is>
      </c>
      <c r="W202" t="inlineStr"/>
      <c r="X202" t="inlineStr"/>
      <c r="Y202" t="n">
        <v>0</v>
      </c>
      <c r="Z202" t="inlineStr">
        <is>
          <t>No</t>
        </is>
      </c>
      <c r="AA202" t="inlineStr">
        <is>
          <t>Filled</t>
        </is>
      </c>
      <c r="AB202" t="inlineStr">
        <is>
          <t>on campus</t>
        </is>
      </c>
      <c r="AC202" t="inlineStr"/>
      <c r="AD202" t="n">
        <v>0</v>
      </c>
      <c r="AE202" t="inlineStr"/>
      <c r="AF202" t="inlineStr"/>
      <c r="AG202" t="inlineStr"/>
      <c r="AH202" t="inlineStr"/>
      <c r="AI202" t="inlineStr"/>
      <c r="AJ202" t="inlineStr"/>
      <c r="AK202" t="inlineStr"/>
      <c r="AL202" t="inlineStr"/>
      <c r="AM202" t="inlineStr"/>
    </row>
    <row r="203">
      <c r="A203" t="inlineStr">
        <is>
          <t>119049F</t>
        </is>
      </c>
      <c r="B203" t="inlineStr">
        <is>
          <t>Master of Accounting (Advanced)</t>
        </is>
      </c>
      <c r="C203" t="inlineStr">
        <is>
          <t>Masters Degree (Coursework)</t>
        </is>
      </c>
      <c r="D203" t="inlineStr">
        <is>
          <t>Postgraduate coursework</t>
        </is>
      </c>
      <c r="E203" t="inlineStr">
        <is>
          <t>Advertised: official page in place</t>
        </is>
      </c>
      <c r="F203" t="inlineStr">
        <is>
          <t>https://programsandcourses.anu.edu.au/program/vacct</t>
        </is>
      </c>
      <c r="G203" t="inlineStr">
        <is>
          <t>https://programsandcourses.anu.edu.au/program/vacct</t>
        </is>
      </c>
      <c r="H203" t="inlineStr">
        <is>
          <t>Read</t>
        </is>
      </c>
      <c r="I203" t="inlineStr">
        <is>
          <t>CRICOS code on page</t>
        </is>
      </c>
      <c r="J203" t="inlineStr"/>
      <c r="K203" t="inlineStr">
        <is>
          <t>Not sent to re-link</t>
        </is>
      </c>
      <c r="L203" t="inlineStr">
        <is>
          <t>Filled</t>
        </is>
      </c>
      <c r="M203" t="inlineStr">
        <is>
          <t>Filled</t>
        </is>
      </c>
      <c r="N203" t="inlineStr">
        <is>
          <t>57640.00 2026</t>
        </is>
      </c>
      <c r="O203" t="n">
        <v>0</v>
      </c>
      <c r="P203" t="inlineStr">
        <is>
          <t>University adapter</t>
        </is>
      </c>
      <c r="Q203" t="inlineStr">
        <is>
          <t>Filled</t>
        </is>
      </c>
      <c r="R203" t="n">
        <v>6.5</v>
      </c>
      <c r="S203" t="inlineStr">
        <is>
          <t>Central English policy</t>
        </is>
      </c>
      <c r="T203" t="inlineStr">
        <is>
          <t>Central rule applies (value agrees)</t>
        </is>
      </c>
      <c r="U203" t="inlineStr"/>
      <c r="V203" t="inlineStr">
        <is>
          <t>Not stated on course page</t>
        </is>
      </c>
      <c r="W203" t="inlineStr"/>
      <c r="X203" t="inlineStr"/>
      <c r="Y203" t="n">
        <v>0</v>
      </c>
      <c r="Z203" t="inlineStr">
        <is>
          <t>No</t>
        </is>
      </c>
      <c r="AA203" t="inlineStr">
        <is>
          <t>Filled</t>
        </is>
      </c>
      <c r="AB203" t="inlineStr">
        <is>
          <t>on campus</t>
        </is>
      </c>
      <c r="AC203" t="inlineStr"/>
      <c r="AD203" t="n">
        <v>0</v>
      </c>
      <c r="AE203" t="inlineStr"/>
      <c r="AF203" t="inlineStr"/>
      <c r="AG203" t="inlineStr"/>
      <c r="AH203" t="inlineStr"/>
      <c r="AI203" t="inlineStr"/>
      <c r="AJ203" t="inlineStr"/>
      <c r="AK203" t="inlineStr"/>
      <c r="AL203" t="inlineStr"/>
      <c r="AM203" t="inlineStr"/>
    </row>
    <row r="204">
      <c r="A204" t="inlineStr">
        <is>
          <t>079658E</t>
        </is>
      </c>
      <c r="B204" t="inlineStr">
        <is>
          <t>Master of Actuarial Practice</t>
        </is>
      </c>
      <c r="C204" t="inlineStr">
        <is>
          <t>Masters Degree (Coursework)</t>
        </is>
      </c>
      <c r="D204" t="inlineStr">
        <is>
          <t>Postgraduate coursework</t>
        </is>
      </c>
      <c r="E204" t="inlineStr">
        <is>
          <t>Advertised: official page in place</t>
        </is>
      </c>
      <c r="F204" t="inlineStr">
        <is>
          <t>https://programsandcourses.anu.edu.au/program/7420xmactp</t>
        </is>
      </c>
      <c r="G204" t="inlineStr">
        <is>
          <t>https://programsandcourses.anu.edu.au/program/7420xmactp</t>
        </is>
      </c>
      <c r="H204" t="inlineStr">
        <is>
          <t>Read</t>
        </is>
      </c>
      <c r="I204" t="inlineStr">
        <is>
          <t>CRICOS code on page</t>
        </is>
      </c>
      <c r="J204" t="inlineStr"/>
      <c r="K204" t="inlineStr">
        <is>
          <t>Not sent to re-link</t>
        </is>
      </c>
      <c r="L204" t="inlineStr">
        <is>
          <t>Filled</t>
        </is>
      </c>
      <c r="M204" t="inlineStr">
        <is>
          <t>Filled</t>
        </is>
      </c>
      <c r="N204" t="inlineStr">
        <is>
          <t>57640.00 2026</t>
        </is>
      </c>
      <c r="O204" t="n">
        <v>0</v>
      </c>
      <c r="P204" t="inlineStr">
        <is>
          <t>University adapter</t>
        </is>
      </c>
      <c r="Q204" t="inlineStr">
        <is>
          <t>Filled</t>
        </is>
      </c>
      <c r="R204" t="n">
        <v>6.5</v>
      </c>
      <c r="S204" t="inlineStr">
        <is>
          <t>Central English policy</t>
        </is>
      </c>
      <c r="T204" t="inlineStr">
        <is>
          <t>Central rule applies (value agrees)</t>
        </is>
      </c>
      <c r="U204" t="inlineStr"/>
      <c r="V204" t="inlineStr">
        <is>
          <t>Filled</t>
        </is>
      </c>
      <c r="W204" t="inlineStr">
        <is>
          <t>February, July</t>
        </is>
      </c>
      <c r="X204" t="inlineStr">
        <is>
          <t>Page reader</t>
        </is>
      </c>
      <c r="Y204" t="n">
        <v>0</v>
      </c>
      <c r="Z204" t="inlineStr">
        <is>
          <t>No</t>
        </is>
      </c>
      <c r="AA204" t="inlineStr">
        <is>
          <t>Filled</t>
        </is>
      </c>
      <c r="AB204" t="inlineStr">
        <is>
          <t>on campus</t>
        </is>
      </c>
      <c r="AC204" t="inlineStr"/>
      <c r="AD204" t="n">
        <v>0</v>
      </c>
      <c r="AE204" t="inlineStr"/>
      <c r="AF204" t="inlineStr"/>
      <c r="AG204" t="inlineStr"/>
      <c r="AH204" t="inlineStr"/>
      <c r="AI204" t="inlineStr"/>
      <c r="AJ204" t="inlineStr"/>
      <c r="AK204" t="inlineStr"/>
      <c r="AL204" t="inlineStr"/>
      <c r="AM204" t="inlineStr"/>
    </row>
    <row r="205">
      <c r="A205" t="inlineStr">
        <is>
          <t>050802G</t>
        </is>
      </c>
      <c r="B205" t="inlineStr">
        <is>
          <t>Master of Actuarial Studies</t>
        </is>
      </c>
      <c r="C205" t="inlineStr">
        <is>
          <t>Masters Degree (Coursework)</t>
        </is>
      </c>
      <c r="D205" t="inlineStr">
        <is>
          <t>Postgraduate coursework</t>
        </is>
      </c>
      <c r="E205" t="inlineStr">
        <is>
          <t>Advertised: official page in place</t>
        </is>
      </c>
      <c r="F205" t="inlineStr">
        <is>
          <t>https://programsandcourses.anu.edu.au/program/7410xmacts</t>
        </is>
      </c>
      <c r="G205" t="inlineStr">
        <is>
          <t>https://programsandcourses.anu.edu.au/program/7410xmacts</t>
        </is>
      </c>
      <c r="H205" t="inlineStr">
        <is>
          <t>Read</t>
        </is>
      </c>
      <c r="I205" t="inlineStr">
        <is>
          <t>CRICOS code on page</t>
        </is>
      </c>
      <c r="J205" t="inlineStr"/>
      <c r="K205" t="inlineStr">
        <is>
          <t>Not sent to re-link</t>
        </is>
      </c>
      <c r="L205" t="inlineStr">
        <is>
          <t>Filled</t>
        </is>
      </c>
      <c r="M205" t="inlineStr">
        <is>
          <t>Filled</t>
        </is>
      </c>
      <c r="N205" t="inlineStr">
        <is>
          <t>57640.00 2026</t>
        </is>
      </c>
      <c r="O205" t="n">
        <v>0</v>
      </c>
      <c r="P205" t="inlineStr">
        <is>
          <t>University adapter</t>
        </is>
      </c>
      <c r="Q205" t="inlineStr">
        <is>
          <t>Filled</t>
        </is>
      </c>
      <c r="R205" t="n">
        <v>6.5</v>
      </c>
      <c r="S205" t="inlineStr">
        <is>
          <t>Central English policy</t>
        </is>
      </c>
      <c r="T205" t="inlineStr">
        <is>
          <t>Central rule applies (value agrees)</t>
        </is>
      </c>
      <c r="U205" t="inlineStr"/>
      <c r="V205" t="inlineStr">
        <is>
          <t>Filled</t>
        </is>
      </c>
      <c r="W205" t="inlineStr">
        <is>
          <t>February</t>
        </is>
      </c>
      <c r="X205" t="inlineStr">
        <is>
          <t>Page reader</t>
        </is>
      </c>
      <c r="Y205" t="n">
        <v>0</v>
      </c>
      <c r="Z205" t="inlineStr">
        <is>
          <t>No</t>
        </is>
      </c>
      <c r="AA205" t="inlineStr">
        <is>
          <t>Filled</t>
        </is>
      </c>
      <c r="AB205" t="inlineStr">
        <is>
          <t>on campus</t>
        </is>
      </c>
      <c r="AC205" t="inlineStr"/>
      <c r="AD205" t="n">
        <v>0</v>
      </c>
      <c r="AE205" t="inlineStr"/>
      <c r="AF205" t="inlineStr"/>
      <c r="AG205" t="inlineStr"/>
      <c r="AH205" t="inlineStr"/>
      <c r="AI205" t="inlineStr"/>
      <c r="AJ205" t="inlineStr"/>
      <c r="AK205" t="inlineStr"/>
      <c r="AL205" t="inlineStr"/>
      <c r="AM205" t="inlineStr"/>
    </row>
    <row r="206">
      <c r="A206" t="inlineStr">
        <is>
          <t>082265G</t>
        </is>
      </c>
      <c r="B206" t="inlineStr">
        <is>
          <t>Master of Anthropology</t>
        </is>
      </c>
      <c r="C206" t="inlineStr">
        <is>
          <t>Masters Degree (Coursework)</t>
        </is>
      </c>
      <c r="D206" t="inlineStr">
        <is>
          <t>Postgraduate coursework</t>
        </is>
      </c>
      <c r="E206" t="inlineStr">
        <is>
          <t>Advertised: official page in place</t>
        </is>
      </c>
      <c r="F206" t="inlineStr">
        <is>
          <t>https://programsandcourses.anu.edu.au/2021/program/manth</t>
        </is>
      </c>
      <c r="G206" t="inlineStr">
        <is>
          <t>https://programsandcourses.anu.edu.au/2021/program/manth</t>
        </is>
      </c>
      <c r="H206" t="inlineStr">
        <is>
          <t>Read</t>
        </is>
      </c>
      <c r="I206" t="inlineStr">
        <is>
          <t>CRICOS code on page</t>
        </is>
      </c>
      <c r="J206" t="inlineStr"/>
      <c r="K206" t="inlineStr">
        <is>
          <t>Not sent to re-link</t>
        </is>
      </c>
      <c r="L206" t="inlineStr">
        <is>
          <t>Filled</t>
        </is>
      </c>
      <c r="M206" t="inlineStr">
        <is>
          <t>Filled</t>
        </is>
      </c>
      <c r="N206" t="inlineStr">
        <is>
          <t>44470.00 2026</t>
        </is>
      </c>
      <c r="O206" t="n">
        <v>0</v>
      </c>
      <c r="P206" t="inlineStr">
        <is>
          <t>University adapter</t>
        </is>
      </c>
      <c r="Q206" t="inlineStr">
        <is>
          <t>Filled</t>
        </is>
      </c>
      <c r="R206" t="n">
        <v>6.5</v>
      </c>
      <c r="S206" t="inlineStr">
        <is>
          <t>Central English policy</t>
        </is>
      </c>
      <c r="T206" t="inlineStr">
        <is>
          <t>Central rule applies (value agrees)</t>
        </is>
      </c>
      <c r="U206" t="inlineStr"/>
      <c r="V206" t="inlineStr">
        <is>
          <t>Not stated on course page</t>
        </is>
      </c>
      <c r="W206" t="inlineStr"/>
      <c r="X206" t="inlineStr"/>
      <c r="Y206" t="n">
        <v>0</v>
      </c>
      <c r="Z206" t="inlineStr">
        <is>
          <t>No</t>
        </is>
      </c>
      <c r="AA206" t="inlineStr">
        <is>
          <t>Filled</t>
        </is>
      </c>
      <c r="AB206" t="inlineStr">
        <is>
          <t>on campus</t>
        </is>
      </c>
      <c r="AC206" t="inlineStr"/>
      <c r="AD206" t="n">
        <v>0</v>
      </c>
      <c r="AE206" t="inlineStr"/>
      <c r="AF206" t="inlineStr"/>
      <c r="AG206" t="inlineStr"/>
      <c r="AH206" t="inlineStr"/>
      <c r="AI206" t="inlineStr"/>
      <c r="AJ206" t="inlineStr"/>
      <c r="AK206" t="inlineStr"/>
      <c r="AL206" t="inlineStr"/>
      <c r="AM206" t="inlineStr"/>
    </row>
    <row r="207">
      <c r="A207" t="inlineStr">
        <is>
          <t>108302M</t>
        </is>
      </c>
      <c r="B207" t="inlineStr">
        <is>
          <t>Master of Anthropology</t>
        </is>
      </c>
      <c r="C207" t="inlineStr">
        <is>
          <t>Masters Degree (Coursework)</t>
        </is>
      </c>
      <c r="D207" t="inlineStr">
        <is>
          <t>Postgraduate coursework</t>
        </is>
      </c>
      <c r="E207" t="inlineStr">
        <is>
          <t>Advertised: official page in place</t>
        </is>
      </c>
      <c r="F207" t="inlineStr">
        <is>
          <t>https://programsandcourses.anu.edu.au/2023/program/mantp</t>
        </is>
      </c>
      <c r="G207" t="inlineStr">
        <is>
          <t>https://programsandcourses.anu.edu.au/2021/program/manth</t>
        </is>
      </c>
      <c r="H207" t="inlineStr">
        <is>
          <t>Read</t>
        </is>
      </c>
      <c r="I207" t="inlineStr">
        <is>
          <t>Exact title match</t>
        </is>
      </c>
      <c r="J207" t="inlineStr"/>
      <c r="K207" t="inlineStr">
        <is>
          <t>Not sent to re-link</t>
        </is>
      </c>
      <c r="L207" t="inlineStr">
        <is>
          <t>Filled</t>
        </is>
      </c>
      <c r="M207" t="inlineStr">
        <is>
          <t>Filled</t>
        </is>
      </c>
      <c r="N207" t="inlineStr">
        <is>
          <t>44470.00 2026</t>
        </is>
      </c>
      <c r="O207" t="n">
        <v>0</v>
      </c>
      <c r="P207" t="inlineStr">
        <is>
          <t>University adapter</t>
        </is>
      </c>
      <c r="Q207" t="inlineStr">
        <is>
          <t>Filled</t>
        </is>
      </c>
      <c r="R207" t="n">
        <v>6.5</v>
      </c>
      <c r="S207" t="inlineStr">
        <is>
          <t>Central English policy</t>
        </is>
      </c>
      <c r="T207" t="inlineStr">
        <is>
          <t>Central rule applies (value agrees)</t>
        </is>
      </c>
      <c r="U207" t="inlineStr"/>
      <c r="V207" t="inlineStr">
        <is>
          <t>Not stated on course page</t>
        </is>
      </c>
      <c r="W207" t="inlineStr"/>
      <c r="X207" t="inlineStr"/>
      <c r="Y207" t="n">
        <v>0</v>
      </c>
      <c r="Z207" t="inlineStr">
        <is>
          <t>No</t>
        </is>
      </c>
      <c r="AA207" t="inlineStr">
        <is>
          <t>Filled</t>
        </is>
      </c>
      <c r="AB207" t="inlineStr">
        <is>
          <t>on campus</t>
        </is>
      </c>
      <c r="AC207" t="inlineStr"/>
      <c r="AD207" t="n">
        <v>0</v>
      </c>
      <c r="AE207" t="inlineStr"/>
      <c r="AF207" t="inlineStr"/>
      <c r="AG207" t="inlineStr"/>
      <c r="AH207" t="inlineStr"/>
      <c r="AI207" t="inlineStr"/>
      <c r="AJ207" t="inlineStr"/>
      <c r="AK207" t="inlineStr"/>
      <c r="AL207" t="inlineStr"/>
      <c r="AM207" t="inlineStr"/>
    </row>
    <row r="208">
      <c r="A208" t="inlineStr">
        <is>
          <t>108303K</t>
        </is>
      </c>
      <c r="B208" t="inlineStr">
        <is>
          <t>Master of Anthropology (Advanced)</t>
        </is>
      </c>
      <c r="C208" t="inlineStr">
        <is>
          <t>Masters Degree (Coursework)</t>
        </is>
      </c>
      <c r="D208" t="inlineStr">
        <is>
          <t>Postgraduate coursework</t>
        </is>
      </c>
      <c r="E208" t="inlineStr">
        <is>
          <t>Advertised: official page in place</t>
        </is>
      </c>
      <c r="F208" t="inlineStr">
        <is>
          <t>https://programsandcourses.anu.edu.au/program/vantp</t>
        </is>
      </c>
      <c r="G208" t="inlineStr">
        <is>
          <t>https://programsandcourses.anu.edu.au/program/vantp</t>
        </is>
      </c>
      <c r="H208" t="inlineStr">
        <is>
          <t>Read</t>
        </is>
      </c>
      <c r="I208" t="inlineStr">
        <is>
          <t>CRICOS code on page</t>
        </is>
      </c>
      <c r="J208" t="inlineStr"/>
      <c r="K208" t="inlineStr">
        <is>
          <t>Not sent to re-link</t>
        </is>
      </c>
      <c r="L208" t="inlineStr">
        <is>
          <t>Filled</t>
        </is>
      </c>
      <c r="M208" t="inlineStr">
        <is>
          <t>Filled</t>
        </is>
      </c>
      <c r="N208" t="inlineStr">
        <is>
          <t>54540.00 2026</t>
        </is>
      </c>
      <c r="O208" t="n">
        <v>0</v>
      </c>
      <c r="P208" t="inlineStr">
        <is>
          <t>University adapter</t>
        </is>
      </c>
      <c r="Q208" t="inlineStr">
        <is>
          <t>Filled</t>
        </is>
      </c>
      <c r="R208" t="n">
        <v>6.5</v>
      </c>
      <c r="S208" t="inlineStr">
        <is>
          <t>Central English policy</t>
        </is>
      </c>
      <c r="T208" t="inlineStr">
        <is>
          <t>Central rule applies (value agrees)</t>
        </is>
      </c>
      <c r="U208" t="inlineStr"/>
      <c r="V208" t="inlineStr">
        <is>
          <t>Not stated on course page</t>
        </is>
      </c>
      <c r="W208" t="inlineStr"/>
      <c r="X208" t="inlineStr"/>
      <c r="Y208" t="n">
        <v>0</v>
      </c>
      <c r="Z208" t="inlineStr">
        <is>
          <t>No</t>
        </is>
      </c>
      <c r="AA208" t="inlineStr">
        <is>
          <t>Filled</t>
        </is>
      </c>
      <c r="AB208" t="inlineStr">
        <is>
          <t>on campus</t>
        </is>
      </c>
      <c r="AC208" t="inlineStr"/>
      <c r="AD208" t="n">
        <v>0</v>
      </c>
      <c r="AE208" t="inlineStr"/>
      <c r="AF208" t="inlineStr"/>
      <c r="AG208" t="inlineStr"/>
      <c r="AH208" t="inlineStr"/>
      <c r="AI208" t="inlineStr"/>
      <c r="AJ208" t="inlineStr"/>
      <c r="AK208" t="inlineStr"/>
      <c r="AL208" t="inlineStr"/>
      <c r="AM208" t="inlineStr"/>
    </row>
    <row r="209">
      <c r="A209" t="inlineStr">
        <is>
          <t>082266F</t>
        </is>
      </c>
      <c r="B209" t="inlineStr">
        <is>
          <t>Master of Anthropology (Advanced)</t>
        </is>
      </c>
      <c r="C209" t="inlineStr">
        <is>
          <t>Masters Degree (Coursework)</t>
        </is>
      </c>
      <c r="D209" t="inlineStr">
        <is>
          <t>Postgraduate coursework</t>
        </is>
      </c>
      <c r="E209" t="inlineStr">
        <is>
          <t>Advertised: official page in place</t>
        </is>
      </c>
      <c r="F209" t="inlineStr">
        <is>
          <t>https://programsandcourses.anu.edu.au/program/VANTP</t>
        </is>
      </c>
      <c r="G209" t="inlineStr">
        <is>
          <t>https://programsandcourses.anu.edu.au/program/VANTP</t>
        </is>
      </c>
      <c r="H209" t="inlineStr">
        <is>
          <t>Read</t>
        </is>
      </c>
      <c r="I209" t="inlineStr">
        <is>
          <t>Exact title match</t>
        </is>
      </c>
      <c r="J209" t="inlineStr"/>
      <c r="K209" t="inlineStr">
        <is>
          <t>Not sent to re-link</t>
        </is>
      </c>
      <c r="L209" t="inlineStr">
        <is>
          <t>Filled</t>
        </is>
      </c>
      <c r="M209" t="inlineStr">
        <is>
          <t>Filled</t>
        </is>
      </c>
      <c r="N209" t="inlineStr">
        <is>
          <t>54540.00 2026</t>
        </is>
      </c>
      <c r="O209" t="n">
        <v>0</v>
      </c>
      <c r="P209" t="inlineStr">
        <is>
          <t>University adapter</t>
        </is>
      </c>
      <c r="Q209" t="inlineStr">
        <is>
          <t>Filled</t>
        </is>
      </c>
      <c r="R209" t="n">
        <v>6.5</v>
      </c>
      <c r="S209" t="inlineStr">
        <is>
          <t>Central English policy</t>
        </is>
      </c>
      <c r="T209" t="inlineStr">
        <is>
          <t>Central rule applies (value agrees)</t>
        </is>
      </c>
      <c r="U209" t="inlineStr"/>
      <c r="V209" t="inlineStr">
        <is>
          <t>Not stated on course page</t>
        </is>
      </c>
      <c r="W209" t="inlineStr"/>
      <c r="X209" t="inlineStr"/>
      <c r="Y209" t="n">
        <v>0</v>
      </c>
      <c r="Z209" t="inlineStr">
        <is>
          <t>No</t>
        </is>
      </c>
      <c r="AA209" t="inlineStr">
        <is>
          <t>Filled</t>
        </is>
      </c>
      <c r="AB209" t="inlineStr">
        <is>
          <t>on campus</t>
        </is>
      </c>
      <c r="AC209" t="inlineStr"/>
      <c r="AD209" t="n">
        <v>0</v>
      </c>
      <c r="AE209" t="inlineStr"/>
      <c r="AF209" t="inlineStr"/>
      <c r="AG209" t="inlineStr"/>
      <c r="AH209" t="inlineStr"/>
      <c r="AI209" t="inlineStr"/>
      <c r="AJ209" t="inlineStr"/>
      <c r="AK209" t="inlineStr"/>
      <c r="AL209" t="inlineStr"/>
      <c r="AM209" t="inlineStr"/>
    </row>
    <row r="210">
      <c r="A210" t="inlineStr">
        <is>
          <t>114811F</t>
        </is>
      </c>
      <c r="B210" t="inlineStr">
        <is>
          <t>Master of Anthropology and Planetary Futures</t>
        </is>
      </c>
      <c r="C210" t="inlineStr">
        <is>
          <t>Masters Degree (Coursework)</t>
        </is>
      </c>
      <c r="D210" t="inlineStr">
        <is>
          <t>Postgraduate coursework</t>
        </is>
      </c>
      <c r="E210" t="inlineStr">
        <is>
          <t>Advertised: official page in place</t>
        </is>
      </c>
      <c r="F210" t="inlineStr">
        <is>
          <t>https://programsandcourses.anu.edu.au/program/mapf</t>
        </is>
      </c>
      <c r="G210" t="inlineStr">
        <is>
          <t>https://programsandcourses.anu.edu.au/program/mapf</t>
        </is>
      </c>
      <c r="H210" t="inlineStr">
        <is>
          <t>Read</t>
        </is>
      </c>
      <c r="I210" t="inlineStr">
        <is>
          <t>CRICOS code on page</t>
        </is>
      </c>
      <c r="J210" t="inlineStr"/>
      <c r="K210" t="inlineStr">
        <is>
          <t>Not sent to re-link</t>
        </is>
      </c>
      <c r="L210" t="inlineStr">
        <is>
          <t>Filled</t>
        </is>
      </c>
      <c r="M210" t="inlineStr">
        <is>
          <t>Filled</t>
        </is>
      </c>
      <c r="N210" t="inlineStr">
        <is>
          <t>54540.00 2026</t>
        </is>
      </c>
      <c r="O210" t="n">
        <v>0</v>
      </c>
      <c r="P210" t="inlineStr">
        <is>
          <t>University adapter</t>
        </is>
      </c>
      <c r="Q210" t="inlineStr">
        <is>
          <t>Filled</t>
        </is>
      </c>
      <c r="R210" t="n">
        <v>6.5</v>
      </c>
      <c r="S210" t="inlineStr">
        <is>
          <t>Central English policy</t>
        </is>
      </c>
      <c r="T210" t="inlineStr">
        <is>
          <t>Central rule applies (value agrees)</t>
        </is>
      </c>
      <c r="U210" t="inlineStr"/>
      <c r="V210" t="inlineStr">
        <is>
          <t>Not stated on course page</t>
        </is>
      </c>
      <c r="W210" t="inlineStr"/>
      <c r="X210" t="inlineStr"/>
      <c r="Y210" t="n">
        <v>0</v>
      </c>
      <c r="Z210" t="inlineStr">
        <is>
          <t>No</t>
        </is>
      </c>
      <c r="AA210" t="inlineStr">
        <is>
          <t>Filled</t>
        </is>
      </c>
      <c r="AB210" t="inlineStr">
        <is>
          <t>blended</t>
        </is>
      </c>
      <c r="AC210" t="inlineStr"/>
      <c r="AD210" t="n">
        <v>0</v>
      </c>
      <c r="AE210" t="inlineStr"/>
      <c r="AF210" t="inlineStr"/>
      <c r="AG210" t="inlineStr"/>
      <c r="AH210" t="inlineStr"/>
      <c r="AI210" t="inlineStr"/>
      <c r="AJ210" t="inlineStr"/>
      <c r="AK210" t="inlineStr"/>
      <c r="AL210" t="inlineStr"/>
      <c r="AM210" t="inlineStr"/>
    </row>
    <row r="211">
      <c r="A211" t="inlineStr">
        <is>
          <t>114812E</t>
        </is>
      </c>
      <c r="B211" t="inlineStr">
        <is>
          <t>Master of Anthropology and Planetary Futures (Advanced)</t>
        </is>
      </c>
      <c r="C211" t="inlineStr">
        <is>
          <t>Masters Degree (Coursework)</t>
        </is>
      </c>
      <c r="D211" t="inlineStr">
        <is>
          <t>Postgraduate coursework</t>
        </is>
      </c>
      <c r="E211" t="inlineStr">
        <is>
          <t>Advertised: official page in place</t>
        </is>
      </c>
      <c r="F211" t="inlineStr">
        <is>
          <t>https://programsandcourses.anu.edu.au/program/vapf</t>
        </is>
      </c>
      <c r="G211" t="inlineStr">
        <is>
          <t>https://programsandcourses.anu.edu.au/program/vapf</t>
        </is>
      </c>
      <c r="H211" t="inlineStr">
        <is>
          <t>Read</t>
        </is>
      </c>
      <c r="I211" t="inlineStr">
        <is>
          <t>CRICOS code on page</t>
        </is>
      </c>
      <c r="J211" t="inlineStr"/>
      <c r="K211" t="inlineStr">
        <is>
          <t>Not sent to re-link</t>
        </is>
      </c>
      <c r="L211" t="inlineStr">
        <is>
          <t>Filled</t>
        </is>
      </c>
      <c r="M211" t="inlineStr">
        <is>
          <t>Filled</t>
        </is>
      </c>
      <c r="N211" t="inlineStr">
        <is>
          <t>54540.00 2026</t>
        </is>
      </c>
      <c r="O211" t="n">
        <v>0</v>
      </c>
      <c r="P211" t="inlineStr">
        <is>
          <t>University adapter</t>
        </is>
      </c>
      <c r="Q211" t="inlineStr">
        <is>
          <t>Filled</t>
        </is>
      </c>
      <c r="R211" t="n">
        <v>6.5</v>
      </c>
      <c r="S211" t="inlineStr">
        <is>
          <t>Central English policy</t>
        </is>
      </c>
      <c r="T211" t="inlineStr">
        <is>
          <t>Central rule applies (value agrees)</t>
        </is>
      </c>
      <c r="U211" t="inlineStr"/>
      <c r="V211" t="inlineStr">
        <is>
          <t>Not stated on course page</t>
        </is>
      </c>
      <c r="W211" t="inlineStr"/>
      <c r="X211" t="inlineStr"/>
      <c r="Y211" t="n">
        <v>0</v>
      </c>
      <c r="Z211" t="inlineStr">
        <is>
          <t>No</t>
        </is>
      </c>
      <c r="AA211" t="inlineStr">
        <is>
          <t>Filled</t>
        </is>
      </c>
      <c r="AB211" t="inlineStr">
        <is>
          <t>blended</t>
        </is>
      </c>
      <c r="AC211" t="inlineStr"/>
      <c r="AD211" t="n">
        <v>0</v>
      </c>
      <c r="AE211" t="inlineStr"/>
      <c r="AF211" t="inlineStr"/>
      <c r="AG211" t="inlineStr"/>
      <c r="AH211" t="inlineStr"/>
      <c r="AI211" t="inlineStr"/>
      <c r="AJ211" t="inlineStr"/>
      <c r="AK211" t="inlineStr"/>
      <c r="AL211" t="inlineStr"/>
      <c r="AM211" t="inlineStr"/>
    </row>
    <row r="212">
      <c r="A212" t="inlineStr">
        <is>
          <t>103370F</t>
        </is>
      </c>
      <c r="B212" t="inlineStr">
        <is>
          <t>Master of Applied Accounting</t>
        </is>
      </c>
      <c r="C212" t="inlineStr">
        <is>
          <t>Masters Degree (Coursework)</t>
        </is>
      </c>
      <c r="D212" t="inlineStr">
        <is>
          <t>Postgraduate coursework</t>
        </is>
      </c>
      <c r="E212" t="inlineStr">
        <is>
          <t>Advertised: official page in place</t>
        </is>
      </c>
      <c r="F212" t="inlineStr">
        <is>
          <t>https://programsandcourses.anu.edu.au/program/mapac</t>
        </is>
      </c>
      <c r="G212" t="inlineStr">
        <is>
          <t>https://programsandcourses.anu.edu.au/program/mapac</t>
        </is>
      </c>
      <c r="H212" t="inlineStr">
        <is>
          <t>Read</t>
        </is>
      </c>
      <c r="I212" t="inlineStr">
        <is>
          <t>CRICOS code on page</t>
        </is>
      </c>
      <c r="J212" t="inlineStr"/>
      <c r="K212" t="inlineStr">
        <is>
          <t>Not sent to re-link</t>
        </is>
      </c>
      <c r="L212" t="inlineStr">
        <is>
          <t>Filled</t>
        </is>
      </c>
      <c r="M212" t="inlineStr">
        <is>
          <t>Filled</t>
        </is>
      </c>
      <c r="N212" t="inlineStr">
        <is>
          <t>57640.00 2026</t>
        </is>
      </c>
      <c r="O212" t="n">
        <v>0</v>
      </c>
      <c r="P212" t="inlineStr">
        <is>
          <t>University adapter</t>
        </is>
      </c>
      <c r="Q212" t="inlineStr">
        <is>
          <t>Filled</t>
        </is>
      </c>
      <c r="R212" t="n">
        <v>6.5</v>
      </c>
      <c r="S212" t="inlineStr">
        <is>
          <t>Central English policy</t>
        </is>
      </c>
      <c r="T212" t="inlineStr">
        <is>
          <t>Central rule applies (value agrees)</t>
        </is>
      </c>
      <c r="U212" t="inlineStr"/>
      <c r="V212" t="inlineStr">
        <is>
          <t>Not stated on course page</t>
        </is>
      </c>
      <c r="W212" t="inlineStr"/>
      <c r="X212" t="inlineStr"/>
      <c r="Y212" t="n">
        <v>0</v>
      </c>
      <c r="Z212" t="inlineStr">
        <is>
          <t>No</t>
        </is>
      </c>
      <c r="AA212" t="inlineStr">
        <is>
          <t>Filled</t>
        </is>
      </c>
      <c r="AB212" t="inlineStr">
        <is>
          <t>on campus</t>
        </is>
      </c>
      <c r="AC212" t="inlineStr"/>
      <c r="AD212" t="n">
        <v>0</v>
      </c>
      <c r="AE212" t="inlineStr"/>
      <c r="AF212" t="inlineStr"/>
      <c r="AG212" t="inlineStr"/>
      <c r="AH212" t="inlineStr"/>
      <c r="AI212" t="inlineStr"/>
      <c r="AJ212" t="inlineStr"/>
      <c r="AK212" t="inlineStr"/>
      <c r="AL212" t="inlineStr"/>
      <c r="AM212" t="inlineStr"/>
    </row>
    <row r="213">
      <c r="A213" t="inlineStr">
        <is>
          <t>111569B</t>
        </is>
      </c>
      <c r="B213" t="inlineStr">
        <is>
          <t>Master of Applied Accounting and Master of Financial Management</t>
        </is>
      </c>
      <c r="C213" t="inlineStr">
        <is>
          <t>Masters Degree (Extended)</t>
        </is>
      </c>
      <c r="D213" t="inlineStr">
        <is>
          <t>Postgraduate coursework</t>
        </is>
      </c>
      <c r="E213" t="inlineStr">
        <is>
          <t>Advertised: official page in place</t>
        </is>
      </c>
      <c r="F213" t="inlineStr">
        <is>
          <t>https://programsandcourses.anu.edu.au/program/maamfm</t>
        </is>
      </c>
      <c r="G213" t="inlineStr">
        <is>
          <t>https://programsandcourses.anu.edu.au/program/maamfm</t>
        </is>
      </c>
      <c r="H213" t="inlineStr">
        <is>
          <t>Read</t>
        </is>
      </c>
      <c r="I213" t="inlineStr">
        <is>
          <t>CRICOS code on page</t>
        </is>
      </c>
      <c r="J213" t="inlineStr"/>
      <c r="K213" t="inlineStr">
        <is>
          <t>Not sent to re-link</t>
        </is>
      </c>
      <c r="L213" t="inlineStr">
        <is>
          <t>Filled</t>
        </is>
      </c>
      <c r="M213" t="inlineStr">
        <is>
          <t>Filled</t>
        </is>
      </c>
      <c r="N213" t="inlineStr">
        <is>
          <t>57640.00 2026</t>
        </is>
      </c>
      <c r="O213" t="n">
        <v>0</v>
      </c>
      <c r="P213" t="inlineStr">
        <is>
          <t>University adapter</t>
        </is>
      </c>
      <c r="Q213" t="inlineStr">
        <is>
          <t>Filled</t>
        </is>
      </c>
      <c r="R213" t="n">
        <v>6.5</v>
      </c>
      <c r="S213" t="inlineStr">
        <is>
          <t>Central English policy</t>
        </is>
      </c>
      <c r="T213" t="inlineStr">
        <is>
          <t>Central rule applies (value agrees)</t>
        </is>
      </c>
      <c r="U213" t="inlineStr"/>
      <c r="V213" t="inlineStr">
        <is>
          <t>Not stated on course page</t>
        </is>
      </c>
      <c r="W213" t="inlineStr"/>
      <c r="X213" t="inlineStr"/>
      <c r="Y213" t="n">
        <v>0</v>
      </c>
      <c r="Z213" t="inlineStr">
        <is>
          <t>No</t>
        </is>
      </c>
      <c r="AA213" t="inlineStr">
        <is>
          <t>Filled</t>
        </is>
      </c>
      <c r="AB213" t="inlineStr">
        <is>
          <t>on campus</t>
        </is>
      </c>
      <c r="AC213" t="inlineStr"/>
      <c r="AD213" t="n">
        <v>0</v>
      </c>
      <c r="AE213" t="inlineStr"/>
      <c r="AF213" t="inlineStr"/>
      <c r="AG213" t="inlineStr"/>
      <c r="AH213" t="inlineStr"/>
      <c r="AI213" t="inlineStr"/>
      <c r="AJ213" t="inlineStr"/>
      <c r="AK213" t="inlineStr"/>
      <c r="AL213" t="inlineStr"/>
      <c r="AM213" t="inlineStr"/>
    </row>
    <row r="214">
      <c r="A214" t="inlineStr">
        <is>
          <t>108305H</t>
        </is>
      </c>
      <c r="B214" t="inlineStr">
        <is>
          <t>Master of Applied Anthropology and Development (Advanced)</t>
        </is>
      </c>
      <c r="C214" t="inlineStr">
        <is>
          <t>Masters Degree (Coursework)</t>
        </is>
      </c>
      <c r="D214" t="inlineStr">
        <is>
          <t>Postgraduate coursework</t>
        </is>
      </c>
      <c r="E214" t="inlineStr">
        <is>
          <t>Advertised: official page in place</t>
        </is>
      </c>
      <c r="F214" t="inlineStr">
        <is>
          <t>https://programsandcourses.anu.edu.au/program/vaaad</t>
        </is>
      </c>
      <c r="G214" t="inlineStr">
        <is>
          <t>https://programsandcourses.anu.edu.au/program/vaaad</t>
        </is>
      </c>
      <c r="H214" t="inlineStr">
        <is>
          <t>Read</t>
        </is>
      </c>
      <c r="I214" t="inlineStr">
        <is>
          <t>CRICOS code on page</t>
        </is>
      </c>
      <c r="J214" t="inlineStr"/>
      <c r="K214" t="inlineStr">
        <is>
          <t>Not sent to re-link</t>
        </is>
      </c>
      <c r="L214" t="inlineStr">
        <is>
          <t>Filled</t>
        </is>
      </c>
      <c r="M214" t="inlineStr">
        <is>
          <t>Filled</t>
        </is>
      </c>
      <c r="N214" t="inlineStr">
        <is>
          <t>54540.00 2026</t>
        </is>
      </c>
      <c r="O214" t="n">
        <v>0</v>
      </c>
      <c r="P214" t="inlineStr">
        <is>
          <t>University adapter</t>
        </is>
      </c>
      <c r="Q214" t="inlineStr">
        <is>
          <t>Filled</t>
        </is>
      </c>
      <c r="R214" t="n">
        <v>6.5</v>
      </c>
      <c r="S214" t="inlineStr">
        <is>
          <t>Central English policy</t>
        </is>
      </c>
      <c r="T214" t="inlineStr">
        <is>
          <t>Central rule applies (value agrees)</t>
        </is>
      </c>
      <c r="U214" t="inlineStr"/>
      <c r="V214" t="inlineStr">
        <is>
          <t>Not stated on course page</t>
        </is>
      </c>
      <c r="W214" t="inlineStr"/>
      <c r="X214" t="inlineStr"/>
      <c r="Y214" t="n">
        <v>0</v>
      </c>
      <c r="Z214" t="inlineStr">
        <is>
          <t>No</t>
        </is>
      </c>
      <c r="AA214" t="inlineStr">
        <is>
          <t>Filled</t>
        </is>
      </c>
      <c r="AB214" t="inlineStr">
        <is>
          <t>on campus</t>
        </is>
      </c>
      <c r="AC214" t="inlineStr"/>
      <c r="AD214" t="n">
        <v>0</v>
      </c>
      <c r="AE214" t="inlineStr"/>
      <c r="AF214" t="inlineStr"/>
      <c r="AG214" t="inlineStr"/>
      <c r="AH214" t="inlineStr"/>
      <c r="AI214" t="inlineStr"/>
      <c r="AJ214" t="inlineStr"/>
      <c r="AK214" t="inlineStr"/>
      <c r="AL214" t="inlineStr"/>
      <c r="AM214" t="inlineStr"/>
    </row>
    <row r="215">
      <c r="A215" t="inlineStr">
        <is>
          <t>082267E</t>
        </is>
      </c>
      <c r="B215" t="inlineStr">
        <is>
          <t>Master of Applied Anthropology and Participatory Development</t>
        </is>
      </c>
      <c r="C215" t="inlineStr">
        <is>
          <t>Masters Degree (Coursework)</t>
        </is>
      </c>
      <c r="D215" t="inlineStr">
        <is>
          <t>Postgraduate coursework</t>
        </is>
      </c>
      <c r="E215" t="inlineStr">
        <is>
          <t>Advertised: official page in place</t>
        </is>
      </c>
      <c r="F215" t="inlineStr">
        <is>
          <t>https://programsandcourses.anu.edu.au/2021/program/maapd</t>
        </is>
      </c>
      <c r="G215" t="inlineStr">
        <is>
          <t>https://programsandcourses.anu.edu.au/2021/program/maapd</t>
        </is>
      </c>
      <c r="H215" t="inlineStr">
        <is>
          <t>Read</t>
        </is>
      </c>
      <c r="I215" t="inlineStr">
        <is>
          <t>CRICOS code on page</t>
        </is>
      </c>
      <c r="J215" t="inlineStr"/>
      <c r="K215" t="inlineStr">
        <is>
          <t>Not sent to re-link</t>
        </is>
      </c>
      <c r="L215" t="inlineStr">
        <is>
          <t>Filled</t>
        </is>
      </c>
      <c r="M215" t="inlineStr">
        <is>
          <t>Filled</t>
        </is>
      </c>
      <c r="N215" t="inlineStr">
        <is>
          <t>45690.00 2026</t>
        </is>
      </c>
      <c r="O215" t="n">
        <v>0</v>
      </c>
      <c r="P215" t="inlineStr">
        <is>
          <t>Other</t>
        </is>
      </c>
      <c r="Q215" t="inlineStr">
        <is>
          <t>Filled</t>
        </is>
      </c>
      <c r="R215" t="n">
        <v>6.5</v>
      </c>
      <c r="S215" t="inlineStr">
        <is>
          <t>Central English policy</t>
        </is>
      </c>
      <c r="T215" t="inlineStr">
        <is>
          <t>Central rule applies (value agrees)</t>
        </is>
      </c>
      <c r="U215" t="inlineStr"/>
      <c r="V215" t="inlineStr">
        <is>
          <t>Waiting for Layer 4 review</t>
        </is>
      </c>
      <c r="W215" t="inlineStr"/>
      <c r="X215" t="inlineStr"/>
      <c r="Y215" t="n">
        <v>0</v>
      </c>
      <c r="Z215" t="inlineStr">
        <is>
          <t>No</t>
        </is>
      </c>
      <c r="AA215" t="inlineStr">
        <is>
          <t>Filled</t>
        </is>
      </c>
      <c r="AB215" t="inlineStr">
        <is>
          <t>on campus</t>
        </is>
      </c>
      <c r="AC215" t="inlineStr"/>
      <c r="AD215" t="n">
        <v>0</v>
      </c>
      <c r="AE215" t="inlineStr"/>
      <c r="AF215" t="inlineStr">
        <is>
          <t>Yes</t>
        </is>
      </c>
      <c r="AG215" t="inlineStr"/>
      <c r="AH215" t="inlineStr"/>
      <c r="AI215" t="inlineStr"/>
      <c r="AJ215" t="inlineStr"/>
      <c r="AK215" t="inlineStr"/>
      <c r="AL215" t="inlineStr"/>
      <c r="AM215" t="inlineStr"/>
    </row>
    <row r="216">
      <c r="A216" t="inlineStr">
        <is>
          <t>082268D</t>
        </is>
      </c>
      <c r="B216" t="inlineStr">
        <is>
          <t>Master of Applied Anthropology and Participatory Development (Advanced)</t>
        </is>
      </c>
      <c r="C216" t="inlineStr">
        <is>
          <t>Masters Degree (Coursework)</t>
        </is>
      </c>
      <c r="D216" t="inlineStr">
        <is>
          <t>Postgraduate coursework</t>
        </is>
      </c>
      <c r="E216" t="inlineStr">
        <is>
          <t>Advertised: official page in place</t>
        </is>
      </c>
      <c r="F216" t="inlineStr">
        <is>
          <t>https://programsandcourses.anu.edu.au/2015/program/vaapd</t>
        </is>
      </c>
      <c r="G216" t="inlineStr">
        <is>
          <t>https://programsandcourses.anu.edu.au/2020/program/vaapo</t>
        </is>
      </c>
      <c r="H216" t="inlineStr">
        <is>
          <t>Read</t>
        </is>
      </c>
      <c r="I216" t="inlineStr">
        <is>
          <t>Exact title match</t>
        </is>
      </c>
      <c r="J216" t="inlineStr"/>
      <c r="K216" t="inlineStr">
        <is>
          <t>Not sent to re-link</t>
        </is>
      </c>
      <c r="L216" t="inlineStr">
        <is>
          <t>Filled</t>
        </is>
      </c>
      <c r="M216" t="inlineStr">
        <is>
          <t>Filled</t>
        </is>
      </c>
      <c r="N216" t="inlineStr">
        <is>
          <t>44604.00 2026</t>
        </is>
      </c>
      <c r="O216" t="n">
        <v>0</v>
      </c>
      <c r="P216" t="inlineStr">
        <is>
          <t>University adapter</t>
        </is>
      </c>
      <c r="Q216" t="inlineStr">
        <is>
          <t>Filled</t>
        </is>
      </c>
      <c r="R216" t="n">
        <v>6.5</v>
      </c>
      <c r="S216" t="inlineStr">
        <is>
          <t>Central English policy</t>
        </is>
      </c>
      <c r="T216" t="inlineStr">
        <is>
          <t>Central rule applies (value agrees)</t>
        </is>
      </c>
      <c r="U216" t="inlineStr"/>
      <c r="V216" t="inlineStr">
        <is>
          <t>Not stated on course page</t>
        </is>
      </c>
      <c r="W216" t="inlineStr"/>
      <c r="X216" t="inlineStr"/>
      <c r="Y216" t="n">
        <v>0</v>
      </c>
      <c r="Z216" t="inlineStr">
        <is>
          <t>No</t>
        </is>
      </c>
      <c r="AA216" t="inlineStr">
        <is>
          <t>Filled</t>
        </is>
      </c>
      <c r="AB216" t="inlineStr">
        <is>
          <t>blended</t>
        </is>
      </c>
      <c r="AC216" t="inlineStr"/>
      <c r="AD216" t="n">
        <v>0</v>
      </c>
      <c r="AE216" t="inlineStr"/>
      <c r="AF216" t="inlineStr"/>
      <c r="AG216" t="inlineStr"/>
      <c r="AH216" t="inlineStr"/>
      <c r="AI216" t="inlineStr"/>
      <c r="AJ216" t="inlineStr"/>
      <c r="AK216" t="inlineStr"/>
      <c r="AL216" t="inlineStr"/>
      <c r="AM216" t="inlineStr"/>
    </row>
    <row r="217">
      <c r="A217" t="inlineStr">
        <is>
          <t>117471H</t>
        </is>
      </c>
      <c r="B217" t="inlineStr">
        <is>
          <t>Master of Applied Criminology</t>
        </is>
      </c>
      <c r="C217" t="inlineStr">
        <is>
          <t>Masters Degree (Coursework)</t>
        </is>
      </c>
      <c r="D217" t="inlineStr">
        <is>
          <t>Postgraduate coursework</t>
        </is>
      </c>
      <c r="E217" t="inlineStr">
        <is>
          <t>Advertised: official page in place</t>
        </is>
      </c>
      <c r="F217" t="inlineStr">
        <is>
          <t>https://programsandcourses.anu.edu.au/program/macri</t>
        </is>
      </c>
      <c r="G217" t="inlineStr">
        <is>
          <t>https://programsandcourses.anu.edu.au/program/macri</t>
        </is>
      </c>
      <c r="H217" t="inlineStr">
        <is>
          <t>Read</t>
        </is>
      </c>
      <c r="I217" t="inlineStr">
        <is>
          <t>CRICOS code on page</t>
        </is>
      </c>
      <c r="J217" t="inlineStr"/>
      <c r="K217" t="inlineStr">
        <is>
          <t>Not sent to re-link</t>
        </is>
      </c>
      <c r="L217" t="inlineStr">
        <is>
          <t>Filled</t>
        </is>
      </c>
      <c r="M217" t="inlineStr">
        <is>
          <t>Filled</t>
        </is>
      </c>
      <c r="N217" t="inlineStr">
        <is>
          <t>54540.00 2026</t>
        </is>
      </c>
      <c r="O217" t="n">
        <v>0</v>
      </c>
      <c r="P217" t="inlineStr">
        <is>
          <t>University adapter</t>
        </is>
      </c>
      <c r="Q217" t="inlineStr">
        <is>
          <t>Filled</t>
        </is>
      </c>
      <c r="R217" t="n">
        <v>6.5</v>
      </c>
      <c r="S217" t="inlineStr">
        <is>
          <t>Central English policy</t>
        </is>
      </c>
      <c r="T217" t="inlineStr">
        <is>
          <t>Central rule applies (value agrees)</t>
        </is>
      </c>
      <c r="U217" t="inlineStr"/>
      <c r="V217" t="inlineStr">
        <is>
          <t>Not stated on course page</t>
        </is>
      </c>
      <c r="W217" t="inlineStr"/>
      <c r="X217" t="inlineStr"/>
      <c r="Y217" t="n">
        <v>0</v>
      </c>
      <c r="Z217" t="inlineStr">
        <is>
          <t>No</t>
        </is>
      </c>
      <c r="AA217" t="inlineStr">
        <is>
          <t>Filled</t>
        </is>
      </c>
      <c r="AB217" t="inlineStr">
        <is>
          <t>blended</t>
        </is>
      </c>
      <c r="AC217" t="inlineStr"/>
      <c r="AD217" t="n">
        <v>0</v>
      </c>
      <c r="AE217" t="inlineStr"/>
      <c r="AF217" t="inlineStr"/>
      <c r="AG217" t="inlineStr"/>
      <c r="AH217" t="inlineStr"/>
      <c r="AI217" t="inlineStr"/>
      <c r="AJ217" t="inlineStr"/>
      <c r="AK217" t="inlineStr"/>
      <c r="AL217" t="inlineStr"/>
      <c r="AM217" t="inlineStr"/>
    </row>
    <row r="218">
      <c r="A218" t="inlineStr">
        <is>
          <t>099472E</t>
        </is>
      </c>
      <c r="B218" t="inlineStr">
        <is>
          <t>Master of Applied Cybernetics</t>
        </is>
      </c>
      <c r="C218" t="inlineStr">
        <is>
          <t>Masters Degree (Coursework)</t>
        </is>
      </c>
      <c r="D218" t="inlineStr">
        <is>
          <t>Postgraduate coursework</t>
        </is>
      </c>
      <c r="E218" t="inlineStr">
        <is>
          <t>Advertised: official page in place</t>
        </is>
      </c>
      <c r="F218" t="inlineStr">
        <is>
          <t>https://programsandcourses.anu.edu.au/program/MACYB</t>
        </is>
      </c>
      <c r="G218" t="inlineStr">
        <is>
          <t>https://programsandcourses.anu.edu.au/program/MACYB</t>
        </is>
      </c>
      <c r="H218" t="inlineStr">
        <is>
          <t>Read</t>
        </is>
      </c>
      <c r="I218" t="inlineStr">
        <is>
          <t>Exact title match</t>
        </is>
      </c>
      <c r="J218" t="inlineStr"/>
      <c r="K218" t="inlineStr">
        <is>
          <t>Not sent to re-link</t>
        </is>
      </c>
      <c r="L218" t="inlineStr">
        <is>
          <t>Filled</t>
        </is>
      </c>
      <c r="M218" t="inlineStr">
        <is>
          <t>Filled</t>
        </is>
      </c>
      <c r="N218" t="inlineStr">
        <is>
          <t>57640.00 2026</t>
        </is>
      </c>
      <c r="O218" t="n">
        <v>0</v>
      </c>
      <c r="P218" t="inlineStr">
        <is>
          <t>University adapter</t>
        </is>
      </c>
      <c r="Q218" t="inlineStr">
        <is>
          <t>Filled</t>
        </is>
      </c>
      <c r="R218" t="n">
        <v>6.5</v>
      </c>
      <c r="S218" t="inlineStr">
        <is>
          <t>Central English policy</t>
        </is>
      </c>
      <c r="T218" t="inlineStr">
        <is>
          <t>Central rule applies (value agrees)</t>
        </is>
      </c>
      <c r="U218" t="inlineStr"/>
      <c r="V218" t="inlineStr">
        <is>
          <t>Waiting for Layer 4 review</t>
        </is>
      </c>
      <c r="W218" t="inlineStr"/>
      <c r="X218" t="inlineStr"/>
      <c r="Y218" t="n">
        <v>0</v>
      </c>
      <c r="Z218" t="inlineStr">
        <is>
          <t>No</t>
        </is>
      </c>
      <c r="AA218" t="inlineStr">
        <is>
          <t>Filled</t>
        </is>
      </c>
      <c r="AB218" t="inlineStr">
        <is>
          <t>on campus</t>
        </is>
      </c>
      <c r="AC218" t="inlineStr"/>
      <c r="AD218" t="n">
        <v>0</v>
      </c>
      <c r="AE218" t="inlineStr"/>
      <c r="AF218" t="inlineStr">
        <is>
          <t>Yes</t>
        </is>
      </c>
      <c r="AG218" t="inlineStr"/>
      <c r="AH218" t="inlineStr"/>
      <c r="AI218" t="inlineStr"/>
      <c r="AJ218" t="inlineStr"/>
      <c r="AK218" t="inlineStr"/>
      <c r="AL218" t="inlineStr"/>
      <c r="AM218" t="inlineStr"/>
    </row>
    <row r="219">
      <c r="A219" t="inlineStr">
        <is>
          <t>103368M</t>
        </is>
      </c>
      <c r="B219" t="inlineStr">
        <is>
          <t>Master of Applied Cybernetics</t>
        </is>
      </c>
      <c r="C219" t="inlineStr">
        <is>
          <t>Masters Degree (Coursework)</t>
        </is>
      </c>
      <c r="D219" t="inlineStr">
        <is>
          <t>Postgraduate coursework</t>
        </is>
      </c>
      <c r="E219" t="inlineStr">
        <is>
          <t>Advertised: official page in place</t>
        </is>
      </c>
      <c r="F219" t="inlineStr">
        <is>
          <t>https://programsandcourses.anu.edu.au/program/macyb</t>
        </is>
      </c>
      <c r="G219" t="inlineStr">
        <is>
          <t>https://programsandcourses.anu.edu.au/program/macyb</t>
        </is>
      </c>
      <c r="H219" t="inlineStr">
        <is>
          <t>Read</t>
        </is>
      </c>
      <c r="I219" t="inlineStr">
        <is>
          <t>CRICOS code on page</t>
        </is>
      </c>
      <c r="J219" t="inlineStr"/>
      <c r="K219" t="inlineStr">
        <is>
          <t>Not sent to re-link</t>
        </is>
      </c>
      <c r="L219" t="inlineStr">
        <is>
          <t>Filled</t>
        </is>
      </c>
      <c r="M219" t="inlineStr">
        <is>
          <t>Filled</t>
        </is>
      </c>
      <c r="N219" t="inlineStr">
        <is>
          <t>57640.00 2026</t>
        </is>
      </c>
      <c r="O219" t="n">
        <v>0</v>
      </c>
      <c r="P219" t="inlineStr">
        <is>
          <t>University adapter</t>
        </is>
      </c>
      <c r="Q219" t="inlineStr">
        <is>
          <t>Filled</t>
        </is>
      </c>
      <c r="R219" t="n">
        <v>6.5</v>
      </c>
      <c r="S219" t="inlineStr">
        <is>
          <t>Central English policy</t>
        </is>
      </c>
      <c r="T219" t="inlineStr">
        <is>
          <t>Central rule applies (value agrees)</t>
        </is>
      </c>
      <c r="U219" t="inlineStr"/>
      <c r="V219" t="inlineStr">
        <is>
          <t>Not stated on course page</t>
        </is>
      </c>
      <c r="W219" t="inlineStr"/>
      <c r="X219" t="inlineStr"/>
      <c r="Y219" t="n">
        <v>0</v>
      </c>
      <c r="Z219" t="inlineStr">
        <is>
          <t>No</t>
        </is>
      </c>
      <c r="AA219" t="inlineStr">
        <is>
          <t>Filled</t>
        </is>
      </c>
      <c r="AB219" t="inlineStr">
        <is>
          <t>on campus</t>
        </is>
      </c>
      <c r="AC219" t="inlineStr"/>
      <c r="AD219" t="n">
        <v>0</v>
      </c>
      <c r="AE219" t="inlineStr"/>
      <c r="AF219" t="inlineStr"/>
      <c r="AG219" t="inlineStr"/>
      <c r="AH219" t="inlineStr"/>
      <c r="AI219" t="inlineStr"/>
      <c r="AJ219" t="inlineStr"/>
      <c r="AK219" t="inlineStr"/>
      <c r="AL219" t="inlineStr"/>
      <c r="AM219" t="inlineStr"/>
    </row>
    <row r="220">
      <c r="A220" t="inlineStr">
        <is>
          <t>103369K</t>
        </is>
      </c>
      <c r="B220" t="inlineStr">
        <is>
          <t>Master of Applied Cybernetics (Advanced)</t>
        </is>
      </c>
      <c r="C220" t="inlineStr">
        <is>
          <t>Masters Degree (Coursework)</t>
        </is>
      </c>
      <c r="D220" t="inlineStr">
        <is>
          <t>Postgraduate coursework</t>
        </is>
      </c>
      <c r="E220" t="inlineStr">
        <is>
          <t>Advertised: official page in place</t>
        </is>
      </c>
      <c r="F220" t="inlineStr">
        <is>
          <t>https://programsandcourses.anu.edu.au/program/vacyb</t>
        </is>
      </c>
      <c r="G220" t="inlineStr">
        <is>
          <t>https://programsandcourses.anu.edu.au/program/vacyb</t>
        </is>
      </c>
      <c r="H220" t="inlineStr">
        <is>
          <t>Read</t>
        </is>
      </c>
      <c r="I220" t="inlineStr">
        <is>
          <t>CRICOS code on page</t>
        </is>
      </c>
      <c r="J220" t="inlineStr"/>
      <c r="K220" t="inlineStr">
        <is>
          <t>Not sent to re-link</t>
        </is>
      </c>
      <c r="L220" t="inlineStr">
        <is>
          <t>Filled</t>
        </is>
      </c>
      <c r="M220" t="inlineStr">
        <is>
          <t>Filled</t>
        </is>
      </c>
      <c r="N220" t="inlineStr">
        <is>
          <t>57640.00 2026</t>
        </is>
      </c>
      <c r="O220" t="n">
        <v>0</v>
      </c>
      <c r="P220" t="inlineStr">
        <is>
          <t>University adapter</t>
        </is>
      </c>
      <c r="Q220" t="inlineStr">
        <is>
          <t>Filled</t>
        </is>
      </c>
      <c r="R220" t="n">
        <v>6.5</v>
      </c>
      <c r="S220" t="inlineStr">
        <is>
          <t>Central English policy</t>
        </is>
      </c>
      <c r="T220" t="inlineStr">
        <is>
          <t>Central rule applies (value agrees)</t>
        </is>
      </c>
      <c r="U220" t="inlineStr"/>
      <c r="V220" t="inlineStr">
        <is>
          <t>Not stated on course page</t>
        </is>
      </c>
      <c r="W220" t="inlineStr"/>
      <c r="X220" t="inlineStr"/>
      <c r="Y220" t="n">
        <v>0</v>
      </c>
      <c r="Z220" t="inlineStr">
        <is>
          <t>No</t>
        </is>
      </c>
      <c r="AA220" t="inlineStr">
        <is>
          <t>Filled</t>
        </is>
      </c>
      <c r="AB220" t="inlineStr">
        <is>
          <t>on campus</t>
        </is>
      </c>
      <c r="AC220" t="inlineStr"/>
      <c r="AD220" t="n">
        <v>0</v>
      </c>
      <c r="AE220" t="inlineStr"/>
      <c r="AF220" t="inlineStr"/>
      <c r="AG220" t="inlineStr"/>
      <c r="AH220" t="inlineStr"/>
      <c r="AI220" t="inlineStr"/>
      <c r="AJ220" t="inlineStr"/>
      <c r="AK220" t="inlineStr"/>
      <c r="AL220" t="inlineStr"/>
      <c r="AM220" t="inlineStr"/>
    </row>
    <row r="221">
      <c r="A221" t="inlineStr">
        <is>
          <t>097058B</t>
        </is>
      </c>
      <c r="B221" t="inlineStr">
        <is>
          <t>Master of Applied Data Analytics</t>
        </is>
      </c>
      <c r="C221" t="inlineStr">
        <is>
          <t>Masters Degree (Coursework)</t>
        </is>
      </c>
      <c r="D221" t="inlineStr">
        <is>
          <t>Postgraduate coursework</t>
        </is>
      </c>
      <c r="E221" t="inlineStr">
        <is>
          <t>Advertised: official page in place</t>
        </is>
      </c>
      <c r="F221" t="inlineStr">
        <is>
          <t>https://programsandcourses.anu.edu.au/program/madan</t>
        </is>
      </c>
      <c r="G221" t="inlineStr">
        <is>
          <t>https://programsandcourses.anu.edu.au/program/madan</t>
        </is>
      </c>
      <c r="H221" t="inlineStr">
        <is>
          <t>Read</t>
        </is>
      </c>
      <c r="I221" t="inlineStr">
        <is>
          <t>CRICOS code on page</t>
        </is>
      </c>
      <c r="J221" t="inlineStr"/>
      <c r="K221" t="inlineStr">
        <is>
          <t>Not sent to re-link</t>
        </is>
      </c>
      <c r="L221" t="inlineStr">
        <is>
          <t>Filled</t>
        </is>
      </c>
      <c r="M221" t="inlineStr">
        <is>
          <t>Filled</t>
        </is>
      </c>
      <c r="N221" t="inlineStr">
        <is>
          <t>57640.00 2026</t>
        </is>
      </c>
      <c r="O221" t="n">
        <v>0</v>
      </c>
      <c r="P221" t="inlineStr">
        <is>
          <t>University adapter</t>
        </is>
      </c>
      <c r="Q221" t="inlineStr">
        <is>
          <t>Filled</t>
        </is>
      </c>
      <c r="R221" t="n">
        <v>6.5</v>
      </c>
      <c r="S221" t="inlineStr">
        <is>
          <t>Central English policy</t>
        </is>
      </c>
      <c r="T221" t="inlineStr">
        <is>
          <t>Central rule applies (value agrees)</t>
        </is>
      </c>
      <c r="U221" t="inlineStr"/>
      <c r="V221" t="inlineStr">
        <is>
          <t>Not stated on course page</t>
        </is>
      </c>
      <c r="W221" t="inlineStr"/>
      <c r="X221" t="inlineStr"/>
      <c r="Y221" t="n">
        <v>0</v>
      </c>
      <c r="Z221" t="inlineStr">
        <is>
          <t>No</t>
        </is>
      </c>
      <c r="AA221" t="inlineStr">
        <is>
          <t>Filled</t>
        </is>
      </c>
      <c r="AB221" t="inlineStr">
        <is>
          <t>on campus</t>
        </is>
      </c>
      <c r="AC221" t="inlineStr"/>
      <c r="AD221" t="n">
        <v>0</v>
      </c>
      <c r="AE221" t="inlineStr"/>
      <c r="AF221" t="inlineStr"/>
      <c r="AG221" t="inlineStr"/>
      <c r="AH221" t="inlineStr"/>
      <c r="AI221" t="inlineStr"/>
      <c r="AJ221" t="inlineStr"/>
      <c r="AK221" t="inlineStr"/>
      <c r="AL221" t="inlineStr"/>
      <c r="AM221" t="inlineStr"/>
    </row>
    <row r="222">
      <c r="A222" t="inlineStr">
        <is>
          <t>082269C</t>
        </is>
      </c>
      <c r="B222" t="inlineStr">
        <is>
          <t>Master of Applied Economics</t>
        </is>
      </c>
      <c r="C222" t="inlineStr">
        <is>
          <t>Masters Degree (Coursework)</t>
        </is>
      </c>
      <c r="D222" t="inlineStr">
        <is>
          <t>Postgraduate coursework</t>
        </is>
      </c>
      <c r="E222" t="inlineStr">
        <is>
          <t>Advertised: official page in place</t>
        </is>
      </c>
      <c r="F222" t="inlineStr">
        <is>
          <t>https://cbe.anu.edu.au/study/postgraduate-programs/master-applied-economics</t>
        </is>
      </c>
      <c r="G222" t="inlineStr">
        <is>
          <t>https://cbe.anu.edu.au/study/postgraduate-programs/master-applied-economics</t>
        </is>
      </c>
      <c r="H222" t="inlineStr">
        <is>
          <t>Read</t>
        </is>
      </c>
      <c r="I222" t="inlineStr">
        <is>
          <t>CRICOS code on page</t>
        </is>
      </c>
      <c r="J222" t="inlineStr"/>
      <c r="K222" t="inlineStr">
        <is>
          <t>Not sent to re-link</t>
        </is>
      </c>
      <c r="L222" t="inlineStr">
        <is>
          <t>Filled</t>
        </is>
      </c>
      <c r="M222" t="inlineStr">
        <is>
          <t>Not stated on course page</t>
        </is>
      </c>
      <c r="N222" t="inlineStr"/>
      <c r="O222" t="n">
        <v>0</v>
      </c>
      <c r="P222" t="inlineStr"/>
      <c r="Q222" t="inlineStr">
        <is>
          <t>Filled</t>
        </is>
      </c>
      <c r="R222" t="n">
        <v>6.5</v>
      </c>
      <c r="S222" t="inlineStr">
        <is>
          <t>Central English policy</t>
        </is>
      </c>
      <c r="T222" t="inlineStr">
        <is>
          <t>Central rule applies (value agrees)</t>
        </is>
      </c>
      <c r="U222" t="inlineStr"/>
      <c r="V222" t="inlineStr">
        <is>
          <t>Not stated on course page</t>
        </is>
      </c>
      <c r="W222" t="inlineStr"/>
      <c r="X222" t="inlineStr"/>
      <c r="Y222" t="n">
        <v>0</v>
      </c>
      <c r="Z222" t="inlineStr">
        <is>
          <t>No</t>
        </is>
      </c>
      <c r="AA222" t="inlineStr">
        <is>
          <t>Not stated on course page</t>
        </is>
      </c>
      <c r="AB222" t="inlineStr"/>
      <c r="AC222" t="inlineStr">
        <is>
          <t>Skipped: the page does not state it</t>
        </is>
      </c>
      <c r="AD222" t="n">
        <v>0</v>
      </c>
      <c r="AE222" t="inlineStr"/>
      <c r="AF222" t="inlineStr"/>
      <c r="AG222" t="inlineStr"/>
      <c r="AH222" t="inlineStr"/>
      <c r="AI222" t="inlineStr"/>
      <c r="AJ222" t="inlineStr"/>
      <c r="AK222" t="inlineStr"/>
      <c r="AL222" t="inlineStr"/>
      <c r="AM222" t="inlineStr"/>
    </row>
    <row r="223">
      <c r="A223" t="inlineStr">
        <is>
          <t>079659D</t>
        </is>
      </c>
      <c r="B223" t="inlineStr">
        <is>
          <t>Master of Applied Finance</t>
        </is>
      </c>
      <c r="C223" t="inlineStr">
        <is>
          <t>Masters Degree (Coursework)</t>
        </is>
      </c>
      <c r="D223" t="inlineStr">
        <is>
          <t>Postgraduate coursework</t>
        </is>
      </c>
      <c r="E223" t="inlineStr">
        <is>
          <t>Advertised: official page in place</t>
        </is>
      </c>
      <c r="F223" t="inlineStr">
        <is>
          <t>https://programsandcourses.anu.edu.au/2021/program/7421xmapfn</t>
        </is>
      </c>
      <c r="G223" t="inlineStr">
        <is>
          <t>https://programsandcourses.anu.edu.au/program/7421xmapfn</t>
        </is>
      </c>
      <c r="H223" t="inlineStr">
        <is>
          <t>Read</t>
        </is>
      </c>
      <c r="I223" t="inlineStr">
        <is>
          <t>CRICOS code on page</t>
        </is>
      </c>
      <c r="J223" t="inlineStr"/>
      <c r="K223" t="inlineStr">
        <is>
          <t>Not sent to re-link</t>
        </is>
      </c>
      <c r="L223" t="inlineStr">
        <is>
          <t>Filled</t>
        </is>
      </c>
      <c r="M223" t="inlineStr">
        <is>
          <t>Filled</t>
        </is>
      </c>
      <c r="N223" t="inlineStr">
        <is>
          <t>57640.00 2026</t>
        </is>
      </c>
      <c r="O223" t="n">
        <v>0</v>
      </c>
      <c r="P223" t="inlineStr">
        <is>
          <t>University adapter</t>
        </is>
      </c>
      <c r="Q223" t="inlineStr">
        <is>
          <t>Filled</t>
        </is>
      </c>
      <c r="R223" t="n">
        <v>6.5</v>
      </c>
      <c r="S223" t="inlineStr">
        <is>
          <t>Central English policy</t>
        </is>
      </c>
      <c r="T223" t="inlineStr">
        <is>
          <t>Central rule applies (value agrees)</t>
        </is>
      </c>
      <c r="U223" t="inlineStr"/>
      <c r="V223" t="inlineStr">
        <is>
          <t>Not stated on course page</t>
        </is>
      </c>
      <c r="W223" t="inlineStr"/>
      <c r="X223" t="inlineStr"/>
      <c r="Y223" t="n">
        <v>0</v>
      </c>
      <c r="Z223" t="inlineStr">
        <is>
          <t>No</t>
        </is>
      </c>
      <c r="AA223" t="inlineStr">
        <is>
          <t>Filled</t>
        </is>
      </c>
      <c r="AB223" t="inlineStr">
        <is>
          <t>on campus</t>
        </is>
      </c>
      <c r="AC223" t="inlineStr"/>
      <c r="AD223" t="n">
        <v>0</v>
      </c>
      <c r="AE223" t="inlineStr"/>
      <c r="AF223" t="inlineStr"/>
      <c r="AG223" t="inlineStr"/>
      <c r="AH223" t="inlineStr"/>
      <c r="AI223" t="inlineStr"/>
      <c r="AJ223" t="inlineStr"/>
      <c r="AK223" t="inlineStr"/>
      <c r="AL223" t="inlineStr"/>
      <c r="AM223" t="inlineStr"/>
    </row>
    <row r="224">
      <c r="A224" t="inlineStr">
        <is>
          <t>096399M</t>
        </is>
      </c>
      <c r="B224" t="inlineStr">
        <is>
          <t>Master of Archaeological and Evolutionary Science</t>
        </is>
      </c>
      <c r="C224" t="inlineStr">
        <is>
          <t>Masters Degree (Coursework)</t>
        </is>
      </c>
      <c r="D224" t="inlineStr">
        <is>
          <t>Postgraduate coursework</t>
        </is>
      </c>
      <c r="E224" t="inlineStr">
        <is>
          <t>Advertised: official page in place</t>
        </is>
      </c>
      <c r="F224" t="inlineStr">
        <is>
          <t>https://programsandcourses.anu.edu.au/program/maesc</t>
        </is>
      </c>
      <c r="G224" t="inlineStr">
        <is>
          <t>https://programsandcourses.anu.edu.au/program/maesc</t>
        </is>
      </c>
      <c r="H224" t="inlineStr">
        <is>
          <t>Read</t>
        </is>
      </c>
      <c r="I224" t="inlineStr">
        <is>
          <t>CRICOS code on page</t>
        </is>
      </c>
      <c r="J224" t="inlineStr"/>
      <c r="K224" t="inlineStr">
        <is>
          <t>Not sent to re-link</t>
        </is>
      </c>
      <c r="L224" t="inlineStr">
        <is>
          <t>Filled</t>
        </is>
      </c>
      <c r="M224" t="inlineStr">
        <is>
          <t>Filled</t>
        </is>
      </c>
      <c r="N224" t="inlineStr">
        <is>
          <t>54540.00 2026</t>
        </is>
      </c>
      <c r="O224" t="n">
        <v>0</v>
      </c>
      <c r="P224" t="inlineStr">
        <is>
          <t>University adapter</t>
        </is>
      </c>
      <c r="Q224" t="inlineStr">
        <is>
          <t>Filled</t>
        </is>
      </c>
      <c r="R224" t="n">
        <v>6.5</v>
      </c>
      <c r="S224" t="inlineStr">
        <is>
          <t>Central English policy</t>
        </is>
      </c>
      <c r="T224" t="inlineStr">
        <is>
          <t>Central rule applies (value agrees)</t>
        </is>
      </c>
      <c r="U224" t="inlineStr"/>
      <c r="V224" t="inlineStr">
        <is>
          <t>Not stated on course page</t>
        </is>
      </c>
      <c r="W224" t="inlineStr"/>
      <c r="X224" t="inlineStr"/>
      <c r="Y224" t="n">
        <v>0</v>
      </c>
      <c r="Z224" t="inlineStr">
        <is>
          <t>No</t>
        </is>
      </c>
      <c r="AA224" t="inlineStr">
        <is>
          <t>Filled</t>
        </is>
      </c>
      <c r="AB224" t="inlineStr">
        <is>
          <t>on campus</t>
        </is>
      </c>
      <c r="AC224" t="inlineStr"/>
      <c r="AD224" t="n">
        <v>0</v>
      </c>
      <c r="AE224" t="inlineStr"/>
      <c r="AF224" t="inlineStr"/>
      <c r="AG224" t="inlineStr"/>
      <c r="AH224" t="inlineStr"/>
      <c r="AI224" t="inlineStr"/>
      <c r="AJ224" t="inlineStr"/>
      <c r="AK224" t="inlineStr"/>
      <c r="AL224" t="inlineStr"/>
      <c r="AM224" t="inlineStr"/>
    </row>
    <row r="225">
      <c r="A225" t="inlineStr">
        <is>
          <t>096400A</t>
        </is>
      </c>
      <c r="B225" t="inlineStr">
        <is>
          <t>Master of Archaeological and Evolutionary Science (Advanced)</t>
        </is>
      </c>
      <c r="C225" t="inlineStr">
        <is>
          <t>Masters Degree (Coursework)</t>
        </is>
      </c>
      <c r="D225" t="inlineStr">
        <is>
          <t>Postgraduate coursework</t>
        </is>
      </c>
      <c r="E225" t="inlineStr">
        <is>
          <t>Advertised: official page in place</t>
        </is>
      </c>
      <c r="F225" t="inlineStr">
        <is>
          <t>https://programsandcourses.anu.edu.au/program/vaesc</t>
        </is>
      </c>
      <c r="G225" t="inlineStr">
        <is>
          <t>https://programsandcourses.anu.edu.au/program/vaesc</t>
        </is>
      </c>
      <c r="H225" t="inlineStr">
        <is>
          <t>Read</t>
        </is>
      </c>
      <c r="I225" t="inlineStr">
        <is>
          <t>CRICOS code on page</t>
        </is>
      </c>
      <c r="J225" t="inlineStr"/>
      <c r="K225" t="inlineStr">
        <is>
          <t>Not sent to re-link</t>
        </is>
      </c>
      <c r="L225" t="inlineStr">
        <is>
          <t>Filled</t>
        </is>
      </c>
      <c r="M225" t="inlineStr">
        <is>
          <t>Filled</t>
        </is>
      </c>
      <c r="N225" t="inlineStr">
        <is>
          <t>54540.00 2026</t>
        </is>
      </c>
      <c r="O225" t="n">
        <v>0</v>
      </c>
      <c r="P225" t="inlineStr">
        <is>
          <t>University adapter</t>
        </is>
      </c>
      <c r="Q225" t="inlineStr">
        <is>
          <t>Filled</t>
        </is>
      </c>
      <c r="R225" t="n">
        <v>6.5</v>
      </c>
      <c r="S225" t="inlineStr">
        <is>
          <t>Central English policy</t>
        </is>
      </c>
      <c r="T225" t="inlineStr">
        <is>
          <t>Central rule applies (value agrees)</t>
        </is>
      </c>
      <c r="U225" t="inlineStr"/>
      <c r="V225" t="inlineStr">
        <is>
          <t>Not stated on course page</t>
        </is>
      </c>
      <c r="W225" t="inlineStr"/>
      <c r="X225" t="inlineStr"/>
      <c r="Y225" t="n">
        <v>0</v>
      </c>
      <c r="Z225" t="inlineStr">
        <is>
          <t>No</t>
        </is>
      </c>
      <c r="AA225" t="inlineStr">
        <is>
          <t>Filled</t>
        </is>
      </c>
      <c r="AB225" t="inlineStr">
        <is>
          <t>on campus</t>
        </is>
      </c>
      <c r="AC225" t="inlineStr"/>
      <c r="AD225" t="n">
        <v>0</v>
      </c>
      <c r="AE225" t="inlineStr"/>
      <c r="AF225" t="inlineStr"/>
      <c r="AG225" t="inlineStr"/>
      <c r="AH225" t="inlineStr"/>
      <c r="AI225" t="inlineStr"/>
      <c r="AJ225" t="inlineStr"/>
      <c r="AK225" t="inlineStr"/>
      <c r="AL225" t="inlineStr"/>
      <c r="AM225" t="inlineStr"/>
    </row>
    <row r="226">
      <c r="A226" t="inlineStr">
        <is>
          <t>082271J</t>
        </is>
      </c>
      <c r="B226" t="inlineStr">
        <is>
          <t>Master of Archaeological Science (Advanced)</t>
        </is>
      </c>
      <c r="C226" t="inlineStr">
        <is>
          <t>Masters Degree (Coursework)</t>
        </is>
      </c>
      <c r="D226" t="inlineStr">
        <is>
          <t>Postgraduate coursework</t>
        </is>
      </c>
      <c r="E226" t="inlineStr">
        <is>
          <t>Advertised: official page in place</t>
        </is>
      </c>
      <c r="F226" t="inlineStr">
        <is>
          <t>https://programsandcourses.anu.edu.au/2015/program/varsc</t>
        </is>
      </c>
      <c r="G226" t="inlineStr">
        <is>
          <t>https://programsandcourses.anu.edu.au/2021/program/varsc</t>
        </is>
      </c>
      <c r="H226" t="inlineStr">
        <is>
          <t>Read</t>
        </is>
      </c>
      <c r="I226" t="inlineStr">
        <is>
          <t>CRICOS code on page</t>
        </is>
      </c>
      <c r="J226" t="inlineStr"/>
      <c r="K226" t="inlineStr">
        <is>
          <t>Finished, no page: no address from the university's address forms or stored lis</t>
        </is>
      </c>
      <c r="L226" t="inlineStr">
        <is>
          <t>Filled</t>
        </is>
      </c>
      <c r="M226" t="inlineStr">
        <is>
          <t>Filled</t>
        </is>
      </c>
      <c r="N226" t="inlineStr">
        <is>
          <t>44470.00 2026</t>
        </is>
      </c>
      <c r="O226" t="n">
        <v>0</v>
      </c>
      <c r="P226" t="inlineStr">
        <is>
          <t>University adapter</t>
        </is>
      </c>
      <c r="Q226" t="inlineStr">
        <is>
          <t>Filled</t>
        </is>
      </c>
      <c r="R226" t="n">
        <v>6.5</v>
      </c>
      <c r="S226" t="inlineStr">
        <is>
          <t>Central English policy</t>
        </is>
      </c>
      <c r="T226" t="inlineStr">
        <is>
          <t>Central rule applies (value agrees)</t>
        </is>
      </c>
      <c r="U226" t="inlineStr"/>
      <c r="V226" t="inlineStr">
        <is>
          <t>Not stated on course page</t>
        </is>
      </c>
      <c r="W226" t="inlineStr"/>
      <c r="X226" t="inlineStr"/>
      <c r="Y226" t="n">
        <v>0</v>
      </c>
      <c r="Z226" t="inlineStr">
        <is>
          <t>No</t>
        </is>
      </c>
      <c r="AA226" t="inlineStr">
        <is>
          <t>Not stated on course page</t>
        </is>
      </c>
      <c r="AB226" t="inlineStr"/>
      <c r="AC226" t="inlineStr">
        <is>
          <t>Skipped: the page does not state it</t>
        </is>
      </c>
      <c r="AD226" t="n">
        <v>1</v>
      </c>
      <c r="AE226" t="inlineStr"/>
      <c r="AF226" t="inlineStr"/>
      <c r="AG226" t="inlineStr"/>
      <c r="AH226" t="inlineStr"/>
      <c r="AI226" t="inlineStr"/>
      <c r="AJ226" t="inlineStr"/>
      <c r="AK226" t="inlineStr"/>
      <c r="AL226" t="inlineStr"/>
      <c r="AM226" t="inlineStr"/>
    </row>
    <row r="227">
      <c r="A227" t="inlineStr">
        <is>
          <t>108306G</t>
        </is>
      </c>
      <c r="B227" t="inlineStr">
        <is>
          <t>Master of Art History and Curatorial Studies</t>
        </is>
      </c>
      <c r="C227" t="inlineStr">
        <is>
          <t>Masters Degree (Coursework)</t>
        </is>
      </c>
      <c r="D227" t="inlineStr">
        <is>
          <t>Postgraduate coursework</t>
        </is>
      </c>
      <c r="E227" t="inlineStr">
        <is>
          <t>Advertised: official page in place</t>
        </is>
      </c>
      <c r="F227" t="inlineStr">
        <is>
          <t>https://programsandcourses.anu.edu.au/program/mahst</t>
        </is>
      </c>
      <c r="G227" t="inlineStr">
        <is>
          <t>https://programsandcourses.anu.edu.au/program/mahst</t>
        </is>
      </c>
      <c r="H227" t="inlineStr">
        <is>
          <t>Read</t>
        </is>
      </c>
      <c r="I227" t="inlineStr">
        <is>
          <t>CRICOS code on page</t>
        </is>
      </c>
      <c r="J227" t="inlineStr"/>
      <c r="K227" t="inlineStr">
        <is>
          <t>Not sent to re-link</t>
        </is>
      </c>
      <c r="L227" t="inlineStr">
        <is>
          <t>Filled</t>
        </is>
      </c>
      <c r="M227" t="inlineStr">
        <is>
          <t>Filled</t>
        </is>
      </c>
      <c r="N227" t="inlineStr">
        <is>
          <t>54540.00 2026</t>
        </is>
      </c>
      <c r="O227" t="n">
        <v>0</v>
      </c>
      <c r="P227" t="inlineStr">
        <is>
          <t>University adapter</t>
        </is>
      </c>
      <c r="Q227" t="inlineStr">
        <is>
          <t>Filled</t>
        </is>
      </c>
      <c r="R227" t="n">
        <v>6.5</v>
      </c>
      <c r="S227" t="inlineStr">
        <is>
          <t>Central English policy</t>
        </is>
      </c>
      <c r="T227" t="inlineStr">
        <is>
          <t>Central rule applies (value agrees)</t>
        </is>
      </c>
      <c r="U227" t="inlineStr"/>
      <c r="V227" t="inlineStr">
        <is>
          <t>Not stated on course page</t>
        </is>
      </c>
      <c r="W227" t="inlineStr"/>
      <c r="X227" t="inlineStr"/>
      <c r="Y227" t="n">
        <v>0</v>
      </c>
      <c r="Z227" t="inlineStr">
        <is>
          <t>No</t>
        </is>
      </c>
      <c r="AA227" t="inlineStr">
        <is>
          <t>Filled</t>
        </is>
      </c>
      <c r="AB227" t="inlineStr">
        <is>
          <t>on campus</t>
        </is>
      </c>
      <c r="AC227" t="inlineStr"/>
      <c r="AD227" t="n">
        <v>0</v>
      </c>
      <c r="AE227" t="inlineStr"/>
      <c r="AF227" t="inlineStr"/>
      <c r="AG227" t="inlineStr"/>
      <c r="AH227" t="inlineStr"/>
      <c r="AI227" t="inlineStr"/>
      <c r="AJ227" t="inlineStr"/>
      <c r="AK227" t="inlineStr"/>
      <c r="AL227" t="inlineStr"/>
      <c r="AM227" t="inlineStr"/>
    </row>
    <row r="228">
      <c r="A228" t="inlineStr">
        <is>
          <t>082272G</t>
        </is>
      </c>
      <c r="B228" t="inlineStr">
        <is>
          <t>Master of Art History and Curatorial Studies</t>
        </is>
      </c>
      <c r="C228" t="inlineStr">
        <is>
          <t>Masters Degree (Coursework)</t>
        </is>
      </c>
      <c r="D228" t="inlineStr">
        <is>
          <t>Postgraduate coursework</t>
        </is>
      </c>
      <c r="E228" t="inlineStr">
        <is>
          <t>Advertised: official page in place</t>
        </is>
      </c>
      <c r="F228" t="inlineStr">
        <is>
          <t>https://programsandcourses.anu.edu.au/program/MAHST</t>
        </is>
      </c>
      <c r="G228" t="inlineStr">
        <is>
          <t>https://programsandcourses.anu.edu.au/program/MAHST</t>
        </is>
      </c>
      <c r="H228" t="inlineStr">
        <is>
          <t>Read</t>
        </is>
      </c>
      <c r="I228" t="inlineStr">
        <is>
          <t>Exact title match</t>
        </is>
      </c>
      <c r="J228" t="inlineStr"/>
      <c r="K228" t="inlineStr">
        <is>
          <t>Not sent to re-link</t>
        </is>
      </c>
      <c r="L228" t="inlineStr">
        <is>
          <t>Filled</t>
        </is>
      </c>
      <c r="M228" t="inlineStr">
        <is>
          <t>Filled</t>
        </is>
      </c>
      <c r="N228" t="inlineStr">
        <is>
          <t>54540.00 2026</t>
        </is>
      </c>
      <c r="O228" t="n">
        <v>0</v>
      </c>
      <c r="P228" t="inlineStr">
        <is>
          <t>University adapter</t>
        </is>
      </c>
      <c r="Q228" t="inlineStr">
        <is>
          <t>Filled</t>
        </is>
      </c>
      <c r="R228" t="n">
        <v>6.5</v>
      </c>
      <c r="S228" t="inlineStr">
        <is>
          <t>Central English policy</t>
        </is>
      </c>
      <c r="T228" t="inlineStr">
        <is>
          <t>Central rule applies (value agrees)</t>
        </is>
      </c>
      <c r="U228" t="inlineStr"/>
      <c r="V228" t="inlineStr">
        <is>
          <t>Not stated on course page</t>
        </is>
      </c>
      <c r="W228" t="inlineStr"/>
      <c r="X228" t="inlineStr"/>
      <c r="Y228" t="n">
        <v>0</v>
      </c>
      <c r="Z228" t="inlineStr">
        <is>
          <t>No</t>
        </is>
      </c>
      <c r="AA228" t="inlineStr">
        <is>
          <t>Filled</t>
        </is>
      </c>
      <c r="AB228" t="inlineStr">
        <is>
          <t>on campus</t>
        </is>
      </c>
      <c r="AC228" t="inlineStr"/>
      <c r="AD228" t="n">
        <v>0</v>
      </c>
      <c r="AE228" t="inlineStr"/>
      <c r="AF228" t="inlineStr"/>
      <c r="AG228" t="inlineStr"/>
      <c r="AH228" t="inlineStr"/>
      <c r="AI228" t="inlineStr"/>
      <c r="AJ228" t="inlineStr"/>
      <c r="AK228" t="inlineStr"/>
      <c r="AL228" t="inlineStr"/>
      <c r="AM228" t="inlineStr"/>
    </row>
    <row r="229">
      <c r="A229" t="inlineStr">
        <is>
          <t>082273G</t>
        </is>
      </c>
      <c r="B229" t="inlineStr">
        <is>
          <t>Master of Art History and Curatorial Studies (Advanced)</t>
        </is>
      </c>
      <c r="C229" t="inlineStr">
        <is>
          <t>Masters Degree (Coursework)</t>
        </is>
      </c>
      <c r="D229" t="inlineStr">
        <is>
          <t>Postgraduate coursework</t>
        </is>
      </c>
      <c r="E229" t="inlineStr">
        <is>
          <t>Advertised: official page in place</t>
        </is>
      </c>
      <c r="F229" t="inlineStr">
        <is>
          <t>https://programsandcourses.anu.edu.au/program/VAHST</t>
        </is>
      </c>
      <c r="G229" t="inlineStr">
        <is>
          <t>https://programsandcourses.anu.edu.au/program/VAHST</t>
        </is>
      </c>
      <c r="H229" t="inlineStr">
        <is>
          <t>Read</t>
        </is>
      </c>
      <c r="I229" t="inlineStr">
        <is>
          <t>Exact title match</t>
        </is>
      </c>
      <c r="J229" t="inlineStr"/>
      <c r="K229" t="inlineStr">
        <is>
          <t>Not sent to re-link</t>
        </is>
      </c>
      <c r="L229" t="inlineStr">
        <is>
          <t>Filled</t>
        </is>
      </c>
      <c r="M229" t="inlineStr">
        <is>
          <t>Filled</t>
        </is>
      </c>
      <c r="N229" t="inlineStr">
        <is>
          <t>54540.00 2026</t>
        </is>
      </c>
      <c r="O229" t="n">
        <v>0</v>
      </c>
      <c r="P229" t="inlineStr">
        <is>
          <t>University adapter</t>
        </is>
      </c>
      <c r="Q229" t="inlineStr">
        <is>
          <t>Filled</t>
        </is>
      </c>
      <c r="R229" t="n">
        <v>6.5</v>
      </c>
      <c r="S229" t="inlineStr">
        <is>
          <t>Central English policy</t>
        </is>
      </c>
      <c r="T229" t="inlineStr">
        <is>
          <t>Central rule applies (value agrees)</t>
        </is>
      </c>
      <c r="U229" t="inlineStr"/>
      <c r="V229" t="inlineStr">
        <is>
          <t>Not stated on course page</t>
        </is>
      </c>
      <c r="W229" t="inlineStr"/>
      <c r="X229" t="inlineStr"/>
      <c r="Y229" t="n">
        <v>0</v>
      </c>
      <c r="Z229" t="inlineStr">
        <is>
          <t>No</t>
        </is>
      </c>
      <c r="AA229" t="inlineStr">
        <is>
          <t>Filled</t>
        </is>
      </c>
      <c r="AB229" t="inlineStr">
        <is>
          <t>on campus</t>
        </is>
      </c>
      <c r="AC229" t="inlineStr"/>
      <c r="AD229" t="n">
        <v>0</v>
      </c>
      <c r="AE229" t="inlineStr"/>
      <c r="AF229" t="inlineStr"/>
      <c r="AG229" t="inlineStr"/>
      <c r="AH229" t="inlineStr"/>
      <c r="AI229" t="inlineStr"/>
      <c r="AJ229" t="inlineStr"/>
      <c r="AK229" t="inlineStr"/>
      <c r="AL229" t="inlineStr"/>
      <c r="AM229" t="inlineStr"/>
    </row>
    <row r="230">
      <c r="A230" t="inlineStr">
        <is>
          <t>108307F</t>
        </is>
      </c>
      <c r="B230" t="inlineStr">
        <is>
          <t>Master of Art History and Curatorial Studies (Advanced)</t>
        </is>
      </c>
      <c r="C230" t="inlineStr">
        <is>
          <t>Masters Degree (Coursework)</t>
        </is>
      </c>
      <c r="D230" t="inlineStr">
        <is>
          <t>Postgraduate coursework</t>
        </is>
      </c>
      <c r="E230" t="inlineStr">
        <is>
          <t>Advertised: official page in place</t>
        </is>
      </c>
      <c r="F230" t="inlineStr">
        <is>
          <t>https://programsandcourses.anu.edu.au/program/vahst</t>
        </is>
      </c>
      <c r="G230" t="inlineStr">
        <is>
          <t>https://programsandcourses.anu.edu.au/program/vahst</t>
        </is>
      </c>
      <c r="H230" t="inlineStr">
        <is>
          <t>Read</t>
        </is>
      </c>
      <c r="I230" t="inlineStr">
        <is>
          <t>CRICOS code on page</t>
        </is>
      </c>
      <c r="J230" t="inlineStr"/>
      <c r="K230" t="inlineStr">
        <is>
          <t>Not sent to re-link</t>
        </is>
      </c>
      <c r="L230" t="inlineStr">
        <is>
          <t>Filled</t>
        </is>
      </c>
      <c r="M230" t="inlineStr">
        <is>
          <t>Filled</t>
        </is>
      </c>
      <c r="N230" t="inlineStr">
        <is>
          <t>54540.00 2026</t>
        </is>
      </c>
      <c r="O230" t="n">
        <v>0</v>
      </c>
      <c r="P230" t="inlineStr">
        <is>
          <t>University adapter</t>
        </is>
      </c>
      <c r="Q230" t="inlineStr">
        <is>
          <t>Filled</t>
        </is>
      </c>
      <c r="R230" t="n">
        <v>6.5</v>
      </c>
      <c r="S230" t="inlineStr">
        <is>
          <t>Central English policy</t>
        </is>
      </c>
      <c r="T230" t="inlineStr">
        <is>
          <t>Central rule applies (value agrees)</t>
        </is>
      </c>
      <c r="U230" t="inlineStr"/>
      <c r="V230" t="inlineStr">
        <is>
          <t>Not stated on course page</t>
        </is>
      </c>
      <c r="W230" t="inlineStr"/>
      <c r="X230" t="inlineStr"/>
      <c r="Y230" t="n">
        <v>0</v>
      </c>
      <c r="Z230" t="inlineStr">
        <is>
          <t>No</t>
        </is>
      </c>
      <c r="AA230" t="inlineStr">
        <is>
          <t>Filled</t>
        </is>
      </c>
      <c r="AB230" t="inlineStr">
        <is>
          <t>on campus</t>
        </is>
      </c>
      <c r="AC230" t="inlineStr"/>
      <c r="AD230" t="n">
        <v>0</v>
      </c>
      <c r="AE230" t="inlineStr"/>
      <c r="AF230" t="inlineStr"/>
      <c r="AG230" t="inlineStr"/>
      <c r="AH230" t="inlineStr"/>
      <c r="AI230" t="inlineStr"/>
      <c r="AJ230" t="inlineStr"/>
      <c r="AK230" t="inlineStr"/>
      <c r="AL230" t="inlineStr"/>
      <c r="AM230" t="inlineStr"/>
    </row>
    <row r="231">
      <c r="A231" t="inlineStr">
        <is>
          <t>093290D</t>
        </is>
      </c>
      <c r="B231" t="inlineStr">
        <is>
          <t>Master of Arts - Arts Administration (IU)/Master of Museum and Heritage Studies (ANU)</t>
        </is>
      </c>
      <c r="C231" t="inlineStr">
        <is>
          <t>Masters Degree (Coursework)</t>
        </is>
      </c>
      <c r="D231" t="inlineStr">
        <is>
          <t>Postgraduate coursework</t>
        </is>
      </c>
      <c r="E231" t="inlineStr">
        <is>
          <t>Advertised: official page in place</t>
        </is>
      </c>
      <c r="F231" t="inlineStr">
        <is>
          <t>https://programsandcourses.anu.edu.au/2024/program/mmuau</t>
        </is>
      </c>
      <c r="G231" t="inlineStr">
        <is>
          <t>https://programsandcourses.anu.edu.au/2024/program/mmuau</t>
        </is>
      </c>
      <c r="H231" t="inlineStr">
        <is>
          <t>Read</t>
        </is>
      </c>
      <c r="I231" t="inlineStr">
        <is>
          <t>CRICOS code on page</t>
        </is>
      </c>
      <c r="J231" t="inlineStr"/>
      <c r="K231" t="inlineStr">
        <is>
          <t>Not sent to re-link</t>
        </is>
      </c>
      <c r="L231" t="inlineStr">
        <is>
          <t>Filled</t>
        </is>
      </c>
      <c r="M231" t="inlineStr">
        <is>
          <t>Filled</t>
        </is>
      </c>
      <c r="N231" t="inlineStr">
        <is>
          <t>48035.00 2026</t>
        </is>
      </c>
      <c r="O231" t="n">
        <v>0</v>
      </c>
      <c r="P231" t="inlineStr">
        <is>
          <t>University adapter</t>
        </is>
      </c>
      <c r="Q231" t="inlineStr">
        <is>
          <t>Filled</t>
        </is>
      </c>
      <c r="R231" t="n">
        <v>6.5</v>
      </c>
      <c r="S231" t="inlineStr">
        <is>
          <t>Central English policy</t>
        </is>
      </c>
      <c r="T231" t="inlineStr">
        <is>
          <t>Central rule applies (value agrees)</t>
        </is>
      </c>
      <c r="U231" t="inlineStr"/>
      <c r="V231" t="inlineStr">
        <is>
          <t>Not stated on course page</t>
        </is>
      </c>
      <c r="W231" t="inlineStr"/>
      <c r="X231" t="inlineStr"/>
      <c r="Y231" t="n">
        <v>0</v>
      </c>
      <c r="Z231" t="inlineStr">
        <is>
          <t>No</t>
        </is>
      </c>
      <c r="AA231" t="inlineStr">
        <is>
          <t>Filled</t>
        </is>
      </c>
      <c r="AB231" t="inlineStr">
        <is>
          <t>on campus and online</t>
        </is>
      </c>
      <c r="AC231" t="inlineStr">
        <is>
          <t>Filled</t>
        </is>
      </c>
      <c r="AD231" t="n">
        <v>0</v>
      </c>
      <c r="AE231" t="inlineStr"/>
      <c r="AF231" t="inlineStr"/>
      <c r="AG231" t="inlineStr"/>
      <c r="AH231" t="inlineStr"/>
      <c r="AI231" t="inlineStr"/>
      <c r="AJ231" t="inlineStr"/>
      <c r="AK231" t="inlineStr"/>
      <c r="AL231" t="inlineStr"/>
      <c r="AM231" t="inlineStr"/>
    </row>
    <row r="232">
      <c r="A232" t="inlineStr">
        <is>
          <t>093286M</t>
        </is>
      </c>
      <c r="B232" t="inlineStr">
        <is>
          <t>Master of Asian and Pacific Studies</t>
        </is>
      </c>
      <c r="C232" t="inlineStr">
        <is>
          <t>Masters Degree (Coursework)</t>
        </is>
      </c>
      <c r="D232" t="inlineStr">
        <is>
          <t>Postgraduate coursework</t>
        </is>
      </c>
      <c r="E232" t="inlineStr">
        <is>
          <t>Advertised: official page in place</t>
        </is>
      </c>
      <c r="F232" t="inlineStr">
        <is>
          <t>https://programsandcourses.anu.edu.au/program/manps</t>
        </is>
      </c>
      <c r="G232" t="inlineStr">
        <is>
          <t>https://programsandcourses.anu.edu.au/program/manps</t>
        </is>
      </c>
      <c r="H232" t="inlineStr">
        <is>
          <t>Read</t>
        </is>
      </c>
      <c r="I232" t="inlineStr">
        <is>
          <t>CRICOS code on page</t>
        </is>
      </c>
      <c r="J232" t="inlineStr"/>
      <c r="K232" t="inlineStr">
        <is>
          <t>Not sent to re-link</t>
        </is>
      </c>
      <c r="L232" t="inlineStr">
        <is>
          <t>Filled</t>
        </is>
      </c>
      <c r="M232" t="inlineStr">
        <is>
          <t>Filled</t>
        </is>
      </c>
      <c r="N232" t="inlineStr">
        <is>
          <t>54540.00 2026</t>
        </is>
      </c>
      <c r="O232" t="n">
        <v>0</v>
      </c>
      <c r="P232" t="inlineStr">
        <is>
          <t>University adapter</t>
        </is>
      </c>
      <c r="Q232" t="inlineStr">
        <is>
          <t>Filled</t>
        </is>
      </c>
      <c r="R232" t="n">
        <v>6.5</v>
      </c>
      <c r="S232" t="inlineStr">
        <is>
          <t>Central English policy</t>
        </is>
      </c>
      <c r="T232" t="inlineStr">
        <is>
          <t>Central rule applies (value agrees)</t>
        </is>
      </c>
      <c r="U232" t="inlineStr"/>
      <c r="V232" t="inlineStr">
        <is>
          <t>Not stated on course page</t>
        </is>
      </c>
      <c r="W232" t="inlineStr"/>
      <c r="X232" t="inlineStr"/>
      <c r="Y232" t="n">
        <v>0</v>
      </c>
      <c r="Z232" t="inlineStr">
        <is>
          <t>No</t>
        </is>
      </c>
      <c r="AA232" t="inlineStr">
        <is>
          <t>Filled</t>
        </is>
      </c>
      <c r="AB232" t="inlineStr">
        <is>
          <t>on campus</t>
        </is>
      </c>
      <c r="AC232" t="inlineStr"/>
      <c r="AD232" t="n">
        <v>0</v>
      </c>
      <c r="AE232" t="inlineStr"/>
      <c r="AF232" t="inlineStr"/>
      <c r="AG232" t="inlineStr"/>
      <c r="AH232" t="inlineStr"/>
      <c r="AI232" t="inlineStr"/>
      <c r="AJ232" t="inlineStr"/>
      <c r="AK232" t="inlineStr"/>
      <c r="AL232" t="inlineStr"/>
      <c r="AM232" t="inlineStr"/>
    </row>
    <row r="233">
      <c r="A233" t="inlineStr">
        <is>
          <t>093287K</t>
        </is>
      </c>
      <c r="B233" t="inlineStr">
        <is>
          <t>Master of Asian and Pacific Studies (Advanced)</t>
        </is>
      </c>
      <c r="C233" t="inlineStr">
        <is>
          <t>Masters Degree (Coursework)</t>
        </is>
      </c>
      <c r="D233" t="inlineStr">
        <is>
          <t>Postgraduate coursework</t>
        </is>
      </c>
      <c r="E233" t="inlineStr">
        <is>
          <t>Advertised: official page in place</t>
        </is>
      </c>
      <c r="F233" t="inlineStr">
        <is>
          <t>https://programsandcourses.anu.edu.au/2017/program/VANPS</t>
        </is>
      </c>
      <c r="G233" t="inlineStr">
        <is>
          <t>https://programsandcourses.anu.edu.au/2019/program/vanps</t>
        </is>
      </c>
      <c r="H233" t="inlineStr">
        <is>
          <t>Read</t>
        </is>
      </c>
      <c r="I233" t="inlineStr">
        <is>
          <t>CRICOS code on page</t>
        </is>
      </c>
      <c r="J233" t="inlineStr"/>
      <c r="K233" t="inlineStr">
        <is>
          <t>Not sent to re-link</t>
        </is>
      </c>
      <c r="L233" t="inlineStr">
        <is>
          <t>Filled</t>
        </is>
      </c>
      <c r="M233" t="inlineStr">
        <is>
          <t>Filled</t>
        </is>
      </c>
      <c r="N233" t="inlineStr">
        <is>
          <t>41280.00 2026</t>
        </is>
      </c>
      <c r="O233" t="n">
        <v>0</v>
      </c>
      <c r="P233" t="inlineStr">
        <is>
          <t>University adapter</t>
        </is>
      </c>
      <c r="Q233" t="inlineStr">
        <is>
          <t>Filled</t>
        </is>
      </c>
      <c r="R233" t="n">
        <v>6.5</v>
      </c>
      <c r="S233" t="inlineStr">
        <is>
          <t>Central English policy</t>
        </is>
      </c>
      <c r="T233" t="inlineStr">
        <is>
          <t>Central rule applies (value agrees)</t>
        </is>
      </c>
      <c r="U233" t="inlineStr"/>
      <c r="V233" t="inlineStr">
        <is>
          <t>Not stated on course page</t>
        </is>
      </c>
      <c r="W233" t="inlineStr"/>
      <c r="X233" t="inlineStr"/>
      <c r="Y233" t="n">
        <v>0</v>
      </c>
      <c r="Z233" t="inlineStr">
        <is>
          <t>No</t>
        </is>
      </c>
      <c r="AA233" t="inlineStr">
        <is>
          <t>Filled</t>
        </is>
      </c>
      <c r="AB233" t="inlineStr">
        <is>
          <t>on campus</t>
        </is>
      </c>
      <c r="AC233" t="inlineStr">
        <is>
          <t>Filled</t>
        </is>
      </c>
      <c r="AD233" t="n">
        <v>0</v>
      </c>
      <c r="AE233" t="inlineStr"/>
      <c r="AF233" t="inlineStr"/>
      <c r="AG233" t="inlineStr"/>
      <c r="AH233" t="inlineStr"/>
      <c r="AI233" t="inlineStr"/>
      <c r="AJ233" t="inlineStr"/>
      <c r="AK233" t="inlineStr"/>
      <c r="AL233" t="inlineStr"/>
      <c r="AM233" t="inlineStr"/>
    </row>
    <row r="234">
      <c r="A234" t="inlineStr">
        <is>
          <t>119015E</t>
        </is>
      </c>
      <c r="B234" t="inlineStr">
        <is>
          <t>Master of Asian Studies</t>
        </is>
      </c>
      <c r="C234" t="inlineStr">
        <is>
          <t>Masters Degree (Coursework)</t>
        </is>
      </c>
      <c r="D234" t="inlineStr">
        <is>
          <t>Postgraduate coursework</t>
        </is>
      </c>
      <c r="E234" t="inlineStr">
        <is>
          <t>Advertised: official page in place</t>
        </is>
      </c>
      <c r="F234" t="inlineStr">
        <is>
          <t>https://programsandcourses.anu.edu.au/2026/program/masia</t>
        </is>
      </c>
      <c r="G234" t="inlineStr">
        <is>
          <t>https://programsandcourses.anu.edu.au/2026/program/masia</t>
        </is>
      </c>
      <c r="H234" t="inlineStr">
        <is>
          <t>Read</t>
        </is>
      </c>
      <c r="I234" t="inlineStr">
        <is>
          <t>CRICOS code on page</t>
        </is>
      </c>
      <c r="J234" t="inlineStr"/>
      <c r="K234" t="inlineStr">
        <is>
          <t>Not sent to re-link</t>
        </is>
      </c>
      <c r="L234" t="inlineStr">
        <is>
          <t>Filled</t>
        </is>
      </c>
      <c r="M234" t="inlineStr">
        <is>
          <t>Filled</t>
        </is>
      </c>
      <c r="N234" t="inlineStr">
        <is>
          <t>56120.00 2026</t>
        </is>
      </c>
      <c r="O234" t="n">
        <v>0</v>
      </c>
      <c r="P234" t="inlineStr">
        <is>
          <t>University adapter</t>
        </is>
      </c>
      <c r="Q234" t="inlineStr">
        <is>
          <t>Filled</t>
        </is>
      </c>
      <c r="R234" t="n">
        <v>6.5</v>
      </c>
      <c r="S234" t="inlineStr">
        <is>
          <t>Central English policy</t>
        </is>
      </c>
      <c r="T234" t="inlineStr">
        <is>
          <t>Central rule applies (value agrees)</t>
        </is>
      </c>
      <c r="U234" t="inlineStr"/>
      <c r="V234" t="inlineStr">
        <is>
          <t>Waiting for AI reading (Layer 3, now retired)</t>
        </is>
      </c>
      <c r="W234" t="inlineStr"/>
      <c r="X234" t="inlineStr"/>
      <c r="Y234" t="n">
        <v>0</v>
      </c>
      <c r="Z234" t="inlineStr">
        <is>
          <t>No</t>
        </is>
      </c>
      <c r="AA234" t="inlineStr">
        <is>
          <t>Filled</t>
        </is>
      </c>
      <c r="AB234" t="inlineStr">
        <is>
          <t>on campus</t>
        </is>
      </c>
      <c r="AC234" t="inlineStr"/>
      <c r="AD234" t="n">
        <v>0</v>
      </c>
      <c r="AE234" t="inlineStr"/>
      <c r="AF234" t="inlineStr"/>
      <c r="AG234" t="inlineStr">
        <is>
          <t>Yes</t>
        </is>
      </c>
      <c r="AH234" t="inlineStr"/>
      <c r="AI234" t="inlineStr"/>
      <c r="AJ234" t="inlineStr"/>
      <c r="AK234" t="inlineStr"/>
      <c r="AL234" t="inlineStr"/>
      <c r="AM234" t="inlineStr"/>
    </row>
    <row r="235">
      <c r="A235" t="inlineStr">
        <is>
          <t>082279A</t>
        </is>
      </c>
      <c r="B235" t="inlineStr">
        <is>
          <t>Master of Biotechnology</t>
        </is>
      </c>
      <c r="C235" t="inlineStr">
        <is>
          <t>Masters Degree (Coursework)</t>
        </is>
      </c>
      <c r="D235" t="inlineStr">
        <is>
          <t>Postgraduate coursework</t>
        </is>
      </c>
      <c r="E235" t="inlineStr">
        <is>
          <t>Advertised: official page in place</t>
        </is>
      </c>
      <c r="F235" t="inlineStr">
        <is>
          <t>https://programsandcourses.anu.edu.au/program/mbiot</t>
        </is>
      </c>
      <c r="G235" t="inlineStr">
        <is>
          <t>https://programsandcourses.anu.edu.au/program/mbiot</t>
        </is>
      </c>
      <c r="H235" t="inlineStr">
        <is>
          <t>Read</t>
        </is>
      </c>
      <c r="I235" t="inlineStr">
        <is>
          <t>CRICOS code on page</t>
        </is>
      </c>
      <c r="J235" t="inlineStr"/>
      <c r="K235" t="inlineStr">
        <is>
          <t>Not sent to re-link</t>
        </is>
      </c>
      <c r="L235" t="inlineStr">
        <is>
          <t>Filled</t>
        </is>
      </c>
      <c r="M235" t="inlineStr">
        <is>
          <t>Filled</t>
        </is>
      </c>
      <c r="N235" t="inlineStr">
        <is>
          <t>57640.00 2026</t>
        </is>
      </c>
      <c r="O235" t="n">
        <v>0</v>
      </c>
      <c r="P235" t="inlineStr">
        <is>
          <t>University adapter</t>
        </is>
      </c>
      <c r="Q235" t="inlineStr">
        <is>
          <t>Filled</t>
        </is>
      </c>
      <c r="R235" t="n">
        <v>6.5</v>
      </c>
      <c r="S235" t="inlineStr">
        <is>
          <t>Central English policy</t>
        </is>
      </c>
      <c r="T235" t="inlineStr">
        <is>
          <t>Central rule applies (value agrees)</t>
        </is>
      </c>
      <c r="U235" t="inlineStr"/>
      <c r="V235" t="inlineStr">
        <is>
          <t>Not stated on course page</t>
        </is>
      </c>
      <c r="W235" t="inlineStr"/>
      <c r="X235" t="inlineStr"/>
      <c r="Y235" t="n">
        <v>0</v>
      </c>
      <c r="Z235" t="inlineStr">
        <is>
          <t>No</t>
        </is>
      </c>
      <c r="AA235" t="inlineStr">
        <is>
          <t>Filled</t>
        </is>
      </c>
      <c r="AB235" t="inlineStr">
        <is>
          <t>on campus</t>
        </is>
      </c>
      <c r="AC235" t="inlineStr"/>
      <c r="AD235" t="n">
        <v>0</v>
      </c>
      <c r="AE235" t="inlineStr"/>
      <c r="AF235" t="inlineStr"/>
      <c r="AG235" t="inlineStr"/>
      <c r="AH235" t="inlineStr"/>
      <c r="AI235" t="inlineStr"/>
      <c r="AJ235" t="inlineStr"/>
      <c r="AK235" t="inlineStr"/>
      <c r="AL235" t="inlineStr"/>
      <c r="AM235" t="inlineStr"/>
    </row>
    <row r="236">
      <c r="A236" t="inlineStr">
        <is>
          <t>082280G</t>
        </is>
      </c>
      <c r="B236" t="inlineStr">
        <is>
          <t>Master of Biotechnology (Advanced)</t>
        </is>
      </c>
      <c r="C236" t="inlineStr">
        <is>
          <t>Masters Degree (Coursework)</t>
        </is>
      </c>
      <c r="D236" t="inlineStr">
        <is>
          <t>Postgraduate coursework</t>
        </is>
      </c>
      <c r="E236" t="inlineStr">
        <is>
          <t>Advertised: official page in place</t>
        </is>
      </c>
      <c r="F236" t="inlineStr">
        <is>
          <t>https://programsandcourses.anu.edu.au/program/vbiot</t>
        </is>
      </c>
      <c r="G236" t="inlineStr">
        <is>
          <t>https://programsandcourses.anu.edu.au/program/vbiot</t>
        </is>
      </c>
      <c r="H236" t="inlineStr">
        <is>
          <t>Read</t>
        </is>
      </c>
      <c r="I236" t="inlineStr">
        <is>
          <t>CRICOS code on page</t>
        </is>
      </c>
      <c r="J236" t="inlineStr"/>
      <c r="K236" t="inlineStr">
        <is>
          <t>Not sent to re-link</t>
        </is>
      </c>
      <c r="L236" t="inlineStr">
        <is>
          <t>Filled</t>
        </is>
      </c>
      <c r="M236" t="inlineStr">
        <is>
          <t>Filled</t>
        </is>
      </c>
      <c r="N236" t="inlineStr">
        <is>
          <t>57640.00 2026</t>
        </is>
      </c>
      <c r="O236" t="n">
        <v>0</v>
      </c>
      <c r="P236" t="inlineStr">
        <is>
          <t>University adapter</t>
        </is>
      </c>
      <c r="Q236" t="inlineStr">
        <is>
          <t>Filled</t>
        </is>
      </c>
      <c r="R236" t="n">
        <v>6.5</v>
      </c>
      <c r="S236" t="inlineStr">
        <is>
          <t>Central English policy</t>
        </is>
      </c>
      <c r="T236" t="inlineStr">
        <is>
          <t>Central rule applies (value agrees)</t>
        </is>
      </c>
      <c r="U236" t="inlineStr"/>
      <c r="V236" t="inlineStr">
        <is>
          <t>Not stated on course page</t>
        </is>
      </c>
      <c r="W236" t="inlineStr"/>
      <c r="X236" t="inlineStr"/>
      <c r="Y236" t="n">
        <v>0</v>
      </c>
      <c r="Z236" t="inlineStr">
        <is>
          <t>No</t>
        </is>
      </c>
      <c r="AA236" t="inlineStr">
        <is>
          <t>Filled</t>
        </is>
      </c>
      <c r="AB236" t="inlineStr">
        <is>
          <t>on campus</t>
        </is>
      </c>
      <c r="AC236" t="inlineStr"/>
      <c r="AD236" t="n">
        <v>0</v>
      </c>
      <c r="AE236" t="inlineStr"/>
      <c r="AF236" t="inlineStr"/>
      <c r="AG236" t="inlineStr"/>
      <c r="AH236" t="inlineStr"/>
      <c r="AI236" t="inlineStr"/>
      <c r="AJ236" t="inlineStr"/>
      <c r="AK236" t="inlineStr"/>
      <c r="AL236" t="inlineStr"/>
      <c r="AM236" t="inlineStr"/>
    </row>
    <row r="237">
      <c r="A237" t="inlineStr">
        <is>
          <t>114606M</t>
        </is>
      </c>
      <c r="B237" t="inlineStr">
        <is>
          <t>Master of Business Administration</t>
        </is>
      </c>
      <c r="C237" t="inlineStr">
        <is>
          <t>Masters Degree (Coursework)</t>
        </is>
      </c>
      <c r="D237" t="inlineStr">
        <is>
          <t>Postgraduate coursework</t>
        </is>
      </c>
      <c r="E237" t="inlineStr">
        <is>
          <t>Advertised: official page in place</t>
        </is>
      </c>
      <c r="F237" t="inlineStr">
        <is>
          <t>https://programsandcourses.anu.edu.au/program/mbusa</t>
        </is>
      </c>
      <c r="G237" t="inlineStr">
        <is>
          <t>https://programsandcourses.anu.edu.au/program/mbusa</t>
        </is>
      </c>
      <c r="H237" t="inlineStr">
        <is>
          <t>Read</t>
        </is>
      </c>
      <c r="I237" t="inlineStr">
        <is>
          <t>CRICOS code on page</t>
        </is>
      </c>
      <c r="J237" t="inlineStr"/>
      <c r="K237" t="inlineStr">
        <is>
          <t>Not sent to re-link</t>
        </is>
      </c>
      <c r="L237" t="inlineStr">
        <is>
          <t>Filled</t>
        </is>
      </c>
      <c r="M237" t="inlineStr">
        <is>
          <t>Filled</t>
        </is>
      </c>
      <c r="N237" t="inlineStr">
        <is>
          <t>57640.00 2026</t>
        </is>
      </c>
      <c r="O237" t="n">
        <v>0</v>
      </c>
      <c r="P237" t="inlineStr">
        <is>
          <t>University adapter</t>
        </is>
      </c>
      <c r="Q237" t="inlineStr">
        <is>
          <t>Filled</t>
        </is>
      </c>
      <c r="R237" t="n">
        <v>6.5</v>
      </c>
      <c r="S237" t="inlineStr">
        <is>
          <t>Central English policy</t>
        </is>
      </c>
      <c r="T237" t="inlineStr">
        <is>
          <t>Central rule applies (value agrees)</t>
        </is>
      </c>
      <c r="U237" t="inlineStr"/>
      <c r="V237" t="inlineStr">
        <is>
          <t>Filled</t>
        </is>
      </c>
      <c r="W237" t="inlineStr">
        <is>
          <t>January</t>
        </is>
      </c>
      <c r="X237" t="inlineStr">
        <is>
          <t>Page reader</t>
        </is>
      </c>
      <c r="Y237" t="n">
        <v>0</v>
      </c>
      <c r="Z237" t="inlineStr">
        <is>
          <t>No</t>
        </is>
      </c>
      <c r="AA237" t="inlineStr">
        <is>
          <t>Filled</t>
        </is>
      </c>
      <c r="AB237" t="inlineStr">
        <is>
          <t>on campus</t>
        </is>
      </c>
      <c r="AC237" t="inlineStr"/>
      <c r="AD237" t="n">
        <v>0</v>
      </c>
      <c r="AE237" t="inlineStr"/>
      <c r="AF237" t="inlineStr"/>
      <c r="AG237" t="inlineStr"/>
      <c r="AH237" t="inlineStr"/>
      <c r="AI237" t="inlineStr"/>
      <c r="AJ237" t="inlineStr"/>
      <c r="AK237" t="inlineStr"/>
      <c r="AL237" t="inlineStr"/>
      <c r="AM237" t="inlineStr"/>
    </row>
    <row r="238">
      <c r="A238" t="inlineStr">
        <is>
          <t>091188G</t>
        </is>
      </c>
      <c r="B238" t="inlineStr">
        <is>
          <t>Master of Business Administration</t>
        </is>
      </c>
      <c r="C238" t="inlineStr">
        <is>
          <t>Masters Degree (Coursework)</t>
        </is>
      </c>
      <c r="D238" t="inlineStr">
        <is>
          <t>Postgraduate coursework</t>
        </is>
      </c>
      <c r="E238" t="inlineStr">
        <is>
          <t>Advertised: official page in place</t>
        </is>
      </c>
      <c r="F238" t="inlineStr">
        <is>
          <t>https://programsandcourses.anu.edu.au/program/MBUSA</t>
        </is>
      </c>
      <c r="G238" t="inlineStr">
        <is>
          <t>https://programsandcourses.anu.edu.au/program/MBUSA</t>
        </is>
      </c>
      <c r="H238" t="inlineStr">
        <is>
          <t>Read</t>
        </is>
      </c>
      <c r="I238" t="inlineStr">
        <is>
          <t>Exact title match</t>
        </is>
      </c>
      <c r="J238" t="inlineStr"/>
      <c r="K238" t="inlineStr">
        <is>
          <t>Not sent to re-link</t>
        </is>
      </c>
      <c r="L238" t="inlineStr">
        <is>
          <t>Filled</t>
        </is>
      </c>
      <c r="M238" t="inlineStr">
        <is>
          <t>Filled</t>
        </is>
      </c>
      <c r="N238" t="inlineStr">
        <is>
          <t>57640.00 2026</t>
        </is>
      </c>
      <c r="O238" t="n">
        <v>0</v>
      </c>
      <c r="P238" t="inlineStr">
        <is>
          <t>University adapter</t>
        </is>
      </c>
      <c r="Q238" t="inlineStr">
        <is>
          <t>Filled</t>
        </is>
      </c>
      <c r="R238" t="n">
        <v>6.5</v>
      </c>
      <c r="S238" t="inlineStr">
        <is>
          <t>Central English policy</t>
        </is>
      </c>
      <c r="T238" t="inlineStr">
        <is>
          <t>Central rule applies (value agrees)</t>
        </is>
      </c>
      <c r="U238" t="inlineStr"/>
      <c r="V238" t="inlineStr">
        <is>
          <t>Filled</t>
        </is>
      </c>
      <c r="W238" t="inlineStr">
        <is>
          <t>February</t>
        </is>
      </c>
      <c r="X238" t="inlineStr">
        <is>
          <t>Other</t>
        </is>
      </c>
      <c r="Y238" t="n">
        <v>0</v>
      </c>
      <c r="Z238" t="inlineStr">
        <is>
          <t>No</t>
        </is>
      </c>
      <c r="AA238" t="inlineStr">
        <is>
          <t>Filled</t>
        </is>
      </c>
      <c r="AB238" t="inlineStr">
        <is>
          <t>on campus</t>
        </is>
      </c>
      <c r="AC238" t="inlineStr"/>
      <c r="AD238" t="n">
        <v>0</v>
      </c>
      <c r="AE238" t="inlineStr"/>
      <c r="AF238" t="inlineStr"/>
      <c r="AG238" t="inlineStr"/>
      <c r="AH238" t="inlineStr"/>
      <c r="AI238" t="inlineStr"/>
      <c r="AJ238" t="inlineStr"/>
      <c r="AK238" t="inlineStr"/>
      <c r="AL238" t="inlineStr"/>
      <c r="AM238" t="inlineStr"/>
    </row>
    <row r="239">
      <c r="A239" t="inlineStr">
        <is>
          <t>091197F</t>
        </is>
      </c>
      <c r="B239" t="inlineStr">
        <is>
          <t>Master of Business Administration (Advanced)</t>
        </is>
      </c>
      <c r="C239" t="inlineStr">
        <is>
          <t>Masters Degree (Coursework)</t>
        </is>
      </c>
      <c r="D239" t="inlineStr">
        <is>
          <t>Postgraduate coursework</t>
        </is>
      </c>
      <c r="E239" t="inlineStr">
        <is>
          <t>Advertised: official page in place</t>
        </is>
      </c>
      <c r="F239" t="inlineStr">
        <is>
          <t>https://programsandcourses.anu.edu.au/2020/program/vbadm</t>
        </is>
      </c>
      <c r="G239" t="inlineStr">
        <is>
          <t>https://programsandcourses.anu.edu.au/2020/program/vbadm</t>
        </is>
      </c>
      <c r="H239" t="inlineStr">
        <is>
          <t>Read</t>
        </is>
      </c>
      <c r="I239" t="inlineStr">
        <is>
          <t>CRICOS code on page</t>
        </is>
      </c>
      <c r="J239" t="inlineStr"/>
      <c r="K239" t="inlineStr">
        <is>
          <t>Not sent to re-link</t>
        </is>
      </c>
      <c r="L239" t="inlineStr">
        <is>
          <t>Filled</t>
        </is>
      </c>
      <c r="M239" t="inlineStr">
        <is>
          <t>Filled</t>
        </is>
      </c>
      <c r="N239" t="inlineStr">
        <is>
          <t>47880.00 2026</t>
        </is>
      </c>
      <c r="O239" t="n">
        <v>0</v>
      </c>
      <c r="P239" t="inlineStr">
        <is>
          <t>University adapter</t>
        </is>
      </c>
      <c r="Q239" t="inlineStr">
        <is>
          <t>Filled</t>
        </is>
      </c>
      <c r="R239" t="n">
        <v>6.5</v>
      </c>
      <c r="S239" t="inlineStr">
        <is>
          <t>Central English policy</t>
        </is>
      </c>
      <c r="T239" t="inlineStr">
        <is>
          <t>Central rule applies (value agrees)</t>
        </is>
      </c>
      <c r="U239" t="inlineStr"/>
      <c r="V239" t="inlineStr">
        <is>
          <t>Filled</t>
        </is>
      </c>
      <c r="W239" t="inlineStr">
        <is>
          <t>February</t>
        </is>
      </c>
      <c r="X239" t="inlineStr">
        <is>
          <t>Other</t>
        </is>
      </c>
      <c r="Y239" t="n">
        <v>0</v>
      </c>
      <c r="Z239" t="inlineStr">
        <is>
          <t>No</t>
        </is>
      </c>
      <c r="AA239" t="inlineStr">
        <is>
          <t>Filled</t>
        </is>
      </c>
      <c r="AB239" t="inlineStr">
        <is>
          <t>on campus</t>
        </is>
      </c>
      <c r="AC239" t="inlineStr"/>
      <c r="AD239" t="n">
        <v>0</v>
      </c>
      <c r="AE239" t="inlineStr"/>
      <c r="AF239" t="inlineStr"/>
      <c r="AG239" t="inlineStr"/>
      <c r="AH239" t="inlineStr"/>
      <c r="AI239" t="inlineStr"/>
      <c r="AJ239" t="inlineStr"/>
      <c r="AK239" t="inlineStr"/>
      <c r="AL239" t="inlineStr"/>
      <c r="AM239" t="inlineStr"/>
    </row>
    <row r="240">
      <c r="A240" t="inlineStr">
        <is>
          <t>050796M</t>
        </is>
      </c>
      <c r="B240" t="inlineStr">
        <is>
          <t>Master of Business Information Systems</t>
        </is>
      </c>
      <c r="C240" t="inlineStr">
        <is>
          <t>Masters Degree (Coursework)</t>
        </is>
      </c>
      <c r="D240" t="inlineStr">
        <is>
          <t>Postgraduate coursework</t>
        </is>
      </c>
      <c r="E240" t="inlineStr">
        <is>
          <t>Advertised: official page in place</t>
        </is>
      </c>
      <c r="F240" t="inlineStr">
        <is>
          <t>https://cbe.anu.edu.au/study/postgraduate-programs/master-business-information-systems</t>
        </is>
      </c>
      <c r="G240" t="inlineStr">
        <is>
          <t>https://cbe.anu.edu.au/study/postgraduate-programs/master-business-information-systems</t>
        </is>
      </c>
      <c r="H240" t="inlineStr">
        <is>
          <t>Read</t>
        </is>
      </c>
      <c r="I240" t="inlineStr">
        <is>
          <t>CRICOS code on page</t>
        </is>
      </c>
      <c r="J240" t="inlineStr"/>
      <c r="K240" t="inlineStr">
        <is>
          <t>Not sent to re-link</t>
        </is>
      </c>
      <c r="L240" t="inlineStr">
        <is>
          <t>Filled</t>
        </is>
      </c>
      <c r="M240" t="inlineStr">
        <is>
          <t>Not stated on course page</t>
        </is>
      </c>
      <c r="N240" t="inlineStr"/>
      <c r="O240" t="n">
        <v>0</v>
      </c>
      <c r="P240" t="inlineStr"/>
      <c r="Q240" t="inlineStr">
        <is>
          <t>Filled</t>
        </is>
      </c>
      <c r="R240" t="n">
        <v>6.5</v>
      </c>
      <c r="S240" t="inlineStr">
        <is>
          <t>Central English policy</t>
        </is>
      </c>
      <c r="T240" t="inlineStr">
        <is>
          <t>Central rule applies (value agrees)</t>
        </is>
      </c>
      <c r="U240" t="inlineStr"/>
      <c r="V240" t="inlineStr">
        <is>
          <t>Not stated on course page</t>
        </is>
      </c>
      <c r="W240" t="inlineStr"/>
      <c r="X240" t="inlineStr"/>
      <c r="Y240" t="n">
        <v>0</v>
      </c>
      <c r="Z240" t="inlineStr">
        <is>
          <t>No</t>
        </is>
      </c>
      <c r="AA240" t="inlineStr">
        <is>
          <t>Not stated on course page</t>
        </is>
      </c>
      <c r="AB240" t="inlineStr"/>
      <c r="AC240" t="inlineStr">
        <is>
          <t>Skipped: the page does not state it</t>
        </is>
      </c>
      <c r="AD240" t="n">
        <v>0</v>
      </c>
      <c r="AE240" t="inlineStr"/>
      <c r="AF240" t="inlineStr"/>
      <c r="AG240" t="inlineStr"/>
      <c r="AH240" t="inlineStr"/>
      <c r="AI240" t="inlineStr"/>
      <c r="AJ240" t="inlineStr"/>
      <c r="AK240" t="inlineStr"/>
      <c r="AL240" t="inlineStr"/>
      <c r="AM240" t="inlineStr"/>
    </row>
    <row r="241">
      <c r="A241" t="inlineStr">
        <is>
          <t>091198E</t>
        </is>
      </c>
      <c r="B241" t="inlineStr">
        <is>
          <t>Master of Business Information Systems (Advanced)</t>
        </is>
      </c>
      <c r="C241" t="inlineStr">
        <is>
          <t>Masters Degree (Coursework)</t>
        </is>
      </c>
      <c r="D241" t="inlineStr">
        <is>
          <t>Postgraduate coursework</t>
        </is>
      </c>
      <c r="E241" t="inlineStr">
        <is>
          <t>Advertised: official page in place</t>
        </is>
      </c>
      <c r="F241" t="inlineStr">
        <is>
          <t>https://programsandcourses.anu.edu.au/2019/program/vbins</t>
        </is>
      </c>
      <c r="G241" t="inlineStr">
        <is>
          <t>https://programsandcourses.anu.edu.au/2019/program/vbins</t>
        </is>
      </c>
      <c r="H241" t="inlineStr">
        <is>
          <t>Read</t>
        </is>
      </c>
      <c r="I241" t="inlineStr">
        <is>
          <t>CRICOS code on page</t>
        </is>
      </c>
      <c r="J241" t="inlineStr"/>
      <c r="K241" t="inlineStr">
        <is>
          <t>Not sent to re-link</t>
        </is>
      </c>
      <c r="L241" t="inlineStr">
        <is>
          <t>Filled</t>
        </is>
      </c>
      <c r="M241" t="inlineStr">
        <is>
          <t>Filled</t>
        </is>
      </c>
      <c r="N241" t="inlineStr">
        <is>
          <t>45600.00 2026</t>
        </is>
      </c>
      <c r="O241" t="n">
        <v>0</v>
      </c>
      <c r="P241" t="inlineStr">
        <is>
          <t>University adapter</t>
        </is>
      </c>
      <c r="Q241" t="inlineStr">
        <is>
          <t>Filled</t>
        </is>
      </c>
      <c r="R241" t="n">
        <v>6.5</v>
      </c>
      <c r="S241" t="inlineStr">
        <is>
          <t>Central English policy</t>
        </is>
      </c>
      <c r="T241" t="inlineStr">
        <is>
          <t>Central rule applies (value agrees)</t>
        </is>
      </c>
      <c r="U241" t="inlineStr"/>
      <c r="V241" t="inlineStr">
        <is>
          <t>Not stated on course page</t>
        </is>
      </c>
      <c r="W241" t="inlineStr"/>
      <c r="X241" t="inlineStr"/>
      <c r="Y241" t="n">
        <v>0</v>
      </c>
      <c r="Z241" t="inlineStr">
        <is>
          <t>No</t>
        </is>
      </c>
      <c r="AA241" t="inlineStr">
        <is>
          <t>Filled</t>
        </is>
      </c>
      <c r="AB241" t="inlineStr">
        <is>
          <t>on campus</t>
        </is>
      </c>
      <c r="AC241" t="inlineStr"/>
      <c r="AD241" t="n">
        <v>0</v>
      </c>
      <c r="AE241" t="inlineStr"/>
      <c r="AF241" t="inlineStr"/>
      <c r="AG241" t="inlineStr"/>
      <c r="AH241" t="inlineStr"/>
      <c r="AI241" t="inlineStr"/>
      <c r="AJ241" t="inlineStr"/>
      <c r="AK241" t="inlineStr"/>
      <c r="AL241" t="inlineStr"/>
      <c r="AM241" t="inlineStr"/>
    </row>
    <row r="242">
      <c r="A242" t="inlineStr">
        <is>
          <t>082282F</t>
        </is>
      </c>
      <c r="B242" t="inlineStr">
        <is>
          <t>Master of Classical Studies (Advanced)</t>
        </is>
      </c>
      <c r="C242" t="inlineStr">
        <is>
          <t>Masters Degree (Coursework)</t>
        </is>
      </c>
      <c r="D242" t="inlineStr">
        <is>
          <t>Postgraduate coursework</t>
        </is>
      </c>
      <c r="E242" t="inlineStr">
        <is>
          <t>Advertised: official page in place</t>
        </is>
      </c>
      <c r="F242" t="inlineStr">
        <is>
          <t>https://programsandcourses.anu.edu.au/2015/program/vclas</t>
        </is>
      </c>
      <c r="G242" t="inlineStr">
        <is>
          <t>https://programsandcourses.anu.edu.au/2022/program/vclas</t>
        </is>
      </c>
      <c r="H242" t="inlineStr">
        <is>
          <t>Read</t>
        </is>
      </c>
      <c r="I242" t="inlineStr">
        <is>
          <t>CRICOS code on page</t>
        </is>
      </c>
      <c r="J242" t="inlineStr"/>
      <c r="K242" t="inlineStr">
        <is>
          <t>Not sent to re-link</t>
        </is>
      </c>
      <c r="L242" t="inlineStr">
        <is>
          <t>Filled</t>
        </is>
      </c>
      <c r="M242" t="inlineStr">
        <is>
          <t>Filled</t>
        </is>
      </c>
      <c r="N242" t="inlineStr">
        <is>
          <t>45360.00 2026</t>
        </is>
      </c>
      <c r="O242" t="n">
        <v>0</v>
      </c>
      <c r="P242" t="inlineStr">
        <is>
          <t>University adapter</t>
        </is>
      </c>
      <c r="Q242" t="inlineStr">
        <is>
          <t>Filled</t>
        </is>
      </c>
      <c r="R242" t="n">
        <v>6.5</v>
      </c>
      <c r="S242" t="inlineStr">
        <is>
          <t>Central English policy</t>
        </is>
      </c>
      <c r="T242" t="inlineStr">
        <is>
          <t>Central rule applies (value agrees)</t>
        </is>
      </c>
      <c r="U242" t="inlineStr"/>
      <c r="V242" t="inlineStr">
        <is>
          <t>Not stated on course page</t>
        </is>
      </c>
      <c r="W242" t="inlineStr"/>
      <c r="X242" t="inlineStr"/>
      <c r="Y242" t="n">
        <v>0</v>
      </c>
      <c r="Z242" t="inlineStr">
        <is>
          <t>No</t>
        </is>
      </c>
      <c r="AA242" t="inlineStr">
        <is>
          <t>Filled</t>
        </is>
      </c>
      <c r="AB242" t="inlineStr">
        <is>
          <t>on campus</t>
        </is>
      </c>
      <c r="AC242" t="inlineStr"/>
      <c r="AD242" t="n">
        <v>0</v>
      </c>
      <c r="AE242" t="inlineStr"/>
      <c r="AF242" t="inlineStr"/>
      <c r="AG242" t="inlineStr"/>
      <c r="AH242" t="inlineStr"/>
      <c r="AI242" t="inlineStr"/>
      <c r="AJ242" t="inlineStr"/>
      <c r="AK242" t="inlineStr"/>
      <c r="AL242" t="inlineStr"/>
      <c r="AM242" t="inlineStr"/>
    </row>
    <row r="243">
      <c r="A243" t="inlineStr">
        <is>
          <t>102926E</t>
        </is>
      </c>
      <c r="B243" t="inlineStr">
        <is>
          <t>Master of Climate Change</t>
        </is>
      </c>
      <c r="C243" t="inlineStr">
        <is>
          <t>Masters Degree (Coursework)</t>
        </is>
      </c>
      <c r="D243" t="inlineStr">
        <is>
          <t>Postgraduate coursework</t>
        </is>
      </c>
      <c r="E243" t="inlineStr">
        <is>
          <t>Advertised: official page in place</t>
        </is>
      </c>
      <c r="F243" t="inlineStr">
        <is>
          <t>https://programsandcourses.anu.edu.au/program/mclim</t>
        </is>
      </c>
      <c r="G243" t="inlineStr">
        <is>
          <t>https://programsandcourses.anu.edu.au/program/mclim</t>
        </is>
      </c>
      <c r="H243" t="inlineStr">
        <is>
          <t>Read</t>
        </is>
      </c>
      <c r="I243" t="inlineStr">
        <is>
          <t>CRICOS code on page</t>
        </is>
      </c>
      <c r="J243" t="inlineStr"/>
      <c r="K243" t="inlineStr">
        <is>
          <t>Not sent to re-link</t>
        </is>
      </c>
      <c r="L243" t="inlineStr">
        <is>
          <t>Filled</t>
        </is>
      </c>
      <c r="M243" t="inlineStr">
        <is>
          <t>Filled</t>
        </is>
      </c>
      <c r="N243" t="inlineStr">
        <is>
          <t>57640.00 2026</t>
        </is>
      </c>
      <c r="O243" t="n">
        <v>0</v>
      </c>
      <c r="P243" t="inlineStr">
        <is>
          <t>University adapter</t>
        </is>
      </c>
      <c r="Q243" t="inlineStr">
        <is>
          <t>Filled</t>
        </is>
      </c>
      <c r="R243" t="n">
        <v>6.5</v>
      </c>
      <c r="S243" t="inlineStr">
        <is>
          <t>Central English policy</t>
        </is>
      </c>
      <c r="T243" t="inlineStr">
        <is>
          <t>Central rule applies (value agrees)</t>
        </is>
      </c>
      <c r="U243" t="inlineStr"/>
      <c r="V243" t="inlineStr">
        <is>
          <t>Not stated on course page</t>
        </is>
      </c>
      <c r="W243" t="inlineStr"/>
      <c r="X243" t="inlineStr"/>
      <c r="Y243" t="n">
        <v>0</v>
      </c>
      <c r="Z243" t="inlineStr">
        <is>
          <t>No</t>
        </is>
      </c>
      <c r="AA243" t="inlineStr">
        <is>
          <t>Filled</t>
        </is>
      </c>
      <c r="AB243" t="inlineStr">
        <is>
          <t>on campus</t>
        </is>
      </c>
      <c r="AC243" t="inlineStr"/>
      <c r="AD243" t="n">
        <v>0</v>
      </c>
      <c r="AE243" t="inlineStr"/>
      <c r="AF243" t="inlineStr"/>
      <c r="AG243" t="inlineStr"/>
      <c r="AH243" t="inlineStr"/>
      <c r="AI243" t="inlineStr"/>
      <c r="AJ243" t="inlineStr"/>
      <c r="AK243" t="inlineStr"/>
      <c r="AL243" t="inlineStr"/>
      <c r="AM243" t="inlineStr"/>
    </row>
    <row r="244">
      <c r="A244" t="inlineStr">
        <is>
          <t>082373C</t>
        </is>
      </c>
      <c r="B244" t="inlineStr">
        <is>
          <t>Master of Climate Change</t>
        </is>
      </c>
      <c r="C244" t="inlineStr">
        <is>
          <t>Masters Degree (Coursework)</t>
        </is>
      </c>
      <c r="D244" t="inlineStr">
        <is>
          <t>Postgraduate coursework</t>
        </is>
      </c>
      <c r="E244" t="inlineStr">
        <is>
          <t>Advertised: official page in place</t>
        </is>
      </c>
      <c r="F244" t="inlineStr">
        <is>
          <t>https://programsandcourses.anu.edu.au/program/MCLIM</t>
        </is>
      </c>
      <c r="G244" t="inlineStr">
        <is>
          <t>https://programsandcourses.anu.edu.au/program/MCLIM</t>
        </is>
      </c>
      <c r="H244" t="inlineStr">
        <is>
          <t>Read</t>
        </is>
      </c>
      <c r="I244" t="inlineStr">
        <is>
          <t>Exact title match</t>
        </is>
      </c>
      <c r="J244" t="inlineStr"/>
      <c r="K244" t="inlineStr">
        <is>
          <t>Not sent to re-link</t>
        </is>
      </c>
      <c r="L244" t="inlineStr">
        <is>
          <t>Filled</t>
        </is>
      </c>
      <c r="M244" t="inlineStr">
        <is>
          <t>Filled</t>
        </is>
      </c>
      <c r="N244" t="inlineStr">
        <is>
          <t>57640.00 2026</t>
        </is>
      </c>
      <c r="O244" t="n">
        <v>0</v>
      </c>
      <c r="P244" t="inlineStr">
        <is>
          <t>University adapter</t>
        </is>
      </c>
      <c r="Q244" t="inlineStr">
        <is>
          <t>Filled</t>
        </is>
      </c>
      <c r="R244" t="n">
        <v>6.5</v>
      </c>
      <c r="S244" t="inlineStr">
        <is>
          <t>Central English policy</t>
        </is>
      </c>
      <c r="T244" t="inlineStr">
        <is>
          <t>Central rule applies (value agrees)</t>
        </is>
      </c>
      <c r="U244" t="inlineStr"/>
      <c r="V244" t="inlineStr">
        <is>
          <t>Not stated on course page</t>
        </is>
      </c>
      <c r="W244" t="inlineStr"/>
      <c r="X244" t="inlineStr"/>
      <c r="Y244" t="n">
        <v>0</v>
      </c>
      <c r="Z244" t="inlineStr">
        <is>
          <t>No</t>
        </is>
      </c>
      <c r="AA244" t="inlineStr">
        <is>
          <t>Filled</t>
        </is>
      </c>
      <c r="AB244" t="inlineStr">
        <is>
          <t>on campus</t>
        </is>
      </c>
      <c r="AC244" t="inlineStr"/>
      <c r="AD244" t="n">
        <v>0</v>
      </c>
      <c r="AE244" t="inlineStr"/>
      <c r="AF244" t="inlineStr"/>
      <c r="AG244" t="inlineStr"/>
      <c r="AH244" t="inlineStr"/>
      <c r="AI244" t="inlineStr"/>
      <c r="AJ244" t="inlineStr"/>
      <c r="AK244" t="inlineStr"/>
      <c r="AL244" t="inlineStr"/>
      <c r="AM244" t="inlineStr"/>
    </row>
    <row r="245">
      <c r="A245" t="inlineStr">
        <is>
          <t>003116G</t>
        </is>
      </c>
      <c r="B245" t="inlineStr">
        <is>
          <t>Master of Clinical Psychology</t>
        </is>
      </c>
      <c r="C245" t="inlineStr">
        <is>
          <t>Masters Degree (Coursework)</t>
        </is>
      </c>
      <c r="D245" t="inlineStr">
        <is>
          <t>Postgraduate coursework</t>
        </is>
      </c>
      <c r="E245" t="inlineStr">
        <is>
          <t>Advertised: official page in place</t>
        </is>
      </c>
      <c r="F245" t="inlineStr">
        <is>
          <t>https://programsandcourses.anu.edu.au/program/7601xmcpsy</t>
        </is>
      </c>
      <c r="G245" t="inlineStr">
        <is>
          <t>https://programsandcourses.anu.edu.au/program/7601xmcpsy</t>
        </is>
      </c>
      <c r="H245" t="inlineStr">
        <is>
          <t>Read</t>
        </is>
      </c>
      <c r="I245" t="inlineStr">
        <is>
          <t>CRICOS code on page</t>
        </is>
      </c>
      <c r="J245" t="inlineStr"/>
      <c r="K245" t="inlineStr">
        <is>
          <t>Not sent to re-link</t>
        </is>
      </c>
      <c r="L245" t="inlineStr">
        <is>
          <t>Filled</t>
        </is>
      </c>
      <c r="M245" t="inlineStr">
        <is>
          <t>Filled</t>
        </is>
      </c>
      <c r="N245" t="inlineStr">
        <is>
          <t>60870.00 2026</t>
        </is>
      </c>
      <c r="O245" t="n">
        <v>0</v>
      </c>
      <c r="P245" t="inlineStr">
        <is>
          <t>University adapter</t>
        </is>
      </c>
      <c r="Q245" t="inlineStr">
        <is>
          <t>Filled</t>
        </is>
      </c>
      <c r="R245" t="n">
        <v>7</v>
      </c>
      <c r="S245" t="inlineStr">
        <is>
          <t>Central English policy</t>
        </is>
      </c>
      <c r="T245" t="inlineStr">
        <is>
          <t>Central rule applies (value agrees)</t>
        </is>
      </c>
      <c r="U245" t="inlineStr"/>
      <c r="V245" t="inlineStr">
        <is>
          <t>Not stated on course page</t>
        </is>
      </c>
      <c r="W245" t="inlineStr"/>
      <c r="X245" t="inlineStr"/>
      <c r="Y245" t="n">
        <v>0</v>
      </c>
      <c r="Z245" t="inlineStr">
        <is>
          <t>No</t>
        </is>
      </c>
      <c r="AA245" t="inlineStr">
        <is>
          <t>Filled</t>
        </is>
      </c>
      <c r="AB245" t="inlineStr">
        <is>
          <t>on campus</t>
        </is>
      </c>
      <c r="AC245" t="inlineStr"/>
      <c r="AD245" t="n">
        <v>0</v>
      </c>
      <c r="AE245" t="inlineStr"/>
      <c r="AF245" t="inlineStr"/>
      <c r="AG245" t="inlineStr"/>
      <c r="AH245" t="inlineStr"/>
      <c r="AI245" t="inlineStr"/>
      <c r="AJ245" t="inlineStr"/>
      <c r="AK245" t="inlineStr"/>
      <c r="AL245" t="inlineStr"/>
      <c r="AM245" t="inlineStr"/>
    </row>
    <row r="246">
      <c r="A246" t="inlineStr">
        <is>
          <t>093294M</t>
        </is>
      </c>
      <c r="B246" t="inlineStr">
        <is>
          <t>Master of Commerce (Advanced)</t>
        </is>
      </c>
      <c r="C246" t="inlineStr">
        <is>
          <t>Masters Degree (Coursework)</t>
        </is>
      </c>
      <c r="D246" t="inlineStr">
        <is>
          <t>Postgraduate coursework</t>
        </is>
      </c>
      <c r="E246" t="inlineStr">
        <is>
          <t>Advertised: official page in place</t>
        </is>
      </c>
      <c r="F246" t="inlineStr">
        <is>
          <t>https://programsandcourses.anu.edu.au/2025/program/vcomm</t>
        </is>
      </c>
      <c r="G246" t="inlineStr">
        <is>
          <t>https://programsandcourses.anu.edu.au/2025/program/vcomm</t>
        </is>
      </c>
      <c r="H246" t="inlineStr">
        <is>
          <t>Read</t>
        </is>
      </c>
      <c r="I246" t="inlineStr">
        <is>
          <t>CRICOS code on page</t>
        </is>
      </c>
      <c r="J246" t="inlineStr"/>
      <c r="K246" t="inlineStr">
        <is>
          <t>Not sent to re-link</t>
        </is>
      </c>
      <c r="L246" t="inlineStr">
        <is>
          <t>Filled</t>
        </is>
      </c>
      <c r="M246" t="inlineStr">
        <is>
          <t>Filled</t>
        </is>
      </c>
      <c r="N246" t="inlineStr">
        <is>
          <t>53700.00 2026</t>
        </is>
      </c>
      <c r="O246" t="n">
        <v>0</v>
      </c>
      <c r="P246" t="inlineStr">
        <is>
          <t>University adapter</t>
        </is>
      </c>
      <c r="Q246" t="inlineStr">
        <is>
          <t>Filled</t>
        </is>
      </c>
      <c r="R246" t="n">
        <v>6.5</v>
      </c>
      <c r="S246" t="inlineStr">
        <is>
          <t>Central English policy</t>
        </is>
      </c>
      <c r="T246" t="inlineStr">
        <is>
          <t>Central rule applies (value agrees)</t>
        </is>
      </c>
      <c r="U246" t="inlineStr"/>
      <c r="V246" t="inlineStr">
        <is>
          <t>Not stated on course page</t>
        </is>
      </c>
      <c r="W246" t="inlineStr"/>
      <c r="X246" t="inlineStr"/>
      <c r="Y246" t="n">
        <v>0</v>
      </c>
      <c r="Z246" t="inlineStr">
        <is>
          <t>No</t>
        </is>
      </c>
      <c r="AA246" t="inlineStr">
        <is>
          <t>Filled</t>
        </is>
      </c>
      <c r="AB246" t="inlineStr">
        <is>
          <t>on campus</t>
        </is>
      </c>
      <c r="AC246" t="inlineStr"/>
      <c r="AD246" t="n">
        <v>0</v>
      </c>
      <c r="AE246" t="inlineStr"/>
      <c r="AF246" t="inlineStr"/>
      <c r="AG246" t="inlineStr"/>
      <c r="AH246" t="inlineStr"/>
      <c r="AI246" t="inlineStr"/>
      <c r="AJ246" t="inlineStr"/>
      <c r="AK246" t="inlineStr"/>
      <c r="AL246" t="inlineStr"/>
      <c r="AM246" t="inlineStr"/>
    </row>
    <row r="247">
      <c r="A247" t="inlineStr">
        <is>
          <t>078940M</t>
        </is>
      </c>
      <c r="B247" t="inlineStr">
        <is>
          <t>Master of Computing</t>
        </is>
      </c>
      <c r="C247" t="inlineStr">
        <is>
          <t>Masters Degree (Coursework)</t>
        </is>
      </c>
      <c r="D247" t="inlineStr">
        <is>
          <t>Postgraduate coursework</t>
        </is>
      </c>
      <c r="E247" t="inlineStr">
        <is>
          <t>Advertised: official page in place</t>
        </is>
      </c>
      <c r="F247" t="inlineStr">
        <is>
          <t>https://programsandcourses.anu.edu.au/program/7706xmcomp</t>
        </is>
      </c>
      <c r="G247" t="inlineStr">
        <is>
          <t>https://programsandcourses.anu.edu.au/program/7706xmcomp</t>
        </is>
      </c>
      <c r="H247" t="inlineStr">
        <is>
          <t>Read</t>
        </is>
      </c>
      <c r="I247" t="inlineStr">
        <is>
          <t>CRICOS code on page</t>
        </is>
      </c>
      <c r="J247" t="inlineStr"/>
      <c r="K247" t="inlineStr">
        <is>
          <t>Not sent to re-link</t>
        </is>
      </c>
      <c r="L247" t="inlineStr">
        <is>
          <t>Filled</t>
        </is>
      </c>
      <c r="M247" t="inlineStr">
        <is>
          <t>Filled</t>
        </is>
      </c>
      <c r="N247" t="inlineStr">
        <is>
          <t>57640.00 2026</t>
        </is>
      </c>
      <c r="O247" t="n">
        <v>0</v>
      </c>
      <c r="P247" t="inlineStr">
        <is>
          <t>University adapter</t>
        </is>
      </c>
      <c r="Q247" t="inlineStr">
        <is>
          <t>Filled</t>
        </is>
      </c>
      <c r="R247" t="n">
        <v>6.5</v>
      </c>
      <c r="S247" t="inlineStr">
        <is>
          <t>Central English policy</t>
        </is>
      </c>
      <c r="T247" t="inlineStr">
        <is>
          <t>Central rule applies (value agrees)</t>
        </is>
      </c>
      <c r="U247" t="inlineStr"/>
      <c r="V247" t="inlineStr">
        <is>
          <t>Not stated on course page</t>
        </is>
      </c>
      <c r="W247" t="inlineStr"/>
      <c r="X247" t="inlineStr"/>
      <c r="Y247" t="n">
        <v>0</v>
      </c>
      <c r="Z247" t="inlineStr">
        <is>
          <t>No</t>
        </is>
      </c>
      <c r="AA247" t="inlineStr">
        <is>
          <t>Filled</t>
        </is>
      </c>
      <c r="AB247" t="inlineStr">
        <is>
          <t>on campus</t>
        </is>
      </c>
      <c r="AC247" t="inlineStr"/>
      <c r="AD247" t="n">
        <v>0</v>
      </c>
      <c r="AE247" t="inlineStr"/>
      <c r="AF247" t="inlineStr"/>
      <c r="AG247" t="inlineStr"/>
      <c r="AH247" t="inlineStr"/>
      <c r="AI247" t="inlineStr"/>
      <c r="AJ247" t="inlineStr"/>
      <c r="AK247" t="inlineStr"/>
      <c r="AL247" t="inlineStr"/>
      <c r="AM247" t="inlineStr"/>
    </row>
    <row r="248">
      <c r="A248" t="inlineStr">
        <is>
          <t>085934F</t>
        </is>
      </c>
      <c r="B248" t="inlineStr">
        <is>
          <t>Master of Computing (Advanced)</t>
        </is>
      </c>
      <c r="C248" t="inlineStr">
        <is>
          <t>Masters Degree (Coursework)</t>
        </is>
      </c>
      <c r="D248" t="inlineStr">
        <is>
          <t>Postgraduate coursework</t>
        </is>
      </c>
      <c r="E248" t="inlineStr">
        <is>
          <t>Advertised: official page in place</t>
        </is>
      </c>
      <c r="F248" t="inlineStr">
        <is>
          <t>https://programsandcourses.anu.edu.au/program/7722xvcomp</t>
        </is>
      </c>
      <c r="G248" t="inlineStr">
        <is>
          <t>https://programsandcourses.anu.edu.au/program/7722xvcomp</t>
        </is>
      </c>
      <c r="H248" t="inlineStr">
        <is>
          <t>Read</t>
        </is>
      </c>
      <c r="I248" t="inlineStr">
        <is>
          <t>CRICOS code on page</t>
        </is>
      </c>
      <c r="J248" t="inlineStr"/>
      <c r="K248" t="inlineStr">
        <is>
          <t>Not sent to re-link</t>
        </is>
      </c>
      <c r="L248" t="inlineStr">
        <is>
          <t>Filled</t>
        </is>
      </c>
      <c r="M248" t="inlineStr">
        <is>
          <t>Filled</t>
        </is>
      </c>
      <c r="N248" t="inlineStr">
        <is>
          <t>57640.00 2026</t>
        </is>
      </c>
      <c r="O248" t="n">
        <v>0</v>
      </c>
      <c r="P248" t="inlineStr">
        <is>
          <t>University adapter</t>
        </is>
      </c>
      <c r="Q248" t="inlineStr">
        <is>
          <t>Filled</t>
        </is>
      </c>
      <c r="R248" t="n">
        <v>6.5</v>
      </c>
      <c r="S248" t="inlineStr">
        <is>
          <t>Central English policy</t>
        </is>
      </c>
      <c r="T248" t="inlineStr">
        <is>
          <t>Central rule applies (value agrees)</t>
        </is>
      </c>
      <c r="U248" t="inlineStr"/>
      <c r="V248" t="inlineStr">
        <is>
          <t>Value found, being checked</t>
        </is>
      </c>
      <c r="W248" t="inlineStr"/>
      <c r="X248" t="inlineStr"/>
      <c r="Y248" t="n">
        <v>0</v>
      </c>
      <c r="Z248" t="inlineStr">
        <is>
          <t>No</t>
        </is>
      </c>
      <c r="AA248" t="inlineStr">
        <is>
          <t>Filled</t>
        </is>
      </c>
      <c r="AB248" t="inlineStr">
        <is>
          <t>on campus</t>
        </is>
      </c>
      <c r="AC248" t="inlineStr"/>
      <c r="AD248" t="n">
        <v>0</v>
      </c>
      <c r="AE248" t="inlineStr"/>
      <c r="AF248" t="inlineStr">
        <is>
          <t>Yes</t>
        </is>
      </c>
      <c r="AG248" t="inlineStr"/>
      <c r="AH248" t="inlineStr"/>
      <c r="AI248" t="inlineStr"/>
      <c r="AJ248" t="inlineStr"/>
      <c r="AK248" t="inlineStr"/>
      <c r="AL248" t="inlineStr"/>
      <c r="AM248" t="inlineStr"/>
    </row>
    <row r="249">
      <c r="A249" t="inlineStr">
        <is>
          <t>108308E</t>
        </is>
      </c>
      <c r="B249" t="inlineStr">
        <is>
          <t>Master of Contemporary Art Practices</t>
        </is>
      </c>
      <c r="C249" t="inlineStr">
        <is>
          <t>Masters Degree (Coursework)</t>
        </is>
      </c>
      <c r="D249" t="inlineStr">
        <is>
          <t>Postgraduate coursework</t>
        </is>
      </c>
      <c r="E249" t="inlineStr">
        <is>
          <t>Advertised: official page in place</t>
        </is>
      </c>
      <c r="F249" t="inlineStr">
        <is>
          <t>https://programsandcourses.anu.edu.au/2025/program/mcap</t>
        </is>
      </c>
      <c r="G249" t="inlineStr">
        <is>
          <t>https://programsandcourses.anu.edu.au/2022/program/mcap</t>
        </is>
      </c>
      <c r="H249" t="inlineStr">
        <is>
          <t>Read</t>
        </is>
      </c>
      <c r="I249" t="inlineStr">
        <is>
          <t>CRICOS code on page</t>
        </is>
      </c>
      <c r="J249" t="inlineStr"/>
      <c r="K249" t="inlineStr">
        <is>
          <t>Not sent to re-link</t>
        </is>
      </c>
      <c r="L249" t="inlineStr">
        <is>
          <t>Filled</t>
        </is>
      </c>
      <c r="M249" t="inlineStr">
        <is>
          <t>Filled</t>
        </is>
      </c>
      <c r="N249" t="inlineStr">
        <is>
          <t>39870.00 2026</t>
        </is>
      </c>
      <c r="O249" t="n">
        <v>0</v>
      </c>
      <c r="P249" t="inlineStr">
        <is>
          <t>University adapter</t>
        </is>
      </c>
      <c r="Q249" t="inlineStr">
        <is>
          <t>Filled</t>
        </is>
      </c>
      <c r="R249" t="n">
        <v>6.5</v>
      </c>
      <c r="S249" t="inlineStr">
        <is>
          <t>Central English policy</t>
        </is>
      </c>
      <c r="T249" t="inlineStr">
        <is>
          <t>Central rule applies (value agrees)</t>
        </is>
      </c>
      <c r="U249" t="inlineStr"/>
      <c r="V249" t="inlineStr">
        <is>
          <t>Waiting for AI reading (Layer 3, now retired)</t>
        </is>
      </c>
      <c r="W249" t="inlineStr"/>
      <c r="X249" t="inlineStr"/>
      <c r="Y249" t="n">
        <v>0</v>
      </c>
      <c r="Z249" t="inlineStr">
        <is>
          <t>No</t>
        </is>
      </c>
      <c r="AA249" t="inlineStr">
        <is>
          <t>Filled</t>
        </is>
      </c>
      <c r="AB249" t="inlineStr">
        <is>
          <t>on campus</t>
        </is>
      </c>
      <c r="AC249" t="inlineStr"/>
      <c r="AD249" t="n">
        <v>0</v>
      </c>
      <c r="AE249" t="inlineStr"/>
      <c r="AF249" t="inlineStr"/>
      <c r="AG249" t="inlineStr">
        <is>
          <t>Yes</t>
        </is>
      </c>
      <c r="AH249" t="inlineStr"/>
      <c r="AI249" t="inlineStr"/>
      <c r="AJ249" t="inlineStr"/>
      <c r="AK249" t="inlineStr"/>
      <c r="AL249" t="inlineStr"/>
      <c r="AM249" t="inlineStr"/>
    </row>
    <row r="250">
      <c r="A250" t="inlineStr">
        <is>
          <t>108309D</t>
        </is>
      </c>
      <c r="B250" t="inlineStr">
        <is>
          <t>Master of Contemporary Art Practices (Advanced)</t>
        </is>
      </c>
      <c r="C250" t="inlineStr">
        <is>
          <t>Masters Degree (Coursework)</t>
        </is>
      </c>
      <c r="D250" t="inlineStr">
        <is>
          <t>Postgraduate coursework</t>
        </is>
      </c>
      <c r="E250" t="inlineStr">
        <is>
          <t>Advertised: official page in place</t>
        </is>
      </c>
      <c r="F250" t="inlineStr">
        <is>
          <t>https://programsandcourses.anu.edu.au/program/vcap</t>
        </is>
      </c>
      <c r="G250" t="inlineStr">
        <is>
          <t>https://programsandcourses.anu.edu.au/program/vcap</t>
        </is>
      </c>
      <c r="H250" t="inlineStr">
        <is>
          <t>Read</t>
        </is>
      </c>
      <c r="I250" t="inlineStr">
        <is>
          <t>CRICOS code on page</t>
        </is>
      </c>
      <c r="J250" t="inlineStr"/>
      <c r="K250" t="inlineStr">
        <is>
          <t>Not sent to re-link</t>
        </is>
      </c>
      <c r="L250" t="inlineStr">
        <is>
          <t>Filled</t>
        </is>
      </c>
      <c r="M250" t="inlineStr">
        <is>
          <t>Filled</t>
        </is>
      </c>
      <c r="N250" t="inlineStr">
        <is>
          <t>47940.00 2026</t>
        </is>
      </c>
      <c r="O250" t="n">
        <v>0</v>
      </c>
      <c r="P250" t="inlineStr">
        <is>
          <t>University adapter</t>
        </is>
      </c>
      <c r="Q250" t="inlineStr">
        <is>
          <t>Filled</t>
        </is>
      </c>
      <c r="R250" t="n">
        <v>6.5</v>
      </c>
      <c r="S250" t="inlineStr">
        <is>
          <t>Central English policy</t>
        </is>
      </c>
      <c r="T250" t="inlineStr">
        <is>
          <t>Central rule applies (value agrees)</t>
        </is>
      </c>
      <c r="U250" t="inlineStr"/>
      <c r="V250" t="inlineStr">
        <is>
          <t>Waiting for Layer 4 review</t>
        </is>
      </c>
      <c r="W250" t="inlineStr"/>
      <c r="X250" t="inlineStr"/>
      <c r="Y250" t="n">
        <v>0</v>
      </c>
      <c r="Z250" t="inlineStr">
        <is>
          <t>No</t>
        </is>
      </c>
      <c r="AA250" t="inlineStr">
        <is>
          <t>Filled</t>
        </is>
      </c>
      <c r="AB250" t="inlineStr">
        <is>
          <t>on campus</t>
        </is>
      </c>
      <c r="AC250" t="inlineStr"/>
      <c r="AD250" t="n">
        <v>0</v>
      </c>
      <c r="AE250" t="inlineStr"/>
      <c r="AF250" t="inlineStr">
        <is>
          <t>Yes</t>
        </is>
      </c>
      <c r="AG250" t="inlineStr"/>
      <c r="AH250" t="inlineStr"/>
      <c r="AI250" t="inlineStr"/>
      <c r="AJ250" t="inlineStr"/>
      <c r="AK250" t="inlineStr"/>
      <c r="AL250" t="inlineStr"/>
      <c r="AM250" t="inlineStr"/>
    </row>
    <row r="251">
      <c r="A251" t="inlineStr">
        <is>
          <t>102927D</t>
        </is>
      </c>
      <c r="B251" t="inlineStr">
        <is>
          <t>Master of Contemporary Practices in Art and Design</t>
        </is>
      </c>
      <c r="C251" t="inlineStr">
        <is>
          <t>Masters Degree (Coursework)</t>
        </is>
      </c>
      <c r="D251" t="inlineStr">
        <is>
          <t>Postgraduate coursework</t>
        </is>
      </c>
      <c r="E251" t="inlineStr">
        <is>
          <t>Advertised: official page in place</t>
        </is>
      </c>
      <c r="F251" t="inlineStr">
        <is>
          <t>https://programsandcourses.anu.edu.au/2021/program/mcpad</t>
        </is>
      </c>
      <c r="G251" t="inlineStr">
        <is>
          <t>https://programsandcourses.anu.edu.au/2022/program/mcpad</t>
        </is>
      </c>
      <c r="H251" t="inlineStr">
        <is>
          <t>Read</t>
        </is>
      </c>
      <c r="I251" t="inlineStr">
        <is>
          <t>CRICOS code on page</t>
        </is>
      </c>
      <c r="J251" t="inlineStr"/>
      <c r="K251" t="inlineStr">
        <is>
          <t>Not sent to re-link</t>
        </is>
      </c>
      <c r="L251" t="inlineStr">
        <is>
          <t>Filled</t>
        </is>
      </c>
      <c r="M251" t="inlineStr">
        <is>
          <t>Filled</t>
        </is>
      </c>
      <c r="N251" t="inlineStr">
        <is>
          <t>39794.00 2026</t>
        </is>
      </c>
      <c r="O251" t="n">
        <v>0</v>
      </c>
      <c r="P251" t="inlineStr">
        <is>
          <t>University adapter</t>
        </is>
      </c>
      <c r="Q251" t="inlineStr">
        <is>
          <t>Filled</t>
        </is>
      </c>
      <c r="R251" t="n">
        <v>6.5</v>
      </c>
      <c r="S251" t="inlineStr">
        <is>
          <t>Central English policy</t>
        </is>
      </c>
      <c r="T251" t="inlineStr">
        <is>
          <t>Central rule applies (value agrees)</t>
        </is>
      </c>
      <c r="U251" t="inlineStr"/>
      <c r="V251" t="inlineStr">
        <is>
          <t>Not stated on course page</t>
        </is>
      </c>
      <c r="W251" t="inlineStr"/>
      <c r="X251" t="inlineStr"/>
      <c r="Y251" t="n">
        <v>0</v>
      </c>
      <c r="Z251" t="inlineStr">
        <is>
          <t>No</t>
        </is>
      </c>
      <c r="AA251" t="inlineStr">
        <is>
          <t>Filled</t>
        </is>
      </c>
      <c r="AB251" t="inlineStr">
        <is>
          <t>on campus</t>
        </is>
      </c>
      <c r="AC251" t="inlineStr"/>
      <c r="AD251" t="n">
        <v>0</v>
      </c>
      <c r="AE251" t="inlineStr"/>
      <c r="AF251" t="inlineStr"/>
      <c r="AG251" t="inlineStr"/>
      <c r="AH251" t="inlineStr"/>
      <c r="AI251" t="inlineStr"/>
      <c r="AJ251" t="inlineStr"/>
      <c r="AK251" t="inlineStr"/>
      <c r="AL251" t="inlineStr"/>
      <c r="AM251" t="inlineStr"/>
    </row>
    <row r="252">
      <c r="A252" t="inlineStr">
        <is>
          <t>102928C</t>
        </is>
      </c>
      <c r="B252" t="inlineStr">
        <is>
          <t>Master of Contemporary Practices in Art and Design (Advanced)</t>
        </is>
      </c>
      <c r="C252" t="inlineStr">
        <is>
          <t>Masters Degree (Coursework)</t>
        </is>
      </c>
      <c r="D252" t="inlineStr">
        <is>
          <t>Postgraduate coursework</t>
        </is>
      </c>
      <c r="E252" t="inlineStr">
        <is>
          <t>Advertised: official page in place</t>
        </is>
      </c>
      <c r="F252" t="inlineStr">
        <is>
          <t>https://programsandcourses.anu.edu.au/2021/program/vcpad</t>
        </is>
      </c>
      <c r="G252" t="inlineStr">
        <is>
          <t>https://programsandcourses.anu.edu.au/2021/program/vcpad</t>
        </is>
      </c>
      <c r="H252" t="inlineStr">
        <is>
          <t>Read</t>
        </is>
      </c>
      <c r="I252" t="inlineStr">
        <is>
          <t>CRICOS code on page</t>
        </is>
      </c>
      <c r="J252" t="inlineStr"/>
      <c r="K252" t="inlineStr">
        <is>
          <t>Finished, no page: no address from the university's address forms or stored lis</t>
        </is>
      </c>
      <c r="L252" t="inlineStr">
        <is>
          <t>Filled</t>
        </is>
      </c>
      <c r="M252" t="inlineStr">
        <is>
          <t>Filled</t>
        </is>
      </c>
      <c r="N252" t="inlineStr">
        <is>
          <t>39090.00 2026</t>
        </is>
      </c>
      <c r="O252" t="n">
        <v>0</v>
      </c>
      <c r="P252" t="inlineStr">
        <is>
          <t>University adapter</t>
        </is>
      </c>
      <c r="Q252" t="inlineStr">
        <is>
          <t>Filled</t>
        </is>
      </c>
      <c r="R252" t="n">
        <v>6.5</v>
      </c>
      <c r="S252" t="inlineStr">
        <is>
          <t>Central English policy</t>
        </is>
      </c>
      <c r="T252" t="inlineStr">
        <is>
          <t>Central rule applies (value agrees)</t>
        </is>
      </c>
      <c r="U252" t="inlineStr"/>
      <c r="V252" t="inlineStr">
        <is>
          <t>Not stated on course page</t>
        </is>
      </c>
      <c r="W252" t="inlineStr"/>
      <c r="X252" t="inlineStr"/>
      <c r="Y252" t="n">
        <v>0</v>
      </c>
      <c r="Z252" t="inlineStr">
        <is>
          <t>No</t>
        </is>
      </c>
      <c r="AA252" t="inlineStr">
        <is>
          <t>Filled</t>
        </is>
      </c>
      <c r="AB252" t="inlineStr">
        <is>
          <t>on campus</t>
        </is>
      </c>
      <c r="AC252" t="inlineStr">
        <is>
          <t>Skipped: the page does not state it</t>
        </is>
      </c>
      <c r="AD252" t="n">
        <v>0</v>
      </c>
      <c r="AE252" t="inlineStr"/>
      <c r="AF252" t="inlineStr"/>
      <c r="AG252" t="inlineStr"/>
      <c r="AH252" t="inlineStr"/>
      <c r="AI252" t="inlineStr"/>
      <c r="AJ252" t="inlineStr"/>
      <c r="AK252" t="inlineStr"/>
      <c r="AL252" t="inlineStr"/>
      <c r="AM252" t="inlineStr"/>
    </row>
    <row r="253">
      <c r="A253" t="inlineStr">
        <is>
          <t>096022M</t>
        </is>
      </c>
      <c r="B253" t="inlineStr">
        <is>
          <t>Master of Criminology, Justice and Regulation</t>
        </is>
      </c>
      <c r="C253" t="inlineStr">
        <is>
          <t>Masters Degree (Coursework)</t>
        </is>
      </c>
      <c r="D253" t="inlineStr">
        <is>
          <t>Postgraduate coursework</t>
        </is>
      </c>
      <c r="E253" t="inlineStr">
        <is>
          <t>Advertised: official page in place</t>
        </is>
      </c>
      <c r="F253" t="inlineStr">
        <is>
          <t>https://programsandcourses.anu.edu.au/2019/program/mcrjr</t>
        </is>
      </c>
      <c r="G253" t="inlineStr">
        <is>
          <t>https://programsandcourses.anu.edu.au/2020/program/mcjre</t>
        </is>
      </c>
      <c r="H253" t="inlineStr">
        <is>
          <t>Read</t>
        </is>
      </c>
      <c r="I253" t="inlineStr">
        <is>
          <t>Exact title match</t>
        </is>
      </c>
      <c r="J253" t="inlineStr"/>
      <c r="K253" t="inlineStr">
        <is>
          <t>Not sent to re-link</t>
        </is>
      </c>
      <c r="L253" t="inlineStr">
        <is>
          <t>Filled</t>
        </is>
      </c>
      <c r="M253" t="inlineStr">
        <is>
          <t>Filled</t>
        </is>
      </c>
      <c r="N253" t="inlineStr">
        <is>
          <t>44880.00 2026</t>
        </is>
      </c>
      <c r="O253" t="n">
        <v>0</v>
      </c>
      <c r="P253" t="inlineStr">
        <is>
          <t>University adapter</t>
        </is>
      </c>
      <c r="Q253" t="inlineStr">
        <is>
          <t>Filled</t>
        </is>
      </c>
      <c r="R253" t="n">
        <v>6.5</v>
      </c>
      <c r="S253" t="inlineStr">
        <is>
          <t>Central English policy</t>
        </is>
      </c>
      <c r="T253" t="inlineStr">
        <is>
          <t>Central rule applies (value agrees)</t>
        </is>
      </c>
      <c r="U253" t="inlineStr"/>
      <c r="V253" t="inlineStr">
        <is>
          <t>Not stated on course page</t>
        </is>
      </c>
      <c r="W253" t="inlineStr"/>
      <c r="X253" t="inlineStr"/>
      <c r="Y253" t="n">
        <v>0</v>
      </c>
      <c r="Z253" t="inlineStr">
        <is>
          <t>No</t>
        </is>
      </c>
      <c r="AA253" t="inlineStr">
        <is>
          <t>Filled</t>
        </is>
      </c>
      <c r="AB253" t="inlineStr">
        <is>
          <t>on campus</t>
        </is>
      </c>
      <c r="AC253" t="inlineStr"/>
      <c r="AD253" t="n">
        <v>0</v>
      </c>
      <c r="AE253" t="inlineStr"/>
      <c r="AF253" t="inlineStr"/>
      <c r="AG253" t="inlineStr"/>
      <c r="AH253" t="inlineStr"/>
      <c r="AI253" t="inlineStr"/>
      <c r="AJ253" t="inlineStr"/>
      <c r="AK253" t="inlineStr"/>
      <c r="AL253" t="inlineStr"/>
      <c r="AM253" t="inlineStr"/>
    </row>
    <row r="254">
      <c r="A254" t="inlineStr">
        <is>
          <t>0101472</t>
        </is>
      </c>
      <c r="B254" t="inlineStr">
        <is>
          <t>Master of Criminology, Justice and Regulation</t>
        </is>
      </c>
      <c r="C254" t="inlineStr">
        <is>
          <t>Masters Degree (Coursework)</t>
        </is>
      </c>
      <c r="D254" t="inlineStr">
        <is>
          <t>Postgraduate coursework</t>
        </is>
      </c>
      <c r="E254" t="inlineStr">
        <is>
          <t>Advertised: official page in place</t>
        </is>
      </c>
      <c r="F254" t="inlineStr">
        <is>
          <t>https://programsandcourses.anu.edu.au/2020/program/mcjre</t>
        </is>
      </c>
      <c r="G254" t="inlineStr">
        <is>
          <t>https://programsandcourses.anu.edu.au/2020/program/mcjre</t>
        </is>
      </c>
      <c r="H254" t="inlineStr">
        <is>
          <t>Read</t>
        </is>
      </c>
      <c r="I254" t="inlineStr">
        <is>
          <t>CRICOS code on page</t>
        </is>
      </c>
      <c r="J254" t="inlineStr"/>
      <c r="K254" t="inlineStr">
        <is>
          <t>Not sent to re-link</t>
        </is>
      </c>
      <c r="L254" t="inlineStr">
        <is>
          <t>Filled</t>
        </is>
      </c>
      <c r="M254" t="inlineStr">
        <is>
          <t>Filled</t>
        </is>
      </c>
      <c r="N254" t="inlineStr">
        <is>
          <t>44880.00 2026</t>
        </is>
      </c>
      <c r="O254" t="n">
        <v>0</v>
      </c>
      <c r="P254" t="inlineStr">
        <is>
          <t>University adapter</t>
        </is>
      </c>
      <c r="Q254" t="inlineStr">
        <is>
          <t>Filled</t>
        </is>
      </c>
      <c r="R254" t="n">
        <v>6.5</v>
      </c>
      <c r="S254" t="inlineStr">
        <is>
          <t>Central English policy</t>
        </is>
      </c>
      <c r="T254" t="inlineStr">
        <is>
          <t>Central rule applies (value agrees)</t>
        </is>
      </c>
      <c r="U254" t="inlineStr"/>
      <c r="V254" t="inlineStr">
        <is>
          <t>Waiting for Layer 4 review</t>
        </is>
      </c>
      <c r="W254" t="inlineStr"/>
      <c r="X254" t="inlineStr"/>
      <c r="Y254" t="n">
        <v>0</v>
      </c>
      <c r="Z254" t="inlineStr">
        <is>
          <t>No</t>
        </is>
      </c>
      <c r="AA254" t="inlineStr">
        <is>
          <t>Filled</t>
        </is>
      </c>
      <c r="AB254" t="inlineStr">
        <is>
          <t>on campus</t>
        </is>
      </c>
      <c r="AC254" t="inlineStr"/>
      <c r="AD254" t="n">
        <v>0</v>
      </c>
      <c r="AE254" t="inlineStr"/>
      <c r="AF254" t="inlineStr">
        <is>
          <t>Yes</t>
        </is>
      </c>
      <c r="AG254" t="inlineStr"/>
      <c r="AH254" t="inlineStr"/>
      <c r="AI254" t="inlineStr"/>
      <c r="AJ254" t="inlineStr"/>
      <c r="AK254" t="inlineStr"/>
      <c r="AL254" t="inlineStr"/>
      <c r="AM254" t="inlineStr"/>
    </row>
    <row r="255">
      <c r="A255" t="inlineStr">
        <is>
          <t>082283E</t>
        </is>
      </c>
      <c r="B255" t="inlineStr">
        <is>
          <t>Master of Culture Health and Medicine</t>
        </is>
      </c>
      <c r="C255" t="inlineStr">
        <is>
          <t>Masters Degree (Coursework)</t>
        </is>
      </c>
      <c r="D255" t="inlineStr">
        <is>
          <t>Postgraduate coursework</t>
        </is>
      </c>
      <c r="E255" t="inlineStr">
        <is>
          <t>Advertised: official page in place</t>
        </is>
      </c>
      <c r="F255" t="inlineStr">
        <is>
          <t>https://programsandcourses.anu.edu.au/2024/program/mcham</t>
        </is>
      </c>
      <c r="G255" t="inlineStr">
        <is>
          <t>https://programsandcourses.anu.edu.au/2021/program/mcham</t>
        </is>
      </c>
      <c r="H255" t="inlineStr">
        <is>
          <t>Read</t>
        </is>
      </c>
      <c r="I255" t="inlineStr">
        <is>
          <t>CRICOS code on page</t>
        </is>
      </c>
      <c r="J255" t="inlineStr"/>
      <c r="K255" t="inlineStr">
        <is>
          <t>Not sent to re-link</t>
        </is>
      </c>
      <c r="L255" t="inlineStr">
        <is>
          <t>Filled</t>
        </is>
      </c>
      <c r="M255" t="inlineStr">
        <is>
          <t>Filled</t>
        </is>
      </c>
      <c r="N255" t="inlineStr">
        <is>
          <t>46910.00 2026</t>
        </is>
      </c>
      <c r="O255" t="n">
        <v>0</v>
      </c>
      <c r="P255" t="inlineStr">
        <is>
          <t>University adapter</t>
        </is>
      </c>
      <c r="Q255" t="inlineStr">
        <is>
          <t>Filled</t>
        </is>
      </c>
      <c r="R255" t="n">
        <v>6.5</v>
      </c>
      <c r="S255" t="inlineStr">
        <is>
          <t>Central English policy</t>
        </is>
      </c>
      <c r="T255" t="inlineStr">
        <is>
          <t>Central rule applies (value agrees)</t>
        </is>
      </c>
      <c r="U255" t="inlineStr"/>
      <c r="V255" t="inlineStr">
        <is>
          <t>Not stated on course page</t>
        </is>
      </c>
      <c r="W255" t="inlineStr"/>
      <c r="X255" t="inlineStr"/>
      <c r="Y255" t="n">
        <v>0</v>
      </c>
      <c r="Z255" t="inlineStr">
        <is>
          <t>No</t>
        </is>
      </c>
      <c r="AA255" t="inlineStr">
        <is>
          <t>Filled</t>
        </is>
      </c>
      <c r="AB255" t="inlineStr">
        <is>
          <t>blended</t>
        </is>
      </c>
      <c r="AC255" t="inlineStr"/>
      <c r="AD255" t="n">
        <v>0</v>
      </c>
      <c r="AE255" t="inlineStr"/>
      <c r="AF255" t="inlineStr"/>
      <c r="AG255" t="inlineStr"/>
      <c r="AH255" t="inlineStr"/>
      <c r="AI255" t="inlineStr"/>
      <c r="AJ255" t="inlineStr"/>
      <c r="AK255" t="inlineStr"/>
      <c r="AL255" t="inlineStr"/>
      <c r="AM255" t="inlineStr"/>
    </row>
    <row r="256">
      <c r="A256" t="inlineStr">
        <is>
          <t>082284D</t>
        </is>
      </c>
      <c r="B256" t="inlineStr">
        <is>
          <t>Master of Culture Health and Medicine (Advanced)</t>
        </is>
      </c>
      <c r="C256" t="inlineStr">
        <is>
          <t>Masters Degree (Coursework)</t>
        </is>
      </c>
      <c r="D256" t="inlineStr">
        <is>
          <t>Postgraduate coursework</t>
        </is>
      </c>
      <c r="E256" t="inlineStr">
        <is>
          <t>Advertised: official page in place</t>
        </is>
      </c>
      <c r="F256" t="inlineStr">
        <is>
          <t>https://programsandcourses.anu.edu.au/2025/program/vcham</t>
        </is>
      </c>
      <c r="G256" t="inlineStr">
        <is>
          <t>https://programsandcourses.anu.edu.au/2021/program/vcham</t>
        </is>
      </c>
      <c r="H256" t="inlineStr">
        <is>
          <t>Read</t>
        </is>
      </c>
      <c r="I256" t="inlineStr">
        <is>
          <t>CRICOS code on page</t>
        </is>
      </c>
      <c r="J256" t="inlineStr"/>
      <c r="K256" t="inlineStr">
        <is>
          <t>Not sent to re-link</t>
        </is>
      </c>
      <c r="L256" t="inlineStr">
        <is>
          <t>Filled</t>
        </is>
      </c>
      <c r="M256" t="inlineStr">
        <is>
          <t>Filled</t>
        </is>
      </c>
      <c r="N256" t="inlineStr">
        <is>
          <t>46910.00 2026</t>
        </is>
      </c>
      <c r="O256" t="n">
        <v>0</v>
      </c>
      <c r="P256" t="inlineStr">
        <is>
          <t>Other</t>
        </is>
      </c>
      <c r="Q256" t="inlineStr">
        <is>
          <t>Filled</t>
        </is>
      </c>
      <c r="R256" t="n">
        <v>6.5</v>
      </c>
      <c r="S256" t="inlineStr">
        <is>
          <t>Central English policy</t>
        </is>
      </c>
      <c r="T256" t="inlineStr">
        <is>
          <t>Central rule applies (value agrees)</t>
        </is>
      </c>
      <c r="U256" t="inlineStr"/>
      <c r="V256" t="inlineStr">
        <is>
          <t>Waiting for Layer 4 review</t>
        </is>
      </c>
      <c r="W256" t="inlineStr"/>
      <c r="X256" t="inlineStr"/>
      <c r="Y256" t="n">
        <v>0</v>
      </c>
      <c r="Z256" t="inlineStr">
        <is>
          <t>No</t>
        </is>
      </c>
      <c r="AA256" t="inlineStr">
        <is>
          <t>Filled</t>
        </is>
      </c>
      <c r="AB256" t="inlineStr">
        <is>
          <t>blended</t>
        </is>
      </c>
      <c r="AC256" t="inlineStr"/>
      <c r="AD256" t="n">
        <v>0</v>
      </c>
      <c r="AE256" t="inlineStr"/>
      <c r="AF256" t="inlineStr">
        <is>
          <t>Yes</t>
        </is>
      </c>
      <c r="AG256" t="inlineStr"/>
      <c r="AH256" t="inlineStr"/>
      <c r="AI256" t="inlineStr"/>
      <c r="AJ256" t="inlineStr"/>
      <c r="AK256" t="inlineStr"/>
      <c r="AL256" t="inlineStr"/>
      <c r="AM256" t="inlineStr"/>
    </row>
    <row r="257">
      <c r="A257" t="inlineStr">
        <is>
          <t>093291C</t>
        </is>
      </c>
      <c r="B257" t="inlineStr">
        <is>
          <t>Master of Demography</t>
        </is>
      </c>
      <c r="C257" t="inlineStr">
        <is>
          <t>Masters Degree (Coursework)</t>
        </is>
      </c>
      <c r="D257" t="inlineStr">
        <is>
          <t>Postgraduate coursework</t>
        </is>
      </c>
      <c r="E257" t="inlineStr">
        <is>
          <t>Advertised: official page in place</t>
        </is>
      </c>
      <c r="F257" t="inlineStr">
        <is>
          <t>https://programsandcourses.anu.edu.au/2017/program/mdemo</t>
        </is>
      </c>
      <c r="G257" t="inlineStr">
        <is>
          <t>https://programsandcourses.anu.edu.au/2019/program/mdemo</t>
        </is>
      </c>
      <c r="H257" t="inlineStr">
        <is>
          <t>Read</t>
        </is>
      </c>
      <c r="I257" t="inlineStr">
        <is>
          <t>CRICOS code on page</t>
        </is>
      </c>
      <c r="J257" t="inlineStr"/>
      <c r="K257" t="inlineStr">
        <is>
          <t>Not sent to re-link</t>
        </is>
      </c>
      <c r="L257" t="inlineStr">
        <is>
          <t>Filled</t>
        </is>
      </c>
      <c r="M257" t="inlineStr">
        <is>
          <t>Filled</t>
        </is>
      </c>
      <c r="N257" t="inlineStr">
        <is>
          <t>41280.00 2026</t>
        </is>
      </c>
      <c r="O257" t="n">
        <v>0</v>
      </c>
      <c r="P257" t="inlineStr">
        <is>
          <t>University adapter</t>
        </is>
      </c>
      <c r="Q257" t="inlineStr">
        <is>
          <t>Filled</t>
        </is>
      </c>
      <c r="R257" t="n">
        <v>6.5</v>
      </c>
      <c r="S257" t="inlineStr">
        <is>
          <t>Central English policy</t>
        </is>
      </c>
      <c r="T257" t="inlineStr">
        <is>
          <t>Central rule applies (value agrees)</t>
        </is>
      </c>
      <c r="U257" t="inlineStr"/>
      <c r="V257" t="inlineStr">
        <is>
          <t>Waiting for AI reading (Layer 3, now retired)</t>
        </is>
      </c>
      <c r="W257" t="inlineStr"/>
      <c r="X257" t="inlineStr"/>
      <c r="Y257" t="n">
        <v>0</v>
      </c>
      <c r="Z257" t="inlineStr">
        <is>
          <t>No</t>
        </is>
      </c>
      <c r="AA257" t="inlineStr">
        <is>
          <t>Filled</t>
        </is>
      </c>
      <c r="AB257" t="inlineStr">
        <is>
          <t>blended</t>
        </is>
      </c>
      <c r="AC257" t="inlineStr">
        <is>
          <t>Filled</t>
        </is>
      </c>
      <c r="AD257" t="n">
        <v>0</v>
      </c>
      <c r="AE257" t="inlineStr"/>
      <c r="AF257" t="inlineStr"/>
      <c r="AG257" t="inlineStr">
        <is>
          <t>Yes</t>
        </is>
      </c>
      <c r="AH257" t="inlineStr"/>
      <c r="AI257" t="inlineStr"/>
      <c r="AJ257" t="inlineStr"/>
      <c r="AK257" t="inlineStr"/>
      <c r="AL257" t="inlineStr"/>
      <c r="AM257" t="inlineStr"/>
    </row>
    <row r="258">
      <c r="A258" t="inlineStr">
        <is>
          <t>093292B</t>
        </is>
      </c>
      <c r="B258" t="inlineStr">
        <is>
          <t>Master of Demography (Advanced)</t>
        </is>
      </c>
      <c r="C258" t="inlineStr">
        <is>
          <t>Masters Degree (Coursework)</t>
        </is>
      </c>
      <c r="D258" t="inlineStr">
        <is>
          <t>Postgraduate coursework</t>
        </is>
      </c>
      <c r="E258" t="inlineStr">
        <is>
          <t>Advertised: official page in place</t>
        </is>
      </c>
      <c r="F258" t="inlineStr">
        <is>
          <t>https://programsandcourses.anu.edu.au/2021/program/vdemo</t>
        </is>
      </c>
      <c r="G258" t="inlineStr">
        <is>
          <t>https://programsandcourses.anu.edu.au/2020/program/vdemo</t>
        </is>
      </c>
      <c r="H258" t="inlineStr">
        <is>
          <t>Read</t>
        </is>
      </c>
      <c r="I258" t="inlineStr">
        <is>
          <t>CRICOS code on page</t>
        </is>
      </c>
      <c r="J258" t="inlineStr"/>
      <c r="K258" t="inlineStr">
        <is>
          <t>Not sent to re-link</t>
        </is>
      </c>
      <c r="L258" t="inlineStr">
        <is>
          <t>Filled</t>
        </is>
      </c>
      <c r="M258" t="inlineStr">
        <is>
          <t>Filled</t>
        </is>
      </c>
      <c r="N258" t="inlineStr">
        <is>
          <t>43344.00 2026</t>
        </is>
      </c>
      <c r="O258" t="n">
        <v>0</v>
      </c>
      <c r="P258" t="inlineStr">
        <is>
          <t>University adapter</t>
        </is>
      </c>
      <c r="Q258" t="inlineStr">
        <is>
          <t>Filled</t>
        </is>
      </c>
      <c r="R258" t="n">
        <v>6.5</v>
      </c>
      <c r="S258" t="inlineStr">
        <is>
          <t>Central English policy</t>
        </is>
      </c>
      <c r="T258" t="inlineStr">
        <is>
          <t>Central rule applies (value agrees)</t>
        </is>
      </c>
      <c r="U258" t="inlineStr"/>
      <c r="V258" t="inlineStr">
        <is>
          <t>Not stated on course page</t>
        </is>
      </c>
      <c r="W258" t="inlineStr"/>
      <c r="X258" t="inlineStr"/>
      <c r="Y258" t="n">
        <v>0</v>
      </c>
      <c r="Z258" t="inlineStr">
        <is>
          <t>No</t>
        </is>
      </c>
      <c r="AA258" t="inlineStr">
        <is>
          <t>Filled</t>
        </is>
      </c>
      <c r="AB258" t="inlineStr">
        <is>
          <t>on campus</t>
        </is>
      </c>
      <c r="AC258" t="inlineStr"/>
      <c r="AD258" t="n">
        <v>0</v>
      </c>
      <c r="AE258" t="inlineStr"/>
      <c r="AF258" t="inlineStr"/>
      <c r="AG258" t="inlineStr"/>
      <c r="AH258" t="inlineStr"/>
      <c r="AI258" t="inlineStr"/>
      <c r="AJ258" t="inlineStr"/>
      <c r="AK258" t="inlineStr"/>
      <c r="AL258" t="inlineStr"/>
      <c r="AM258" t="inlineStr"/>
    </row>
    <row r="259">
      <c r="A259" t="inlineStr">
        <is>
          <t>092388B</t>
        </is>
      </c>
      <c r="B259" t="inlineStr">
        <is>
          <t>Master of Design</t>
        </is>
      </c>
      <c r="C259" t="inlineStr">
        <is>
          <t>Masters Degree (Coursework)</t>
        </is>
      </c>
      <c r="D259" t="inlineStr">
        <is>
          <t>Postgraduate coursework</t>
        </is>
      </c>
      <c r="E259" t="inlineStr">
        <is>
          <t>Advertised: official page in place</t>
        </is>
      </c>
      <c r="F259" t="inlineStr">
        <is>
          <t>https://programsandcourses.anu.edu.au/2020/program/mdesn</t>
        </is>
      </c>
      <c r="G259" t="inlineStr">
        <is>
          <t>https://programsandcourses.anu.edu.au/2020/program/mdesn</t>
        </is>
      </c>
      <c r="H259" t="inlineStr">
        <is>
          <t>Read</t>
        </is>
      </c>
      <c r="I259" t="inlineStr">
        <is>
          <t>CRICOS code on page</t>
        </is>
      </c>
      <c r="J259" t="inlineStr"/>
      <c r="K259" t="inlineStr">
        <is>
          <t>Not sent to re-link</t>
        </is>
      </c>
      <c r="L259" t="inlineStr">
        <is>
          <t>Filled</t>
        </is>
      </c>
      <c r="M259" t="inlineStr">
        <is>
          <t>Filled</t>
        </is>
      </c>
      <c r="N259" t="inlineStr">
        <is>
          <t>38304.00 2026</t>
        </is>
      </c>
      <c r="O259" t="n">
        <v>0</v>
      </c>
      <c r="P259" t="inlineStr">
        <is>
          <t>Other</t>
        </is>
      </c>
      <c r="Q259" t="inlineStr">
        <is>
          <t>Filled</t>
        </is>
      </c>
      <c r="R259" t="n">
        <v>6.5</v>
      </c>
      <c r="S259" t="inlineStr">
        <is>
          <t>Central English policy</t>
        </is>
      </c>
      <c r="T259" t="inlineStr">
        <is>
          <t>Central rule applies (value agrees)</t>
        </is>
      </c>
      <c r="U259" t="inlineStr"/>
      <c r="V259" t="inlineStr">
        <is>
          <t>Not stated on course page</t>
        </is>
      </c>
      <c r="W259" t="inlineStr"/>
      <c r="X259" t="inlineStr"/>
      <c r="Y259" t="n">
        <v>0</v>
      </c>
      <c r="Z259" t="inlineStr">
        <is>
          <t>No</t>
        </is>
      </c>
      <c r="AA259" t="inlineStr">
        <is>
          <t>Filled</t>
        </is>
      </c>
      <c r="AB259" t="inlineStr">
        <is>
          <t>on campus</t>
        </is>
      </c>
      <c r="AC259" t="inlineStr"/>
      <c r="AD259" t="n">
        <v>0</v>
      </c>
      <c r="AE259" t="inlineStr"/>
      <c r="AF259" t="inlineStr"/>
      <c r="AG259" t="inlineStr"/>
      <c r="AH259" t="inlineStr"/>
      <c r="AI259" t="inlineStr"/>
      <c r="AJ259" t="inlineStr"/>
      <c r="AK259" t="inlineStr"/>
      <c r="AL259" t="inlineStr"/>
      <c r="AM259" t="inlineStr"/>
    </row>
    <row r="260">
      <c r="A260" t="inlineStr">
        <is>
          <t>092389A</t>
        </is>
      </c>
      <c r="B260" t="inlineStr">
        <is>
          <t>Master of Design (Advanced)</t>
        </is>
      </c>
      <c r="C260" t="inlineStr">
        <is>
          <t>Masters Degree (Coursework)</t>
        </is>
      </c>
      <c r="D260" t="inlineStr">
        <is>
          <t>Postgraduate coursework</t>
        </is>
      </c>
      <c r="E260" t="inlineStr">
        <is>
          <t>Advertised: official page in place</t>
        </is>
      </c>
      <c r="F260" t="inlineStr">
        <is>
          <t>https://programsandcourses.anu.edu.au/2017/program/vdesn</t>
        </is>
      </c>
      <c r="G260" t="inlineStr">
        <is>
          <t>https://programsandcourses.anu.edu.au/2020/program/vdesn</t>
        </is>
      </c>
      <c r="H260" t="inlineStr">
        <is>
          <t>Read</t>
        </is>
      </c>
      <c r="I260" t="inlineStr">
        <is>
          <t>CRICOS code on page</t>
        </is>
      </c>
      <c r="J260" t="inlineStr"/>
      <c r="K260" t="inlineStr">
        <is>
          <t>Not sent to re-link</t>
        </is>
      </c>
      <c r="L260" t="inlineStr">
        <is>
          <t>Filled</t>
        </is>
      </c>
      <c r="M260" t="inlineStr">
        <is>
          <t>Filled</t>
        </is>
      </c>
      <c r="N260" t="inlineStr">
        <is>
          <t>38304.00 2026</t>
        </is>
      </c>
      <c r="O260" t="n">
        <v>0</v>
      </c>
      <c r="P260" t="inlineStr">
        <is>
          <t>University adapter</t>
        </is>
      </c>
      <c r="Q260" t="inlineStr">
        <is>
          <t>Filled</t>
        </is>
      </c>
      <c r="R260" t="n">
        <v>6.5</v>
      </c>
      <c r="S260" t="inlineStr">
        <is>
          <t>Central English policy</t>
        </is>
      </c>
      <c r="T260" t="inlineStr">
        <is>
          <t>Central rule applies (value agrees)</t>
        </is>
      </c>
      <c r="U260" t="inlineStr"/>
      <c r="V260" t="inlineStr">
        <is>
          <t>Waiting for Layer 4 review</t>
        </is>
      </c>
      <c r="W260" t="inlineStr"/>
      <c r="X260" t="inlineStr"/>
      <c r="Y260" t="n">
        <v>0</v>
      </c>
      <c r="Z260" t="inlineStr">
        <is>
          <t>No</t>
        </is>
      </c>
      <c r="AA260" t="inlineStr">
        <is>
          <t>Filled</t>
        </is>
      </c>
      <c r="AB260" t="inlineStr">
        <is>
          <t>on campus</t>
        </is>
      </c>
      <c r="AC260" t="inlineStr"/>
      <c r="AD260" t="n">
        <v>0</v>
      </c>
      <c r="AE260" t="inlineStr"/>
      <c r="AF260" t="inlineStr">
        <is>
          <t>Yes</t>
        </is>
      </c>
      <c r="AG260" t="inlineStr"/>
      <c r="AH260" t="inlineStr"/>
      <c r="AI260" t="inlineStr"/>
      <c r="AJ260" t="inlineStr"/>
      <c r="AK260" t="inlineStr"/>
      <c r="AL260" t="inlineStr"/>
      <c r="AM260" t="inlineStr"/>
    </row>
    <row r="261">
      <c r="A261" t="inlineStr">
        <is>
          <t>082285C</t>
        </is>
      </c>
      <c r="B261" t="inlineStr">
        <is>
          <t>Master of Digital Arts</t>
        </is>
      </c>
      <c r="C261" t="inlineStr">
        <is>
          <t>Masters Degree (Coursework)</t>
        </is>
      </c>
      <c r="D261" t="inlineStr">
        <is>
          <t>Postgraduate coursework</t>
        </is>
      </c>
      <c r="E261" t="inlineStr">
        <is>
          <t>Advertised: official page in place</t>
        </is>
      </c>
      <c r="F261" t="inlineStr">
        <is>
          <t>https://programsandcourses.anu.edu.au/2016/program/mdiga</t>
        </is>
      </c>
      <c r="G261" t="inlineStr">
        <is>
          <t>https://programsandcourses.anu.edu.au/2017/program/mdiga</t>
        </is>
      </c>
      <c r="H261" t="inlineStr">
        <is>
          <t>Read</t>
        </is>
      </c>
      <c r="I261" t="inlineStr">
        <is>
          <t>CRICOS code on page</t>
        </is>
      </c>
      <c r="J261" t="inlineStr"/>
      <c r="K261" t="inlineStr">
        <is>
          <t>Not sent to re-link</t>
        </is>
      </c>
      <c r="L261" t="inlineStr">
        <is>
          <t>Filled</t>
        </is>
      </c>
      <c r="M261" t="inlineStr">
        <is>
          <t>Filled</t>
        </is>
      </c>
      <c r="N261" t="inlineStr">
        <is>
          <t>32640.00 2026</t>
        </is>
      </c>
      <c r="O261" t="n">
        <v>0</v>
      </c>
      <c r="P261" t="inlineStr">
        <is>
          <t>University adapter</t>
        </is>
      </c>
      <c r="Q261" t="inlineStr">
        <is>
          <t>Filled</t>
        </is>
      </c>
      <c r="R261" t="n">
        <v>6.5</v>
      </c>
      <c r="S261" t="inlineStr">
        <is>
          <t>Central English policy</t>
        </is>
      </c>
      <c r="T261" t="inlineStr">
        <is>
          <t>Central rule applies (value agrees)</t>
        </is>
      </c>
      <c r="U261" t="inlineStr"/>
      <c r="V261" t="inlineStr">
        <is>
          <t>Not stated on course page</t>
        </is>
      </c>
      <c r="W261" t="inlineStr"/>
      <c r="X261" t="inlineStr"/>
      <c r="Y261" t="n">
        <v>0</v>
      </c>
      <c r="Z261" t="inlineStr">
        <is>
          <t>No</t>
        </is>
      </c>
      <c r="AA261" t="inlineStr">
        <is>
          <t>Filled</t>
        </is>
      </c>
      <c r="AB261" t="inlineStr">
        <is>
          <t>on campus</t>
        </is>
      </c>
      <c r="AC261" t="inlineStr">
        <is>
          <t>Filled</t>
        </is>
      </c>
      <c r="AD261" t="n">
        <v>0</v>
      </c>
      <c r="AE261" t="inlineStr"/>
      <c r="AF261" t="inlineStr"/>
      <c r="AG261" t="inlineStr"/>
      <c r="AH261" t="inlineStr"/>
      <c r="AI261" t="inlineStr"/>
      <c r="AJ261" t="inlineStr"/>
      <c r="AK261" t="inlineStr"/>
      <c r="AL261" t="inlineStr"/>
      <c r="AM261" t="inlineStr"/>
    </row>
    <row r="262">
      <c r="A262" t="inlineStr">
        <is>
          <t>082286B</t>
        </is>
      </c>
      <c r="B262" t="inlineStr">
        <is>
          <t>Master of Digital Arts (Advanced)</t>
        </is>
      </c>
      <c r="C262" t="inlineStr">
        <is>
          <t>Masters Degree (Coursework)</t>
        </is>
      </c>
      <c r="D262" t="inlineStr">
        <is>
          <t>Postgraduate coursework</t>
        </is>
      </c>
      <c r="E262" t="inlineStr">
        <is>
          <t>Advertised: official page in place</t>
        </is>
      </c>
      <c r="F262" t="inlineStr">
        <is>
          <t>https://programsandcourses.anu.edu.au/2015/program/vdiga</t>
        </is>
      </c>
      <c r="G262" t="inlineStr">
        <is>
          <t>https://programsandcourses.anu.edu.au/2019/program/vdiga</t>
        </is>
      </c>
      <c r="H262" t="inlineStr">
        <is>
          <t>Read</t>
        </is>
      </c>
      <c r="I262" t="inlineStr">
        <is>
          <t>CRICOS code on page</t>
        </is>
      </c>
      <c r="J262" t="inlineStr"/>
      <c r="K262" t="inlineStr">
        <is>
          <t>Not sent to re-link</t>
        </is>
      </c>
      <c r="L262" t="inlineStr">
        <is>
          <t>Filled</t>
        </is>
      </c>
      <c r="M262" t="inlineStr">
        <is>
          <t>Filled</t>
        </is>
      </c>
      <c r="N262" t="inlineStr">
        <is>
          <t>36480.00 2026</t>
        </is>
      </c>
      <c r="O262" t="n">
        <v>0</v>
      </c>
      <c r="P262" t="inlineStr">
        <is>
          <t>University adapter</t>
        </is>
      </c>
      <c r="Q262" t="inlineStr">
        <is>
          <t>Filled</t>
        </is>
      </c>
      <c r="R262" t="n">
        <v>6.5</v>
      </c>
      <c r="S262" t="inlineStr">
        <is>
          <t>Central English policy</t>
        </is>
      </c>
      <c r="T262" t="inlineStr">
        <is>
          <t>Central rule applies (value agrees)</t>
        </is>
      </c>
      <c r="U262" t="inlineStr"/>
      <c r="V262" t="inlineStr">
        <is>
          <t>Not stated on course page</t>
        </is>
      </c>
      <c r="W262" t="inlineStr"/>
      <c r="X262" t="inlineStr"/>
      <c r="Y262" t="n">
        <v>0</v>
      </c>
      <c r="Z262" t="inlineStr">
        <is>
          <t>No</t>
        </is>
      </c>
      <c r="AA262" t="inlineStr">
        <is>
          <t>Filled</t>
        </is>
      </c>
      <c r="AB262" t="inlineStr">
        <is>
          <t>on campus</t>
        </is>
      </c>
      <c r="AC262" t="inlineStr">
        <is>
          <t>Filled</t>
        </is>
      </c>
      <c r="AD262" t="n">
        <v>0</v>
      </c>
      <c r="AE262" t="inlineStr"/>
      <c r="AF262" t="inlineStr"/>
      <c r="AG262" t="inlineStr"/>
      <c r="AH262" t="inlineStr"/>
      <c r="AI262" t="inlineStr"/>
      <c r="AJ262" t="inlineStr"/>
      <c r="AK262" t="inlineStr"/>
      <c r="AL262" t="inlineStr"/>
      <c r="AM262" t="inlineStr"/>
    </row>
    <row r="263">
      <c r="A263" t="inlineStr">
        <is>
          <t>117466E</t>
        </is>
      </c>
      <c r="B263" t="inlineStr">
        <is>
          <t>Master of Digital Humanities</t>
        </is>
      </c>
      <c r="C263" t="inlineStr">
        <is>
          <t>Masters Degree (Coursework)</t>
        </is>
      </c>
      <c r="D263" t="inlineStr">
        <is>
          <t>Postgraduate coursework</t>
        </is>
      </c>
      <c r="E263" t="inlineStr">
        <is>
          <t>Advertised: official page in place</t>
        </is>
      </c>
      <c r="F263" t="inlineStr">
        <is>
          <t>https://cass.anu.edu.au/degrees/master-digital-humanities</t>
        </is>
      </c>
      <c r="G263" t="inlineStr">
        <is>
          <t>https://cass.anu.edu.au/degrees/master-digital-humanities</t>
        </is>
      </c>
      <c r="H263" t="inlineStr">
        <is>
          <t>Read</t>
        </is>
      </c>
      <c r="I263" t="inlineStr">
        <is>
          <t>CRICOS code on page</t>
        </is>
      </c>
      <c r="J263" t="inlineStr"/>
      <c r="K263" t="inlineStr">
        <is>
          <t>Not sent to re-link</t>
        </is>
      </c>
      <c r="L263" t="inlineStr">
        <is>
          <t>Filled</t>
        </is>
      </c>
      <c r="M263" t="inlineStr">
        <is>
          <t>Not stated on course page</t>
        </is>
      </c>
      <c r="N263" t="inlineStr"/>
      <c r="O263" t="n">
        <v>0</v>
      </c>
      <c r="P263" t="inlineStr"/>
      <c r="Q263" t="inlineStr">
        <is>
          <t>Filled</t>
        </is>
      </c>
      <c r="R263" t="n">
        <v>6.5</v>
      </c>
      <c r="S263" t="inlineStr">
        <is>
          <t>Central English policy</t>
        </is>
      </c>
      <c r="T263" t="inlineStr">
        <is>
          <t>Central rule applies (value agrees)</t>
        </is>
      </c>
      <c r="U263" t="inlineStr"/>
      <c r="V263" t="inlineStr">
        <is>
          <t>Waiting for Layer 4 review</t>
        </is>
      </c>
      <c r="W263" t="inlineStr"/>
      <c r="X263" t="inlineStr"/>
      <c r="Y263" t="n">
        <v>0</v>
      </c>
      <c r="Z263" t="inlineStr">
        <is>
          <t>No</t>
        </is>
      </c>
      <c r="AA263" t="inlineStr">
        <is>
          <t>Filled</t>
        </is>
      </c>
      <c r="AB263" t="inlineStr">
        <is>
          <t>on campus</t>
        </is>
      </c>
      <c r="AC263" t="inlineStr">
        <is>
          <t>Filled</t>
        </is>
      </c>
      <c r="AD263" t="n">
        <v>0</v>
      </c>
      <c r="AE263" t="inlineStr"/>
      <c r="AF263" t="inlineStr">
        <is>
          <t>Yes</t>
        </is>
      </c>
      <c r="AG263" t="inlineStr"/>
      <c r="AH263" t="inlineStr"/>
      <c r="AI263" t="inlineStr"/>
      <c r="AJ263" t="inlineStr"/>
      <c r="AK263" t="inlineStr"/>
      <c r="AL263" t="inlineStr"/>
      <c r="AM263" t="inlineStr"/>
    </row>
    <row r="264">
      <c r="A264" t="inlineStr">
        <is>
          <t>119014F</t>
        </is>
      </c>
      <c r="B264" t="inlineStr">
        <is>
          <t>Master of Digital Humanities (Advanced)</t>
        </is>
      </c>
      <c r="C264" t="inlineStr">
        <is>
          <t>Masters Degree (Coursework)</t>
        </is>
      </c>
      <c r="D264" t="inlineStr">
        <is>
          <t>Postgraduate coursework</t>
        </is>
      </c>
      <c r="E264" t="inlineStr">
        <is>
          <t>Advertised: official page in place</t>
        </is>
      </c>
      <c r="F264" t="inlineStr">
        <is>
          <t>https://programsandcourses.anu.edu.au/program/vdihu</t>
        </is>
      </c>
      <c r="G264" t="inlineStr">
        <is>
          <t>https://programsandcourses.anu.edu.au/program/vdihu</t>
        </is>
      </c>
      <c r="H264" t="inlineStr">
        <is>
          <t>Read</t>
        </is>
      </c>
      <c r="I264" t="inlineStr">
        <is>
          <t>CRICOS code on page</t>
        </is>
      </c>
      <c r="J264" t="inlineStr"/>
      <c r="K264" t="inlineStr">
        <is>
          <t>Not sent to re-link</t>
        </is>
      </c>
      <c r="L264" t="inlineStr">
        <is>
          <t>Filled</t>
        </is>
      </c>
      <c r="M264" t="inlineStr">
        <is>
          <t>Filled</t>
        </is>
      </c>
      <c r="N264" t="inlineStr">
        <is>
          <t>54540.00 2026</t>
        </is>
      </c>
      <c r="O264" t="n">
        <v>0</v>
      </c>
      <c r="P264" t="inlineStr">
        <is>
          <t>University adapter</t>
        </is>
      </c>
      <c r="Q264" t="inlineStr">
        <is>
          <t>Filled</t>
        </is>
      </c>
      <c r="R264" t="n">
        <v>6.5</v>
      </c>
      <c r="S264" t="inlineStr">
        <is>
          <t>Central English policy</t>
        </is>
      </c>
      <c r="T264" t="inlineStr">
        <is>
          <t>Central rule applies (value agrees)</t>
        </is>
      </c>
      <c r="U264" t="inlineStr"/>
      <c r="V264" t="inlineStr">
        <is>
          <t>Not stated on course page</t>
        </is>
      </c>
      <c r="W264" t="inlineStr"/>
      <c r="X264" t="inlineStr"/>
      <c r="Y264" t="n">
        <v>0</v>
      </c>
      <c r="Z264" t="inlineStr">
        <is>
          <t>No</t>
        </is>
      </c>
      <c r="AA264" t="inlineStr">
        <is>
          <t>Filled</t>
        </is>
      </c>
      <c r="AB264" t="inlineStr">
        <is>
          <t>on campus</t>
        </is>
      </c>
      <c r="AC264" t="inlineStr"/>
      <c r="AD264" t="n">
        <v>0</v>
      </c>
      <c r="AE264" t="inlineStr"/>
      <c r="AF264" t="inlineStr"/>
      <c r="AG264" t="inlineStr"/>
      <c r="AH264" t="inlineStr"/>
      <c r="AI264" t="inlineStr"/>
      <c r="AJ264" t="inlineStr"/>
      <c r="AK264" t="inlineStr"/>
      <c r="AL264" t="inlineStr"/>
      <c r="AM264" t="inlineStr"/>
    </row>
    <row r="265">
      <c r="A265" t="inlineStr">
        <is>
          <t>108314G</t>
        </is>
      </c>
      <c r="B265" t="inlineStr">
        <is>
          <t>Master of Digital Humanities and Public Culture</t>
        </is>
      </c>
      <c r="C265" t="inlineStr">
        <is>
          <t>Masters Degree (Coursework)</t>
        </is>
      </c>
      <c r="D265" t="inlineStr">
        <is>
          <t>Postgraduate coursework</t>
        </is>
      </c>
      <c r="E265" t="inlineStr">
        <is>
          <t>Advertised: official page in place</t>
        </is>
      </c>
      <c r="F265" t="inlineStr">
        <is>
          <t>https://programsandcourses.anu.edu.au/2025/program/mdhpu</t>
        </is>
      </c>
      <c r="G265" t="inlineStr">
        <is>
          <t>https://programsandcourses.anu.edu.au/2022/program/mdhpu</t>
        </is>
      </c>
      <c r="H265" t="inlineStr">
        <is>
          <t>Read</t>
        </is>
      </c>
      <c r="I265" t="inlineStr">
        <is>
          <t>CRICOS code on page</t>
        </is>
      </c>
      <c r="J265" t="inlineStr"/>
      <c r="K265" t="inlineStr">
        <is>
          <t>Not sent to re-link</t>
        </is>
      </c>
      <c r="L265" t="inlineStr">
        <is>
          <t>Filled</t>
        </is>
      </c>
      <c r="M265" t="inlineStr">
        <is>
          <t>Filled</t>
        </is>
      </c>
      <c r="N265" t="inlineStr">
        <is>
          <t>45360.00 2026</t>
        </is>
      </c>
      <c r="O265" t="n">
        <v>0</v>
      </c>
      <c r="P265" t="inlineStr">
        <is>
          <t>University adapter</t>
        </is>
      </c>
      <c r="Q265" t="inlineStr">
        <is>
          <t>Filled</t>
        </is>
      </c>
      <c r="R265" t="n">
        <v>6.5</v>
      </c>
      <c r="S265" t="inlineStr">
        <is>
          <t>Central English policy</t>
        </is>
      </c>
      <c r="T265" t="inlineStr">
        <is>
          <t>Central rule applies (value agrees)</t>
        </is>
      </c>
      <c r="U265" t="inlineStr"/>
      <c r="V265" t="inlineStr">
        <is>
          <t>Not stated on course page</t>
        </is>
      </c>
      <c r="W265" t="inlineStr"/>
      <c r="X265" t="inlineStr"/>
      <c r="Y265" t="n">
        <v>0</v>
      </c>
      <c r="Z265" t="inlineStr">
        <is>
          <t>No</t>
        </is>
      </c>
      <c r="AA265" t="inlineStr">
        <is>
          <t>Filled</t>
        </is>
      </c>
      <c r="AB265" t="inlineStr">
        <is>
          <t>on campus</t>
        </is>
      </c>
      <c r="AC265" t="inlineStr"/>
      <c r="AD265" t="n">
        <v>0</v>
      </c>
      <c r="AE265" t="inlineStr"/>
      <c r="AF265" t="inlineStr"/>
      <c r="AG265" t="inlineStr"/>
      <c r="AH265" t="inlineStr"/>
      <c r="AI265" t="inlineStr"/>
      <c r="AJ265" t="inlineStr"/>
      <c r="AK265" t="inlineStr"/>
      <c r="AL265" t="inlineStr"/>
      <c r="AM265" t="inlineStr"/>
    </row>
    <row r="266">
      <c r="A266" t="inlineStr">
        <is>
          <t>088508M</t>
        </is>
      </c>
      <c r="B266" t="inlineStr">
        <is>
          <t>Master of Digital Humanities and Public Culture</t>
        </is>
      </c>
      <c r="C266" t="inlineStr">
        <is>
          <t>Masters Degree (Coursework)</t>
        </is>
      </c>
      <c r="D266" t="inlineStr">
        <is>
          <t>Postgraduate coursework</t>
        </is>
      </c>
      <c r="E266" t="inlineStr">
        <is>
          <t>Advertised: official page in place</t>
        </is>
      </c>
      <c r="F266" t="inlineStr">
        <is>
          <t>https://programsandcourses.anu.edu.au/2022/program/mdhpc</t>
        </is>
      </c>
      <c r="G266" t="inlineStr">
        <is>
          <t>https://programsandcourses.anu.edu.au/2022/program/mdhpu</t>
        </is>
      </c>
      <c r="H266" t="inlineStr">
        <is>
          <t>Read</t>
        </is>
      </c>
      <c r="I266" t="inlineStr">
        <is>
          <t>Exact title match</t>
        </is>
      </c>
      <c r="J266" t="inlineStr"/>
      <c r="K266" t="inlineStr">
        <is>
          <t>Not sent to re-link</t>
        </is>
      </c>
      <c r="L266" t="inlineStr">
        <is>
          <t>Filled</t>
        </is>
      </c>
      <c r="M266" t="inlineStr">
        <is>
          <t>Filled</t>
        </is>
      </c>
      <c r="N266" t="inlineStr">
        <is>
          <t>45360.00 2026</t>
        </is>
      </c>
      <c r="O266" t="n">
        <v>0</v>
      </c>
      <c r="P266" t="inlineStr">
        <is>
          <t>University adapter</t>
        </is>
      </c>
      <c r="Q266" t="inlineStr">
        <is>
          <t>Filled</t>
        </is>
      </c>
      <c r="R266" t="n">
        <v>6.5</v>
      </c>
      <c r="S266" t="inlineStr">
        <is>
          <t>Central English policy</t>
        </is>
      </c>
      <c r="T266" t="inlineStr">
        <is>
          <t>Central rule applies (value agrees)</t>
        </is>
      </c>
      <c r="U266" t="inlineStr"/>
      <c r="V266" t="inlineStr">
        <is>
          <t>Not stated on course page</t>
        </is>
      </c>
      <c r="W266" t="inlineStr"/>
      <c r="X266" t="inlineStr"/>
      <c r="Y266" t="n">
        <v>0</v>
      </c>
      <c r="Z266" t="inlineStr">
        <is>
          <t>No</t>
        </is>
      </c>
      <c r="AA266" t="inlineStr">
        <is>
          <t>Filled</t>
        </is>
      </c>
      <c r="AB266" t="inlineStr">
        <is>
          <t>on campus</t>
        </is>
      </c>
      <c r="AC266" t="inlineStr"/>
      <c r="AD266" t="n">
        <v>0</v>
      </c>
      <c r="AE266" t="inlineStr"/>
      <c r="AF266" t="inlineStr"/>
      <c r="AG266" t="inlineStr"/>
      <c r="AH266" t="inlineStr"/>
      <c r="AI266" t="inlineStr"/>
      <c r="AJ266" t="inlineStr"/>
      <c r="AK266" t="inlineStr"/>
      <c r="AL266" t="inlineStr"/>
      <c r="AM266" t="inlineStr"/>
    </row>
    <row r="267">
      <c r="A267" t="inlineStr">
        <is>
          <t>108315F</t>
        </is>
      </c>
      <c r="B267" t="inlineStr">
        <is>
          <t>Master of Digital Humanities and Public Culture (advanced)</t>
        </is>
      </c>
      <c r="C267" t="inlineStr">
        <is>
          <t>Masters Degree (Coursework)</t>
        </is>
      </c>
      <c r="D267" t="inlineStr">
        <is>
          <t>Postgraduate coursework</t>
        </is>
      </c>
      <c r="E267" t="inlineStr">
        <is>
          <t>Advertised: official page in place</t>
        </is>
      </c>
      <c r="F267" t="inlineStr">
        <is>
          <t>https://programsandcourses.anu.edu.au/2024/program/vdhpu</t>
        </is>
      </c>
      <c r="G267" t="inlineStr">
        <is>
          <t>https://programsandcourses.anu.edu.au/2024/program/vdhpu</t>
        </is>
      </c>
      <c r="H267" t="inlineStr">
        <is>
          <t>Read</t>
        </is>
      </c>
      <c r="I267" t="inlineStr">
        <is>
          <t>CRICOS code on page</t>
        </is>
      </c>
      <c r="J267" t="inlineStr"/>
      <c r="K267" t="inlineStr">
        <is>
          <t>Not sent to re-link</t>
        </is>
      </c>
      <c r="L267" t="inlineStr">
        <is>
          <t>Filled</t>
        </is>
      </c>
      <c r="M267" t="inlineStr">
        <is>
          <t>Filled</t>
        </is>
      </c>
      <c r="N267" t="inlineStr">
        <is>
          <t>48035.00 2026</t>
        </is>
      </c>
      <c r="O267" t="n">
        <v>0</v>
      </c>
      <c r="P267" t="inlineStr">
        <is>
          <t>University adapter</t>
        </is>
      </c>
      <c r="Q267" t="inlineStr">
        <is>
          <t>Filled</t>
        </is>
      </c>
      <c r="R267" t="n">
        <v>6.5</v>
      </c>
      <c r="S267" t="inlineStr">
        <is>
          <t>Central English policy</t>
        </is>
      </c>
      <c r="T267" t="inlineStr">
        <is>
          <t>Central rule applies (value agrees)</t>
        </is>
      </c>
      <c r="U267" t="inlineStr"/>
      <c r="V267" t="inlineStr">
        <is>
          <t>Not stated on course page</t>
        </is>
      </c>
      <c r="W267" t="inlineStr"/>
      <c r="X267" t="inlineStr"/>
      <c r="Y267" t="n">
        <v>0</v>
      </c>
      <c r="Z267" t="inlineStr">
        <is>
          <t>No</t>
        </is>
      </c>
      <c r="AA267" t="inlineStr">
        <is>
          <t>Filled</t>
        </is>
      </c>
      <c r="AB267" t="inlineStr">
        <is>
          <t>on campus</t>
        </is>
      </c>
      <c r="AC267" t="inlineStr"/>
      <c r="AD267" t="n">
        <v>0</v>
      </c>
      <c r="AE267" t="inlineStr"/>
      <c r="AF267" t="inlineStr"/>
      <c r="AG267" t="inlineStr"/>
      <c r="AH267" t="inlineStr"/>
      <c r="AI267" t="inlineStr"/>
      <c r="AJ267" t="inlineStr"/>
      <c r="AK267" t="inlineStr"/>
      <c r="AL267" t="inlineStr"/>
      <c r="AM267" t="inlineStr"/>
    </row>
    <row r="268">
      <c r="A268" t="inlineStr">
        <is>
          <t>088509K</t>
        </is>
      </c>
      <c r="B268" t="inlineStr">
        <is>
          <t>Master of Digital Humanities and Public Culture (Advanced)</t>
        </is>
      </c>
      <c r="C268" t="inlineStr">
        <is>
          <t>Masters Degree (Coursework)</t>
        </is>
      </c>
      <c r="D268" t="inlineStr">
        <is>
          <t>Postgraduate coursework</t>
        </is>
      </c>
      <c r="E268" t="inlineStr">
        <is>
          <t>Advertised: official page in place</t>
        </is>
      </c>
      <c r="F268" t="inlineStr">
        <is>
          <t>https://programsandcourses.anu.edu.au/2021/program/vdhpc</t>
        </is>
      </c>
      <c r="G268" t="inlineStr">
        <is>
          <t>https://programsandcourses.anu.edu.au/2024/program/vdhpu</t>
        </is>
      </c>
      <c r="H268" t="inlineStr">
        <is>
          <t>Read</t>
        </is>
      </c>
      <c r="I268" t="inlineStr">
        <is>
          <t>Exact title match</t>
        </is>
      </c>
      <c r="J268" t="inlineStr"/>
      <c r="K268" t="inlineStr">
        <is>
          <t>Not sent to re-link</t>
        </is>
      </c>
      <c r="L268" t="inlineStr">
        <is>
          <t>Filled</t>
        </is>
      </c>
      <c r="M268" t="inlineStr">
        <is>
          <t>Filled</t>
        </is>
      </c>
      <c r="N268" t="inlineStr">
        <is>
          <t>48035.00 2026</t>
        </is>
      </c>
      <c r="O268" t="n">
        <v>0</v>
      </c>
      <c r="P268" t="inlineStr">
        <is>
          <t>University adapter</t>
        </is>
      </c>
      <c r="Q268" t="inlineStr">
        <is>
          <t>Filled</t>
        </is>
      </c>
      <c r="R268" t="n">
        <v>6.5</v>
      </c>
      <c r="S268" t="inlineStr">
        <is>
          <t>Central English policy</t>
        </is>
      </c>
      <c r="T268" t="inlineStr">
        <is>
          <t>Central rule applies (value agrees)</t>
        </is>
      </c>
      <c r="U268" t="inlineStr"/>
      <c r="V268" t="inlineStr">
        <is>
          <t>Not stated on course page</t>
        </is>
      </c>
      <c r="W268" t="inlineStr"/>
      <c r="X268" t="inlineStr"/>
      <c r="Y268" t="n">
        <v>0</v>
      </c>
      <c r="Z268" t="inlineStr">
        <is>
          <t>No</t>
        </is>
      </c>
      <c r="AA268" t="inlineStr">
        <is>
          <t>Filled</t>
        </is>
      </c>
      <c r="AB268" t="inlineStr">
        <is>
          <t>on campus</t>
        </is>
      </c>
      <c r="AC268" t="inlineStr"/>
      <c r="AD268" t="n">
        <v>0</v>
      </c>
      <c r="AE268" t="inlineStr"/>
      <c r="AF268" t="inlineStr"/>
      <c r="AG268" t="inlineStr"/>
      <c r="AH268" t="inlineStr"/>
      <c r="AI268" t="inlineStr"/>
      <c r="AJ268" t="inlineStr"/>
      <c r="AK268" t="inlineStr"/>
      <c r="AL268" t="inlineStr"/>
      <c r="AM268" t="inlineStr"/>
    </row>
    <row r="269">
      <c r="A269" t="inlineStr">
        <is>
          <t>0101474</t>
        </is>
      </c>
      <c r="B269" t="inlineStr">
        <is>
          <t>Master of Diplomacy</t>
        </is>
      </c>
      <c r="C269" t="inlineStr">
        <is>
          <t>Masters Degree (Coursework)</t>
        </is>
      </c>
      <c r="D269" t="inlineStr">
        <is>
          <t>Postgraduate coursework</t>
        </is>
      </c>
      <c r="E269" t="inlineStr">
        <is>
          <t>Advertised: official page in place</t>
        </is>
      </c>
      <c r="F269" t="inlineStr">
        <is>
          <t>https://programsandcourses.anu.edu.au/2020/program/mdiplo</t>
        </is>
      </c>
      <c r="G269" t="inlineStr">
        <is>
          <t>https://programsandcourses.anu.edu.au/2026/program/mdip</t>
        </is>
      </c>
      <c r="H269" t="inlineStr">
        <is>
          <t>Read</t>
        </is>
      </c>
      <c r="I269" t="inlineStr">
        <is>
          <t>Exact title match</t>
        </is>
      </c>
      <c r="J269" t="inlineStr"/>
      <c r="K269" t="inlineStr">
        <is>
          <t>Not sent to re-link</t>
        </is>
      </c>
      <c r="L269" t="inlineStr">
        <is>
          <t>Filled</t>
        </is>
      </c>
      <c r="M269" t="inlineStr">
        <is>
          <t>Filled</t>
        </is>
      </c>
      <c r="N269" t="inlineStr">
        <is>
          <t>56120.00 2026</t>
        </is>
      </c>
      <c r="O269" t="n">
        <v>0</v>
      </c>
      <c r="P269" t="inlineStr">
        <is>
          <t>Other</t>
        </is>
      </c>
      <c r="Q269" t="inlineStr">
        <is>
          <t>Filled</t>
        </is>
      </c>
      <c r="R269" t="n">
        <v>6.5</v>
      </c>
      <c r="S269" t="inlineStr">
        <is>
          <t>Central English policy</t>
        </is>
      </c>
      <c r="T269" t="inlineStr">
        <is>
          <t>Central rule applies (value agrees)</t>
        </is>
      </c>
      <c r="U269" t="inlineStr"/>
      <c r="V269" t="inlineStr">
        <is>
          <t>Waiting for Layer 4 review</t>
        </is>
      </c>
      <c r="W269" t="inlineStr"/>
      <c r="X269" t="inlineStr"/>
      <c r="Y269" t="n">
        <v>0</v>
      </c>
      <c r="Z269" t="inlineStr">
        <is>
          <t>No</t>
        </is>
      </c>
      <c r="AA269" t="inlineStr">
        <is>
          <t>Filled</t>
        </is>
      </c>
      <c r="AB269" t="inlineStr">
        <is>
          <t>on campus</t>
        </is>
      </c>
      <c r="AC269" t="inlineStr"/>
      <c r="AD269" t="n">
        <v>0</v>
      </c>
      <c r="AE269" t="inlineStr"/>
      <c r="AF269" t="inlineStr">
        <is>
          <t>Yes</t>
        </is>
      </c>
      <c r="AG269" t="inlineStr"/>
      <c r="AH269" t="inlineStr"/>
      <c r="AI269" t="inlineStr"/>
      <c r="AJ269" t="inlineStr"/>
      <c r="AK269" t="inlineStr"/>
      <c r="AL269" t="inlineStr"/>
      <c r="AM269" t="inlineStr"/>
    </row>
    <row r="270">
      <c r="A270" t="inlineStr">
        <is>
          <t>111566E</t>
        </is>
      </c>
      <c r="B270" t="inlineStr">
        <is>
          <t>Master of Diplomacy</t>
        </is>
      </c>
      <c r="C270" t="inlineStr">
        <is>
          <t>Masters Degree (Coursework)</t>
        </is>
      </c>
      <c r="D270" t="inlineStr">
        <is>
          <t>Postgraduate coursework</t>
        </is>
      </c>
      <c r="E270" t="inlineStr">
        <is>
          <t>Advertised: official page in place</t>
        </is>
      </c>
      <c r="F270" t="inlineStr">
        <is>
          <t>https://programsandcourses.anu.edu.au/2026/program/mdip</t>
        </is>
      </c>
      <c r="G270" t="inlineStr">
        <is>
          <t>https://programsandcourses.anu.edu.au/2026/program/mdip</t>
        </is>
      </c>
      <c r="H270" t="inlineStr">
        <is>
          <t>Read</t>
        </is>
      </c>
      <c r="I270" t="inlineStr">
        <is>
          <t>CRICOS code on page</t>
        </is>
      </c>
      <c r="J270" t="inlineStr"/>
      <c r="K270" t="inlineStr">
        <is>
          <t>Not sent to re-link</t>
        </is>
      </c>
      <c r="L270" t="inlineStr">
        <is>
          <t>Filled</t>
        </is>
      </c>
      <c r="M270" t="inlineStr">
        <is>
          <t>Filled</t>
        </is>
      </c>
      <c r="N270" t="inlineStr">
        <is>
          <t>56120.00 2026</t>
        </is>
      </c>
      <c r="O270" t="n">
        <v>0</v>
      </c>
      <c r="P270" t="inlineStr">
        <is>
          <t>University adapter</t>
        </is>
      </c>
      <c r="Q270" t="inlineStr">
        <is>
          <t>Filled</t>
        </is>
      </c>
      <c r="R270" t="n">
        <v>6.5</v>
      </c>
      <c r="S270" t="inlineStr">
        <is>
          <t>Central English policy</t>
        </is>
      </c>
      <c r="T270" t="inlineStr">
        <is>
          <t>Central rule applies (value agrees)</t>
        </is>
      </c>
      <c r="U270" t="inlineStr"/>
      <c r="V270" t="inlineStr">
        <is>
          <t>Not stated on course page</t>
        </is>
      </c>
      <c r="W270" t="inlineStr"/>
      <c r="X270" t="inlineStr"/>
      <c r="Y270" t="n">
        <v>0</v>
      </c>
      <c r="Z270" t="inlineStr">
        <is>
          <t>No</t>
        </is>
      </c>
      <c r="AA270" t="inlineStr">
        <is>
          <t>Filled</t>
        </is>
      </c>
      <c r="AB270" t="inlineStr">
        <is>
          <t>on campus</t>
        </is>
      </c>
      <c r="AC270" t="inlineStr"/>
      <c r="AD270" t="n">
        <v>0</v>
      </c>
      <c r="AE270" t="inlineStr"/>
      <c r="AF270" t="inlineStr"/>
      <c r="AG270" t="inlineStr"/>
      <c r="AH270" t="inlineStr"/>
      <c r="AI270" t="inlineStr"/>
      <c r="AJ270" t="inlineStr"/>
      <c r="AK270" t="inlineStr"/>
      <c r="AL270" t="inlineStr"/>
      <c r="AM270" t="inlineStr"/>
    </row>
    <row r="271">
      <c r="A271" t="inlineStr">
        <is>
          <t>082288M</t>
        </is>
      </c>
      <c r="B271" t="inlineStr">
        <is>
          <t>Master of Earth Sciences (Advanced)</t>
        </is>
      </c>
      <c r="C271" t="inlineStr">
        <is>
          <t>Masters Degree (Coursework)</t>
        </is>
      </c>
      <c r="D271" t="inlineStr">
        <is>
          <t>Postgraduate coursework</t>
        </is>
      </c>
      <c r="E271" t="inlineStr">
        <is>
          <t>Advertised: official page in place</t>
        </is>
      </c>
      <c r="F271" t="inlineStr">
        <is>
          <t>https://programsandcourses.anu.edu.au/program/veasc</t>
        </is>
      </c>
      <c r="G271" t="inlineStr">
        <is>
          <t>https://programsandcourses.anu.edu.au/program/veasc</t>
        </is>
      </c>
      <c r="H271" t="inlineStr">
        <is>
          <t>Read</t>
        </is>
      </c>
      <c r="I271" t="inlineStr">
        <is>
          <t>CRICOS code on page</t>
        </is>
      </c>
      <c r="J271" t="inlineStr"/>
      <c r="K271" t="inlineStr">
        <is>
          <t>Not sent to re-link</t>
        </is>
      </c>
      <c r="L271" t="inlineStr">
        <is>
          <t>Filled</t>
        </is>
      </c>
      <c r="M271" t="inlineStr">
        <is>
          <t>Filled</t>
        </is>
      </c>
      <c r="N271" t="inlineStr">
        <is>
          <t>57640.00 2026</t>
        </is>
      </c>
      <c r="O271" t="n">
        <v>0</v>
      </c>
      <c r="P271" t="inlineStr">
        <is>
          <t>University adapter</t>
        </is>
      </c>
      <c r="Q271" t="inlineStr">
        <is>
          <t>Filled</t>
        </is>
      </c>
      <c r="R271" t="n">
        <v>6.5</v>
      </c>
      <c r="S271" t="inlineStr">
        <is>
          <t>Central English policy</t>
        </is>
      </c>
      <c r="T271" t="inlineStr">
        <is>
          <t>Central rule applies (value agrees)</t>
        </is>
      </c>
      <c r="U271" t="inlineStr"/>
      <c r="V271" t="inlineStr">
        <is>
          <t>Not stated on course page</t>
        </is>
      </c>
      <c r="W271" t="inlineStr"/>
      <c r="X271" t="inlineStr"/>
      <c r="Y271" t="n">
        <v>0</v>
      </c>
      <c r="Z271" t="inlineStr">
        <is>
          <t>No</t>
        </is>
      </c>
      <c r="AA271" t="inlineStr">
        <is>
          <t>Filled</t>
        </is>
      </c>
      <c r="AB271" t="inlineStr">
        <is>
          <t>on campus</t>
        </is>
      </c>
      <c r="AC271" t="inlineStr"/>
      <c r="AD271" t="n">
        <v>0</v>
      </c>
      <c r="AE271" t="inlineStr"/>
      <c r="AF271" t="inlineStr"/>
      <c r="AG271" t="inlineStr"/>
      <c r="AH271" t="inlineStr"/>
      <c r="AI271" t="inlineStr"/>
      <c r="AJ271" t="inlineStr"/>
      <c r="AK271" t="inlineStr"/>
      <c r="AL271" t="inlineStr"/>
      <c r="AM271" t="inlineStr"/>
    </row>
    <row r="272">
      <c r="A272" t="inlineStr">
        <is>
          <t>082289K</t>
        </is>
      </c>
      <c r="B272" t="inlineStr">
        <is>
          <t>Master of Economic Policy</t>
        </is>
      </c>
      <c r="C272" t="inlineStr">
        <is>
          <t>Masters Degree (Coursework)</t>
        </is>
      </c>
      <c r="D272" t="inlineStr">
        <is>
          <t>Postgraduate coursework</t>
        </is>
      </c>
      <c r="E272" t="inlineStr">
        <is>
          <t>Advertised: official page in place</t>
        </is>
      </c>
      <c r="F272" t="inlineStr">
        <is>
          <t>https://programsandcourses.anu.edu.au/program/mecpo</t>
        </is>
      </c>
      <c r="G272" t="inlineStr">
        <is>
          <t>https://programsandcourses.anu.edu.au/program/mecpo</t>
        </is>
      </c>
      <c r="H272" t="inlineStr">
        <is>
          <t>Read</t>
        </is>
      </c>
      <c r="I272" t="inlineStr">
        <is>
          <t>CRICOS code on page</t>
        </is>
      </c>
      <c r="J272" t="inlineStr"/>
      <c r="K272" t="inlineStr">
        <is>
          <t>Not sent to re-link</t>
        </is>
      </c>
      <c r="L272" t="inlineStr">
        <is>
          <t>Filled</t>
        </is>
      </c>
      <c r="M272" t="inlineStr">
        <is>
          <t>Filled</t>
        </is>
      </c>
      <c r="N272" t="inlineStr">
        <is>
          <t>57640.00 2026</t>
        </is>
      </c>
      <c r="O272" t="n">
        <v>0</v>
      </c>
      <c r="P272" t="inlineStr">
        <is>
          <t>University adapter</t>
        </is>
      </c>
      <c r="Q272" t="inlineStr">
        <is>
          <t>Filled</t>
        </is>
      </c>
      <c r="R272" t="n">
        <v>6.5</v>
      </c>
      <c r="S272" t="inlineStr">
        <is>
          <t>Central English policy</t>
        </is>
      </c>
      <c r="T272" t="inlineStr">
        <is>
          <t>Central rule applies (value agrees)</t>
        </is>
      </c>
      <c r="U272" t="inlineStr"/>
      <c r="V272" t="inlineStr">
        <is>
          <t>Waiting for AI reading (Layer 3, now retired)</t>
        </is>
      </c>
      <c r="W272" t="inlineStr"/>
      <c r="X272" t="inlineStr"/>
      <c r="Y272" t="n">
        <v>0</v>
      </c>
      <c r="Z272" t="inlineStr">
        <is>
          <t>No</t>
        </is>
      </c>
      <c r="AA272" t="inlineStr">
        <is>
          <t>Filled</t>
        </is>
      </c>
      <c r="AB272" t="inlineStr">
        <is>
          <t>on campus</t>
        </is>
      </c>
      <c r="AC272" t="inlineStr"/>
      <c r="AD272" t="n">
        <v>0</v>
      </c>
      <c r="AE272" t="inlineStr"/>
      <c r="AF272" t="inlineStr"/>
      <c r="AG272" t="inlineStr">
        <is>
          <t>Yes</t>
        </is>
      </c>
      <c r="AH272" t="inlineStr"/>
      <c r="AI272" t="inlineStr"/>
      <c r="AJ272" t="inlineStr"/>
      <c r="AK272" t="inlineStr"/>
      <c r="AL272" t="inlineStr"/>
      <c r="AM272" t="inlineStr"/>
    </row>
    <row r="273">
      <c r="A273" t="inlineStr">
        <is>
          <t>082290F</t>
        </is>
      </c>
      <c r="B273" t="inlineStr">
        <is>
          <t>Master of Economics</t>
        </is>
      </c>
      <c r="C273" t="inlineStr">
        <is>
          <t>Masters Degree (Coursework)</t>
        </is>
      </c>
      <c r="D273" t="inlineStr">
        <is>
          <t>Postgraduate coursework</t>
        </is>
      </c>
      <c r="E273" t="inlineStr">
        <is>
          <t>Advertised: official page in place</t>
        </is>
      </c>
      <c r="F273" t="inlineStr">
        <is>
          <t>https://programsandcourses.anu.edu.au/program/mecon</t>
        </is>
      </c>
      <c r="G273" t="inlineStr">
        <is>
          <t>https://programsandcourses.anu.edu.au/program/mecon</t>
        </is>
      </c>
      <c r="H273" t="inlineStr">
        <is>
          <t>Read</t>
        </is>
      </c>
      <c r="I273" t="inlineStr">
        <is>
          <t>CRICOS code on page</t>
        </is>
      </c>
      <c r="J273" t="inlineStr"/>
      <c r="K273" t="inlineStr">
        <is>
          <t>Not sent to re-link</t>
        </is>
      </c>
      <c r="L273" t="inlineStr">
        <is>
          <t>Filled</t>
        </is>
      </c>
      <c r="M273" t="inlineStr">
        <is>
          <t>Filled</t>
        </is>
      </c>
      <c r="N273" t="inlineStr">
        <is>
          <t>57640.00 2026</t>
        </is>
      </c>
      <c r="O273" t="n">
        <v>0</v>
      </c>
      <c r="P273" t="inlineStr">
        <is>
          <t>University adapter</t>
        </is>
      </c>
      <c r="Q273" t="inlineStr">
        <is>
          <t>Filled</t>
        </is>
      </c>
      <c r="R273" t="n">
        <v>6.5</v>
      </c>
      <c r="S273" t="inlineStr">
        <is>
          <t>Central English policy</t>
        </is>
      </c>
      <c r="T273" t="inlineStr">
        <is>
          <t>Central rule applies (value agrees)</t>
        </is>
      </c>
      <c r="U273" t="inlineStr"/>
      <c r="V273" t="inlineStr">
        <is>
          <t>Not stated on course page</t>
        </is>
      </c>
      <c r="W273" t="inlineStr"/>
      <c r="X273" t="inlineStr"/>
      <c r="Y273" t="n">
        <v>0</v>
      </c>
      <c r="Z273" t="inlineStr">
        <is>
          <t>No</t>
        </is>
      </c>
      <c r="AA273" t="inlineStr">
        <is>
          <t>Filled</t>
        </is>
      </c>
      <c r="AB273" t="inlineStr">
        <is>
          <t>on campus</t>
        </is>
      </c>
      <c r="AC273" t="inlineStr"/>
      <c r="AD273" t="n">
        <v>0</v>
      </c>
      <c r="AE273" t="inlineStr"/>
      <c r="AF273" t="inlineStr"/>
      <c r="AG273" t="inlineStr"/>
      <c r="AH273" t="inlineStr"/>
      <c r="AI273" t="inlineStr"/>
      <c r="AJ273" t="inlineStr"/>
      <c r="AK273" t="inlineStr"/>
      <c r="AL273" t="inlineStr"/>
      <c r="AM273" t="inlineStr"/>
    </row>
    <row r="274">
      <c r="A274" t="inlineStr">
        <is>
          <t>082291E</t>
        </is>
      </c>
      <c r="B274" t="inlineStr">
        <is>
          <t>Master of Energy Change</t>
        </is>
      </c>
      <c r="C274" t="inlineStr">
        <is>
          <t>Masters Degree (Coursework)</t>
        </is>
      </c>
      <c r="D274" t="inlineStr">
        <is>
          <t>Postgraduate coursework</t>
        </is>
      </c>
      <c r="E274" t="inlineStr">
        <is>
          <t>Advertised: official page in place</t>
        </is>
      </c>
      <c r="F274" t="inlineStr">
        <is>
          <t>https://programsandcourses.anu.edu.au/program/mench</t>
        </is>
      </c>
      <c r="G274" t="inlineStr">
        <is>
          <t>https://programsandcourses.anu.edu.au/program/mench</t>
        </is>
      </c>
      <c r="H274" t="inlineStr">
        <is>
          <t>Read</t>
        </is>
      </c>
      <c r="I274" t="inlineStr">
        <is>
          <t>CRICOS code on page</t>
        </is>
      </c>
      <c r="J274" t="inlineStr"/>
      <c r="K274" t="inlineStr">
        <is>
          <t>Not sent to re-link</t>
        </is>
      </c>
      <c r="L274" t="inlineStr">
        <is>
          <t>Filled</t>
        </is>
      </c>
      <c r="M274" t="inlineStr">
        <is>
          <t>Filled</t>
        </is>
      </c>
      <c r="N274" t="inlineStr">
        <is>
          <t>57640.00 2026</t>
        </is>
      </c>
      <c r="O274" t="n">
        <v>0</v>
      </c>
      <c r="P274" t="inlineStr">
        <is>
          <t>University adapter</t>
        </is>
      </c>
      <c r="Q274" t="inlineStr">
        <is>
          <t>Filled</t>
        </is>
      </c>
      <c r="R274" t="n">
        <v>6.5</v>
      </c>
      <c r="S274" t="inlineStr">
        <is>
          <t>Central English policy</t>
        </is>
      </c>
      <c r="T274" t="inlineStr">
        <is>
          <t>Central rule applies (value agrees)</t>
        </is>
      </c>
      <c r="U274" t="inlineStr"/>
      <c r="V274" t="inlineStr">
        <is>
          <t>Not stated on course page</t>
        </is>
      </c>
      <c r="W274" t="inlineStr"/>
      <c r="X274" t="inlineStr"/>
      <c r="Y274" t="n">
        <v>0</v>
      </c>
      <c r="Z274" t="inlineStr">
        <is>
          <t>No</t>
        </is>
      </c>
      <c r="AA274" t="inlineStr">
        <is>
          <t>Filled</t>
        </is>
      </c>
      <c r="AB274" t="inlineStr">
        <is>
          <t>on campus</t>
        </is>
      </c>
      <c r="AC274" t="inlineStr"/>
      <c r="AD274" t="n">
        <v>0</v>
      </c>
      <c r="AE274" t="inlineStr"/>
      <c r="AF274" t="inlineStr"/>
      <c r="AG274" t="inlineStr"/>
      <c r="AH274" t="inlineStr"/>
      <c r="AI274" t="inlineStr"/>
      <c r="AJ274" t="inlineStr"/>
      <c r="AK274" t="inlineStr"/>
      <c r="AL274" t="inlineStr"/>
      <c r="AM274" t="inlineStr"/>
    </row>
    <row r="275">
      <c r="A275" t="inlineStr">
        <is>
          <t>082292D</t>
        </is>
      </c>
      <c r="B275" t="inlineStr">
        <is>
          <t>Master of Energy Change (Advanced)</t>
        </is>
      </c>
      <c r="C275" t="inlineStr">
        <is>
          <t>Masters Degree (Coursework)</t>
        </is>
      </c>
      <c r="D275" t="inlineStr">
        <is>
          <t>Postgraduate coursework</t>
        </is>
      </c>
      <c r="E275" t="inlineStr">
        <is>
          <t>Advertised: official page in place</t>
        </is>
      </c>
      <c r="F275" t="inlineStr">
        <is>
          <t>https://programsandcourses.anu.edu.au/program/vench</t>
        </is>
      </c>
      <c r="G275" t="inlineStr">
        <is>
          <t>https://programsandcourses.anu.edu.au/program/vench</t>
        </is>
      </c>
      <c r="H275" t="inlineStr">
        <is>
          <t>Read</t>
        </is>
      </c>
      <c r="I275" t="inlineStr">
        <is>
          <t>CRICOS code on page</t>
        </is>
      </c>
      <c r="J275" t="inlineStr"/>
      <c r="K275" t="inlineStr">
        <is>
          <t>Not sent to re-link</t>
        </is>
      </c>
      <c r="L275" t="inlineStr">
        <is>
          <t>Filled</t>
        </is>
      </c>
      <c r="M275" t="inlineStr">
        <is>
          <t>Filled</t>
        </is>
      </c>
      <c r="N275" t="inlineStr">
        <is>
          <t>57640.00 2026</t>
        </is>
      </c>
      <c r="O275" t="n">
        <v>0</v>
      </c>
      <c r="P275" t="inlineStr">
        <is>
          <t>University adapter</t>
        </is>
      </c>
      <c r="Q275" t="inlineStr">
        <is>
          <t>Filled</t>
        </is>
      </c>
      <c r="R275" t="n">
        <v>6.5</v>
      </c>
      <c r="S275" t="inlineStr">
        <is>
          <t>Central English policy</t>
        </is>
      </c>
      <c r="T275" t="inlineStr">
        <is>
          <t>Central rule applies (value agrees)</t>
        </is>
      </c>
      <c r="U275" t="inlineStr"/>
      <c r="V275" t="inlineStr">
        <is>
          <t>Not stated on course page</t>
        </is>
      </c>
      <c r="W275" t="inlineStr"/>
      <c r="X275" t="inlineStr"/>
      <c r="Y275" t="n">
        <v>0</v>
      </c>
      <c r="Z275" t="inlineStr">
        <is>
          <t>No</t>
        </is>
      </c>
      <c r="AA275" t="inlineStr">
        <is>
          <t>Filled</t>
        </is>
      </c>
      <c r="AB275" t="inlineStr">
        <is>
          <t>on campus</t>
        </is>
      </c>
      <c r="AC275" t="inlineStr"/>
      <c r="AD275" t="n">
        <v>0</v>
      </c>
      <c r="AE275" t="inlineStr"/>
      <c r="AF275" t="inlineStr"/>
      <c r="AG275" t="inlineStr"/>
      <c r="AH275" t="inlineStr"/>
      <c r="AI275" t="inlineStr"/>
      <c r="AJ275" t="inlineStr"/>
      <c r="AK275" t="inlineStr"/>
      <c r="AL275" t="inlineStr"/>
      <c r="AM275" t="inlineStr"/>
    </row>
    <row r="276">
      <c r="A276" t="inlineStr">
        <is>
          <t>103371E</t>
        </is>
      </c>
      <c r="B276" t="inlineStr">
        <is>
          <t>Master of Engaging Asia</t>
        </is>
      </c>
      <c r="C276" t="inlineStr">
        <is>
          <t>Masters Degree (Coursework)</t>
        </is>
      </c>
      <c r="D276" t="inlineStr">
        <is>
          <t>Postgraduate coursework</t>
        </is>
      </c>
      <c r="E276" t="inlineStr">
        <is>
          <t>Advertised: official page in place</t>
        </is>
      </c>
      <c r="F276" t="inlineStr">
        <is>
          <t>https://programsandcourses.anu.edu.au/2021/program/menasi</t>
        </is>
      </c>
      <c r="G276" t="inlineStr">
        <is>
          <t>https://programsandcourses.anu.edu.au/2023/program/menasi</t>
        </is>
      </c>
      <c r="H276" t="inlineStr">
        <is>
          <t>Read</t>
        </is>
      </c>
      <c r="I276" t="inlineStr">
        <is>
          <t>CRICOS code on page</t>
        </is>
      </c>
      <c r="J276" t="inlineStr"/>
      <c r="K276" t="inlineStr">
        <is>
          <t>Not sent to re-link</t>
        </is>
      </c>
      <c r="L276" t="inlineStr">
        <is>
          <t>Filled</t>
        </is>
      </c>
      <c r="M276" t="inlineStr">
        <is>
          <t>Filled</t>
        </is>
      </c>
      <c r="N276" t="inlineStr">
        <is>
          <t>49330.00 2026</t>
        </is>
      </c>
      <c r="O276" t="n">
        <v>0</v>
      </c>
      <c r="P276" t="inlineStr">
        <is>
          <t>Other</t>
        </is>
      </c>
      <c r="Q276" t="inlineStr">
        <is>
          <t>Filled</t>
        </is>
      </c>
      <c r="R276" t="n">
        <v>6.5</v>
      </c>
      <c r="S276" t="inlineStr">
        <is>
          <t>Central English policy</t>
        </is>
      </c>
      <c r="T276" t="inlineStr">
        <is>
          <t>Central rule applies (value agrees)</t>
        </is>
      </c>
      <c r="U276" t="inlineStr"/>
      <c r="V276" t="inlineStr">
        <is>
          <t>Waiting for AI reading (Layer 3, now retired)</t>
        </is>
      </c>
      <c r="W276" t="inlineStr"/>
      <c r="X276" t="inlineStr"/>
      <c r="Y276" t="n">
        <v>0</v>
      </c>
      <c r="Z276" t="inlineStr">
        <is>
          <t>No</t>
        </is>
      </c>
      <c r="AA276" t="inlineStr">
        <is>
          <t>Filled</t>
        </is>
      </c>
      <c r="AB276" t="inlineStr">
        <is>
          <t>on campus</t>
        </is>
      </c>
      <c r="AC276" t="inlineStr"/>
      <c r="AD276" t="n">
        <v>0</v>
      </c>
      <c r="AE276" t="inlineStr"/>
      <c r="AF276" t="inlineStr"/>
      <c r="AG276" t="inlineStr">
        <is>
          <t>Yes</t>
        </is>
      </c>
      <c r="AH276" t="inlineStr"/>
      <c r="AI276" t="inlineStr"/>
      <c r="AJ276" t="inlineStr"/>
      <c r="AK276" t="inlineStr"/>
      <c r="AL276" t="inlineStr"/>
      <c r="AM276" t="inlineStr"/>
    </row>
    <row r="277">
      <c r="A277" t="inlineStr">
        <is>
          <t>077326G</t>
        </is>
      </c>
      <c r="B277" t="inlineStr">
        <is>
          <t>Master of Engineering</t>
        </is>
      </c>
      <c r="C277" t="inlineStr">
        <is>
          <t>Masters Degree (Coursework)</t>
        </is>
      </c>
      <c r="D277" t="inlineStr">
        <is>
          <t>Postgraduate coursework</t>
        </is>
      </c>
      <c r="E277" t="inlineStr">
        <is>
          <t>Advertised: official page in place</t>
        </is>
      </c>
      <c r="F277" t="inlineStr">
        <is>
          <t>https://programsandcourses.anu.edu.au/program/neleng</t>
        </is>
      </c>
      <c r="G277" t="inlineStr">
        <is>
          <t>https://programsandcourses.anu.edu.au/program/neleng</t>
        </is>
      </c>
      <c r="H277" t="inlineStr">
        <is>
          <t>Read</t>
        </is>
      </c>
      <c r="I277" t="inlineStr">
        <is>
          <t>CRICOS code on page</t>
        </is>
      </c>
      <c r="J277" t="inlineStr"/>
      <c r="K277" t="inlineStr">
        <is>
          <t>Not sent to re-link</t>
        </is>
      </c>
      <c r="L277" t="inlineStr">
        <is>
          <t>Filled</t>
        </is>
      </c>
      <c r="M277" t="inlineStr">
        <is>
          <t>Filled</t>
        </is>
      </c>
      <c r="N277" t="inlineStr">
        <is>
          <t>57640.00 2026</t>
        </is>
      </c>
      <c r="O277" t="n">
        <v>0</v>
      </c>
      <c r="P277" t="inlineStr">
        <is>
          <t>University adapter</t>
        </is>
      </c>
      <c r="Q277" t="inlineStr">
        <is>
          <t>Filled</t>
        </is>
      </c>
      <c r="R277" t="n">
        <v>6.5</v>
      </c>
      <c r="S277" t="inlineStr">
        <is>
          <t>Central English policy</t>
        </is>
      </c>
      <c r="T277" t="inlineStr">
        <is>
          <t>Central rule applies (value agrees)</t>
        </is>
      </c>
      <c r="U277" t="inlineStr"/>
      <c r="V277" t="inlineStr">
        <is>
          <t>Value found, being checked</t>
        </is>
      </c>
      <c r="W277" t="inlineStr"/>
      <c r="X277" t="inlineStr"/>
      <c r="Y277" t="n">
        <v>0</v>
      </c>
      <c r="Z277" t="inlineStr">
        <is>
          <t>No</t>
        </is>
      </c>
      <c r="AA277" t="inlineStr">
        <is>
          <t>Filled</t>
        </is>
      </c>
      <c r="AB277" t="inlineStr">
        <is>
          <t>on campus</t>
        </is>
      </c>
      <c r="AC277" t="inlineStr"/>
      <c r="AD277" t="n">
        <v>0</v>
      </c>
      <c r="AE277" t="inlineStr"/>
      <c r="AF277" t="inlineStr">
        <is>
          <t>Yes</t>
        </is>
      </c>
      <c r="AG277" t="inlineStr"/>
      <c r="AH277" t="inlineStr"/>
      <c r="AI277" t="inlineStr"/>
      <c r="AJ277" t="inlineStr"/>
      <c r="AK277" t="inlineStr"/>
      <c r="AL277" t="inlineStr"/>
      <c r="AM277" t="inlineStr"/>
    </row>
    <row r="278">
      <c r="A278" t="inlineStr">
        <is>
          <t>114602D</t>
        </is>
      </c>
      <c r="B278" t="inlineStr">
        <is>
          <t>Master of Engineering in Energy Systems</t>
        </is>
      </c>
      <c r="C278" t="inlineStr">
        <is>
          <t>Masters Degree (Coursework)</t>
        </is>
      </c>
      <c r="D278" t="inlineStr">
        <is>
          <t>Postgraduate coursework</t>
        </is>
      </c>
      <c r="E278" t="inlineStr">
        <is>
          <t>Advertised: official page in place</t>
        </is>
      </c>
      <c r="F278" t="inlineStr">
        <is>
          <t>https://programsandcourses.anu.edu.au/2024/program/nenes</t>
        </is>
      </c>
      <c r="G278" t="inlineStr">
        <is>
          <t>https://programsandcourses.anu.edu.au/2024/program/nenes</t>
        </is>
      </c>
      <c r="H278" t="inlineStr">
        <is>
          <t>Read</t>
        </is>
      </c>
      <c r="I278" t="inlineStr">
        <is>
          <t>CRICOS code on page</t>
        </is>
      </c>
      <c r="J278" t="inlineStr"/>
      <c r="K278" t="inlineStr">
        <is>
          <t>Not sent to re-link</t>
        </is>
      </c>
      <c r="L278" t="inlineStr">
        <is>
          <t>Filled</t>
        </is>
      </c>
      <c r="M278" t="inlineStr">
        <is>
          <t>Filled</t>
        </is>
      </c>
      <c r="N278" t="inlineStr">
        <is>
          <t>50760.00 2026</t>
        </is>
      </c>
      <c r="O278" t="n">
        <v>0</v>
      </c>
      <c r="P278" t="inlineStr">
        <is>
          <t>Other</t>
        </is>
      </c>
      <c r="Q278" t="inlineStr">
        <is>
          <t>Filled</t>
        </is>
      </c>
      <c r="R278" t="n">
        <v>6.5</v>
      </c>
      <c r="S278" t="inlineStr">
        <is>
          <t>Central English policy</t>
        </is>
      </c>
      <c r="T278" t="inlineStr">
        <is>
          <t>Central rule applies (value agrees)</t>
        </is>
      </c>
      <c r="U278" t="inlineStr"/>
      <c r="V278" t="inlineStr">
        <is>
          <t>Waiting for Layer 4 review</t>
        </is>
      </c>
      <c r="W278" t="inlineStr"/>
      <c r="X278" t="inlineStr"/>
      <c r="Y278" t="n">
        <v>0</v>
      </c>
      <c r="Z278" t="inlineStr">
        <is>
          <t>No</t>
        </is>
      </c>
      <c r="AA278" t="inlineStr">
        <is>
          <t>Filled</t>
        </is>
      </c>
      <c r="AB278" t="inlineStr">
        <is>
          <t>on campus</t>
        </is>
      </c>
      <c r="AC278" t="inlineStr"/>
      <c r="AD278" t="n">
        <v>0</v>
      </c>
      <c r="AE278" t="inlineStr"/>
      <c r="AF278" t="inlineStr">
        <is>
          <t>Yes</t>
        </is>
      </c>
      <c r="AG278" t="inlineStr"/>
      <c r="AH278" t="inlineStr"/>
      <c r="AI278" t="inlineStr"/>
      <c r="AJ278" t="inlineStr"/>
      <c r="AK278" t="inlineStr"/>
      <c r="AL278" t="inlineStr"/>
      <c r="AM278" t="inlineStr"/>
    </row>
    <row r="279">
      <c r="A279" t="inlineStr">
        <is>
          <t>114603C</t>
        </is>
      </c>
      <c r="B279" t="inlineStr">
        <is>
          <t>Master of Engineering in Robotics, Automation and Control</t>
        </is>
      </c>
      <c r="C279" t="inlineStr">
        <is>
          <t>Masters Degree (Coursework)</t>
        </is>
      </c>
      <c r="D279" t="inlineStr">
        <is>
          <t>Postgraduate coursework</t>
        </is>
      </c>
      <c r="E279" t="inlineStr">
        <is>
          <t>Advertised: official page in place</t>
        </is>
      </c>
      <c r="F279" t="inlineStr">
        <is>
          <t>https://programsandcourses.anu.edu.au/2024/program/nrac</t>
        </is>
      </c>
      <c r="G279" t="inlineStr">
        <is>
          <t>https://programsandcourses.anu.edu.au/2024/program/nrac</t>
        </is>
      </c>
      <c r="H279" t="inlineStr">
        <is>
          <t>Read</t>
        </is>
      </c>
      <c r="I279" t="inlineStr">
        <is>
          <t>CRICOS code on page</t>
        </is>
      </c>
      <c r="J279" t="inlineStr"/>
      <c r="K279" t="inlineStr">
        <is>
          <t>Not sent to re-link</t>
        </is>
      </c>
      <c r="L279" t="inlineStr">
        <is>
          <t>Filled</t>
        </is>
      </c>
      <c r="M279" t="inlineStr">
        <is>
          <t>Filled</t>
        </is>
      </c>
      <c r="N279" t="inlineStr">
        <is>
          <t>50760.00 2026</t>
        </is>
      </c>
      <c r="O279" t="n">
        <v>0</v>
      </c>
      <c r="P279" t="inlineStr">
        <is>
          <t>Other</t>
        </is>
      </c>
      <c r="Q279" t="inlineStr">
        <is>
          <t>Filled</t>
        </is>
      </c>
      <c r="R279" t="n">
        <v>6.5</v>
      </c>
      <c r="S279" t="inlineStr">
        <is>
          <t>Central English policy</t>
        </is>
      </c>
      <c r="T279" t="inlineStr">
        <is>
          <t>Central rule applies (value agrees)</t>
        </is>
      </c>
      <c r="U279" t="inlineStr"/>
      <c r="V279" t="inlineStr">
        <is>
          <t>Waiting for Layer 4 review</t>
        </is>
      </c>
      <c r="W279" t="inlineStr"/>
      <c r="X279" t="inlineStr"/>
      <c r="Y279" t="n">
        <v>0</v>
      </c>
      <c r="Z279" t="inlineStr">
        <is>
          <t>No</t>
        </is>
      </c>
      <c r="AA279" t="inlineStr">
        <is>
          <t>Filled</t>
        </is>
      </c>
      <c r="AB279" t="inlineStr">
        <is>
          <t>on campus</t>
        </is>
      </c>
      <c r="AC279" t="inlineStr"/>
      <c r="AD279" t="n">
        <v>0</v>
      </c>
      <c r="AE279" t="inlineStr"/>
      <c r="AF279" t="inlineStr">
        <is>
          <t>Yes</t>
        </is>
      </c>
      <c r="AG279" t="inlineStr"/>
      <c r="AH279" t="inlineStr"/>
      <c r="AI279" t="inlineStr"/>
      <c r="AJ279" t="inlineStr"/>
      <c r="AK279" t="inlineStr"/>
      <c r="AL279" t="inlineStr"/>
      <c r="AM279" t="inlineStr"/>
    </row>
    <row r="280">
      <c r="A280" t="inlineStr">
        <is>
          <t>091185K</t>
        </is>
      </c>
      <c r="B280" t="inlineStr">
        <is>
          <t>Master of Entrepreneurship and Innovation Management</t>
        </is>
      </c>
      <c r="C280" t="inlineStr">
        <is>
          <t>Masters Degree (Coursework)</t>
        </is>
      </c>
      <c r="D280" t="inlineStr">
        <is>
          <t>Postgraduate coursework</t>
        </is>
      </c>
      <c r="E280" t="inlineStr">
        <is>
          <t>Advertised: official page in place</t>
        </is>
      </c>
      <c r="F280" t="inlineStr">
        <is>
          <t>https://programsandcourses.anu.edu.au/program/meinv</t>
        </is>
      </c>
      <c r="G280" t="inlineStr">
        <is>
          <t>https://programsandcourses.anu.edu.au/program/meinv</t>
        </is>
      </c>
      <c r="H280" t="inlineStr">
        <is>
          <t>Read</t>
        </is>
      </c>
      <c r="I280" t="inlineStr">
        <is>
          <t>CRICOS code on page</t>
        </is>
      </c>
      <c r="J280" t="inlineStr"/>
      <c r="K280" t="inlineStr">
        <is>
          <t>Not sent to re-link</t>
        </is>
      </c>
      <c r="L280" t="inlineStr">
        <is>
          <t>Filled</t>
        </is>
      </c>
      <c r="M280" t="inlineStr">
        <is>
          <t>Filled</t>
        </is>
      </c>
      <c r="N280" t="inlineStr">
        <is>
          <t>57640.00 2026</t>
        </is>
      </c>
      <c r="O280" t="n">
        <v>0</v>
      </c>
      <c r="P280" t="inlineStr">
        <is>
          <t>University adapter</t>
        </is>
      </c>
      <c r="Q280" t="inlineStr">
        <is>
          <t>Filled</t>
        </is>
      </c>
      <c r="R280" t="n">
        <v>6.5</v>
      </c>
      <c r="S280" t="inlineStr">
        <is>
          <t>Central English policy</t>
        </is>
      </c>
      <c r="T280" t="inlineStr">
        <is>
          <t>Central rule applies (value agrees)</t>
        </is>
      </c>
      <c r="U280" t="inlineStr"/>
      <c r="V280" t="inlineStr">
        <is>
          <t>Not stated on course page</t>
        </is>
      </c>
      <c r="W280" t="inlineStr"/>
      <c r="X280" t="inlineStr"/>
      <c r="Y280" t="n">
        <v>0</v>
      </c>
      <c r="Z280" t="inlineStr">
        <is>
          <t>No</t>
        </is>
      </c>
      <c r="AA280" t="inlineStr">
        <is>
          <t>Filled</t>
        </is>
      </c>
      <c r="AB280" t="inlineStr">
        <is>
          <t>on campus</t>
        </is>
      </c>
      <c r="AC280" t="inlineStr"/>
      <c r="AD280" t="n">
        <v>0</v>
      </c>
      <c r="AE280" t="inlineStr"/>
      <c r="AF280" t="inlineStr"/>
      <c r="AG280" t="inlineStr"/>
      <c r="AH280" t="inlineStr"/>
      <c r="AI280" t="inlineStr"/>
      <c r="AJ280" t="inlineStr"/>
      <c r="AK280" t="inlineStr"/>
      <c r="AL280" t="inlineStr"/>
      <c r="AM280" t="inlineStr"/>
    </row>
    <row r="281">
      <c r="A281" t="inlineStr">
        <is>
          <t>091191A</t>
        </is>
      </c>
      <c r="B281" t="inlineStr">
        <is>
          <t>Master of Entrepreneurship and Innovation Management (Advanced)</t>
        </is>
      </c>
      <c r="C281" t="inlineStr">
        <is>
          <t>Masters Degree (Coursework)</t>
        </is>
      </c>
      <c r="D281" t="inlineStr">
        <is>
          <t>Postgraduate coursework</t>
        </is>
      </c>
      <c r="E281" t="inlineStr">
        <is>
          <t>Advertised: official page in place</t>
        </is>
      </c>
      <c r="F281" t="inlineStr">
        <is>
          <t>https://programsandcourses.anu.edu.au/2020/program/veinv</t>
        </is>
      </c>
      <c r="G281" t="inlineStr">
        <is>
          <t>https://programsandcourses.anu.edu.au/2021/program/veinv</t>
        </is>
      </c>
      <c r="H281" t="inlineStr">
        <is>
          <t>Read</t>
        </is>
      </c>
      <c r="I281" t="inlineStr">
        <is>
          <t>CRICOS code on page</t>
        </is>
      </c>
      <c r="J281" t="inlineStr"/>
      <c r="K281" t="inlineStr">
        <is>
          <t>Finished, no page: no address from the university's address forms or stored lis</t>
        </is>
      </c>
      <c r="L281" t="inlineStr">
        <is>
          <t>Filled</t>
        </is>
      </c>
      <c r="M281" t="inlineStr">
        <is>
          <t>Filled</t>
        </is>
      </c>
      <c r="N281" t="inlineStr">
        <is>
          <t>44470.00 2026</t>
        </is>
      </c>
      <c r="O281" t="n">
        <v>0</v>
      </c>
      <c r="P281" t="inlineStr">
        <is>
          <t>University adapter</t>
        </is>
      </c>
      <c r="Q281" t="inlineStr">
        <is>
          <t>Filled</t>
        </is>
      </c>
      <c r="R281" t="n">
        <v>6.5</v>
      </c>
      <c r="S281" t="inlineStr">
        <is>
          <t>Central English policy</t>
        </is>
      </c>
      <c r="T281" t="inlineStr">
        <is>
          <t>Central rule applies (value agrees)</t>
        </is>
      </c>
      <c r="U281" t="inlineStr"/>
      <c r="V281" t="inlineStr">
        <is>
          <t>Not stated on course page</t>
        </is>
      </c>
      <c r="W281" t="inlineStr"/>
      <c r="X281" t="inlineStr"/>
      <c r="Y281" t="n">
        <v>0</v>
      </c>
      <c r="Z281" t="inlineStr">
        <is>
          <t>No</t>
        </is>
      </c>
      <c r="AA281" t="inlineStr">
        <is>
          <t>Filled</t>
        </is>
      </c>
      <c r="AB281" t="inlineStr">
        <is>
          <t>on campus</t>
        </is>
      </c>
      <c r="AC281" t="inlineStr">
        <is>
          <t>Skipped: the page does not state it</t>
        </is>
      </c>
      <c r="AD281" t="n">
        <v>0</v>
      </c>
      <c r="AE281" t="inlineStr"/>
      <c r="AF281" t="inlineStr"/>
      <c r="AG281" t="inlineStr"/>
      <c r="AH281" t="inlineStr"/>
      <c r="AI281" t="inlineStr"/>
      <c r="AJ281" t="inlineStr"/>
      <c r="AK281" t="inlineStr"/>
      <c r="AL281" t="inlineStr"/>
      <c r="AM281" t="inlineStr"/>
    </row>
    <row r="282">
      <c r="A282" t="inlineStr">
        <is>
          <t>082293C</t>
        </is>
      </c>
      <c r="B282" t="inlineStr">
        <is>
          <t>Master of Environment</t>
        </is>
      </c>
      <c r="C282" t="inlineStr">
        <is>
          <t>Masters Degree (Coursework)</t>
        </is>
      </c>
      <c r="D282" t="inlineStr">
        <is>
          <t>Postgraduate coursework</t>
        </is>
      </c>
      <c r="E282" t="inlineStr">
        <is>
          <t>Advertised: official page in place</t>
        </is>
      </c>
      <c r="F282" t="inlineStr">
        <is>
          <t>https://programsandcourses.anu.edu.au/program/menvi</t>
        </is>
      </c>
      <c r="G282" t="inlineStr">
        <is>
          <t>https://programsandcourses.anu.edu.au/program/menvi</t>
        </is>
      </c>
      <c r="H282" t="inlineStr">
        <is>
          <t>Read</t>
        </is>
      </c>
      <c r="I282" t="inlineStr">
        <is>
          <t>CRICOS code on page</t>
        </is>
      </c>
      <c r="J282" t="inlineStr"/>
      <c r="K282" t="inlineStr">
        <is>
          <t>Not sent to re-link</t>
        </is>
      </c>
      <c r="L282" t="inlineStr">
        <is>
          <t>Filled</t>
        </is>
      </c>
      <c r="M282" t="inlineStr">
        <is>
          <t>Filled</t>
        </is>
      </c>
      <c r="N282" t="inlineStr">
        <is>
          <t>57640.00 2026</t>
        </is>
      </c>
      <c r="O282" t="n">
        <v>0</v>
      </c>
      <c r="P282" t="inlineStr">
        <is>
          <t>University adapter</t>
        </is>
      </c>
      <c r="Q282" t="inlineStr">
        <is>
          <t>Filled</t>
        </is>
      </c>
      <c r="R282" t="n">
        <v>6.5</v>
      </c>
      <c r="S282" t="inlineStr">
        <is>
          <t>Central English policy</t>
        </is>
      </c>
      <c r="T282" t="inlineStr">
        <is>
          <t>Central rule applies (value agrees)</t>
        </is>
      </c>
      <c r="U282" t="inlineStr"/>
      <c r="V282" t="inlineStr">
        <is>
          <t>Not stated on course page</t>
        </is>
      </c>
      <c r="W282" t="inlineStr"/>
      <c r="X282" t="inlineStr"/>
      <c r="Y282" t="n">
        <v>0</v>
      </c>
      <c r="Z282" t="inlineStr">
        <is>
          <t>No</t>
        </is>
      </c>
      <c r="AA282" t="inlineStr">
        <is>
          <t>Filled</t>
        </is>
      </c>
      <c r="AB282" t="inlineStr">
        <is>
          <t>on campus</t>
        </is>
      </c>
      <c r="AC282" t="inlineStr"/>
      <c r="AD282" t="n">
        <v>0</v>
      </c>
      <c r="AE282" t="inlineStr"/>
      <c r="AF282" t="inlineStr"/>
      <c r="AG282" t="inlineStr"/>
      <c r="AH282" t="inlineStr"/>
      <c r="AI282" t="inlineStr"/>
      <c r="AJ282" t="inlineStr"/>
      <c r="AK282" t="inlineStr"/>
      <c r="AL282" t="inlineStr"/>
      <c r="AM282" t="inlineStr"/>
    </row>
    <row r="283">
      <c r="A283" t="inlineStr">
        <is>
          <t>082294B</t>
        </is>
      </c>
      <c r="B283" t="inlineStr">
        <is>
          <t>Master of Environment (Advanced)</t>
        </is>
      </c>
      <c r="C283" t="inlineStr">
        <is>
          <t>Masters Degree (Coursework)</t>
        </is>
      </c>
      <c r="D283" t="inlineStr">
        <is>
          <t>Postgraduate coursework</t>
        </is>
      </c>
      <c r="E283" t="inlineStr">
        <is>
          <t>Advertised: official page in place</t>
        </is>
      </c>
      <c r="F283" t="inlineStr">
        <is>
          <t>https://programsandcourses.anu.edu.au/program/venvi</t>
        </is>
      </c>
      <c r="G283" t="inlineStr">
        <is>
          <t>https://programsandcourses.anu.edu.au/program/venvi</t>
        </is>
      </c>
      <c r="H283" t="inlineStr">
        <is>
          <t>Read</t>
        </is>
      </c>
      <c r="I283" t="inlineStr">
        <is>
          <t>CRICOS code on page</t>
        </is>
      </c>
      <c r="J283" t="inlineStr"/>
      <c r="K283" t="inlineStr">
        <is>
          <t>Not sent to re-link</t>
        </is>
      </c>
      <c r="L283" t="inlineStr">
        <is>
          <t>Filled</t>
        </is>
      </c>
      <c r="M283" t="inlineStr">
        <is>
          <t>Filled</t>
        </is>
      </c>
      <c r="N283" t="inlineStr">
        <is>
          <t>57640.00 2026</t>
        </is>
      </c>
      <c r="O283" t="n">
        <v>0</v>
      </c>
      <c r="P283" t="inlineStr">
        <is>
          <t>University adapter</t>
        </is>
      </c>
      <c r="Q283" t="inlineStr">
        <is>
          <t>Filled</t>
        </is>
      </c>
      <c r="R283" t="n">
        <v>6.5</v>
      </c>
      <c r="S283" t="inlineStr">
        <is>
          <t>Central English policy</t>
        </is>
      </c>
      <c r="T283" t="inlineStr">
        <is>
          <t>Central rule applies (value agrees)</t>
        </is>
      </c>
      <c r="U283" t="inlineStr"/>
      <c r="V283" t="inlineStr">
        <is>
          <t>Not stated on course page</t>
        </is>
      </c>
      <c r="W283" t="inlineStr"/>
      <c r="X283" t="inlineStr"/>
      <c r="Y283" t="n">
        <v>0</v>
      </c>
      <c r="Z283" t="inlineStr">
        <is>
          <t>No</t>
        </is>
      </c>
      <c r="AA283" t="inlineStr">
        <is>
          <t>Filled</t>
        </is>
      </c>
      <c r="AB283" t="inlineStr">
        <is>
          <t>on campus</t>
        </is>
      </c>
      <c r="AC283" t="inlineStr"/>
      <c r="AD283" t="n">
        <v>0</v>
      </c>
      <c r="AE283" t="inlineStr"/>
      <c r="AF283" t="inlineStr"/>
      <c r="AG283" t="inlineStr"/>
      <c r="AH283" t="inlineStr"/>
      <c r="AI283" t="inlineStr"/>
      <c r="AJ283" t="inlineStr"/>
      <c r="AK283" t="inlineStr"/>
      <c r="AL283" t="inlineStr"/>
      <c r="AM283" t="inlineStr"/>
    </row>
    <row r="284">
      <c r="A284" t="inlineStr">
        <is>
          <t>082295A</t>
        </is>
      </c>
      <c r="B284" t="inlineStr">
        <is>
          <t>Master of Environmental and Resource Economics</t>
        </is>
      </c>
      <c r="C284" t="inlineStr">
        <is>
          <t>Masters Degree (Coursework)</t>
        </is>
      </c>
      <c r="D284" t="inlineStr">
        <is>
          <t>Postgraduate coursework</t>
        </is>
      </c>
      <c r="E284" t="inlineStr">
        <is>
          <t>Advertised: official page in place</t>
        </is>
      </c>
      <c r="F284" t="inlineStr">
        <is>
          <t>https://programsandcourses.anu.edu.au/program/merec</t>
        </is>
      </c>
      <c r="G284" t="inlineStr">
        <is>
          <t>https://programsandcourses.anu.edu.au/program/merec</t>
        </is>
      </c>
      <c r="H284" t="inlineStr">
        <is>
          <t>Read</t>
        </is>
      </c>
      <c r="I284" t="inlineStr">
        <is>
          <t>CRICOS code on page</t>
        </is>
      </c>
      <c r="J284" t="inlineStr"/>
      <c r="K284" t="inlineStr">
        <is>
          <t>Not sent to re-link</t>
        </is>
      </c>
      <c r="L284" t="inlineStr">
        <is>
          <t>Filled</t>
        </is>
      </c>
      <c r="M284" t="inlineStr">
        <is>
          <t>Filled</t>
        </is>
      </c>
      <c r="N284" t="inlineStr">
        <is>
          <t>57640.00 2026</t>
        </is>
      </c>
      <c r="O284" t="n">
        <v>0</v>
      </c>
      <c r="P284" t="inlineStr">
        <is>
          <t>University adapter</t>
        </is>
      </c>
      <c r="Q284" t="inlineStr">
        <is>
          <t>Filled</t>
        </is>
      </c>
      <c r="R284" t="n">
        <v>6.5</v>
      </c>
      <c r="S284" t="inlineStr">
        <is>
          <t>Central English policy</t>
        </is>
      </c>
      <c r="T284" t="inlineStr">
        <is>
          <t>Central rule applies (value agrees)</t>
        </is>
      </c>
      <c r="U284" t="inlineStr"/>
      <c r="V284" t="inlineStr">
        <is>
          <t>Not stated on course page</t>
        </is>
      </c>
      <c r="W284" t="inlineStr"/>
      <c r="X284" t="inlineStr"/>
      <c r="Y284" t="n">
        <v>0</v>
      </c>
      <c r="Z284" t="inlineStr">
        <is>
          <t>No</t>
        </is>
      </c>
      <c r="AA284" t="inlineStr">
        <is>
          <t>Filled</t>
        </is>
      </c>
      <c r="AB284" t="inlineStr">
        <is>
          <t>on campus</t>
        </is>
      </c>
      <c r="AC284" t="inlineStr"/>
      <c r="AD284" t="n">
        <v>0</v>
      </c>
      <c r="AE284" t="inlineStr"/>
      <c r="AF284" t="inlineStr"/>
      <c r="AG284" t="inlineStr"/>
      <c r="AH284" t="inlineStr"/>
      <c r="AI284" t="inlineStr"/>
      <c r="AJ284" t="inlineStr"/>
      <c r="AK284" t="inlineStr"/>
      <c r="AL284" t="inlineStr"/>
      <c r="AM284" t="inlineStr"/>
    </row>
    <row r="285">
      <c r="A285" t="inlineStr">
        <is>
          <t>082296M</t>
        </is>
      </c>
      <c r="B285" t="inlineStr">
        <is>
          <t>Master of Environmental Management and Development</t>
        </is>
      </c>
      <c r="C285" t="inlineStr">
        <is>
          <t>Masters Degree (Coursework)</t>
        </is>
      </c>
      <c r="D285" t="inlineStr">
        <is>
          <t>Postgraduate coursework</t>
        </is>
      </c>
      <c r="E285" t="inlineStr">
        <is>
          <t>Advertised: official page in place</t>
        </is>
      </c>
      <c r="F285" t="inlineStr">
        <is>
          <t>https://programsandcourses.anu.edu.au/program/memdv</t>
        </is>
      </c>
      <c r="G285" t="inlineStr">
        <is>
          <t>https://programsandcourses.anu.edu.au/program/memdv</t>
        </is>
      </c>
      <c r="H285" t="inlineStr">
        <is>
          <t>Read</t>
        </is>
      </c>
      <c r="I285" t="inlineStr">
        <is>
          <t>CRICOS code on page</t>
        </is>
      </c>
      <c r="J285" t="inlineStr"/>
      <c r="K285" t="inlineStr">
        <is>
          <t>Not sent to re-link</t>
        </is>
      </c>
      <c r="L285" t="inlineStr">
        <is>
          <t>Filled</t>
        </is>
      </c>
      <c r="M285" t="inlineStr">
        <is>
          <t>Filled</t>
        </is>
      </c>
      <c r="N285" t="inlineStr">
        <is>
          <t>57640.00 2026</t>
        </is>
      </c>
      <c r="O285" t="n">
        <v>0</v>
      </c>
      <c r="P285" t="inlineStr">
        <is>
          <t>University adapter</t>
        </is>
      </c>
      <c r="Q285" t="inlineStr">
        <is>
          <t>Filled</t>
        </is>
      </c>
      <c r="R285" t="n">
        <v>6.5</v>
      </c>
      <c r="S285" t="inlineStr">
        <is>
          <t>Central English policy</t>
        </is>
      </c>
      <c r="T285" t="inlineStr">
        <is>
          <t>Central rule applies (value agrees)</t>
        </is>
      </c>
      <c r="U285" t="inlineStr"/>
      <c r="V285" t="inlineStr">
        <is>
          <t>Not stated on course page</t>
        </is>
      </c>
      <c r="W285" t="inlineStr"/>
      <c r="X285" t="inlineStr"/>
      <c r="Y285" t="n">
        <v>0</v>
      </c>
      <c r="Z285" t="inlineStr">
        <is>
          <t>No</t>
        </is>
      </c>
      <c r="AA285" t="inlineStr">
        <is>
          <t>Filled</t>
        </is>
      </c>
      <c r="AB285" t="inlineStr">
        <is>
          <t>on campus</t>
        </is>
      </c>
      <c r="AC285" t="inlineStr"/>
      <c r="AD285" t="n">
        <v>0</v>
      </c>
      <c r="AE285" t="inlineStr"/>
      <c r="AF285" t="inlineStr"/>
      <c r="AG285" t="inlineStr"/>
      <c r="AH285" t="inlineStr"/>
      <c r="AI285" t="inlineStr"/>
      <c r="AJ285" t="inlineStr"/>
      <c r="AK285" t="inlineStr"/>
      <c r="AL285" t="inlineStr"/>
      <c r="AM285" t="inlineStr"/>
    </row>
    <row r="286">
      <c r="A286" t="inlineStr">
        <is>
          <t>082297K</t>
        </is>
      </c>
      <c r="B286" t="inlineStr">
        <is>
          <t>Master of Environmental Science</t>
        </is>
      </c>
      <c r="C286" t="inlineStr">
        <is>
          <t>Masters Degree (Coursework)</t>
        </is>
      </c>
      <c r="D286" t="inlineStr">
        <is>
          <t>Postgraduate coursework</t>
        </is>
      </c>
      <c r="E286" t="inlineStr">
        <is>
          <t>Advertised: official page in place</t>
        </is>
      </c>
      <c r="F286" t="inlineStr">
        <is>
          <t>https://programsandcourses.anu.edu.au/2020/program/menvs</t>
        </is>
      </c>
      <c r="G286" t="inlineStr">
        <is>
          <t>https://programsandcourses.anu.edu.au/2022/program/menvs</t>
        </is>
      </c>
      <c r="H286" t="inlineStr">
        <is>
          <t>Read</t>
        </is>
      </c>
      <c r="I286" t="inlineStr">
        <is>
          <t>CRICOS code on page</t>
        </is>
      </c>
      <c r="J286" t="inlineStr"/>
      <c r="K286" t="inlineStr">
        <is>
          <t>Not sent to re-link</t>
        </is>
      </c>
      <c r="L286" t="inlineStr">
        <is>
          <t>Filled</t>
        </is>
      </c>
      <c r="M286" t="inlineStr">
        <is>
          <t>Filled</t>
        </is>
      </c>
      <c r="N286" t="inlineStr">
        <is>
          <t>47754.00 2026</t>
        </is>
      </c>
      <c r="O286" t="n">
        <v>0</v>
      </c>
      <c r="P286" t="inlineStr">
        <is>
          <t>University adapter</t>
        </is>
      </c>
      <c r="Q286" t="inlineStr">
        <is>
          <t>Filled</t>
        </is>
      </c>
      <c r="R286" t="n">
        <v>6.5</v>
      </c>
      <c r="S286" t="inlineStr">
        <is>
          <t>Central English policy</t>
        </is>
      </c>
      <c r="T286" t="inlineStr">
        <is>
          <t>Central rule applies (value agrees)</t>
        </is>
      </c>
      <c r="U286" t="inlineStr"/>
      <c r="V286" t="inlineStr">
        <is>
          <t>Not stated on course page</t>
        </is>
      </c>
      <c r="W286" t="inlineStr"/>
      <c r="X286" t="inlineStr"/>
      <c r="Y286" t="n">
        <v>0</v>
      </c>
      <c r="Z286" t="inlineStr">
        <is>
          <t>No</t>
        </is>
      </c>
      <c r="AA286" t="inlineStr">
        <is>
          <t>Filled</t>
        </is>
      </c>
      <c r="AB286" t="inlineStr">
        <is>
          <t>on campus</t>
        </is>
      </c>
      <c r="AC286" t="inlineStr"/>
      <c r="AD286" t="n">
        <v>0</v>
      </c>
      <c r="AE286" t="inlineStr"/>
      <c r="AF286" t="inlineStr"/>
      <c r="AG286" t="inlineStr"/>
      <c r="AH286" t="inlineStr"/>
      <c r="AI286" t="inlineStr"/>
      <c r="AJ286" t="inlineStr"/>
      <c r="AK286" t="inlineStr"/>
      <c r="AL286" t="inlineStr"/>
      <c r="AM286" t="inlineStr"/>
    </row>
    <row r="287">
      <c r="A287" t="inlineStr">
        <is>
          <t>082298J</t>
        </is>
      </c>
      <c r="B287" t="inlineStr">
        <is>
          <t>Master of Environmental Science (Advanced)</t>
        </is>
      </c>
      <c r="C287" t="inlineStr">
        <is>
          <t>Masters Degree (Coursework)</t>
        </is>
      </c>
      <c r="D287" t="inlineStr">
        <is>
          <t>Postgraduate coursework</t>
        </is>
      </c>
      <c r="E287" t="inlineStr">
        <is>
          <t>Advertised: official page in place</t>
        </is>
      </c>
      <c r="F287" t="inlineStr">
        <is>
          <t>https://programsandcourses.anu.edu.au/2015/program/venvs</t>
        </is>
      </c>
      <c r="G287" t="inlineStr">
        <is>
          <t>https://programsandcourses.anu.edu.au/2021/program/venvs</t>
        </is>
      </c>
      <c r="H287" t="inlineStr">
        <is>
          <t>Read</t>
        </is>
      </c>
      <c r="I287" t="inlineStr">
        <is>
          <t>CRICOS code on page</t>
        </is>
      </c>
      <c r="J287" t="inlineStr"/>
      <c r="K287" t="inlineStr">
        <is>
          <t>Not sent to re-link</t>
        </is>
      </c>
      <c r="L287" t="inlineStr">
        <is>
          <t>Filled</t>
        </is>
      </c>
      <c r="M287" t="inlineStr">
        <is>
          <t>Filled</t>
        </is>
      </c>
      <c r="N287" t="inlineStr">
        <is>
          <t>46910.00 2026</t>
        </is>
      </c>
      <c r="O287" t="n">
        <v>0</v>
      </c>
      <c r="P287" t="inlineStr">
        <is>
          <t>University adapter</t>
        </is>
      </c>
      <c r="Q287" t="inlineStr">
        <is>
          <t>Filled</t>
        </is>
      </c>
      <c r="R287" t="n">
        <v>6.5</v>
      </c>
      <c r="S287" t="inlineStr">
        <is>
          <t>Central English policy</t>
        </is>
      </c>
      <c r="T287" t="inlineStr">
        <is>
          <t>Central rule applies (value agrees)</t>
        </is>
      </c>
      <c r="U287" t="inlineStr"/>
      <c r="V287" t="inlineStr">
        <is>
          <t>Not stated on course page</t>
        </is>
      </c>
      <c r="W287" t="inlineStr"/>
      <c r="X287" t="inlineStr"/>
      <c r="Y287" t="n">
        <v>0</v>
      </c>
      <c r="Z287" t="inlineStr">
        <is>
          <t>No</t>
        </is>
      </c>
      <c r="AA287" t="inlineStr">
        <is>
          <t>Filled</t>
        </is>
      </c>
      <c r="AB287" t="inlineStr">
        <is>
          <t>on campus</t>
        </is>
      </c>
      <c r="AC287" t="inlineStr"/>
      <c r="AD287" t="n">
        <v>0</v>
      </c>
      <c r="AE287" t="inlineStr"/>
      <c r="AF287" t="inlineStr"/>
      <c r="AG287" t="inlineStr"/>
      <c r="AH287" t="inlineStr"/>
      <c r="AI287" t="inlineStr"/>
      <c r="AJ287" t="inlineStr"/>
      <c r="AK287" t="inlineStr"/>
      <c r="AL287" t="inlineStr"/>
      <c r="AM287" t="inlineStr"/>
    </row>
    <row r="288">
      <c r="A288" t="inlineStr">
        <is>
          <t>039762C</t>
        </is>
      </c>
      <c r="B288" t="inlineStr">
        <is>
          <t>Master of Finance</t>
        </is>
      </c>
      <c r="C288" t="inlineStr">
        <is>
          <t>Masters Degree (Coursework)</t>
        </is>
      </c>
      <c r="D288" t="inlineStr">
        <is>
          <t>Postgraduate coursework</t>
        </is>
      </c>
      <c r="E288" t="inlineStr">
        <is>
          <t>Advertised: official page in place</t>
        </is>
      </c>
      <c r="F288" t="inlineStr">
        <is>
          <t>https://programsandcourses.anu.edu.au/program/7418xmfin</t>
        </is>
      </c>
      <c r="G288" t="inlineStr">
        <is>
          <t>https://programsandcourses.anu.edu.au/program/7418xmfin</t>
        </is>
      </c>
      <c r="H288" t="inlineStr">
        <is>
          <t>Read</t>
        </is>
      </c>
      <c r="I288" t="inlineStr">
        <is>
          <t>CRICOS code on page</t>
        </is>
      </c>
      <c r="J288" t="inlineStr"/>
      <c r="K288" t="inlineStr">
        <is>
          <t>Not sent to re-link</t>
        </is>
      </c>
      <c r="L288" t="inlineStr">
        <is>
          <t>Filled</t>
        </is>
      </c>
      <c r="M288" t="inlineStr">
        <is>
          <t>Filled</t>
        </is>
      </c>
      <c r="N288" t="inlineStr">
        <is>
          <t>57640.00 2026</t>
        </is>
      </c>
      <c r="O288" t="n">
        <v>0</v>
      </c>
      <c r="P288" t="inlineStr">
        <is>
          <t>University adapter</t>
        </is>
      </c>
      <c r="Q288" t="inlineStr">
        <is>
          <t>Filled</t>
        </is>
      </c>
      <c r="R288" t="n">
        <v>6.5</v>
      </c>
      <c r="S288" t="inlineStr">
        <is>
          <t>Central English policy</t>
        </is>
      </c>
      <c r="T288" t="inlineStr">
        <is>
          <t>Central rule applies (value agrees)</t>
        </is>
      </c>
      <c r="U288" t="inlineStr"/>
      <c r="V288" t="inlineStr">
        <is>
          <t>Not stated on course page</t>
        </is>
      </c>
      <c r="W288" t="inlineStr"/>
      <c r="X288" t="inlineStr"/>
      <c r="Y288" t="n">
        <v>0</v>
      </c>
      <c r="Z288" t="inlineStr">
        <is>
          <t>No</t>
        </is>
      </c>
      <c r="AA288" t="inlineStr">
        <is>
          <t>Filled</t>
        </is>
      </c>
      <c r="AB288" t="inlineStr">
        <is>
          <t>on campus</t>
        </is>
      </c>
      <c r="AC288" t="inlineStr"/>
      <c r="AD288" t="n">
        <v>0</v>
      </c>
      <c r="AE288" t="inlineStr"/>
      <c r="AF288" t="inlineStr"/>
      <c r="AG288" t="inlineStr"/>
      <c r="AH288" t="inlineStr"/>
      <c r="AI288" t="inlineStr"/>
      <c r="AJ288" t="inlineStr"/>
      <c r="AK288" t="inlineStr"/>
      <c r="AL288" t="inlineStr"/>
      <c r="AM288" t="inlineStr"/>
    </row>
    <row r="289">
      <c r="A289" t="inlineStr">
        <is>
          <t>086226D</t>
        </is>
      </c>
      <c r="B289" t="inlineStr">
        <is>
          <t>Master of Financial Economics</t>
        </is>
      </c>
      <c r="C289" t="inlineStr">
        <is>
          <t>Masters Degree (Coursework)</t>
        </is>
      </c>
      <c r="D289" t="inlineStr">
        <is>
          <t>Postgraduate coursework</t>
        </is>
      </c>
      <c r="E289" t="inlineStr">
        <is>
          <t>Advertised: official page in place</t>
        </is>
      </c>
      <c r="F289" t="inlineStr">
        <is>
          <t>https://programsandcourses.anu.edu.au/program/mfiec</t>
        </is>
      </c>
      <c r="G289" t="inlineStr">
        <is>
          <t>https://programsandcourses.anu.edu.au/program/mfiec</t>
        </is>
      </c>
      <c r="H289" t="inlineStr">
        <is>
          <t>Read</t>
        </is>
      </c>
      <c r="I289" t="inlineStr">
        <is>
          <t>CRICOS code on page</t>
        </is>
      </c>
      <c r="J289" t="inlineStr"/>
      <c r="K289" t="inlineStr">
        <is>
          <t>Not sent to re-link</t>
        </is>
      </c>
      <c r="L289" t="inlineStr">
        <is>
          <t>Filled</t>
        </is>
      </c>
      <c r="M289" t="inlineStr">
        <is>
          <t>Filled</t>
        </is>
      </c>
      <c r="N289" t="inlineStr">
        <is>
          <t>57640.00 2026</t>
        </is>
      </c>
      <c r="O289" t="n">
        <v>0</v>
      </c>
      <c r="P289" t="inlineStr">
        <is>
          <t>University adapter</t>
        </is>
      </c>
      <c r="Q289" t="inlineStr">
        <is>
          <t>Filled</t>
        </is>
      </c>
      <c r="R289" t="n">
        <v>6.5</v>
      </c>
      <c r="S289" t="inlineStr">
        <is>
          <t>Central English policy</t>
        </is>
      </c>
      <c r="T289" t="inlineStr">
        <is>
          <t>Central rule applies (value agrees)</t>
        </is>
      </c>
      <c r="U289" t="inlineStr"/>
      <c r="V289" t="inlineStr">
        <is>
          <t>Filled</t>
        </is>
      </c>
      <c r="W289" t="inlineStr">
        <is>
          <t>February</t>
        </is>
      </c>
      <c r="X289" t="inlineStr">
        <is>
          <t>Page reader</t>
        </is>
      </c>
      <c r="Y289" t="n">
        <v>0</v>
      </c>
      <c r="Z289" t="inlineStr">
        <is>
          <t>No</t>
        </is>
      </c>
      <c r="AA289" t="inlineStr">
        <is>
          <t>Filled</t>
        </is>
      </c>
      <c r="AB289" t="inlineStr">
        <is>
          <t>on campus</t>
        </is>
      </c>
      <c r="AC289" t="inlineStr"/>
      <c r="AD289" t="n">
        <v>0</v>
      </c>
      <c r="AE289" t="inlineStr"/>
      <c r="AF289" t="inlineStr"/>
      <c r="AG289" t="inlineStr"/>
      <c r="AH289" t="inlineStr"/>
      <c r="AI289" t="inlineStr"/>
      <c r="AJ289" t="inlineStr"/>
      <c r="AK289" t="inlineStr"/>
      <c r="AL289" t="inlineStr"/>
      <c r="AM289" t="inlineStr"/>
    </row>
    <row r="290">
      <c r="A290" t="inlineStr">
        <is>
          <t>029316G</t>
        </is>
      </c>
      <c r="B290" t="inlineStr">
        <is>
          <t>Master of Financial Management</t>
        </is>
      </c>
      <c r="C290" t="inlineStr">
        <is>
          <t>Masters Degree (Coursework)</t>
        </is>
      </c>
      <c r="D290" t="inlineStr">
        <is>
          <t>Postgraduate coursework</t>
        </is>
      </c>
      <c r="E290" t="inlineStr">
        <is>
          <t>Advertised: official page in place</t>
        </is>
      </c>
      <c r="F290" t="inlineStr">
        <is>
          <t>https://programsandcourses.anu.edu.au/program/mfinm</t>
        </is>
      </c>
      <c r="G290" t="inlineStr">
        <is>
          <t>https://programsandcourses.anu.edu.au/program/mfinm</t>
        </is>
      </c>
      <c r="H290" t="inlineStr">
        <is>
          <t>Read</t>
        </is>
      </c>
      <c r="I290" t="inlineStr">
        <is>
          <t>CRICOS code on page</t>
        </is>
      </c>
      <c r="J290" t="inlineStr"/>
      <c r="K290" t="inlineStr">
        <is>
          <t>Not sent to re-link</t>
        </is>
      </c>
      <c r="L290" t="inlineStr">
        <is>
          <t>Filled</t>
        </is>
      </c>
      <c r="M290" t="inlineStr">
        <is>
          <t>Filled</t>
        </is>
      </c>
      <c r="N290" t="inlineStr">
        <is>
          <t>57640.00 2026</t>
        </is>
      </c>
      <c r="O290" t="n">
        <v>0</v>
      </c>
      <c r="P290" t="inlineStr">
        <is>
          <t>University adapter</t>
        </is>
      </c>
      <c r="Q290" t="inlineStr">
        <is>
          <t>Filled</t>
        </is>
      </c>
      <c r="R290" t="n">
        <v>6.5</v>
      </c>
      <c r="S290" t="inlineStr">
        <is>
          <t>Central English policy</t>
        </is>
      </c>
      <c r="T290" t="inlineStr">
        <is>
          <t>Central rule applies (value agrees)</t>
        </is>
      </c>
      <c r="U290" t="inlineStr"/>
      <c r="V290" t="inlineStr">
        <is>
          <t>Not stated on course page</t>
        </is>
      </c>
      <c r="W290" t="inlineStr"/>
      <c r="X290" t="inlineStr"/>
      <c r="Y290" t="n">
        <v>0</v>
      </c>
      <c r="Z290" t="inlineStr">
        <is>
          <t>No</t>
        </is>
      </c>
      <c r="AA290" t="inlineStr">
        <is>
          <t>Filled</t>
        </is>
      </c>
      <c r="AB290" t="inlineStr">
        <is>
          <t>on campus</t>
        </is>
      </c>
      <c r="AC290" t="inlineStr"/>
      <c r="AD290" t="n">
        <v>0</v>
      </c>
      <c r="AE290" t="inlineStr"/>
      <c r="AF290" t="inlineStr"/>
      <c r="AG290" t="inlineStr"/>
      <c r="AH290" t="inlineStr"/>
      <c r="AI290" t="inlineStr"/>
      <c r="AJ290" t="inlineStr"/>
      <c r="AK290" t="inlineStr"/>
      <c r="AL290" t="inlineStr"/>
      <c r="AM290" t="inlineStr"/>
    </row>
    <row r="291">
      <c r="A291" t="inlineStr">
        <is>
          <t>103872F</t>
        </is>
      </c>
      <c r="B291" t="inlineStr">
        <is>
          <t>Master of Financial Management and Law</t>
        </is>
      </c>
      <c r="C291" t="inlineStr">
        <is>
          <t>Masters Degree (Coursework)</t>
        </is>
      </c>
      <c r="D291" t="inlineStr">
        <is>
          <t>Postgraduate coursework</t>
        </is>
      </c>
      <c r="E291" t="inlineStr">
        <is>
          <t>Advertised: official page in place</t>
        </is>
      </c>
      <c r="F291" t="inlineStr">
        <is>
          <t>https://programsandcourses.anu.edu.au/program/mfiml</t>
        </is>
      </c>
      <c r="G291" t="inlineStr">
        <is>
          <t>https://programsandcourses.anu.edu.au/program/mfiml</t>
        </is>
      </c>
      <c r="H291" t="inlineStr">
        <is>
          <t>Read</t>
        </is>
      </c>
      <c r="I291" t="inlineStr">
        <is>
          <t>CRICOS code on page</t>
        </is>
      </c>
      <c r="J291" t="inlineStr"/>
      <c r="K291" t="inlineStr">
        <is>
          <t>Not sent to re-link</t>
        </is>
      </c>
      <c r="L291" t="inlineStr">
        <is>
          <t>Filled</t>
        </is>
      </c>
      <c r="M291" t="inlineStr">
        <is>
          <t>Filled</t>
        </is>
      </c>
      <c r="N291" t="inlineStr">
        <is>
          <t>57640.00 2026</t>
        </is>
      </c>
      <c r="O291" t="n">
        <v>0</v>
      </c>
      <c r="P291" t="inlineStr">
        <is>
          <t>University adapter</t>
        </is>
      </c>
      <c r="Q291" t="inlineStr">
        <is>
          <t>Filled</t>
        </is>
      </c>
      <c r="R291" t="n">
        <v>6.5</v>
      </c>
      <c r="S291" t="inlineStr">
        <is>
          <t>Central English policy</t>
        </is>
      </c>
      <c r="T291" t="inlineStr">
        <is>
          <t>Central rule applies (value agrees)</t>
        </is>
      </c>
      <c r="U291" t="inlineStr"/>
      <c r="V291" t="inlineStr">
        <is>
          <t>Not stated on course page</t>
        </is>
      </c>
      <c r="W291" t="inlineStr"/>
      <c r="X291" t="inlineStr"/>
      <c r="Y291" t="n">
        <v>0</v>
      </c>
      <c r="Z291" t="inlineStr">
        <is>
          <t>No</t>
        </is>
      </c>
      <c r="AA291" t="inlineStr">
        <is>
          <t>Filled</t>
        </is>
      </c>
      <c r="AB291" t="inlineStr">
        <is>
          <t>blended</t>
        </is>
      </c>
      <c r="AC291" t="inlineStr"/>
      <c r="AD291" t="n">
        <v>0</v>
      </c>
      <c r="AE291" t="inlineStr"/>
      <c r="AF291" t="inlineStr"/>
      <c r="AG291" t="inlineStr"/>
      <c r="AH291" t="inlineStr"/>
      <c r="AI291" t="inlineStr"/>
      <c r="AJ291" t="inlineStr"/>
      <c r="AK291" t="inlineStr"/>
      <c r="AL291" t="inlineStr"/>
      <c r="AM291" t="inlineStr"/>
    </row>
    <row r="292">
      <c r="A292" t="inlineStr">
        <is>
          <t>082299G</t>
        </is>
      </c>
      <c r="B292" t="inlineStr">
        <is>
          <t>Master of Forestry</t>
        </is>
      </c>
      <c r="C292" t="inlineStr">
        <is>
          <t>Masters Degree (Coursework)</t>
        </is>
      </c>
      <c r="D292" t="inlineStr">
        <is>
          <t>Postgraduate coursework</t>
        </is>
      </c>
      <c r="E292" t="inlineStr">
        <is>
          <t>Advertised: official page in place</t>
        </is>
      </c>
      <c r="F292" t="inlineStr">
        <is>
          <t>https://programsandcourses.anu.edu.au/2023/program/MFORE</t>
        </is>
      </c>
      <c r="G292" t="inlineStr">
        <is>
          <t>https://programsandcourses.anu.edu.au/2021/program/mfore</t>
        </is>
      </c>
      <c r="H292" t="inlineStr">
        <is>
          <t>Read</t>
        </is>
      </c>
      <c r="I292" t="inlineStr">
        <is>
          <t>CRICOS code on page</t>
        </is>
      </c>
      <c r="J292" t="inlineStr"/>
      <c r="K292" t="inlineStr">
        <is>
          <t>Not sent to re-link</t>
        </is>
      </c>
      <c r="L292" t="inlineStr">
        <is>
          <t>Filled</t>
        </is>
      </c>
      <c r="M292" t="inlineStr">
        <is>
          <t>Filled</t>
        </is>
      </c>
      <c r="N292" t="inlineStr">
        <is>
          <t>46910.00 2026</t>
        </is>
      </c>
      <c r="O292" t="n">
        <v>0</v>
      </c>
      <c r="P292" t="inlineStr">
        <is>
          <t>University adapter</t>
        </is>
      </c>
      <c r="Q292" t="inlineStr">
        <is>
          <t>Filled</t>
        </is>
      </c>
      <c r="R292" t="n">
        <v>6.5</v>
      </c>
      <c r="S292" t="inlineStr">
        <is>
          <t>Central English policy</t>
        </is>
      </c>
      <c r="T292" t="inlineStr">
        <is>
          <t>Central rule applies (value agrees)</t>
        </is>
      </c>
      <c r="U292" t="inlineStr"/>
      <c r="V292" t="inlineStr">
        <is>
          <t>Not stated on course page</t>
        </is>
      </c>
      <c r="W292" t="inlineStr"/>
      <c r="X292" t="inlineStr"/>
      <c r="Y292" t="n">
        <v>0</v>
      </c>
      <c r="Z292" t="inlineStr">
        <is>
          <t>No</t>
        </is>
      </c>
      <c r="AA292" t="inlineStr">
        <is>
          <t>Filled</t>
        </is>
      </c>
      <c r="AB292" t="inlineStr">
        <is>
          <t>on campus</t>
        </is>
      </c>
      <c r="AC292" t="inlineStr"/>
      <c r="AD292" t="n">
        <v>0</v>
      </c>
      <c r="AE292" t="inlineStr"/>
      <c r="AF292" t="inlineStr"/>
      <c r="AG292" t="inlineStr"/>
      <c r="AH292" t="inlineStr"/>
      <c r="AI292" t="inlineStr"/>
      <c r="AJ292" t="inlineStr"/>
      <c r="AK292" t="inlineStr"/>
      <c r="AL292" t="inlineStr"/>
      <c r="AM292" t="inlineStr"/>
    </row>
    <row r="293">
      <c r="A293" t="inlineStr">
        <is>
          <t>082300J</t>
        </is>
      </c>
      <c r="B293" t="inlineStr">
        <is>
          <t>Master of Forestry (Advanced)</t>
        </is>
      </c>
      <c r="C293" t="inlineStr">
        <is>
          <t>Masters Degree (Coursework)</t>
        </is>
      </c>
      <c r="D293" t="inlineStr">
        <is>
          <t>Postgraduate coursework</t>
        </is>
      </c>
      <c r="E293" t="inlineStr">
        <is>
          <t>Advertised: official page in place</t>
        </is>
      </c>
      <c r="F293" t="inlineStr">
        <is>
          <t>https://programsandcourses.anu.edu.au/2023/program/vfore</t>
        </is>
      </c>
      <c r="G293" t="inlineStr">
        <is>
          <t>https://programsandcourses.anu.edu.au/2023/program/vfore</t>
        </is>
      </c>
      <c r="H293" t="inlineStr">
        <is>
          <t>Read</t>
        </is>
      </c>
      <c r="I293" t="inlineStr">
        <is>
          <t>CRICOS code on page</t>
        </is>
      </c>
      <c r="J293" t="inlineStr"/>
      <c r="K293" t="inlineStr">
        <is>
          <t>Not sent to re-link</t>
        </is>
      </c>
      <c r="L293" t="inlineStr">
        <is>
          <t>Filled</t>
        </is>
      </c>
      <c r="M293" t="inlineStr">
        <is>
          <t>Filled</t>
        </is>
      </c>
      <c r="N293" t="inlineStr">
        <is>
          <t>49330.00 2026</t>
        </is>
      </c>
      <c r="O293" t="n">
        <v>0</v>
      </c>
      <c r="P293" t="inlineStr">
        <is>
          <t>University adapter</t>
        </is>
      </c>
      <c r="Q293" t="inlineStr">
        <is>
          <t>Filled</t>
        </is>
      </c>
      <c r="R293" t="n">
        <v>6.5</v>
      </c>
      <c r="S293" t="inlineStr">
        <is>
          <t>Central English policy</t>
        </is>
      </c>
      <c r="T293" t="inlineStr">
        <is>
          <t>Central rule applies (value agrees)</t>
        </is>
      </c>
      <c r="U293" t="inlineStr"/>
      <c r="V293" t="inlineStr">
        <is>
          <t>Not stated on course page</t>
        </is>
      </c>
      <c r="W293" t="inlineStr"/>
      <c r="X293" t="inlineStr"/>
      <c r="Y293" t="n">
        <v>0</v>
      </c>
      <c r="Z293" t="inlineStr">
        <is>
          <t>No</t>
        </is>
      </c>
      <c r="AA293" t="inlineStr">
        <is>
          <t>Filled</t>
        </is>
      </c>
      <c r="AB293" t="inlineStr">
        <is>
          <t>on campus</t>
        </is>
      </c>
      <c r="AC293" t="inlineStr"/>
      <c r="AD293" t="n">
        <v>0</v>
      </c>
      <c r="AE293" t="inlineStr"/>
      <c r="AF293" t="inlineStr"/>
      <c r="AG293" t="inlineStr"/>
      <c r="AH293" t="inlineStr"/>
      <c r="AI293" t="inlineStr"/>
      <c r="AJ293" t="inlineStr"/>
      <c r="AK293" t="inlineStr"/>
      <c r="AL293" t="inlineStr"/>
      <c r="AM293" t="inlineStr"/>
    </row>
    <row r="294">
      <c r="A294" t="inlineStr">
        <is>
          <t>111570J</t>
        </is>
      </c>
      <c r="B294" t="inlineStr">
        <is>
          <t>Master of Forests</t>
        </is>
      </c>
      <c r="C294" t="inlineStr">
        <is>
          <t>Masters Degree (Coursework)</t>
        </is>
      </c>
      <c r="D294" t="inlineStr">
        <is>
          <t>Postgraduate coursework</t>
        </is>
      </c>
      <c r="E294" t="inlineStr">
        <is>
          <t>Advertised: official page in place</t>
        </is>
      </c>
      <c r="F294" t="inlineStr">
        <is>
          <t>https://programsandcourses.anu.edu.au/2024/program/mfors</t>
        </is>
      </c>
      <c r="G294" t="inlineStr">
        <is>
          <t>https://programsandcourses.anu.edu.au/program/mfors</t>
        </is>
      </c>
      <c r="H294" t="inlineStr">
        <is>
          <t>Read</t>
        </is>
      </c>
      <c r="I294" t="inlineStr">
        <is>
          <t>CRICOS code on page</t>
        </is>
      </c>
      <c r="J294" t="inlineStr"/>
      <c r="K294" t="inlineStr">
        <is>
          <t>Not sent to re-link</t>
        </is>
      </c>
      <c r="L294" t="inlineStr">
        <is>
          <t>Filled</t>
        </is>
      </c>
      <c r="M294" t="inlineStr">
        <is>
          <t>Filled</t>
        </is>
      </c>
      <c r="N294" t="inlineStr">
        <is>
          <t>57640.00 2026</t>
        </is>
      </c>
      <c r="O294" t="n">
        <v>0</v>
      </c>
      <c r="P294" t="inlineStr">
        <is>
          <t>University adapter</t>
        </is>
      </c>
      <c r="Q294" t="inlineStr">
        <is>
          <t>Filled</t>
        </is>
      </c>
      <c r="R294" t="n">
        <v>6.5</v>
      </c>
      <c r="S294" t="inlineStr">
        <is>
          <t>Central English policy</t>
        </is>
      </c>
      <c r="T294" t="inlineStr">
        <is>
          <t>Central rule applies (value agrees)</t>
        </is>
      </c>
      <c r="U294" t="inlineStr"/>
      <c r="V294" t="inlineStr">
        <is>
          <t>Not stated on course page</t>
        </is>
      </c>
      <c r="W294" t="inlineStr"/>
      <c r="X294" t="inlineStr"/>
      <c r="Y294" t="n">
        <v>0</v>
      </c>
      <c r="Z294" t="inlineStr">
        <is>
          <t>No</t>
        </is>
      </c>
      <c r="AA294" t="inlineStr">
        <is>
          <t>Filled</t>
        </is>
      </c>
      <c r="AB294" t="inlineStr">
        <is>
          <t>on campus</t>
        </is>
      </c>
      <c r="AC294" t="inlineStr"/>
      <c r="AD294" t="n">
        <v>0</v>
      </c>
      <c r="AE294" t="inlineStr"/>
      <c r="AF294" t="inlineStr"/>
      <c r="AG294" t="inlineStr"/>
      <c r="AH294" t="inlineStr"/>
      <c r="AI294" t="inlineStr"/>
      <c r="AJ294" t="inlineStr"/>
      <c r="AK294" t="inlineStr"/>
      <c r="AL294" t="inlineStr"/>
      <c r="AM294" t="inlineStr"/>
    </row>
    <row r="295">
      <c r="A295" t="inlineStr">
        <is>
          <t>111571H</t>
        </is>
      </c>
      <c r="B295" t="inlineStr">
        <is>
          <t>Master of Forests (Advanced)</t>
        </is>
      </c>
      <c r="C295" t="inlineStr">
        <is>
          <t>Masters Degree (Coursework)</t>
        </is>
      </c>
      <c r="D295" t="inlineStr">
        <is>
          <t>Postgraduate coursework</t>
        </is>
      </c>
      <c r="E295" t="inlineStr">
        <is>
          <t>Advertised: official page in place</t>
        </is>
      </c>
      <c r="F295" t="inlineStr">
        <is>
          <t>https://programsandcourses.anu.edu.au/program/vfors</t>
        </is>
      </c>
      <c r="G295" t="inlineStr">
        <is>
          <t>https://programsandcourses.anu.edu.au/program/vfors</t>
        </is>
      </c>
      <c r="H295" t="inlineStr">
        <is>
          <t>Read</t>
        </is>
      </c>
      <c r="I295" t="inlineStr">
        <is>
          <t>CRICOS code on page</t>
        </is>
      </c>
      <c r="J295" t="inlineStr"/>
      <c r="K295" t="inlineStr">
        <is>
          <t>Not sent to re-link</t>
        </is>
      </c>
      <c r="L295" t="inlineStr">
        <is>
          <t>Filled</t>
        </is>
      </c>
      <c r="M295" t="inlineStr">
        <is>
          <t>Filled</t>
        </is>
      </c>
      <c r="N295" t="inlineStr">
        <is>
          <t>57640.00 2026</t>
        </is>
      </c>
      <c r="O295" t="n">
        <v>0</v>
      </c>
      <c r="P295" t="inlineStr">
        <is>
          <t>University adapter</t>
        </is>
      </c>
      <c r="Q295" t="inlineStr">
        <is>
          <t>Filled</t>
        </is>
      </c>
      <c r="R295" t="n">
        <v>6.5</v>
      </c>
      <c r="S295" t="inlineStr">
        <is>
          <t>Central English policy</t>
        </is>
      </c>
      <c r="T295" t="inlineStr">
        <is>
          <t>Central rule applies (value agrees)</t>
        </is>
      </c>
      <c r="U295" t="inlineStr"/>
      <c r="V295" t="inlineStr">
        <is>
          <t>Not stated on course page</t>
        </is>
      </c>
      <c r="W295" t="inlineStr"/>
      <c r="X295" t="inlineStr"/>
      <c r="Y295" t="n">
        <v>0</v>
      </c>
      <c r="Z295" t="inlineStr">
        <is>
          <t>No</t>
        </is>
      </c>
      <c r="AA295" t="inlineStr">
        <is>
          <t>Filled</t>
        </is>
      </c>
      <c r="AB295" t="inlineStr">
        <is>
          <t>on campus</t>
        </is>
      </c>
      <c r="AC295" t="inlineStr"/>
      <c r="AD295" t="n">
        <v>0</v>
      </c>
      <c r="AE295" t="inlineStr"/>
      <c r="AF295" t="inlineStr"/>
      <c r="AG295" t="inlineStr"/>
      <c r="AH295" t="inlineStr"/>
      <c r="AI295" t="inlineStr"/>
      <c r="AJ295" t="inlineStr"/>
      <c r="AK295" t="inlineStr"/>
      <c r="AL295" t="inlineStr"/>
      <c r="AM295" t="inlineStr"/>
    </row>
    <row r="296">
      <c r="A296" t="inlineStr">
        <is>
          <t>108329M</t>
        </is>
      </c>
      <c r="B296" t="inlineStr">
        <is>
          <t>Master of General and Applied Linguistics</t>
        </is>
      </c>
      <c r="C296" t="inlineStr">
        <is>
          <t>Masters Degree (Coursework)</t>
        </is>
      </c>
      <c r="D296" t="inlineStr">
        <is>
          <t>Postgraduate coursework</t>
        </is>
      </c>
      <c r="E296" t="inlineStr">
        <is>
          <t>Advertised: official page in place</t>
        </is>
      </c>
      <c r="F296" t="inlineStr">
        <is>
          <t>https://programsandcourses.anu.edu.au/program/mgal</t>
        </is>
      </c>
      <c r="G296" t="inlineStr">
        <is>
          <t>https://programsandcourses.anu.edu.au/program/mgal</t>
        </is>
      </c>
      <c r="H296" t="inlineStr">
        <is>
          <t>Read</t>
        </is>
      </c>
      <c r="I296" t="inlineStr">
        <is>
          <t>CRICOS code on page</t>
        </is>
      </c>
      <c r="J296" t="inlineStr"/>
      <c r="K296" t="inlineStr">
        <is>
          <t>Not sent to re-link</t>
        </is>
      </c>
      <c r="L296" t="inlineStr">
        <is>
          <t>Filled</t>
        </is>
      </c>
      <c r="M296" t="inlineStr">
        <is>
          <t>Filled</t>
        </is>
      </c>
      <c r="N296" t="inlineStr">
        <is>
          <t>54540.00 2026</t>
        </is>
      </c>
      <c r="O296" t="n">
        <v>0</v>
      </c>
      <c r="P296" t="inlineStr">
        <is>
          <t>University adapter</t>
        </is>
      </c>
      <c r="Q296" t="inlineStr">
        <is>
          <t>Filled</t>
        </is>
      </c>
      <c r="R296" t="n">
        <v>6.5</v>
      </c>
      <c r="S296" t="inlineStr">
        <is>
          <t>Central English policy</t>
        </is>
      </c>
      <c r="T296" t="inlineStr">
        <is>
          <t>Central rule applies (value agrees)</t>
        </is>
      </c>
      <c r="U296" t="inlineStr"/>
      <c r="V296" t="inlineStr">
        <is>
          <t>Not stated on course page</t>
        </is>
      </c>
      <c r="W296" t="inlineStr"/>
      <c r="X296" t="inlineStr"/>
      <c r="Y296" t="n">
        <v>0</v>
      </c>
      <c r="Z296" t="inlineStr">
        <is>
          <t>No</t>
        </is>
      </c>
      <c r="AA296" t="inlineStr">
        <is>
          <t>Filled</t>
        </is>
      </c>
      <c r="AB296" t="inlineStr">
        <is>
          <t>on campus</t>
        </is>
      </c>
      <c r="AC296" t="inlineStr"/>
      <c r="AD296" t="n">
        <v>0</v>
      </c>
      <c r="AE296" t="inlineStr"/>
      <c r="AF296" t="inlineStr"/>
      <c r="AG296" t="inlineStr"/>
      <c r="AH296" t="inlineStr"/>
      <c r="AI296" t="inlineStr"/>
      <c r="AJ296" t="inlineStr"/>
      <c r="AK296" t="inlineStr"/>
      <c r="AL296" t="inlineStr"/>
      <c r="AM296" t="inlineStr"/>
    </row>
    <row r="297">
      <c r="A297" t="inlineStr">
        <is>
          <t>082301G</t>
        </is>
      </c>
      <c r="B297" t="inlineStr">
        <is>
          <t>Master of General and Applied Linguistics</t>
        </is>
      </c>
      <c r="C297" t="inlineStr">
        <is>
          <t>Masters Degree (Coursework)</t>
        </is>
      </c>
      <c r="D297" t="inlineStr">
        <is>
          <t>Postgraduate coursework</t>
        </is>
      </c>
      <c r="E297" t="inlineStr">
        <is>
          <t>Advertised: official page in place</t>
        </is>
      </c>
      <c r="F297" t="inlineStr">
        <is>
          <t>https://programsandcourses.anu.edu.au/program/MGAL</t>
        </is>
      </c>
      <c r="G297" t="inlineStr">
        <is>
          <t>https://programsandcourses.anu.edu.au/program/MGAL</t>
        </is>
      </c>
      <c r="H297" t="inlineStr">
        <is>
          <t>Read</t>
        </is>
      </c>
      <c r="I297" t="inlineStr">
        <is>
          <t>Exact title match</t>
        </is>
      </c>
      <c r="J297" t="inlineStr"/>
      <c r="K297" t="inlineStr">
        <is>
          <t>Not sent to re-link</t>
        </is>
      </c>
      <c r="L297" t="inlineStr">
        <is>
          <t>Filled</t>
        </is>
      </c>
      <c r="M297" t="inlineStr">
        <is>
          <t>Filled</t>
        </is>
      </c>
      <c r="N297" t="inlineStr">
        <is>
          <t>54540.00 2026</t>
        </is>
      </c>
      <c r="O297" t="n">
        <v>0</v>
      </c>
      <c r="P297" t="inlineStr">
        <is>
          <t>University adapter</t>
        </is>
      </c>
      <c r="Q297" t="inlineStr">
        <is>
          <t>Filled</t>
        </is>
      </c>
      <c r="R297" t="n">
        <v>6.5</v>
      </c>
      <c r="S297" t="inlineStr">
        <is>
          <t>Central English policy</t>
        </is>
      </c>
      <c r="T297" t="inlineStr">
        <is>
          <t>Central rule applies (value agrees)</t>
        </is>
      </c>
      <c r="U297" t="inlineStr"/>
      <c r="V297" t="inlineStr">
        <is>
          <t>Not stated on course page</t>
        </is>
      </c>
      <c r="W297" t="inlineStr"/>
      <c r="X297" t="inlineStr"/>
      <c r="Y297" t="n">
        <v>0</v>
      </c>
      <c r="Z297" t="inlineStr">
        <is>
          <t>No</t>
        </is>
      </c>
      <c r="AA297" t="inlineStr">
        <is>
          <t>Filled</t>
        </is>
      </c>
      <c r="AB297" t="inlineStr">
        <is>
          <t>on campus</t>
        </is>
      </c>
      <c r="AC297" t="inlineStr"/>
      <c r="AD297" t="n">
        <v>0</v>
      </c>
      <c r="AE297" t="inlineStr"/>
      <c r="AF297" t="inlineStr"/>
      <c r="AG297" t="inlineStr"/>
      <c r="AH297" t="inlineStr"/>
      <c r="AI297" t="inlineStr"/>
      <c r="AJ297" t="inlineStr"/>
      <c r="AK297" t="inlineStr"/>
      <c r="AL297" t="inlineStr"/>
      <c r="AM297" t="inlineStr"/>
    </row>
    <row r="298">
      <c r="A298" t="inlineStr">
        <is>
          <t>082302G</t>
        </is>
      </c>
      <c r="B298" t="inlineStr">
        <is>
          <t>Master of General and Applied Linguistics (Advanced)</t>
        </is>
      </c>
      <c r="C298" t="inlineStr">
        <is>
          <t>Masters Degree (Coursework)</t>
        </is>
      </c>
      <c r="D298" t="inlineStr">
        <is>
          <t>Postgraduate coursework</t>
        </is>
      </c>
      <c r="E298" t="inlineStr">
        <is>
          <t>Advertised: official page in place</t>
        </is>
      </c>
      <c r="F298" t="inlineStr">
        <is>
          <t>https://programsandcourses.anu.edu.au/program/vling</t>
        </is>
      </c>
      <c r="G298" t="inlineStr">
        <is>
          <t>https://programsandcourses.anu.edu.au/program/vling</t>
        </is>
      </c>
      <c r="H298" t="inlineStr">
        <is>
          <t>Read</t>
        </is>
      </c>
      <c r="I298" t="inlineStr">
        <is>
          <t>CRICOS code on page</t>
        </is>
      </c>
      <c r="J298" t="inlineStr"/>
      <c r="K298" t="inlineStr">
        <is>
          <t>Not sent to re-link</t>
        </is>
      </c>
      <c r="L298" t="inlineStr">
        <is>
          <t>Filled</t>
        </is>
      </c>
      <c r="M298" t="inlineStr">
        <is>
          <t>Filled</t>
        </is>
      </c>
      <c r="N298" t="inlineStr">
        <is>
          <t>54540.00 2026</t>
        </is>
      </c>
      <c r="O298" t="n">
        <v>0</v>
      </c>
      <c r="P298" t="inlineStr">
        <is>
          <t>University adapter</t>
        </is>
      </c>
      <c r="Q298" t="inlineStr">
        <is>
          <t>Filled</t>
        </is>
      </c>
      <c r="R298" t="n">
        <v>6.5</v>
      </c>
      <c r="S298" t="inlineStr">
        <is>
          <t>Central English policy</t>
        </is>
      </c>
      <c r="T298" t="inlineStr">
        <is>
          <t>Central rule applies (value agrees)</t>
        </is>
      </c>
      <c r="U298" t="inlineStr"/>
      <c r="V298" t="inlineStr">
        <is>
          <t>Not stated on course page</t>
        </is>
      </c>
      <c r="W298" t="inlineStr"/>
      <c r="X298" t="inlineStr"/>
      <c r="Y298" t="n">
        <v>0</v>
      </c>
      <c r="Z298" t="inlineStr">
        <is>
          <t>No</t>
        </is>
      </c>
      <c r="AA298" t="inlineStr">
        <is>
          <t>Filled</t>
        </is>
      </c>
      <c r="AB298" t="inlineStr">
        <is>
          <t>on campus</t>
        </is>
      </c>
      <c r="AC298" t="inlineStr"/>
      <c r="AD298" t="n">
        <v>0</v>
      </c>
      <c r="AE298" t="inlineStr"/>
      <c r="AF298" t="inlineStr"/>
      <c r="AG298" t="inlineStr"/>
      <c r="AH298" t="inlineStr"/>
      <c r="AI298" t="inlineStr"/>
      <c r="AJ298" t="inlineStr"/>
      <c r="AK298" t="inlineStr"/>
      <c r="AL298" t="inlineStr"/>
      <c r="AM298" t="inlineStr"/>
    </row>
    <row r="299">
      <c r="A299" t="inlineStr">
        <is>
          <t>082304E</t>
        </is>
      </c>
      <c r="B299" t="inlineStr">
        <is>
          <t>Master of Globalisation (Advanced)</t>
        </is>
      </c>
      <c r="C299" t="inlineStr">
        <is>
          <t>Masters Degree (Coursework)</t>
        </is>
      </c>
      <c r="D299" t="inlineStr">
        <is>
          <t>Postgraduate coursework</t>
        </is>
      </c>
      <c r="E299" t="inlineStr">
        <is>
          <t>Advertised: official page in place</t>
        </is>
      </c>
      <c r="F299" t="inlineStr">
        <is>
          <t>https://programsandcourses.anu.edu.au/2025/program/vglob</t>
        </is>
      </c>
      <c r="G299" t="inlineStr">
        <is>
          <t>https://programsandcourses.anu.edu.au/2025/program/vglob</t>
        </is>
      </c>
      <c r="H299" t="inlineStr">
        <is>
          <t>Read</t>
        </is>
      </c>
      <c r="I299" t="inlineStr">
        <is>
          <t>CRICOS code on page</t>
        </is>
      </c>
      <c r="J299" t="inlineStr"/>
      <c r="K299" t="inlineStr">
        <is>
          <t>Not sent to re-link</t>
        </is>
      </c>
      <c r="L299" t="inlineStr">
        <is>
          <t>Filled</t>
        </is>
      </c>
      <c r="M299" t="inlineStr">
        <is>
          <t>Filled</t>
        </is>
      </c>
      <c r="N299" t="inlineStr">
        <is>
          <t>50820.00 2026</t>
        </is>
      </c>
      <c r="O299" t="n">
        <v>0</v>
      </c>
      <c r="P299" t="inlineStr">
        <is>
          <t>University adapter</t>
        </is>
      </c>
      <c r="Q299" t="inlineStr">
        <is>
          <t>Filled</t>
        </is>
      </c>
      <c r="R299" t="n">
        <v>6.5</v>
      </c>
      <c r="S299" t="inlineStr">
        <is>
          <t>Central English policy</t>
        </is>
      </c>
      <c r="T299" t="inlineStr">
        <is>
          <t>Central rule applies (value agrees)</t>
        </is>
      </c>
      <c r="U299" t="inlineStr"/>
      <c r="V299" t="inlineStr">
        <is>
          <t>Not stated on course page</t>
        </is>
      </c>
      <c r="W299" t="inlineStr"/>
      <c r="X299" t="inlineStr"/>
      <c r="Y299" t="n">
        <v>0</v>
      </c>
      <c r="Z299" t="inlineStr">
        <is>
          <t>No</t>
        </is>
      </c>
      <c r="AA299" t="inlineStr">
        <is>
          <t>Filled</t>
        </is>
      </c>
      <c r="AB299" t="inlineStr">
        <is>
          <t>on campus</t>
        </is>
      </c>
      <c r="AC299" t="inlineStr"/>
      <c r="AD299" t="n">
        <v>0</v>
      </c>
      <c r="AE299" t="inlineStr"/>
      <c r="AF299" t="inlineStr"/>
      <c r="AG299" t="inlineStr"/>
      <c r="AH299" t="inlineStr"/>
      <c r="AI299" t="inlineStr"/>
      <c r="AJ299" t="inlineStr"/>
      <c r="AK299" t="inlineStr"/>
      <c r="AL299" t="inlineStr"/>
      <c r="AM299" t="inlineStr"/>
    </row>
    <row r="300">
      <c r="A300" t="inlineStr">
        <is>
          <t>119059D</t>
        </is>
      </c>
      <c r="B300" t="inlineStr">
        <is>
          <t>Master of Governance (Advanced)</t>
        </is>
      </c>
      <c r="C300" t="inlineStr">
        <is>
          <t>Masters Degree (Coursework)</t>
        </is>
      </c>
      <c r="D300" t="inlineStr">
        <is>
          <t>Postgraduate coursework</t>
        </is>
      </c>
      <c r="E300" t="inlineStr">
        <is>
          <t>Advertised: official page in place</t>
        </is>
      </c>
      <c r="F300" t="inlineStr">
        <is>
          <t>https://programsandcourses.anu.edu.au/program/vmgov</t>
        </is>
      </c>
      <c r="G300" t="inlineStr">
        <is>
          <t>https://programsandcourses.anu.edu.au/program/vmgov</t>
        </is>
      </c>
      <c r="H300" t="inlineStr">
        <is>
          <t>Read</t>
        </is>
      </c>
      <c r="I300" t="inlineStr">
        <is>
          <t>CRICOS code on page</t>
        </is>
      </c>
      <c r="J300" t="inlineStr"/>
      <c r="K300" t="inlineStr">
        <is>
          <t>Not sent to re-link</t>
        </is>
      </c>
      <c r="L300" t="inlineStr">
        <is>
          <t>Filled</t>
        </is>
      </c>
      <c r="M300" t="inlineStr">
        <is>
          <t>Filled</t>
        </is>
      </c>
      <c r="N300" t="inlineStr">
        <is>
          <t>57640.00 2026</t>
        </is>
      </c>
      <c r="O300" t="n">
        <v>0</v>
      </c>
      <c r="P300" t="inlineStr">
        <is>
          <t>University adapter</t>
        </is>
      </c>
      <c r="Q300" t="inlineStr">
        <is>
          <t>Filled</t>
        </is>
      </c>
      <c r="R300" t="n">
        <v>6.5</v>
      </c>
      <c r="S300" t="inlineStr">
        <is>
          <t>Central English policy</t>
        </is>
      </c>
      <c r="T300" t="inlineStr">
        <is>
          <t>Central rule applies (value agrees)</t>
        </is>
      </c>
      <c r="U300" t="inlineStr"/>
      <c r="V300" t="inlineStr">
        <is>
          <t>Not stated on course page</t>
        </is>
      </c>
      <c r="W300" t="inlineStr"/>
      <c r="X300" t="inlineStr"/>
      <c r="Y300" t="n">
        <v>0</v>
      </c>
      <c r="Z300" t="inlineStr">
        <is>
          <t>No</t>
        </is>
      </c>
      <c r="AA300" t="inlineStr">
        <is>
          <t>Filled</t>
        </is>
      </c>
      <c r="AB300" t="inlineStr">
        <is>
          <t>on campus</t>
        </is>
      </c>
      <c r="AC300" t="inlineStr"/>
      <c r="AD300" t="n">
        <v>0</v>
      </c>
      <c r="AE300" t="inlineStr"/>
      <c r="AF300" t="inlineStr"/>
      <c r="AG300" t="inlineStr"/>
      <c r="AH300" t="inlineStr"/>
      <c r="AI300" t="inlineStr"/>
      <c r="AJ300" t="inlineStr"/>
      <c r="AK300" t="inlineStr"/>
      <c r="AL300" t="inlineStr"/>
      <c r="AM300" t="inlineStr"/>
    </row>
    <row r="301">
      <c r="A301" t="inlineStr">
        <is>
          <t>114601E</t>
        </is>
      </c>
      <c r="B301" t="inlineStr">
        <is>
          <t>Master of Heritage Tourism Management</t>
        </is>
      </c>
      <c r="C301" t="inlineStr">
        <is>
          <t>Masters Degree (Coursework)</t>
        </is>
      </c>
      <c r="D301" t="inlineStr">
        <is>
          <t>Postgraduate coursework</t>
        </is>
      </c>
      <c r="E301" t="inlineStr">
        <is>
          <t>Advertised: official page in place</t>
        </is>
      </c>
      <c r="F301" t="inlineStr">
        <is>
          <t>https://programsandcourses.anu.edu.au/program/mhrtm</t>
        </is>
      </c>
      <c r="G301" t="inlineStr">
        <is>
          <t>https://programsandcourses.anu.edu.au/program/mhrtm</t>
        </is>
      </c>
      <c r="H301" t="inlineStr">
        <is>
          <t>Read</t>
        </is>
      </c>
      <c r="I301" t="inlineStr">
        <is>
          <t>CRICOS code on page</t>
        </is>
      </c>
      <c r="J301" t="inlineStr"/>
      <c r="K301" t="inlineStr">
        <is>
          <t>Not sent to re-link</t>
        </is>
      </c>
      <c r="L301" t="inlineStr">
        <is>
          <t>Filled</t>
        </is>
      </c>
      <c r="M301" t="inlineStr">
        <is>
          <t>Filled</t>
        </is>
      </c>
      <c r="N301" t="inlineStr">
        <is>
          <t>54540.00 2026</t>
        </is>
      </c>
      <c r="O301" t="n">
        <v>0</v>
      </c>
      <c r="P301" t="inlineStr">
        <is>
          <t>University adapter</t>
        </is>
      </c>
      <c r="Q301" t="inlineStr">
        <is>
          <t>Filled</t>
        </is>
      </c>
      <c r="R301" t="n">
        <v>6.5</v>
      </c>
      <c r="S301" t="inlineStr">
        <is>
          <t>Central English policy</t>
        </is>
      </c>
      <c r="T301" t="inlineStr">
        <is>
          <t>Central rule applies (value agrees)</t>
        </is>
      </c>
      <c r="U301" t="inlineStr"/>
      <c r="V301" t="inlineStr">
        <is>
          <t>Not stated on course page</t>
        </is>
      </c>
      <c r="W301" t="inlineStr"/>
      <c r="X301" t="inlineStr"/>
      <c r="Y301" t="n">
        <v>0</v>
      </c>
      <c r="Z301" t="inlineStr">
        <is>
          <t>No</t>
        </is>
      </c>
      <c r="AA301" t="inlineStr">
        <is>
          <t>Filled</t>
        </is>
      </c>
      <c r="AB301" t="inlineStr">
        <is>
          <t>blended</t>
        </is>
      </c>
      <c r="AC301" t="inlineStr"/>
      <c r="AD301" t="n">
        <v>0</v>
      </c>
      <c r="AE301" t="inlineStr"/>
      <c r="AF301" t="inlineStr"/>
      <c r="AG301" t="inlineStr"/>
      <c r="AH301" t="inlineStr"/>
      <c r="AI301" t="inlineStr"/>
      <c r="AJ301" t="inlineStr"/>
      <c r="AK301" t="inlineStr"/>
      <c r="AL301" t="inlineStr"/>
      <c r="AM301" t="inlineStr"/>
    </row>
    <row r="302">
      <c r="A302" t="inlineStr">
        <is>
          <t>082306C</t>
        </is>
      </c>
      <c r="B302" t="inlineStr">
        <is>
          <t>Master of History</t>
        </is>
      </c>
      <c r="C302" t="inlineStr">
        <is>
          <t>Masters Degree (Coursework)</t>
        </is>
      </c>
      <c r="D302" t="inlineStr">
        <is>
          <t>Postgraduate coursework</t>
        </is>
      </c>
      <c r="E302" t="inlineStr">
        <is>
          <t>Advertised: official page in place</t>
        </is>
      </c>
      <c r="F302" t="inlineStr">
        <is>
          <t>https://programsandcourses.anu.edu.au/program/MHIT</t>
        </is>
      </c>
      <c r="G302" t="inlineStr">
        <is>
          <t>https://programsandcourses.anu.edu.au/program/MHIT</t>
        </is>
      </c>
      <c r="H302" t="inlineStr">
        <is>
          <t>Read</t>
        </is>
      </c>
      <c r="I302" t="inlineStr">
        <is>
          <t>Exact title match</t>
        </is>
      </c>
      <c r="J302" t="inlineStr"/>
      <c r="K302" t="inlineStr">
        <is>
          <t>Not sent to re-link</t>
        </is>
      </c>
      <c r="L302" t="inlineStr">
        <is>
          <t>Filled</t>
        </is>
      </c>
      <c r="M302" t="inlineStr">
        <is>
          <t>Filled</t>
        </is>
      </c>
      <c r="N302" t="inlineStr">
        <is>
          <t>54540.00 2026</t>
        </is>
      </c>
      <c r="O302" t="n">
        <v>0</v>
      </c>
      <c r="P302" t="inlineStr">
        <is>
          <t>University adapter</t>
        </is>
      </c>
      <c r="Q302" t="inlineStr">
        <is>
          <t>Filled</t>
        </is>
      </c>
      <c r="R302" t="n">
        <v>6.5</v>
      </c>
      <c r="S302" t="inlineStr">
        <is>
          <t>Central English policy</t>
        </is>
      </c>
      <c r="T302" t="inlineStr">
        <is>
          <t>Central rule applies (value agrees)</t>
        </is>
      </c>
      <c r="U302" t="inlineStr"/>
      <c r="V302" t="inlineStr">
        <is>
          <t>Not stated on course page</t>
        </is>
      </c>
      <c r="W302" t="inlineStr"/>
      <c r="X302" t="inlineStr"/>
      <c r="Y302" t="n">
        <v>0</v>
      </c>
      <c r="Z302" t="inlineStr">
        <is>
          <t>No</t>
        </is>
      </c>
      <c r="AA302" t="inlineStr">
        <is>
          <t>Filled</t>
        </is>
      </c>
      <c r="AB302" t="inlineStr">
        <is>
          <t>on campus</t>
        </is>
      </c>
      <c r="AC302" t="inlineStr"/>
      <c r="AD302" t="n">
        <v>0</v>
      </c>
      <c r="AE302" t="inlineStr"/>
      <c r="AF302" t="inlineStr"/>
      <c r="AG302" t="inlineStr"/>
      <c r="AH302" t="inlineStr"/>
      <c r="AI302" t="inlineStr"/>
      <c r="AJ302" t="inlineStr"/>
      <c r="AK302" t="inlineStr"/>
      <c r="AL302" t="inlineStr"/>
      <c r="AM302" t="inlineStr"/>
    </row>
    <row r="303">
      <c r="A303" t="inlineStr">
        <is>
          <t>108325D</t>
        </is>
      </c>
      <c r="B303" t="inlineStr">
        <is>
          <t>Master of History</t>
        </is>
      </c>
      <c r="C303" t="inlineStr">
        <is>
          <t>Masters Degree (Coursework)</t>
        </is>
      </c>
      <c r="D303" t="inlineStr">
        <is>
          <t>Postgraduate coursework</t>
        </is>
      </c>
      <c r="E303" t="inlineStr">
        <is>
          <t>Advertised: official page in place</t>
        </is>
      </c>
      <c r="F303" t="inlineStr">
        <is>
          <t>https://programsandcourses.anu.edu.au/program/mhit</t>
        </is>
      </c>
      <c r="G303" t="inlineStr">
        <is>
          <t>https://programsandcourses.anu.edu.au/program/mhit</t>
        </is>
      </c>
      <c r="H303" t="inlineStr">
        <is>
          <t>Read</t>
        </is>
      </c>
      <c r="I303" t="inlineStr">
        <is>
          <t>CRICOS code on page</t>
        </is>
      </c>
      <c r="J303" t="inlineStr"/>
      <c r="K303" t="inlineStr">
        <is>
          <t>Not sent to re-link</t>
        </is>
      </c>
      <c r="L303" t="inlineStr">
        <is>
          <t>Filled</t>
        </is>
      </c>
      <c r="M303" t="inlineStr">
        <is>
          <t>Filled</t>
        </is>
      </c>
      <c r="N303" t="inlineStr">
        <is>
          <t>54540.00 2026</t>
        </is>
      </c>
      <c r="O303" t="n">
        <v>0</v>
      </c>
      <c r="P303" t="inlineStr">
        <is>
          <t>University adapter</t>
        </is>
      </c>
      <c r="Q303" t="inlineStr">
        <is>
          <t>Filled</t>
        </is>
      </c>
      <c r="R303" t="n">
        <v>6.5</v>
      </c>
      <c r="S303" t="inlineStr">
        <is>
          <t>Central English policy</t>
        </is>
      </c>
      <c r="T303" t="inlineStr">
        <is>
          <t>Central rule applies (value agrees)</t>
        </is>
      </c>
      <c r="U303" t="inlineStr"/>
      <c r="V303" t="inlineStr">
        <is>
          <t>Not stated on course page</t>
        </is>
      </c>
      <c r="W303" t="inlineStr"/>
      <c r="X303" t="inlineStr"/>
      <c r="Y303" t="n">
        <v>0</v>
      </c>
      <c r="Z303" t="inlineStr">
        <is>
          <t>No</t>
        </is>
      </c>
      <c r="AA303" t="inlineStr">
        <is>
          <t>Filled</t>
        </is>
      </c>
      <c r="AB303" t="inlineStr">
        <is>
          <t>on campus</t>
        </is>
      </c>
      <c r="AC303" t="inlineStr"/>
      <c r="AD303" t="n">
        <v>0</v>
      </c>
      <c r="AE303" t="inlineStr"/>
      <c r="AF303" t="inlineStr"/>
      <c r="AG303" t="inlineStr"/>
      <c r="AH303" t="inlineStr"/>
      <c r="AI303" t="inlineStr"/>
      <c r="AJ303" t="inlineStr"/>
      <c r="AK303" t="inlineStr"/>
      <c r="AL303" t="inlineStr"/>
      <c r="AM303" t="inlineStr"/>
    </row>
    <row r="304">
      <c r="A304" t="inlineStr">
        <is>
          <t>108326C</t>
        </is>
      </c>
      <c r="B304" t="inlineStr">
        <is>
          <t>Master of History (Advanced)</t>
        </is>
      </c>
      <c r="C304" t="inlineStr">
        <is>
          <t>Masters Degree (Coursework)</t>
        </is>
      </c>
      <c r="D304" t="inlineStr">
        <is>
          <t>Postgraduate coursework</t>
        </is>
      </c>
      <c r="E304" t="inlineStr">
        <is>
          <t>Advertised: official page in place</t>
        </is>
      </c>
      <c r="F304" t="inlineStr">
        <is>
          <t>https://programsandcourses.anu.edu.au/2023/program/VHIT</t>
        </is>
      </c>
      <c r="G304" t="inlineStr">
        <is>
          <t>https://programsandcourses.anu.edu.au/program/VHIT</t>
        </is>
      </c>
      <c r="H304" t="inlineStr">
        <is>
          <t>Read</t>
        </is>
      </c>
      <c r="I304" t="inlineStr">
        <is>
          <t>CRICOS code on page</t>
        </is>
      </c>
      <c r="J304" t="inlineStr"/>
      <c r="K304" t="inlineStr">
        <is>
          <t>Not sent to re-link</t>
        </is>
      </c>
      <c r="L304" t="inlineStr">
        <is>
          <t>Filled</t>
        </is>
      </c>
      <c r="M304" t="inlineStr">
        <is>
          <t>Filled</t>
        </is>
      </c>
      <c r="N304" t="inlineStr">
        <is>
          <t>54540.00 2026</t>
        </is>
      </c>
      <c r="O304" t="n">
        <v>0</v>
      </c>
      <c r="P304" t="inlineStr">
        <is>
          <t>University adapter</t>
        </is>
      </c>
      <c r="Q304" t="inlineStr">
        <is>
          <t>Filled</t>
        </is>
      </c>
      <c r="R304" t="n">
        <v>6.5</v>
      </c>
      <c r="S304" t="inlineStr">
        <is>
          <t>Central English policy</t>
        </is>
      </c>
      <c r="T304" t="inlineStr">
        <is>
          <t>Central rule applies (value agrees)</t>
        </is>
      </c>
      <c r="U304" t="inlineStr"/>
      <c r="V304" t="inlineStr">
        <is>
          <t>Not stated on course page</t>
        </is>
      </c>
      <c r="W304" t="inlineStr"/>
      <c r="X304" t="inlineStr"/>
      <c r="Y304" t="n">
        <v>0</v>
      </c>
      <c r="Z304" t="inlineStr">
        <is>
          <t>No</t>
        </is>
      </c>
      <c r="AA304" t="inlineStr">
        <is>
          <t>Filled</t>
        </is>
      </c>
      <c r="AB304" t="inlineStr">
        <is>
          <t>on campus</t>
        </is>
      </c>
      <c r="AC304" t="inlineStr"/>
      <c r="AD304" t="n">
        <v>0</v>
      </c>
      <c r="AE304" t="inlineStr"/>
      <c r="AF304" t="inlineStr"/>
      <c r="AG304" t="inlineStr"/>
      <c r="AH304" t="inlineStr"/>
      <c r="AI304" t="inlineStr"/>
      <c r="AJ304" t="inlineStr"/>
      <c r="AK304" t="inlineStr"/>
      <c r="AL304" t="inlineStr"/>
      <c r="AM304" t="inlineStr"/>
    </row>
    <row r="305">
      <c r="A305" t="inlineStr">
        <is>
          <t>082307B</t>
        </is>
      </c>
      <c r="B305" t="inlineStr">
        <is>
          <t>Master of History (Advanced)</t>
        </is>
      </c>
      <c r="C305" t="inlineStr">
        <is>
          <t>Masters Degree (Coursework)</t>
        </is>
      </c>
      <c r="D305" t="inlineStr">
        <is>
          <t>Postgraduate coursework</t>
        </is>
      </c>
      <c r="E305" t="inlineStr">
        <is>
          <t>Advertised: official page in place</t>
        </is>
      </c>
      <c r="F305" t="inlineStr">
        <is>
          <t>https://programsandcourses.anu.edu.au/program/VHIT</t>
        </is>
      </c>
      <c r="G305" t="inlineStr">
        <is>
          <t>https://programsandcourses.anu.edu.au/program/VHIT</t>
        </is>
      </c>
      <c r="H305" t="inlineStr">
        <is>
          <t>Read</t>
        </is>
      </c>
      <c r="I305" t="inlineStr">
        <is>
          <t>Exact title match</t>
        </is>
      </c>
      <c r="J305" t="inlineStr"/>
      <c r="K305" t="inlineStr">
        <is>
          <t>Not sent to re-link</t>
        </is>
      </c>
      <c r="L305" t="inlineStr">
        <is>
          <t>Filled</t>
        </is>
      </c>
      <c r="M305" t="inlineStr">
        <is>
          <t>Filled</t>
        </is>
      </c>
      <c r="N305" t="inlineStr">
        <is>
          <t>54540.00 2026</t>
        </is>
      </c>
      <c r="O305" t="n">
        <v>0</v>
      </c>
      <c r="P305" t="inlineStr">
        <is>
          <t>University adapter</t>
        </is>
      </c>
      <c r="Q305" t="inlineStr">
        <is>
          <t>Filled</t>
        </is>
      </c>
      <c r="R305" t="n">
        <v>6.5</v>
      </c>
      <c r="S305" t="inlineStr">
        <is>
          <t>Central English policy</t>
        </is>
      </c>
      <c r="T305" t="inlineStr">
        <is>
          <t>Central rule applies (value agrees)</t>
        </is>
      </c>
      <c r="U305" t="inlineStr"/>
      <c r="V305" t="inlineStr">
        <is>
          <t>Not stated on course page</t>
        </is>
      </c>
      <c r="W305" t="inlineStr"/>
      <c r="X305" t="inlineStr"/>
      <c r="Y305" t="n">
        <v>0</v>
      </c>
      <c r="Z305" t="inlineStr">
        <is>
          <t>No</t>
        </is>
      </c>
      <c r="AA305" t="inlineStr">
        <is>
          <t>Filled</t>
        </is>
      </c>
      <c r="AB305" t="inlineStr">
        <is>
          <t>on campus</t>
        </is>
      </c>
      <c r="AC305" t="inlineStr"/>
      <c r="AD305" t="n">
        <v>0</v>
      </c>
      <c r="AE305" t="inlineStr"/>
      <c r="AF305" t="inlineStr"/>
      <c r="AG305" t="inlineStr"/>
      <c r="AH305" t="inlineStr"/>
      <c r="AI305" t="inlineStr"/>
      <c r="AJ305" t="inlineStr"/>
      <c r="AK305" t="inlineStr"/>
      <c r="AL305" t="inlineStr"/>
      <c r="AM305" t="inlineStr"/>
    </row>
    <row r="306">
      <c r="A306" t="inlineStr">
        <is>
          <t>082308A</t>
        </is>
      </c>
      <c r="B306" t="inlineStr">
        <is>
          <t>Master of International and Development Economics</t>
        </is>
      </c>
      <c r="C306" t="inlineStr">
        <is>
          <t>Masters Degree (Coursework)</t>
        </is>
      </c>
      <c r="D306" t="inlineStr">
        <is>
          <t>Postgraduate coursework</t>
        </is>
      </c>
      <c r="E306" t="inlineStr">
        <is>
          <t>Advertised: official page in place</t>
        </is>
      </c>
      <c r="F306" t="inlineStr">
        <is>
          <t>https://programsandcourses.anu.edu.au/program/midec</t>
        </is>
      </c>
      <c r="G306" t="inlineStr">
        <is>
          <t>https://programsandcourses.anu.edu.au/program/midec</t>
        </is>
      </c>
      <c r="H306" t="inlineStr">
        <is>
          <t>Read</t>
        </is>
      </c>
      <c r="I306" t="inlineStr">
        <is>
          <t>CRICOS code on page</t>
        </is>
      </c>
      <c r="J306" t="inlineStr"/>
      <c r="K306" t="inlineStr">
        <is>
          <t>Not sent to re-link</t>
        </is>
      </c>
      <c r="L306" t="inlineStr">
        <is>
          <t>Filled</t>
        </is>
      </c>
      <c r="M306" t="inlineStr">
        <is>
          <t>Filled</t>
        </is>
      </c>
      <c r="N306" t="inlineStr">
        <is>
          <t>57640.00 2026</t>
        </is>
      </c>
      <c r="O306" t="n">
        <v>0</v>
      </c>
      <c r="P306" t="inlineStr">
        <is>
          <t>University adapter</t>
        </is>
      </c>
      <c r="Q306" t="inlineStr">
        <is>
          <t>Filled</t>
        </is>
      </c>
      <c r="R306" t="n">
        <v>6.5</v>
      </c>
      <c r="S306" t="inlineStr">
        <is>
          <t>Central English policy</t>
        </is>
      </c>
      <c r="T306" t="inlineStr">
        <is>
          <t>Central rule applies (value agrees)</t>
        </is>
      </c>
      <c r="U306" t="inlineStr"/>
      <c r="V306" t="inlineStr">
        <is>
          <t>Not stated on course page</t>
        </is>
      </c>
      <c r="W306" t="inlineStr"/>
      <c r="X306" t="inlineStr"/>
      <c r="Y306" t="n">
        <v>0</v>
      </c>
      <c r="Z306" t="inlineStr">
        <is>
          <t>No</t>
        </is>
      </c>
      <c r="AA306" t="inlineStr">
        <is>
          <t>Filled</t>
        </is>
      </c>
      <c r="AB306" t="inlineStr">
        <is>
          <t>on campus</t>
        </is>
      </c>
      <c r="AC306" t="inlineStr"/>
      <c r="AD306" t="n">
        <v>0</v>
      </c>
      <c r="AE306" t="inlineStr"/>
      <c r="AF306" t="inlineStr"/>
      <c r="AG306" t="inlineStr"/>
      <c r="AH306" t="inlineStr"/>
      <c r="AI306" t="inlineStr"/>
      <c r="AJ306" t="inlineStr"/>
      <c r="AK306" t="inlineStr"/>
      <c r="AL306" t="inlineStr"/>
      <c r="AM306" t="inlineStr"/>
    </row>
    <row r="307">
      <c r="A307" t="inlineStr">
        <is>
          <t>0101475</t>
        </is>
      </c>
      <c r="B307" t="inlineStr">
        <is>
          <t>Master of International Law and Diplomacy</t>
        </is>
      </c>
      <c r="C307" t="inlineStr">
        <is>
          <t>Masters Degree (Coursework)</t>
        </is>
      </c>
      <c r="D307" t="inlineStr">
        <is>
          <t>Postgraduate coursework</t>
        </is>
      </c>
      <c r="E307" t="inlineStr">
        <is>
          <t>Advertised: official page in place</t>
        </is>
      </c>
      <c r="F307" t="inlineStr">
        <is>
          <t>https://programsandcourses.anu.edu.au/program/minld</t>
        </is>
      </c>
      <c r="G307" t="inlineStr">
        <is>
          <t>https://programsandcourses.anu.edu.au/program/minld</t>
        </is>
      </c>
      <c r="H307" t="inlineStr">
        <is>
          <t>Read</t>
        </is>
      </c>
      <c r="I307" t="inlineStr">
        <is>
          <t>CRICOS code on page</t>
        </is>
      </c>
      <c r="J307" t="inlineStr"/>
      <c r="K307" t="inlineStr">
        <is>
          <t>Not sent to re-link</t>
        </is>
      </c>
      <c r="L307" t="inlineStr">
        <is>
          <t>Filled</t>
        </is>
      </c>
      <c r="M307" t="inlineStr">
        <is>
          <t>Filled</t>
        </is>
      </c>
      <c r="N307" t="inlineStr">
        <is>
          <t>57640.00 2026</t>
        </is>
      </c>
      <c r="O307" t="n">
        <v>0</v>
      </c>
      <c r="P307" t="inlineStr">
        <is>
          <t>University adapter</t>
        </is>
      </c>
      <c r="Q307" t="inlineStr">
        <is>
          <t>Filled</t>
        </is>
      </c>
      <c r="R307" t="n">
        <v>6.5</v>
      </c>
      <c r="S307" t="inlineStr">
        <is>
          <t>Central English policy</t>
        </is>
      </c>
      <c r="T307" t="inlineStr">
        <is>
          <t>Central rule applies (value agrees)</t>
        </is>
      </c>
      <c r="U307" t="inlineStr"/>
      <c r="V307" t="inlineStr">
        <is>
          <t>Not stated on course page</t>
        </is>
      </c>
      <c r="W307" t="inlineStr"/>
      <c r="X307" t="inlineStr"/>
      <c r="Y307" t="n">
        <v>0</v>
      </c>
      <c r="Z307" t="inlineStr">
        <is>
          <t>No</t>
        </is>
      </c>
      <c r="AA307" t="inlineStr">
        <is>
          <t>Filled</t>
        </is>
      </c>
      <c r="AB307" t="inlineStr">
        <is>
          <t>on campus</t>
        </is>
      </c>
      <c r="AC307" t="inlineStr"/>
      <c r="AD307" t="n">
        <v>0</v>
      </c>
      <c r="AE307" t="inlineStr"/>
      <c r="AF307" t="inlineStr"/>
      <c r="AG307" t="inlineStr"/>
      <c r="AH307" t="inlineStr"/>
      <c r="AI307" t="inlineStr"/>
      <c r="AJ307" t="inlineStr"/>
      <c r="AK307" t="inlineStr"/>
      <c r="AL307" t="inlineStr"/>
      <c r="AM307" t="inlineStr"/>
    </row>
    <row r="308">
      <c r="A308" t="inlineStr">
        <is>
          <t>088059J</t>
        </is>
      </c>
      <c r="B308" t="inlineStr">
        <is>
          <t>Master of International Management</t>
        </is>
      </c>
      <c r="C308" t="inlineStr">
        <is>
          <t>Masters Degree (Coursework)</t>
        </is>
      </c>
      <c r="D308" t="inlineStr">
        <is>
          <t>Postgraduate coursework</t>
        </is>
      </c>
      <c r="E308" t="inlineStr">
        <is>
          <t>Advertised: official page in place</t>
        </is>
      </c>
      <c r="F308" t="inlineStr">
        <is>
          <t>https://programsandcourses.anu.edu.au/program/mimgt</t>
        </is>
      </c>
      <c r="G308" t="inlineStr">
        <is>
          <t>https://programsandcourses.anu.edu.au/program/mimgt</t>
        </is>
      </c>
      <c r="H308" t="inlineStr">
        <is>
          <t>Read</t>
        </is>
      </c>
      <c r="I308" t="inlineStr">
        <is>
          <t>CRICOS code on page</t>
        </is>
      </c>
      <c r="J308" t="inlineStr"/>
      <c r="K308" t="inlineStr">
        <is>
          <t>Not sent to re-link</t>
        </is>
      </c>
      <c r="L308" t="inlineStr">
        <is>
          <t>Filled</t>
        </is>
      </c>
      <c r="M308" t="inlineStr">
        <is>
          <t>Filled</t>
        </is>
      </c>
      <c r="N308" t="inlineStr">
        <is>
          <t>57640.00 2026</t>
        </is>
      </c>
      <c r="O308" t="n">
        <v>0</v>
      </c>
      <c r="P308" t="inlineStr">
        <is>
          <t>University adapter</t>
        </is>
      </c>
      <c r="Q308" t="inlineStr">
        <is>
          <t>Filled</t>
        </is>
      </c>
      <c r="R308" t="n">
        <v>6.5</v>
      </c>
      <c r="S308" t="inlineStr">
        <is>
          <t>Central English policy</t>
        </is>
      </c>
      <c r="T308" t="inlineStr">
        <is>
          <t>Central rule applies (value agrees)</t>
        </is>
      </c>
      <c r="U308" t="inlineStr"/>
      <c r="V308" t="inlineStr">
        <is>
          <t>Not stated on course page</t>
        </is>
      </c>
      <c r="W308" t="inlineStr"/>
      <c r="X308" t="inlineStr"/>
      <c r="Y308" t="n">
        <v>0</v>
      </c>
      <c r="Z308" t="inlineStr">
        <is>
          <t>No</t>
        </is>
      </c>
      <c r="AA308" t="inlineStr">
        <is>
          <t>Filled</t>
        </is>
      </c>
      <c r="AB308" t="inlineStr">
        <is>
          <t>on campus</t>
        </is>
      </c>
      <c r="AC308" t="inlineStr"/>
      <c r="AD308" t="n">
        <v>0</v>
      </c>
      <c r="AE308" t="inlineStr"/>
      <c r="AF308" t="inlineStr"/>
      <c r="AG308" t="inlineStr"/>
      <c r="AH308" t="inlineStr"/>
      <c r="AI308" t="inlineStr"/>
      <c r="AJ308" t="inlineStr"/>
      <c r="AK308" t="inlineStr"/>
      <c r="AL308" t="inlineStr"/>
      <c r="AM308" t="inlineStr"/>
    </row>
    <row r="309">
      <c r="A309" t="inlineStr">
        <is>
          <t>091195G</t>
        </is>
      </c>
      <c r="B309" t="inlineStr">
        <is>
          <t>Master of International Management (Advanced)</t>
        </is>
      </c>
      <c r="C309" t="inlineStr">
        <is>
          <t>Masters Degree (Coursework)</t>
        </is>
      </c>
      <c r="D309" t="inlineStr">
        <is>
          <t>Postgraduate coursework</t>
        </is>
      </c>
      <c r="E309" t="inlineStr">
        <is>
          <t>Advertised: official page in place</t>
        </is>
      </c>
      <c r="F309" t="inlineStr">
        <is>
          <t>https://programsandcourses.anu.edu.au/2017/program/vimgt</t>
        </is>
      </c>
      <c r="G309" t="inlineStr">
        <is>
          <t>https://programsandcourses.anu.edu.au/2017/program/vimgt</t>
        </is>
      </c>
      <c r="H309" t="inlineStr">
        <is>
          <t>Read</t>
        </is>
      </c>
      <c r="I309" t="inlineStr">
        <is>
          <t>CRICOS code on page</t>
        </is>
      </c>
      <c r="J309" t="inlineStr"/>
      <c r="K309" t="inlineStr">
        <is>
          <t>Not sent to re-link</t>
        </is>
      </c>
      <c r="L309" t="inlineStr">
        <is>
          <t>Filled</t>
        </is>
      </c>
      <c r="M309" t="inlineStr">
        <is>
          <t>Filled</t>
        </is>
      </c>
      <c r="N309" t="inlineStr">
        <is>
          <t>41040.00 2026</t>
        </is>
      </c>
      <c r="O309" t="n">
        <v>0</v>
      </c>
      <c r="P309" t="inlineStr">
        <is>
          <t>University adapter</t>
        </is>
      </c>
      <c r="Q309" t="inlineStr">
        <is>
          <t>Filled</t>
        </is>
      </c>
      <c r="R309" t="n">
        <v>6.5</v>
      </c>
      <c r="S309" t="inlineStr">
        <is>
          <t>Central English policy</t>
        </is>
      </c>
      <c r="T309" t="inlineStr">
        <is>
          <t>Central rule applies (value agrees)</t>
        </is>
      </c>
      <c r="U309" t="inlineStr"/>
      <c r="V309" t="inlineStr">
        <is>
          <t>Not stated on course page</t>
        </is>
      </c>
      <c r="W309" t="inlineStr"/>
      <c r="X309" t="inlineStr"/>
      <c r="Y309" t="n">
        <v>0</v>
      </c>
      <c r="Z309" t="inlineStr">
        <is>
          <t>No</t>
        </is>
      </c>
      <c r="AA309" t="inlineStr">
        <is>
          <t>Filled</t>
        </is>
      </c>
      <c r="AB309" t="inlineStr">
        <is>
          <t>on campus</t>
        </is>
      </c>
      <c r="AC309" t="inlineStr">
        <is>
          <t>Filled</t>
        </is>
      </c>
      <c r="AD309" t="n">
        <v>0</v>
      </c>
      <c r="AE309" t="inlineStr"/>
      <c r="AF309" t="inlineStr"/>
      <c r="AG309" t="inlineStr"/>
      <c r="AH309" t="inlineStr"/>
      <c r="AI309" t="inlineStr"/>
      <c r="AJ309" t="inlineStr"/>
      <c r="AK309" t="inlineStr"/>
      <c r="AL309" t="inlineStr"/>
      <c r="AM309" t="inlineStr"/>
    </row>
    <row r="310">
      <c r="A310" t="inlineStr">
        <is>
          <t>082309M</t>
        </is>
      </c>
      <c r="B310" t="inlineStr">
        <is>
          <t>Master of International Relations</t>
        </is>
      </c>
      <c r="C310" t="inlineStr">
        <is>
          <t>Masters Degree (Coursework)</t>
        </is>
      </c>
      <c r="D310" t="inlineStr">
        <is>
          <t>Postgraduate coursework</t>
        </is>
      </c>
      <c r="E310" t="inlineStr">
        <is>
          <t>Advertised: official page in place</t>
        </is>
      </c>
      <c r="F310" t="inlineStr">
        <is>
          <t>https://programsandcourses.anu.edu.au/program/mintr</t>
        </is>
      </c>
      <c r="G310" t="inlineStr">
        <is>
          <t>https://programsandcourses.anu.edu.au/program/mintr</t>
        </is>
      </c>
      <c r="H310" t="inlineStr">
        <is>
          <t>Read</t>
        </is>
      </c>
      <c r="I310" t="inlineStr">
        <is>
          <t>CRICOS code on page</t>
        </is>
      </c>
      <c r="J310" t="inlineStr"/>
      <c r="K310" t="inlineStr">
        <is>
          <t>Not sent to re-link</t>
        </is>
      </c>
      <c r="L310" t="inlineStr">
        <is>
          <t>Filled</t>
        </is>
      </c>
      <c r="M310" t="inlineStr">
        <is>
          <t>Filled</t>
        </is>
      </c>
      <c r="N310" t="inlineStr">
        <is>
          <t>57640.00 2026</t>
        </is>
      </c>
      <c r="O310" t="n">
        <v>0</v>
      </c>
      <c r="P310" t="inlineStr">
        <is>
          <t>University adapter</t>
        </is>
      </c>
      <c r="Q310" t="inlineStr">
        <is>
          <t>Filled</t>
        </is>
      </c>
      <c r="R310" t="n">
        <v>6.5</v>
      </c>
      <c r="S310" t="inlineStr">
        <is>
          <t>Central English policy</t>
        </is>
      </c>
      <c r="T310" t="inlineStr">
        <is>
          <t>Central rule applies (value agrees)</t>
        </is>
      </c>
      <c r="U310" t="inlineStr"/>
      <c r="V310" t="inlineStr">
        <is>
          <t>Not stated on course page</t>
        </is>
      </c>
      <c r="W310" t="inlineStr"/>
      <c r="X310" t="inlineStr"/>
      <c r="Y310" t="n">
        <v>0</v>
      </c>
      <c r="Z310" t="inlineStr">
        <is>
          <t>No</t>
        </is>
      </c>
      <c r="AA310" t="inlineStr">
        <is>
          <t>Filled</t>
        </is>
      </c>
      <c r="AB310" t="inlineStr">
        <is>
          <t>on campus</t>
        </is>
      </c>
      <c r="AC310" t="inlineStr"/>
      <c r="AD310" t="n">
        <v>0</v>
      </c>
      <c r="AE310" t="inlineStr"/>
      <c r="AF310" t="inlineStr"/>
      <c r="AG310" t="inlineStr"/>
      <c r="AH310" t="inlineStr"/>
      <c r="AI310" t="inlineStr"/>
      <c r="AJ310" t="inlineStr"/>
      <c r="AK310" t="inlineStr"/>
      <c r="AL310" t="inlineStr"/>
      <c r="AM310" t="inlineStr"/>
    </row>
    <row r="311">
      <c r="A311" t="inlineStr">
        <is>
          <t>082311F</t>
        </is>
      </c>
      <c r="B311" t="inlineStr">
        <is>
          <t>Master of International Relations (Advanced)</t>
        </is>
      </c>
      <c r="C311" t="inlineStr">
        <is>
          <t>Masters Degree (Coursework)</t>
        </is>
      </c>
      <c r="D311" t="inlineStr">
        <is>
          <t>Postgraduate coursework</t>
        </is>
      </c>
      <c r="E311" t="inlineStr">
        <is>
          <t>Advertised: official page in place</t>
        </is>
      </c>
      <c r="F311" t="inlineStr">
        <is>
          <t>https://programsandcourses.anu.edu.au/2015/program/vintr</t>
        </is>
      </c>
      <c r="G311" t="inlineStr">
        <is>
          <t>https://programsandcourses.anu.edu.au/2019/program/vintr</t>
        </is>
      </c>
      <c r="H311" t="inlineStr">
        <is>
          <t>Read</t>
        </is>
      </c>
      <c r="I311" t="inlineStr">
        <is>
          <t>CRICOS code on page</t>
        </is>
      </c>
      <c r="J311" t="inlineStr"/>
      <c r="K311" t="inlineStr">
        <is>
          <t>Not sent to re-link</t>
        </is>
      </c>
      <c r="L311" t="inlineStr">
        <is>
          <t>Filled</t>
        </is>
      </c>
      <c r="M311" t="inlineStr">
        <is>
          <t>Filled</t>
        </is>
      </c>
      <c r="N311" t="inlineStr">
        <is>
          <t>43680.00 2026</t>
        </is>
      </c>
      <c r="O311" t="n">
        <v>0</v>
      </c>
      <c r="P311" t="inlineStr">
        <is>
          <t>University adapter</t>
        </is>
      </c>
      <c r="Q311" t="inlineStr">
        <is>
          <t>Filled</t>
        </is>
      </c>
      <c r="R311" t="n">
        <v>6.5</v>
      </c>
      <c r="S311" t="inlineStr">
        <is>
          <t>Central English policy</t>
        </is>
      </c>
      <c r="T311" t="inlineStr">
        <is>
          <t>Central rule applies (value agrees)</t>
        </is>
      </c>
      <c r="U311" t="inlineStr"/>
      <c r="V311" t="inlineStr">
        <is>
          <t>Value found, being checked</t>
        </is>
      </c>
      <c r="W311" t="inlineStr"/>
      <c r="X311" t="inlineStr"/>
      <c r="Y311" t="n">
        <v>0</v>
      </c>
      <c r="Z311" t="inlineStr">
        <is>
          <t>No</t>
        </is>
      </c>
      <c r="AA311" t="inlineStr">
        <is>
          <t>Filled</t>
        </is>
      </c>
      <c r="AB311" t="inlineStr">
        <is>
          <t>on campus</t>
        </is>
      </c>
      <c r="AC311" t="inlineStr"/>
      <c r="AD311" t="n">
        <v>0</v>
      </c>
      <c r="AE311" t="inlineStr"/>
      <c r="AF311" t="inlineStr">
        <is>
          <t>Yes</t>
        </is>
      </c>
      <c r="AG311" t="inlineStr"/>
      <c r="AH311" t="inlineStr"/>
      <c r="AI311" t="inlineStr"/>
      <c r="AJ311" t="inlineStr"/>
      <c r="AK311" t="inlineStr"/>
      <c r="AL311" t="inlineStr"/>
      <c r="AM311" t="inlineStr"/>
    </row>
    <row r="312">
      <c r="A312" t="inlineStr">
        <is>
          <t>082315B</t>
        </is>
      </c>
      <c r="B312" t="inlineStr">
        <is>
          <t>Master of Islam in the Modern World (Advanced)</t>
        </is>
      </c>
      <c r="C312" t="inlineStr">
        <is>
          <t>Masters Degree (Coursework)</t>
        </is>
      </c>
      <c r="D312" t="inlineStr">
        <is>
          <t>Postgraduate coursework</t>
        </is>
      </c>
      <c r="E312" t="inlineStr">
        <is>
          <t>Advertised: official page in place</t>
        </is>
      </c>
      <c r="F312" t="inlineStr">
        <is>
          <t>https://programsandcourses.anu.edu.au/2020/program/viimw</t>
        </is>
      </c>
      <c r="G312" t="inlineStr">
        <is>
          <t>https://programsandcourses.anu.edu.au/2021/program/viimw</t>
        </is>
      </c>
      <c r="H312" t="inlineStr">
        <is>
          <t>Read</t>
        </is>
      </c>
      <c r="I312" t="inlineStr">
        <is>
          <t>CRICOS code on page</t>
        </is>
      </c>
      <c r="J312" t="inlineStr"/>
      <c r="K312" t="inlineStr">
        <is>
          <t>Not sent to re-link</t>
        </is>
      </c>
      <c r="L312" t="inlineStr">
        <is>
          <t>Filled</t>
        </is>
      </c>
      <c r="M312" t="inlineStr">
        <is>
          <t>Filled</t>
        </is>
      </c>
      <c r="N312" t="inlineStr">
        <is>
          <t>44470.00 2026</t>
        </is>
      </c>
      <c r="O312" t="n">
        <v>0</v>
      </c>
      <c r="P312" t="inlineStr">
        <is>
          <t>University adapter</t>
        </is>
      </c>
      <c r="Q312" t="inlineStr">
        <is>
          <t>Filled</t>
        </is>
      </c>
      <c r="R312" t="n">
        <v>6.5</v>
      </c>
      <c r="S312" t="inlineStr">
        <is>
          <t>Central English policy</t>
        </is>
      </c>
      <c r="T312" t="inlineStr">
        <is>
          <t>Central rule applies (value agrees)</t>
        </is>
      </c>
      <c r="U312" t="inlineStr"/>
      <c r="V312" t="inlineStr">
        <is>
          <t>Not stated on course page</t>
        </is>
      </c>
      <c r="W312" t="inlineStr"/>
      <c r="X312" t="inlineStr"/>
      <c r="Y312" t="n">
        <v>0</v>
      </c>
      <c r="Z312" t="inlineStr">
        <is>
          <t>No</t>
        </is>
      </c>
      <c r="AA312" t="inlineStr">
        <is>
          <t>Filled</t>
        </is>
      </c>
      <c r="AB312" t="inlineStr">
        <is>
          <t>on campus</t>
        </is>
      </c>
      <c r="AC312" t="inlineStr">
        <is>
          <t>Filled</t>
        </is>
      </c>
      <c r="AD312" t="n">
        <v>0</v>
      </c>
      <c r="AE312" t="inlineStr"/>
      <c r="AF312" t="inlineStr"/>
      <c r="AG312" t="inlineStr"/>
      <c r="AH312" t="inlineStr"/>
      <c r="AI312" t="inlineStr"/>
      <c r="AJ312" t="inlineStr"/>
      <c r="AK312" t="inlineStr"/>
      <c r="AL312" t="inlineStr"/>
      <c r="AM312" t="inlineStr"/>
    </row>
    <row r="313">
      <c r="A313" t="inlineStr">
        <is>
          <t>006504E</t>
        </is>
      </c>
      <c r="B313" t="inlineStr">
        <is>
          <t>Master of Laws</t>
        </is>
      </c>
      <c r="C313" t="inlineStr">
        <is>
          <t>Masters Degree (Coursework)</t>
        </is>
      </c>
      <c r="D313" t="inlineStr">
        <is>
          <t>Postgraduate coursework</t>
        </is>
      </c>
      <c r="E313" t="inlineStr">
        <is>
          <t>Advertised: official page in place</t>
        </is>
      </c>
      <c r="F313" t="inlineStr">
        <is>
          <t>https://programsandcourses.anu.edu.au/program/mllm</t>
        </is>
      </c>
      <c r="G313" t="inlineStr">
        <is>
          <t>https://programsandcourses.anu.edu.au/program/mllm</t>
        </is>
      </c>
      <c r="H313" t="inlineStr">
        <is>
          <t>Read</t>
        </is>
      </c>
      <c r="I313" t="inlineStr">
        <is>
          <t>CRICOS code on page</t>
        </is>
      </c>
      <c r="J313" t="inlineStr"/>
      <c r="K313" t="inlineStr">
        <is>
          <t>Not sent to re-link</t>
        </is>
      </c>
      <c r="L313" t="inlineStr">
        <is>
          <t>Filled</t>
        </is>
      </c>
      <c r="M313" t="inlineStr">
        <is>
          <t>Filled</t>
        </is>
      </c>
      <c r="N313" t="inlineStr">
        <is>
          <t>57640.00 2026</t>
        </is>
      </c>
      <c r="O313" t="n">
        <v>0</v>
      </c>
      <c r="P313" t="inlineStr">
        <is>
          <t>University adapter</t>
        </is>
      </c>
      <c r="Q313" t="inlineStr">
        <is>
          <t>Filled</t>
        </is>
      </c>
      <c r="R313" t="n">
        <v>6.5</v>
      </c>
      <c r="S313" t="inlineStr">
        <is>
          <t>Central English policy</t>
        </is>
      </c>
      <c r="T313" t="inlineStr">
        <is>
          <t>Central rule applies (value agrees)</t>
        </is>
      </c>
      <c r="U313" t="inlineStr"/>
      <c r="V313" t="inlineStr">
        <is>
          <t>Not stated on course page</t>
        </is>
      </c>
      <c r="W313" t="inlineStr"/>
      <c r="X313" t="inlineStr"/>
      <c r="Y313" t="n">
        <v>0</v>
      </c>
      <c r="Z313" t="inlineStr">
        <is>
          <t>No</t>
        </is>
      </c>
      <c r="AA313" t="inlineStr">
        <is>
          <t>Filled</t>
        </is>
      </c>
      <c r="AB313" t="inlineStr">
        <is>
          <t>on campus</t>
        </is>
      </c>
      <c r="AC313" t="inlineStr"/>
      <c r="AD313" t="n">
        <v>0</v>
      </c>
      <c r="AE313" t="inlineStr"/>
      <c r="AF313" t="inlineStr"/>
      <c r="AG313" t="inlineStr"/>
      <c r="AH313" t="inlineStr"/>
      <c r="AI313" t="inlineStr"/>
      <c r="AJ313" t="inlineStr"/>
      <c r="AK313" t="inlineStr"/>
      <c r="AL313" t="inlineStr"/>
      <c r="AM313" t="inlineStr"/>
    </row>
    <row r="314">
      <c r="A314" t="inlineStr">
        <is>
          <t>091186J</t>
        </is>
      </c>
      <c r="B314" t="inlineStr">
        <is>
          <t>Master of Leadership</t>
        </is>
      </c>
      <c r="C314" t="inlineStr">
        <is>
          <t>Masters Degree (Coursework)</t>
        </is>
      </c>
      <c r="D314" t="inlineStr">
        <is>
          <t>Postgraduate coursework</t>
        </is>
      </c>
      <c r="E314" t="inlineStr">
        <is>
          <t>Advertised: official page in place</t>
        </is>
      </c>
      <c r="F314" t="inlineStr">
        <is>
          <t>https://programsandcourses.anu.edu.au/2021/program/mlead</t>
        </is>
      </c>
      <c r="G314" t="inlineStr">
        <is>
          <t>https://programsandcourses.anu.edu.au/2020/program/mlead</t>
        </is>
      </c>
      <c r="H314" t="inlineStr">
        <is>
          <t>Read</t>
        </is>
      </c>
      <c r="I314" t="inlineStr">
        <is>
          <t>CRICOS code on page</t>
        </is>
      </c>
      <c r="J314" t="inlineStr"/>
      <c r="K314" t="inlineStr">
        <is>
          <t>Not sent to re-link</t>
        </is>
      </c>
      <c r="L314" t="inlineStr">
        <is>
          <t>Filled</t>
        </is>
      </c>
      <c r="M314" t="inlineStr">
        <is>
          <t>Filled</t>
        </is>
      </c>
      <c r="N314" t="inlineStr">
        <is>
          <t>47880.00 2026</t>
        </is>
      </c>
      <c r="O314" t="n">
        <v>0</v>
      </c>
      <c r="P314" t="inlineStr">
        <is>
          <t>University adapter</t>
        </is>
      </c>
      <c r="Q314" t="inlineStr">
        <is>
          <t>Filled</t>
        </is>
      </c>
      <c r="R314" t="n">
        <v>6.5</v>
      </c>
      <c r="S314" t="inlineStr">
        <is>
          <t>Central English policy</t>
        </is>
      </c>
      <c r="T314" t="inlineStr">
        <is>
          <t>Central rule applies (value agrees)</t>
        </is>
      </c>
      <c r="U314" t="inlineStr"/>
      <c r="V314" t="inlineStr">
        <is>
          <t>Not stated on course page</t>
        </is>
      </c>
      <c r="W314" t="inlineStr"/>
      <c r="X314" t="inlineStr"/>
      <c r="Y314" t="n">
        <v>0</v>
      </c>
      <c r="Z314" t="inlineStr">
        <is>
          <t>No</t>
        </is>
      </c>
      <c r="AA314" t="inlineStr">
        <is>
          <t>Filled</t>
        </is>
      </c>
      <c r="AB314" t="inlineStr">
        <is>
          <t>on campus</t>
        </is>
      </c>
      <c r="AC314" t="inlineStr"/>
      <c r="AD314" t="n">
        <v>0</v>
      </c>
      <c r="AE314" t="inlineStr"/>
      <c r="AF314" t="inlineStr"/>
      <c r="AG314" t="inlineStr"/>
      <c r="AH314" t="inlineStr"/>
      <c r="AI314" t="inlineStr"/>
      <c r="AJ314" t="inlineStr"/>
      <c r="AK314" t="inlineStr"/>
      <c r="AL314" t="inlineStr"/>
      <c r="AM314" t="inlineStr"/>
    </row>
    <row r="315">
      <c r="A315" t="inlineStr">
        <is>
          <t>091192M</t>
        </is>
      </c>
      <c r="B315" t="inlineStr">
        <is>
          <t>Master of Leadership (Advanced)</t>
        </is>
      </c>
      <c r="C315" t="inlineStr">
        <is>
          <t>Masters Degree (Coursework)</t>
        </is>
      </c>
      <c r="D315" t="inlineStr">
        <is>
          <t>Postgraduate coursework</t>
        </is>
      </c>
      <c r="E315" t="inlineStr">
        <is>
          <t>Advertised: official page in place</t>
        </is>
      </c>
      <c r="F315" t="inlineStr">
        <is>
          <t>https://programsandcourses.anu.edu.au/2017/program/vlead</t>
        </is>
      </c>
      <c r="G315" t="inlineStr">
        <is>
          <t>https://programsandcourses.anu.edu.au/2018/program/vlead</t>
        </is>
      </c>
      <c r="H315" t="inlineStr">
        <is>
          <t>Read</t>
        </is>
      </c>
      <c r="I315" t="inlineStr">
        <is>
          <t>CRICOS code on page</t>
        </is>
      </c>
      <c r="J315" t="inlineStr"/>
      <c r="K315" t="inlineStr">
        <is>
          <t>Not sent to re-link</t>
        </is>
      </c>
      <c r="L315" t="inlineStr">
        <is>
          <t>Filled</t>
        </is>
      </c>
      <c r="M315" t="inlineStr">
        <is>
          <t>Filled</t>
        </is>
      </c>
      <c r="N315" t="inlineStr">
        <is>
          <t>45168.00 2026</t>
        </is>
      </c>
      <c r="O315" t="n">
        <v>0</v>
      </c>
      <c r="P315" t="inlineStr">
        <is>
          <t>University adapter</t>
        </is>
      </c>
      <c r="Q315" t="inlineStr">
        <is>
          <t>Filled</t>
        </is>
      </c>
      <c r="R315" t="n">
        <v>6.5</v>
      </c>
      <c r="S315" t="inlineStr">
        <is>
          <t>Central English policy</t>
        </is>
      </c>
      <c r="T315" t="inlineStr">
        <is>
          <t>Central rule applies (value agrees)</t>
        </is>
      </c>
      <c r="U315" t="inlineStr"/>
      <c r="V315" t="inlineStr">
        <is>
          <t>Not stated on course page</t>
        </is>
      </c>
      <c r="W315" t="inlineStr"/>
      <c r="X315" t="inlineStr"/>
      <c r="Y315" t="n">
        <v>0</v>
      </c>
      <c r="Z315" t="inlineStr">
        <is>
          <t>No</t>
        </is>
      </c>
      <c r="AA315" t="inlineStr">
        <is>
          <t>Filled</t>
        </is>
      </c>
      <c r="AB315" t="inlineStr">
        <is>
          <t>on campus</t>
        </is>
      </c>
      <c r="AC315" t="inlineStr">
        <is>
          <t>Filled</t>
        </is>
      </c>
      <c r="AD315" t="n">
        <v>0</v>
      </c>
      <c r="AE315" t="inlineStr"/>
      <c r="AF315" t="inlineStr"/>
      <c r="AG315" t="inlineStr"/>
      <c r="AH315" t="inlineStr"/>
      <c r="AI315" t="inlineStr"/>
      <c r="AJ315" t="inlineStr"/>
      <c r="AK315" t="inlineStr"/>
      <c r="AL315" t="inlineStr"/>
      <c r="AM315" t="inlineStr"/>
    </row>
    <row r="316">
      <c r="A316" t="inlineStr">
        <is>
          <t>099247C</t>
        </is>
      </c>
      <c r="B316" t="inlineStr">
        <is>
          <t>Master of Machine Learning and Computer Vision</t>
        </is>
      </c>
      <c r="C316" t="inlineStr">
        <is>
          <t>Masters Degree (Coursework)</t>
        </is>
      </c>
      <c r="D316" t="inlineStr">
        <is>
          <t>Postgraduate coursework</t>
        </is>
      </c>
      <c r="E316" t="inlineStr">
        <is>
          <t>Advertised: official page in place</t>
        </is>
      </c>
      <c r="F316" t="inlineStr">
        <is>
          <t>https://programsandcourses.anu.edu.au/program/mmlcv</t>
        </is>
      </c>
      <c r="G316" t="inlineStr">
        <is>
          <t>https://programsandcourses.anu.edu.au/program/mmlcv</t>
        </is>
      </c>
      <c r="H316" t="inlineStr">
        <is>
          <t>Read</t>
        </is>
      </c>
      <c r="I316" t="inlineStr">
        <is>
          <t>CRICOS code on page</t>
        </is>
      </c>
      <c r="J316" t="inlineStr"/>
      <c r="K316" t="inlineStr">
        <is>
          <t>Not sent to re-link</t>
        </is>
      </c>
      <c r="L316" t="inlineStr">
        <is>
          <t>Filled</t>
        </is>
      </c>
      <c r="M316" t="inlineStr">
        <is>
          <t>Filled</t>
        </is>
      </c>
      <c r="N316" t="inlineStr">
        <is>
          <t>57640.00 2026</t>
        </is>
      </c>
      <c r="O316" t="n">
        <v>0</v>
      </c>
      <c r="P316" t="inlineStr">
        <is>
          <t>University adapter</t>
        </is>
      </c>
      <c r="Q316" t="inlineStr">
        <is>
          <t>Filled</t>
        </is>
      </c>
      <c r="R316" t="n">
        <v>6.5</v>
      </c>
      <c r="S316" t="inlineStr">
        <is>
          <t>Central English policy</t>
        </is>
      </c>
      <c r="T316" t="inlineStr">
        <is>
          <t>Central rule applies (value agrees)</t>
        </is>
      </c>
      <c r="U316" t="inlineStr"/>
      <c r="V316" t="inlineStr">
        <is>
          <t>Value found, being checked</t>
        </is>
      </c>
      <c r="W316" t="inlineStr"/>
      <c r="X316" t="inlineStr"/>
      <c r="Y316" t="n">
        <v>0</v>
      </c>
      <c r="Z316" t="inlineStr">
        <is>
          <t>No</t>
        </is>
      </c>
      <c r="AA316" t="inlineStr">
        <is>
          <t>Filled</t>
        </is>
      </c>
      <c r="AB316" t="inlineStr">
        <is>
          <t>on campus</t>
        </is>
      </c>
      <c r="AC316" t="inlineStr"/>
      <c r="AD316" t="n">
        <v>0</v>
      </c>
      <c r="AE316" t="inlineStr"/>
      <c r="AF316" t="inlineStr">
        <is>
          <t>Yes</t>
        </is>
      </c>
      <c r="AG316" t="inlineStr"/>
      <c r="AH316" t="inlineStr"/>
      <c r="AI316" t="inlineStr"/>
      <c r="AJ316" t="inlineStr"/>
      <c r="AK316" t="inlineStr"/>
      <c r="AL316" t="inlineStr"/>
      <c r="AM316" t="inlineStr"/>
    </row>
    <row r="317">
      <c r="A317" t="inlineStr">
        <is>
          <t>107176J</t>
        </is>
      </c>
      <c r="B317" t="inlineStr">
        <is>
          <t>Master of Management</t>
        </is>
      </c>
      <c r="C317" t="inlineStr">
        <is>
          <t>Masters Degree (Coursework)</t>
        </is>
      </c>
      <c r="D317" t="inlineStr">
        <is>
          <t>Postgraduate coursework</t>
        </is>
      </c>
      <c r="E317" t="inlineStr">
        <is>
          <t>Advertised: official page in place</t>
        </is>
      </c>
      <c r="F317" t="inlineStr">
        <is>
          <t>https://programsandcourses.anu.edu.au/program/mmgnt</t>
        </is>
      </c>
      <c r="G317" t="inlineStr">
        <is>
          <t>https://programsandcourses.anu.edu.au/program/mmgnt</t>
        </is>
      </c>
      <c r="H317" t="inlineStr">
        <is>
          <t>Read</t>
        </is>
      </c>
      <c r="I317" t="inlineStr">
        <is>
          <t>CRICOS code on page</t>
        </is>
      </c>
      <c r="J317" t="inlineStr"/>
      <c r="K317" t="inlineStr">
        <is>
          <t>Not sent to re-link</t>
        </is>
      </c>
      <c r="L317" t="inlineStr">
        <is>
          <t>Filled</t>
        </is>
      </c>
      <c r="M317" t="inlineStr">
        <is>
          <t>Filled</t>
        </is>
      </c>
      <c r="N317" t="inlineStr">
        <is>
          <t>57640.00 2026</t>
        </is>
      </c>
      <c r="O317" t="n">
        <v>0</v>
      </c>
      <c r="P317" t="inlineStr">
        <is>
          <t>University adapter</t>
        </is>
      </c>
      <c r="Q317" t="inlineStr">
        <is>
          <t>Filled</t>
        </is>
      </c>
      <c r="R317" t="n">
        <v>6.5</v>
      </c>
      <c r="S317" t="inlineStr">
        <is>
          <t>Central English policy</t>
        </is>
      </c>
      <c r="T317" t="inlineStr">
        <is>
          <t>Central rule applies (value agrees)</t>
        </is>
      </c>
      <c r="U317" t="inlineStr"/>
      <c r="V317" t="inlineStr">
        <is>
          <t>Not stated on course page</t>
        </is>
      </c>
      <c r="W317" t="inlineStr"/>
      <c r="X317" t="inlineStr"/>
      <c r="Y317" t="n">
        <v>0</v>
      </c>
      <c r="Z317" t="inlineStr">
        <is>
          <t>No</t>
        </is>
      </c>
      <c r="AA317" t="inlineStr">
        <is>
          <t>Filled</t>
        </is>
      </c>
      <c r="AB317" t="inlineStr">
        <is>
          <t>on campus</t>
        </is>
      </c>
      <c r="AC317" t="inlineStr"/>
      <c r="AD317" t="n">
        <v>0</v>
      </c>
      <c r="AE317" t="inlineStr"/>
      <c r="AF317" t="inlineStr"/>
      <c r="AG317" t="inlineStr"/>
      <c r="AH317" t="inlineStr"/>
      <c r="AI317" t="inlineStr"/>
      <c r="AJ317" t="inlineStr"/>
      <c r="AK317" t="inlineStr"/>
      <c r="AL317" t="inlineStr"/>
      <c r="AM317" t="inlineStr"/>
    </row>
    <row r="318">
      <c r="A318" t="inlineStr">
        <is>
          <t>107177H</t>
        </is>
      </c>
      <c r="B318" t="inlineStr">
        <is>
          <t>Master of Management (Advanced)</t>
        </is>
      </c>
      <c r="C318" t="inlineStr">
        <is>
          <t>Masters Degree (Coursework)</t>
        </is>
      </c>
      <c r="D318" t="inlineStr">
        <is>
          <t>Postgraduate coursework</t>
        </is>
      </c>
      <c r="E318" t="inlineStr">
        <is>
          <t>Advertised: official page in place</t>
        </is>
      </c>
      <c r="F318" t="inlineStr">
        <is>
          <t>https://programsandcourses.anu.edu.au/2024/program/vmgnt</t>
        </is>
      </c>
      <c r="G318" t="inlineStr">
        <is>
          <t>https://programsandcourses.anu.edu.au/2025/program/VMGNT</t>
        </is>
      </c>
      <c r="H318" t="inlineStr">
        <is>
          <t>Read</t>
        </is>
      </c>
      <c r="I318" t="inlineStr">
        <is>
          <t>CRICOS code on page</t>
        </is>
      </c>
      <c r="J318" t="inlineStr"/>
      <c r="K318" t="inlineStr">
        <is>
          <t>Finished, no page: no address from the university's address forms or stored lis</t>
        </is>
      </c>
      <c r="L318" t="inlineStr">
        <is>
          <t>Filled</t>
        </is>
      </c>
      <c r="M318" t="inlineStr">
        <is>
          <t>Filled</t>
        </is>
      </c>
      <c r="N318" t="inlineStr">
        <is>
          <t>53700.00 2026</t>
        </is>
      </c>
      <c r="O318" t="n">
        <v>0</v>
      </c>
      <c r="P318" t="inlineStr">
        <is>
          <t>University adapter</t>
        </is>
      </c>
      <c r="Q318" t="inlineStr">
        <is>
          <t>Filled</t>
        </is>
      </c>
      <c r="R318" t="n">
        <v>6.5</v>
      </c>
      <c r="S318" t="inlineStr">
        <is>
          <t>Central English policy</t>
        </is>
      </c>
      <c r="T318" t="inlineStr">
        <is>
          <t>Central rule applies (value agrees)</t>
        </is>
      </c>
      <c r="U318" t="inlineStr"/>
      <c r="V318" t="inlineStr">
        <is>
          <t>Not stated on course page</t>
        </is>
      </c>
      <c r="W318" t="inlineStr"/>
      <c r="X318" t="inlineStr"/>
      <c r="Y318" t="n">
        <v>0</v>
      </c>
      <c r="Z318" t="inlineStr">
        <is>
          <t>No</t>
        </is>
      </c>
      <c r="AA318" t="inlineStr">
        <is>
          <t>Filled</t>
        </is>
      </c>
      <c r="AB318" t="inlineStr">
        <is>
          <t>on campus</t>
        </is>
      </c>
      <c r="AC318" t="inlineStr">
        <is>
          <t>Skipped: the page does not state it</t>
        </is>
      </c>
      <c r="AD318" t="n">
        <v>0</v>
      </c>
      <c r="AE318" t="inlineStr"/>
      <c r="AF318" t="inlineStr"/>
      <c r="AG318" t="inlineStr"/>
      <c r="AH318" t="inlineStr"/>
      <c r="AI318" t="inlineStr"/>
      <c r="AJ318" t="inlineStr"/>
      <c r="AK318" t="inlineStr"/>
      <c r="AL318" t="inlineStr"/>
      <c r="AM318" t="inlineStr"/>
    </row>
    <row r="319">
      <c r="A319" t="inlineStr">
        <is>
          <t>091184M</t>
        </is>
      </c>
      <c r="B319" t="inlineStr">
        <is>
          <t>Master of Marketing Management</t>
        </is>
      </c>
      <c r="C319" t="inlineStr">
        <is>
          <t>Masters Degree (Coursework)</t>
        </is>
      </c>
      <c r="D319" t="inlineStr">
        <is>
          <t>Postgraduate coursework</t>
        </is>
      </c>
      <c r="E319" t="inlineStr">
        <is>
          <t>Advertised: official page in place</t>
        </is>
      </c>
      <c r="F319" t="inlineStr">
        <is>
          <t>https://programsandcourses.anu.edu.au/program/mmkmt</t>
        </is>
      </c>
      <c r="G319" t="inlineStr">
        <is>
          <t>https://programsandcourses.anu.edu.au/program/mmkmt</t>
        </is>
      </c>
      <c r="H319" t="inlineStr">
        <is>
          <t>Read</t>
        </is>
      </c>
      <c r="I319" t="inlineStr">
        <is>
          <t>CRICOS code on page</t>
        </is>
      </c>
      <c r="J319" t="inlineStr"/>
      <c r="K319" t="inlineStr">
        <is>
          <t>Not sent to re-link</t>
        </is>
      </c>
      <c r="L319" t="inlineStr">
        <is>
          <t>Filled</t>
        </is>
      </c>
      <c r="M319" t="inlineStr">
        <is>
          <t>Filled</t>
        </is>
      </c>
      <c r="N319" t="inlineStr">
        <is>
          <t>57640.00 2026</t>
        </is>
      </c>
      <c r="O319" t="n">
        <v>0</v>
      </c>
      <c r="P319" t="inlineStr">
        <is>
          <t>University adapter</t>
        </is>
      </c>
      <c r="Q319" t="inlineStr">
        <is>
          <t>Filled</t>
        </is>
      </c>
      <c r="R319" t="n">
        <v>6.5</v>
      </c>
      <c r="S319" t="inlineStr">
        <is>
          <t>Central English policy</t>
        </is>
      </c>
      <c r="T319" t="inlineStr">
        <is>
          <t>Central rule applies (value agrees)</t>
        </is>
      </c>
      <c r="U319" t="inlineStr"/>
      <c r="V319" t="inlineStr">
        <is>
          <t>Not stated on course page</t>
        </is>
      </c>
      <c r="W319" t="inlineStr"/>
      <c r="X319" t="inlineStr"/>
      <c r="Y319" t="n">
        <v>0</v>
      </c>
      <c r="Z319" t="inlineStr">
        <is>
          <t>No</t>
        </is>
      </c>
      <c r="AA319" t="inlineStr">
        <is>
          <t>Filled</t>
        </is>
      </c>
      <c r="AB319" t="inlineStr">
        <is>
          <t>on campus</t>
        </is>
      </c>
      <c r="AC319" t="inlineStr"/>
      <c r="AD319" t="n">
        <v>0</v>
      </c>
      <c r="AE319" t="inlineStr"/>
      <c r="AF319" t="inlineStr"/>
      <c r="AG319" t="inlineStr"/>
      <c r="AH319" t="inlineStr"/>
      <c r="AI319" t="inlineStr"/>
      <c r="AJ319" t="inlineStr"/>
      <c r="AK319" t="inlineStr"/>
      <c r="AL319" t="inlineStr"/>
      <c r="AM319" t="inlineStr"/>
    </row>
    <row r="320">
      <c r="A320" t="inlineStr">
        <is>
          <t>091190B</t>
        </is>
      </c>
      <c r="B320" t="inlineStr">
        <is>
          <t>Master of Marketing Management (Advanced)</t>
        </is>
      </c>
      <c r="C320" t="inlineStr">
        <is>
          <t>Masters Degree (Coursework)</t>
        </is>
      </c>
      <c r="D320" t="inlineStr">
        <is>
          <t>Postgraduate coursework</t>
        </is>
      </c>
      <c r="E320" t="inlineStr">
        <is>
          <t>Advertised: official page in place</t>
        </is>
      </c>
      <c r="F320" t="inlineStr">
        <is>
          <t>https://programsandcourses.anu.edu.au/2017/program/vmkmt</t>
        </is>
      </c>
      <c r="G320" t="inlineStr">
        <is>
          <t>https://programsandcourses.anu.edu.au/2020/program/vmkmt</t>
        </is>
      </c>
      <c r="H320" t="inlineStr">
        <is>
          <t>Read</t>
        </is>
      </c>
      <c r="I320" t="inlineStr">
        <is>
          <t>CRICOS code on page</t>
        </is>
      </c>
      <c r="J320" t="inlineStr"/>
      <c r="K320" t="inlineStr">
        <is>
          <t>Not sent to re-link</t>
        </is>
      </c>
      <c r="L320" t="inlineStr">
        <is>
          <t>Filled</t>
        </is>
      </c>
      <c r="M320" t="inlineStr">
        <is>
          <t>Filled</t>
        </is>
      </c>
      <c r="N320" t="inlineStr">
        <is>
          <t>47880.00 2026</t>
        </is>
      </c>
      <c r="O320" t="n">
        <v>0</v>
      </c>
      <c r="P320" t="inlineStr">
        <is>
          <t>University adapter</t>
        </is>
      </c>
      <c r="Q320" t="inlineStr">
        <is>
          <t>Filled</t>
        </is>
      </c>
      <c r="R320" t="n">
        <v>6.5</v>
      </c>
      <c r="S320" t="inlineStr">
        <is>
          <t>Central English policy</t>
        </is>
      </c>
      <c r="T320" t="inlineStr">
        <is>
          <t>Central rule applies (value agrees)</t>
        </is>
      </c>
      <c r="U320" t="inlineStr"/>
      <c r="V320" t="inlineStr">
        <is>
          <t>Not stated on course page</t>
        </is>
      </c>
      <c r="W320" t="inlineStr"/>
      <c r="X320" t="inlineStr"/>
      <c r="Y320" t="n">
        <v>0</v>
      </c>
      <c r="Z320" t="inlineStr">
        <is>
          <t>No</t>
        </is>
      </c>
      <c r="AA320" t="inlineStr">
        <is>
          <t>Filled</t>
        </is>
      </c>
      <c r="AB320" t="inlineStr">
        <is>
          <t>on campus</t>
        </is>
      </c>
      <c r="AC320" t="inlineStr"/>
      <c r="AD320" t="n">
        <v>0</v>
      </c>
      <c r="AE320" t="inlineStr"/>
      <c r="AF320" t="inlineStr"/>
      <c r="AG320" t="inlineStr"/>
      <c r="AH320" t="inlineStr"/>
      <c r="AI320" t="inlineStr"/>
      <c r="AJ320" t="inlineStr"/>
      <c r="AK320" t="inlineStr"/>
      <c r="AL320" t="inlineStr"/>
      <c r="AM320" t="inlineStr"/>
    </row>
    <row r="321">
      <c r="A321" t="inlineStr">
        <is>
          <t>082337G</t>
        </is>
      </c>
      <c r="B321" t="inlineStr">
        <is>
          <t>Master of Mathematical Sciences (Advanced)</t>
        </is>
      </c>
      <c r="C321" t="inlineStr">
        <is>
          <t>Masters Degree (Coursework)</t>
        </is>
      </c>
      <c r="D321" t="inlineStr">
        <is>
          <t>Postgraduate coursework</t>
        </is>
      </c>
      <c r="E321" t="inlineStr">
        <is>
          <t>Advertised: official page in place</t>
        </is>
      </c>
      <c r="F321" t="inlineStr">
        <is>
          <t>https://programsandcourses.anu.edu.au/program/vmasc</t>
        </is>
      </c>
      <c r="G321" t="inlineStr">
        <is>
          <t>https://programsandcourses.anu.edu.au/program/vmasc</t>
        </is>
      </c>
      <c r="H321" t="inlineStr">
        <is>
          <t>Read</t>
        </is>
      </c>
      <c r="I321" t="inlineStr">
        <is>
          <t>CRICOS code on page</t>
        </is>
      </c>
      <c r="J321" t="inlineStr"/>
      <c r="K321" t="inlineStr">
        <is>
          <t>Not sent to re-link</t>
        </is>
      </c>
      <c r="L321" t="inlineStr">
        <is>
          <t>Filled</t>
        </is>
      </c>
      <c r="M321" t="inlineStr">
        <is>
          <t>Filled</t>
        </is>
      </c>
      <c r="N321" t="inlineStr">
        <is>
          <t>57640.00 2026</t>
        </is>
      </c>
      <c r="O321" t="n">
        <v>0</v>
      </c>
      <c r="P321" t="inlineStr">
        <is>
          <t>University adapter</t>
        </is>
      </c>
      <c r="Q321" t="inlineStr">
        <is>
          <t>Filled</t>
        </is>
      </c>
      <c r="R321" t="n">
        <v>6.5</v>
      </c>
      <c r="S321" t="inlineStr">
        <is>
          <t>Central English policy</t>
        </is>
      </c>
      <c r="T321" t="inlineStr">
        <is>
          <t>Central rule applies (value agrees)</t>
        </is>
      </c>
      <c r="U321" t="inlineStr"/>
      <c r="V321" t="inlineStr">
        <is>
          <t>Not stated on course page</t>
        </is>
      </c>
      <c r="W321" t="inlineStr"/>
      <c r="X321" t="inlineStr"/>
      <c r="Y321" t="n">
        <v>0</v>
      </c>
      <c r="Z321" t="inlineStr">
        <is>
          <t>No</t>
        </is>
      </c>
      <c r="AA321" t="inlineStr">
        <is>
          <t>Filled</t>
        </is>
      </c>
      <c r="AB321" t="inlineStr">
        <is>
          <t>on campus</t>
        </is>
      </c>
      <c r="AC321" t="inlineStr"/>
      <c r="AD321" t="n">
        <v>0</v>
      </c>
      <c r="AE321" t="inlineStr"/>
      <c r="AF321" t="inlineStr"/>
      <c r="AG321" t="inlineStr"/>
      <c r="AH321" t="inlineStr"/>
      <c r="AI321" t="inlineStr"/>
      <c r="AJ321" t="inlineStr"/>
      <c r="AK321" t="inlineStr"/>
      <c r="AL321" t="inlineStr"/>
      <c r="AM321" t="inlineStr"/>
    </row>
    <row r="322">
      <c r="A322" t="inlineStr">
        <is>
          <t>108330G</t>
        </is>
      </c>
      <c r="B322" t="inlineStr">
        <is>
          <t>Master of Middle Eastern and Central Asian Studies</t>
        </is>
      </c>
      <c r="C322" t="inlineStr">
        <is>
          <t>Masters Degree (Coursework)</t>
        </is>
      </c>
      <c r="D322" t="inlineStr">
        <is>
          <t>Postgraduate coursework</t>
        </is>
      </c>
      <c r="E322" t="inlineStr">
        <is>
          <t>Advertised: official page in place</t>
        </is>
      </c>
      <c r="F322" t="inlineStr">
        <is>
          <t>https://programsandcourses.anu.edu.au/program/mecas</t>
        </is>
      </c>
      <c r="G322" t="inlineStr">
        <is>
          <t>https://programsandcourses.anu.edu.au/program/mecas</t>
        </is>
      </c>
      <c r="H322" t="inlineStr">
        <is>
          <t>Read</t>
        </is>
      </c>
      <c r="I322" t="inlineStr">
        <is>
          <t>CRICOS code on page</t>
        </is>
      </c>
      <c r="J322" t="inlineStr"/>
      <c r="K322" t="inlineStr">
        <is>
          <t>Not sent to re-link</t>
        </is>
      </c>
      <c r="L322" t="inlineStr">
        <is>
          <t>Filled</t>
        </is>
      </c>
      <c r="M322" t="inlineStr">
        <is>
          <t>Filled</t>
        </is>
      </c>
      <c r="N322" t="inlineStr">
        <is>
          <t>54540.00 2026</t>
        </is>
      </c>
      <c r="O322" t="n">
        <v>0</v>
      </c>
      <c r="P322" t="inlineStr">
        <is>
          <t>University adapter</t>
        </is>
      </c>
      <c r="Q322" t="inlineStr">
        <is>
          <t>Filled</t>
        </is>
      </c>
      <c r="R322" t="n">
        <v>6.5</v>
      </c>
      <c r="S322" t="inlineStr">
        <is>
          <t>Central English policy</t>
        </is>
      </c>
      <c r="T322" t="inlineStr">
        <is>
          <t>Central rule applies (value agrees)</t>
        </is>
      </c>
      <c r="U322" t="inlineStr"/>
      <c r="V322" t="inlineStr">
        <is>
          <t>Not stated on course page</t>
        </is>
      </c>
      <c r="W322" t="inlineStr"/>
      <c r="X322" t="inlineStr"/>
      <c r="Y322" t="n">
        <v>0</v>
      </c>
      <c r="Z322" t="inlineStr">
        <is>
          <t>No</t>
        </is>
      </c>
      <c r="AA322" t="inlineStr">
        <is>
          <t>Filled</t>
        </is>
      </c>
      <c r="AB322" t="inlineStr">
        <is>
          <t>on campus</t>
        </is>
      </c>
      <c r="AC322" t="inlineStr"/>
      <c r="AD322" t="n">
        <v>0</v>
      </c>
      <c r="AE322" t="inlineStr"/>
      <c r="AF322" t="inlineStr"/>
      <c r="AG322" t="inlineStr"/>
      <c r="AH322" t="inlineStr"/>
      <c r="AI322" t="inlineStr"/>
      <c r="AJ322" t="inlineStr"/>
      <c r="AK322" t="inlineStr"/>
      <c r="AL322" t="inlineStr"/>
      <c r="AM322" t="inlineStr"/>
    </row>
    <row r="323">
      <c r="A323" t="inlineStr">
        <is>
          <t>082338F</t>
        </is>
      </c>
      <c r="B323" t="inlineStr">
        <is>
          <t>Master of Middle Eastern and Central Asian Studies</t>
        </is>
      </c>
      <c r="C323" t="inlineStr">
        <is>
          <t>Masters Degree (Coursework)</t>
        </is>
      </c>
      <c r="D323" t="inlineStr">
        <is>
          <t>Postgraduate coursework</t>
        </is>
      </c>
      <c r="E323" t="inlineStr">
        <is>
          <t>Advertised: official page in place</t>
        </is>
      </c>
      <c r="F323" t="inlineStr">
        <is>
          <t>https://programsandcourses.anu.edu.au/2021/program/mmeca</t>
        </is>
      </c>
      <c r="G323" t="inlineStr">
        <is>
          <t>https://programsandcourses.anu.edu.au/program/mecas</t>
        </is>
      </c>
      <c r="H323" t="inlineStr">
        <is>
          <t>Read</t>
        </is>
      </c>
      <c r="I323" t="inlineStr">
        <is>
          <t>Exact title match</t>
        </is>
      </c>
      <c r="J323" t="inlineStr"/>
      <c r="K323" t="inlineStr">
        <is>
          <t>Not sent to re-link</t>
        </is>
      </c>
      <c r="L323" t="inlineStr">
        <is>
          <t>Filled</t>
        </is>
      </c>
      <c r="M323" t="inlineStr">
        <is>
          <t>Filled</t>
        </is>
      </c>
      <c r="N323" t="inlineStr">
        <is>
          <t>54540.00 2026</t>
        </is>
      </c>
      <c r="O323" t="n">
        <v>0</v>
      </c>
      <c r="P323" t="inlineStr">
        <is>
          <t>University adapter</t>
        </is>
      </c>
      <c r="Q323" t="inlineStr">
        <is>
          <t>Filled</t>
        </is>
      </c>
      <c r="R323" t="n">
        <v>6.5</v>
      </c>
      <c r="S323" t="inlineStr">
        <is>
          <t>Central English policy</t>
        </is>
      </c>
      <c r="T323" t="inlineStr">
        <is>
          <t>Central rule applies (value agrees)</t>
        </is>
      </c>
      <c r="U323" t="inlineStr"/>
      <c r="V323" t="inlineStr">
        <is>
          <t>Not stated on course page</t>
        </is>
      </c>
      <c r="W323" t="inlineStr"/>
      <c r="X323" t="inlineStr"/>
      <c r="Y323" t="n">
        <v>0</v>
      </c>
      <c r="Z323" t="inlineStr">
        <is>
          <t>No</t>
        </is>
      </c>
      <c r="AA323" t="inlineStr">
        <is>
          <t>Filled</t>
        </is>
      </c>
      <c r="AB323" t="inlineStr">
        <is>
          <t>on campus</t>
        </is>
      </c>
      <c r="AC323" t="inlineStr"/>
      <c r="AD323" t="n">
        <v>0</v>
      </c>
      <c r="AE323" t="inlineStr"/>
      <c r="AF323" t="inlineStr"/>
      <c r="AG323" t="inlineStr"/>
      <c r="AH323" t="inlineStr"/>
      <c r="AI323" t="inlineStr"/>
      <c r="AJ323" t="inlineStr"/>
      <c r="AK323" t="inlineStr"/>
      <c r="AL323" t="inlineStr"/>
      <c r="AM323" t="inlineStr"/>
    </row>
    <row r="324">
      <c r="A324" t="inlineStr">
        <is>
          <t>082339E</t>
        </is>
      </c>
      <c r="B324" t="inlineStr">
        <is>
          <t>Master of Middle Eastern and Central Asian Studies (Advanced)</t>
        </is>
      </c>
      <c r="C324" t="inlineStr">
        <is>
          <t>Masters Degree (Coursework)</t>
        </is>
      </c>
      <c r="D324" t="inlineStr">
        <is>
          <t>Postgraduate coursework</t>
        </is>
      </c>
      <c r="E324" t="inlineStr">
        <is>
          <t>Advertised: official page in place</t>
        </is>
      </c>
      <c r="F324" t="inlineStr">
        <is>
          <t>https://programsandcourses.anu.edu.au/program/vmeca</t>
        </is>
      </c>
      <c r="G324" t="inlineStr">
        <is>
          <t>https://programsandcourses.anu.edu.au/program/vmeca</t>
        </is>
      </c>
      <c r="H324" t="inlineStr">
        <is>
          <t>Read</t>
        </is>
      </c>
      <c r="I324" t="inlineStr">
        <is>
          <t>CRICOS code on page</t>
        </is>
      </c>
      <c r="J324" t="inlineStr"/>
      <c r="K324" t="inlineStr">
        <is>
          <t>Not sent to re-link</t>
        </is>
      </c>
      <c r="L324" t="inlineStr">
        <is>
          <t>Filled</t>
        </is>
      </c>
      <c r="M324" t="inlineStr">
        <is>
          <t>Filled</t>
        </is>
      </c>
      <c r="N324" t="inlineStr">
        <is>
          <t>54540.00 2026</t>
        </is>
      </c>
      <c r="O324" t="n">
        <v>0</v>
      </c>
      <c r="P324" t="inlineStr">
        <is>
          <t>University adapter</t>
        </is>
      </c>
      <c r="Q324" t="inlineStr">
        <is>
          <t>Filled</t>
        </is>
      </c>
      <c r="R324" t="n">
        <v>6.5</v>
      </c>
      <c r="S324" t="inlineStr">
        <is>
          <t>Central English policy</t>
        </is>
      </c>
      <c r="T324" t="inlineStr">
        <is>
          <t>Central rule applies (value agrees)</t>
        </is>
      </c>
      <c r="U324" t="inlineStr"/>
      <c r="V324" t="inlineStr">
        <is>
          <t>Not stated on course page</t>
        </is>
      </c>
      <c r="W324" t="inlineStr"/>
      <c r="X324" t="inlineStr"/>
      <c r="Y324" t="n">
        <v>0</v>
      </c>
      <c r="Z324" t="inlineStr">
        <is>
          <t>No</t>
        </is>
      </c>
      <c r="AA324" t="inlineStr">
        <is>
          <t>Filled</t>
        </is>
      </c>
      <c r="AB324" t="inlineStr">
        <is>
          <t>on campus</t>
        </is>
      </c>
      <c r="AC324" t="inlineStr"/>
      <c r="AD324" t="n">
        <v>0</v>
      </c>
      <c r="AE324" t="inlineStr"/>
      <c r="AF324" t="inlineStr"/>
      <c r="AG324" t="inlineStr"/>
      <c r="AH324" t="inlineStr"/>
      <c r="AI324" t="inlineStr"/>
      <c r="AJ324" t="inlineStr"/>
      <c r="AK324" t="inlineStr"/>
      <c r="AL324" t="inlineStr"/>
      <c r="AM324" t="inlineStr"/>
    </row>
    <row r="325">
      <c r="A325" t="inlineStr">
        <is>
          <t>108331F</t>
        </is>
      </c>
      <c r="B325" t="inlineStr">
        <is>
          <t>Master of Museum and Heritage Studies</t>
        </is>
      </c>
      <c r="C325" t="inlineStr">
        <is>
          <t>Masters Degree (Coursework)</t>
        </is>
      </c>
      <c r="D325" t="inlineStr">
        <is>
          <t>Postgraduate coursework</t>
        </is>
      </c>
      <c r="E325" t="inlineStr">
        <is>
          <t>Advertised: official page in place</t>
        </is>
      </c>
      <c r="F325" t="inlineStr">
        <is>
          <t>https://programsandcourses.anu.edu.au/program/MMHES</t>
        </is>
      </c>
      <c r="G325" t="inlineStr">
        <is>
          <t>https://programsandcourses.anu.edu.au/program/MMHES</t>
        </is>
      </c>
      <c r="H325" t="inlineStr">
        <is>
          <t>Read</t>
        </is>
      </c>
      <c r="I325" t="inlineStr">
        <is>
          <t>Exact title match</t>
        </is>
      </c>
      <c r="J325" t="inlineStr"/>
      <c r="K325" t="inlineStr">
        <is>
          <t>Not sent to re-link</t>
        </is>
      </c>
      <c r="L325" t="inlineStr">
        <is>
          <t>Filled</t>
        </is>
      </c>
      <c r="M325" t="inlineStr">
        <is>
          <t>Filled</t>
        </is>
      </c>
      <c r="N325" t="inlineStr">
        <is>
          <t>54540.00 2026</t>
        </is>
      </c>
      <c r="O325" t="n">
        <v>0</v>
      </c>
      <c r="P325" t="inlineStr">
        <is>
          <t>University adapter</t>
        </is>
      </c>
      <c r="Q325" t="inlineStr">
        <is>
          <t>Filled</t>
        </is>
      </c>
      <c r="R325" t="n">
        <v>6.5</v>
      </c>
      <c r="S325" t="inlineStr">
        <is>
          <t>Central English policy</t>
        </is>
      </c>
      <c r="T325" t="inlineStr">
        <is>
          <t>Central rule applies (value agrees)</t>
        </is>
      </c>
      <c r="U325" t="inlineStr"/>
      <c r="V325" t="inlineStr">
        <is>
          <t>Not stated on course page</t>
        </is>
      </c>
      <c r="W325" t="inlineStr"/>
      <c r="X325" t="inlineStr"/>
      <c r="Y325" t="n">
        <v>0</v>
      </c>
      <c r="Z325" t="inlineStr">
        <is>
          <t>No</t>
        </is>
      </c>
      <c r="AA325" t="inlineStr">
        <is>
          <t>Filled</t>
        </is>
      </c>
      <c r="AB325" t="inlineStr">
        <is>
          <t>blended</t>
        </is>
      </c>
      <c r="AC325" t="inlineStr"/>
      <c r="AD325" t="n">
        <v>0</v>
      </c>
      <c r="AE325" t="inlineStr"/>
      <c r="AF325" t="inlineStr"/>
      <c r="AG325" t="inlineStr"/>
      <c r="AH325" t="inlineStr"/>
      <c r="AI325" t="inlineStr"/>
      <c r="AJ325" t="inlineStr"/>
      <c r="AK325" t="inlineStr"/>
      <c r="AL325" t="inlineStr"/>
      <c r="AM325" t="inlineStr"/>
    </row>
    <row r="326">
      <c r="A326" t="inlineStr">
        <is>
          <t>117468C</t>
        </is>
      </c>
      <c r="B326" t="inlineStr">
        <is>
          <t>Master of Museum and Heritage Studies</t>
        </is>
      </c>
      <c r="C326" t="inlineStr">
        <is>
          <t>Masters Degree (Coursework)</t>
        </is>
      </c>
      <c r="D326" t="inlineStr">
        <is>
          <t>Postgraduate coursework</t>
        </is>
      </c>
      <c r="E326" t="inlineStr">
        <is>
          <t>Advertised: official page in place</t>
        </is>
      </c>
      <c r="F326" t="inlineStr">
        <is>
          <t>https://programsandcourses.anu.edu.au/program/mmhes</t>
        </is>
      </c>
      <c r="G326" t="inlineStr">
        <is>
          <t>https://programsandcourses.anu.edu.au/program/mmhes</t>
        </is>
      </c>
      <c r="H326" t="inlineStr">
        <is>
          <t>Read</t>
        </is>
      </c>
      <c r="I326" t="inlineStr">
        <is>
          <t>CRICOS code on page</t>
        </is>
      </c>
      <c r="J326" t="inlineStr"/>
      <c r="K326" t="inlineStr">
        <is>
          <t>Not sent to re-link</t>
        </is>
      </c>
      <c r="L326" t="inlineStr">
        <is>
          <t>Filled</t>
        </is>
      </c>
      <c r="M326" t="inlineStr">
        <is>
          <t>Filled</t>
        </is>
      </c>
      <c r="N326" t="inlineStr">
        <is>
          <t>54540.00 2026</t>
        </is>
      </c>
      <c r="O326" t="n">
        <v>0</v>
      </c>
      <c r="P326" t="inlineStr">
        <is>
          <t>University adapter</t>
        </is>
      </c>
      <c r="Q326" t="inlineStr">
        <is>
          <t>Filled</t>
        </is>
      </c>
      <c r="R326" t="n">
        <v>6.5</v>
      </c>
      <c r="S326" t="inlineStr">
        <is>
          <t>Central English policy</t>
        </is>
      </c>
      <c r="T326" t="inlineStr">
        <is>
          <t>Central rule applies (value agrees)</t>
        </is>
      </c>
      <c r="U326" t="inlineStr"/>
      <c r="V326" t="inlineStr">
        <is>
          <t>Not stated on course page</t>
        </is>
      </c>
      <c r="W326" t="inlineStr"/>
      <c r="X326" t="inlineStr"/>
      <c r="Y326" t="n">
        <v>0</v>
      </c>
      <c r="Z326" t="inlineStr">
        <is>
          <t>No</t>
        </is>
      </c>
      <c r="AA326" t="inlineStr">
        <is>
          <t>Filled</t>
        </is>
      </c>
      <c r="AB326" t="inlineStr">
        <is>
          <t>blended</t>
        </is>
      </c>
      <c r="AC326" t="inlineStr"/>
      <c r="AD326" t="n">
        <v>0</v>
      </c>
      <c r="AE326" t="inlineStr"/>
      <c r="AF326" t="inlineStr"/>
      <c r="AG326" t="inlineStr"/>
      <c r="AH326" t="inlineStr"/>
      <c r="AI326" t="inlineStr"/>
      <c r="AJ326" t="inlineStr"/>
      <c r="AK326" t="inlineStr"/>
      <c r="AL326" t="inlineStr"/>
      <c r="AM326" t="inlineStr"/>
    </row>
    <row r="327">
      <c r="A327" t="inlineStr">
        <is>
          <t>119062J</t>
        </is>
      </c>
      <c r="B327" t="inlineStr">
        <is>
          <t>Master of Museum and Heritage Studies (Advanced)</t>
        </is>
      </c>
      <c r="C327" t="inlineStr">
        <is>
          <t>Masters Degree (Coursework)</t>
        </is>
      </c>
      <c r="D327" t="inlineStr">
        <is>
          <t>Postgraduate coursework</t>
        </is>
      </c>
      <c r="E327" t="inlineStr">
        <is>
          <t>Advertised: official page in place</t>
        </is>
      </c>
      <c r="F327" t="inlineStr">
        <is>
          <t>https://programsandcourses.anu.edu.au/program/vmhes</t>
        </is>
      </c>
      <c r="G327" t="inlineStr">
        <is>
          <t>https://programsandcourses.anu.edu.au/program/vmhes</t>
        </is>
      </c>
      <c r="H327" t="inlineStr">
        <is>
          <t>Read</t>
        </is>
      </c>
      <c r="I327" t="inlineStr">
        <is>
          <t>CRICOS code on page</t>
        </is>
      </c>
      <c r="J327" t="inlineStr"/>
      <c r="K327" t="inlineStr">
        <is>
          <t>Not sent to re-link</t>
        </is>
      </c>
      <c r="L327" t="inlineStr">
        <is>
          <t>Filled</t>
        </is>
      </c>
      <c r="M327" t="inlineStr">
        <is>
          <t>Filled</t>
        </is>
      </c>
      <c r="N327" t="inlineStr">
        <is>
          <t>54540.00 2026</t>
        </is>
      </c>
      <c r="O327" t="n">
        <v>0</v>
      </c>
      <c r="P327" t="inlineStr">
        <is>
          <t>University adapter</t>
        </is>
      </c>
      <c r="Q327" t="inlineStr">
        <is>
          <t>Filled</t>
        </is>
      </c>
      <c r="R327" t="n">
        <v>6.5</v>
      </c>
      <c r="S327" t="inlineStr">
        <is>
          <t>Central English policy</t>
        </is>
      </c>
      <c r="T327" t="inlineStr">
        <is>
          <t>Central rule applies (value agrees)</t>
        </is>
      </c>
      <c r="U327" t="inlineStr"/>
      <c r="V327" t="inlineStr">
        <is>
          <t>Not stated on course page</t>
        </is>
      </c>
      <c r="W327" t="inlineStr"/>
      <c r="X327" t="inlineStr"/>
      <c r="Y327" t="n">
        <v>0</v>
      </c>
      <c r="Z327" t="inlineStr">
        <is>
          <t>No</t>
        </is>
      </c>
      <c r="AA327" t="inlineStr">
        <is>
          <t>Filled</t>
        </is>
      </c>
      <c r="AB327" t="inlineStr">
        <is>
          <t>on campus</t>
        </is>
      </c>
      <c r="AC327" t="inlineStr"/>
      <c r="AD327" t="n">
        <v>0</v>
      </c>
      <c r="AE327" t="inlineStr"/>
      <c r="AF327" t="inlineStr"/>
      <c r="AG327" t="inlineStr"/>
      <c r="AH327" t="inlineStr"/>
      <c r="AI327" t="inlineStr"/>
      <c r="AJ327" t="inlineStr"/>
      <c r="AK327" t="inlineStr"/>
      <c r="AL327" t="inlineStr"/>
      <c r="AM327" t="inlineStr"/>
    </row>
    <row r="328">
      <c r="A328" t="inlineStr">
        <is>
          <t>085331M</t>
        </is>
      </c>
      <c r="B328" t="inlineStr">
        <is>
          <t>Master of Museums and Heritage Studies</t>
        </is>
      </c>
      <c r="C328" t="inlineStr">
        <is>
          <t>Masters Degree (Coursework)</t>
        </is>
      </c>
      <c r="D328" t="inlineStr">
        <is>
          <t>Postgraduate coursework</t>
        </is>
      </c>
      <c r="E328" t="inlineStr">
        <is>
          <t>Advertised: official page in place</t>
        </is>
      </c>
      <c r="F328" t="inlineStr">
        <is>
          <t>https://programsandcourses.anu.edu.au/2016/program/mmuhs</t>
        </is>
      </c>
      <c r="G328" t="inlineStr">
        <is>
          <t>https://programsandcourses.anu.edu.au/2016/program/mmuhs</t>
        </is>
      </c>
      <c r="H328" t="inlineStr">
        <is>
          <t>Read</t>
        </is>
      </c>
      <c r="I328" t="inlineStr">
        <is>
          <t>CRICOS code on page</t>
        </is>
      </c>
      <c r="J328" t="inlineStr"/>
      <c r="K328" t="inlineStr">
        <is>
          <t>Finished, no page: no address from the university's address forms or stored lis</t>
        </is>
      </c>
      <c r="L328" t="inlineStr">
        <is>
          <t>Filled</t>
        </is>
      </c>
      <c r="M328" t="inlineStr">
        <is>
          <t>Value found, being checked</t>
        </is>
      </c>
      <c r="N328" t="inlineStr"/>
      <c r="O328" t="n">
        <v>0</v>
      </c>
      <c r="P328" t="inlineStr"/>
      <c r="Q328" t="inlineStr">
        <is>
          <t>Filled</t>
        </is>
      </c>
      <c r="R328" t="n">
        <v>6.5</v>
      </c>
      <c r="S328" t="inlineStr">
        <is>
          <t>Central English policy</t>
        </is>
      </c>
      <c r="T328" t="inlineStr">
        <is>
          <t>Central rule applies (value agrees)</t>
        </is>
      </c>
      <c r="U328" t="inlineStr"/>
      <c r="V328" t="inlineStr">
        <is>
          <t>Not stated on course page</t>
        </is>
      </c>
      <c r="W328" t="inlineStr"/>
      <c r="X328" t="inlineStr"/>
      <c r="Y328" t="n">
        <v>0</v>
      </c>
      <c r="Z328" t="inlineStr">
        <is>
          <t>No</t>
        </is>
      </c>
      <c r="AA328" t="inlineStr">
        <is>
          <t>Filled</t>
        </is>
      </c>
      <c r="AB328" t="inlineStr">
        <is>
          <t>on campus</t>
        </is>
      </c>
      <c r="AC328" t="inlineStr">
        <is>
          <t>Filled</t>
        </is>
      </c>
      <c r="AD328" t="n">
        <v>1</v>
      </c>
      <c r="AE328" t="inlineStr"/>
      <c r="AF328" t="inlineStr">
        <is>
          <t>Yes</t>
        </is>
      </c>
      <c r="AG328" t="inlineStr"/>
      <c r="AH328" t="inlineStr"/>
      <c r="AI328" t="inlineStr"/>
      <c r="AJ328" t="inlineStr"/>
      <c r="AK328" t="inlineStr"/>
      <c r="AL328" t="inlineStr"/>
      <c r="AM328" t="inlineStr"/>
    </row>
    <row r="329">
      <c r="A329" t="inlineStr">
        <is>
          <t>085332K</t>
        </is>
      </c>
      <c r="B329" t="inlineStr">
        <is>
          <t>Master of Museums and Heritage Studies (Advanced)</t>
        </is>
      </c>
      <c r="C329" t="inlineStr">
        <is>
          <t>Masters Degree (Coursework)</t>
        </is>
      </c>
      <c r="D329" t="inlineStr">
        <is>
          <t>Postgraduate coursework</t>
        </is>
      </c>
      <c r="E329" t="inlineStr">
        <is>
          <t>Advertised: official page in place</t>
        </is>
      </c>
      <c r="F329" t="inlineStr">
        <is>
          <t>https://programsandcourses.anu.edu.au/2022/program/vmuhs</t>
        </is>
      </c>
      <c r="G329" t="inlineStr">
        <is>
          <t>https://programsandcourses.anu.edu.au/2022/program/vmuhs</t>
        </is>
      </c>
      <c r="H329" t="inlineStr">
        <is>
          <t>Read</t>
        </is>
      </c>
      <c r="I329" t="inlineStr">
        <is>
          <t>CRICOS code on page</t>
        </is>
      </c>
      <c r="J329" t="inlineStr"/>
      <c r="K329" t="inlineStr">
        <is>
          <t>Not sent to re-link</t>
        </is>
      </c>
      <c r="L329" t="inlineStr">
        <is>
          <t>Filled</t>
        </is>
      </c>
      <c r="M329" t="inlineStr">
        <is>
          <t>Filled</t>
        </is>
      </c>
      <c r="N329" t="inlineStr">
        <is>
          <t>45360.00 2026</t>
        </is>
      </c>
      <c r="O329" t="n">
        <v>0</v>
      </c>
      <c r="P329" t="inlineStr">
        <is>
          <t>University adapter</t>
        </is>
      </c>
      <c r="Q329" t="inlineStr">
        <is>
          <t>Filled</t>
        </is>
      </c>
      <c r="R329" t="n">
        <v>6.5</v>
      </c>
      <c r="S329" t="inlineStr">
        <is>
          <t>Central English policy</t>
        </is>
      </c>
      <c r="T329" t="inlineStr">
        <is>
          <t>Central rule applies (value agrees)</t>
        </is>
      </c>
      <c r="U329" t="inlineStr"/>
      <c r="V329" t="inlineStr">
        <is>
          <t>Not stated on course page</t>
        </is>
      </c>
      <c r="W329" t="inlineStr"/>
      <c r="X329" t="inlineStr"/>
      <c r="Y329" t="n">
        <v>0</v>
      </c>
      <c r="Z329" t="inlineStr">
        <is>
          <t>No</t>
        </is>
      </c>
      <c r="AA329" t="inlineStr">
        <is>
          <t>Filled</t>
        </is>
      </c>
      <c r="AB329" t="inlineStr">
        <is>
          <t>on campus</t>
        </is>
      </c>
      <c r="AC329" t="inlineStr"/>
      <c r="AD329" t="n">
        <v>0</v>
      </c>
      <c r="AE329" t="inlineStr"/>
      <c r="AF329" t="inlineStr"/>
      <c r="AG329" t="inlineStr"/>
      <c r="AH329" t="inlineStr"/>
      <c r="AI329" t="inlineStr"/>
      <c r="AJ329" t="inlineStr"/>
      <c r="AK329" t="inlineStr"/>
      <c r="AL329" t="inlineStr"/>
      <c r="AM329" t="inlineStr"/>
    </row>
    <row r="330">
      <c r="A330" t="inlineStr">
        <is>
          <t>0101473</t>
        </is>
      </c>
      <c r="B330" t="inlineStr">
        <is>
          <t>Master of National Security Policy</t>
        </is>
      </c>
      <c r="C330" t="inlineStr">
        <is>
          <t>Masters Degree (Coursework)</t>
        </is>
      </c>
      <c r="D330" t="inlineStr">
        <is>
          <t>Postgraduate coursework</t>
        </is>
      </c>
      <c r="E330" t="inlineStr">
        <is>
          <t>Advertised: official page in place</t>
        </is>
      </c>
      <c r="F330" t="inlineStr">
        <is>
          <t>https://programsandcourses.anu.edu.au/program/mnsep</t>
        </is>
      </c>
      <c r="G330" t="inlineStr">
        <is>
          <t>https://programsandcourses.anu.edu.au/program/mnsep</t>
        </is>
      </c>
      <c r="H330" t="inlineStr">
        <is>
          <t>Read</t>
        </is>
      </c>
      <c r="I330" t="inlineStr">
        <is>
          <t>CRICOS code on page</t>
        </is>
      </c>
      <c r="J330" t="inlineStr"/>
      <c r="K330" t="inlineStr">
        <is>
          <t>Not sent to re-link</t>
        </is>
      </c>
      <c r="L330" t="inlineStr">
        <is>
          <t>Filled</t>
        </is>
      </c>
      <c r="M330" t="inlineStr">
        <is>
          <t>Filled</t>
        </is>
      </c>
      <c r="N330" t="inlineStr">
        <is>
          <t>57640.00 2026</t>
        </is>
      </c>
      <c r="O330" t="n">
        <v>0</v>
      </c>
      <c r="P330" t="inlineStr">
        <is>
          <t>University adapter</t>
        </is>
      </c>
      <c r="Q330" t="inlineStr">
        <is>
          <t>Filled</t>
        </is>
      </c>
      <c r="R330" t="n">
        <v>6.5</v>
      </c>
      <c r="S330" t="inlineStr">
        <is>
          <t>Central English policy</t>
        </is>
      </c>
      <c r="T330" t="inlineStr">
        <is>
          <t>Central rule applies (value agrees)</t>
        </is>
      </c>
      <c r="U330" t="inlineStr"/>
      <c r="V330" t="inlineStr">
        <is>
          <t>Not stated on course page</t>
        </is>
      </c>
      <c r="W330" t="inlineStr"/>
      <c r="X330" t="inlineStr"/>
      <c r="Y330" t="n">
        <v>0</v>
      </c>
      <c r="Z330" t="inlineStr">
        <is>
          <t>No</t>
        </is>
      </c>
      <c r="AA330" t="inlineStr">
        <is>
          <t>Filled</t>
        </is>
      </c>
      <c r="AB330" t="inlineStr">
        <is>
          <t>on campus</t>
        </is>
      </c>
      <c r="AC330" t="inlineStr"/>
      <c r="AD330" t="n">
        <v>0</v>
      </c>
      <c r="AE330" t="inlineStr"/>
      <c r="AF330" t="inlineStr"/>
      <c r="AG330" t="inlineStr"/>
      <c r="AH330" t="inlineStr"/>
      <c r="AI330" t="inlineStr"/>
      <c r="AJ330" t="inlineStr"/>
      <c r="AK330" t="inlineStr"/>
      <c r="AL330" t="inlineStr"/>
      <c r="AM330" t="inlineStr"/>
    </row>
    <row r="331">
      <c r="A331" t="inlineStr">
        <is>
          <t>082376M</t>
        </is>
      </c>
      <c r="B331" t="inlineStr">
        <is>
          <t>Master of Neuroscience</t>
        </is>
      </c>
      <c r="C331" t="inlineStr">
        <is>
          <t>Masters Degree (Coursework)</t>
        </is>
      </c>
      <c r="D331" t="inlineStr">
        <is>
          <t>Postgraduate coursework</t>
        </is>
      </c>
      <c r="E331" t="inlineStr">
        <is>
          <t>Advertised: official page in place</t>
        </is>
      </c>
      <c r="F331" t="inlineStr">
        <is>
          <t>https://programsandcourses.anu.edu.au/program/mneur</t>
        </is>
      </c>
      <c r="G331" t="inlineStr">
        <is>
          <t>https://programsandcourses.anu.edu.au/program/mneur</t>
        </is>
      </c>
      <c r="H331" t="inlineStr">
        <is>
          <t>Read</t>
        </is>
      </c>
      <c r="I331" t="inlineStr">
        <is>
          <t>CRICOS code on page</t>
        </is>
      </c>
      <c r="J331" t="inlineStr"/>
      <c r="K331" t="inlineStr">
        <is>
          <t>Not sent to re-link</t>
        </is>
      </c>
      <c r="L331" t="inlineStr">
        <is>
          <t>Filled</t>
        </is>
      </c>
      <c r="M331" t="inlineStr">
        <is>
          <t>Filled</t>
        </is>
      </c>
      <c r="N331" t="inlineStr">
        <is>
          <t>60870.00 2026</t>
        </is>
      </c>
      <c r="O331" t="n">
        <v>0</v>
      </c>
      <c r="P331" t="inlineStr">
        <is>
          <t>University adapter</t>
        </is>
      </c>
      <c r="Q331" t="inlineStr">
        <is>
          <t>Filled</t>
        </is>
      </c>
      <c r="R331" t="n">
        <v>6.5</v>
      </c>
      <c r="S331" t="inlineStr">
        <is>
          <t>Central English policy</t>
        </is>
      </c>
      <c r="T331" t="inlineStr">
        <is>
          <t>Central rule applies (value agrees)</t>
        </is>
      </c>
      <c r="U331" t="inlineStr"/>
      <c r="V331" t="inlineStr">
        <is>
          <t>Not stated on course page</t>
        </is>
      </c>
      <c r="W331" t="inlineStr"/>
      <c r="X331" t="inlineStr"/>
      <c r="Y331" t="n">
        <v>0</v>
      </c>
      <c r="Z331" t="inlineStr">
        <is>
          <t>No</t>
        </is>
      </c>
      <c r="AA331" t="inlineStr">
        <is>
          <t>Filled</t>
        </is>
      </c>
      <c r="AB331" t="inlineStr">
        <is>
          <t>on campus</t>
        </is>
      </c>
      <c r="AC331" t="inlineStr"/>
      <c r="AD331" t="n">
        <v>0</v>
      </c>
      <c r="AE331" t="inlineStr"/>
      <c r="AF331" t="inlineStr"/>
      <c r="AG331" t="inlineStr"/>
      <c r="AH331" t="inlineStr"/>
      <c r="AI331" t="inlineStr"/>
      <c r="AJ331" t="inlineStr"/>
      <c r="AK331" t="inlineStr"/>
      <c r="AL331" t="inlineStr"/>
      <c r="AM331" t="inlineStr"/>
    </row>
    <row r="332">
      <c r="A332" t="inlineStr">
        <is>
          <t>082342K</t>
        </is>
      </c>
      <c r="B332" t="inlineStr">
        <is>
          <t>Master of Neuroscience (Advanced)</t>
        </is>
      </c>
      <c r="C332" t="inlineStr">
        <is>
          <t>Masters Degree (Coursework)</t>
        </is>
      </c>
      <c r="D332" t="inlineStr">
        <is>
          <t>Postgraduate coursework</t>
        </is>
      </c>
      <c r="E332" t="inlineStr">
        <is>
          <t>Advertised: official page in place</t>
        </is>
      </c>
      <c r="F332" t="inlineStr">
        <is>
          <t>https://programsandcourses.anu.edu.au/program/vneur</t>
        </is>
      </c>
      <c r="G332" t="inlineStr">
        <is>
          <t>https://programsandcourses.anu.edu.au/program/vneur</t>
        </is>
      </c>
      <c r="H332" t="inlineStr">
        <is>
          <t>Read</t>
        </is>
      </c>
      <c r="I332" t="inlineStr">
        <is>
          <t>CRICOS code on page</t>
        </is>
      </c>
      <c r="J332" t="inlineStr"/>
      <c r="K332" t="inlineStr">
        <is>
          <t>Not sent to re-link</t>
        </is>
      </c>
      <c r="L332" t="inlineStr">
        <is>
          <t>Filled</t>
        </is>
      </c>
      <c r="M332" t="inlineStr">
        <is>
          <t>Filled</t>
        </is>
      </c>
      <c r="N332" t="inlineStr">
        <is>
          <t>60870.00 2026</t>
        </is>
      </c>
      <c r="O332" t="n">
        <v>0</v>
      </c>
      <c r="P332" t="inlineStr">
        <is>
          <t>University adapter</t>
        </is>
      </c>
      <c r="Q332" t="inlineStr">
        <is>
          <t>Filled</t>
        </is>
      </c>
      <c r="R332" t="n">
        <v>6.5</v>
      </c>
      <c r="S332" t="inlineStr">
        <is>
          <t>Central English policy</t>
        </is>
      </c>
      <c r="T332" t="inlineStr">
        <is>
          <t>Central rule applies (value agrees)</t>
        </is>
      </c>
      <c r="U332" t="inlineStr"/>
      <c r="V332" t="inlineStr">
        <is>
          <t>Not stated on course page</t>
        </is>
      </c>
      <c r="W332" t="inlineStr"/>
      <c r="X332" t="inlineStr"/>
      <c r="Y332" t="n">
        <v>0</v>
      </c>
      <c r="Z332" t="inlineStr">
        <is>
          <t>No</t>
        </is>
      </c>
      <c r="AA332" t="inlineStr">
        <is>
          <t>Filled</t>
        </is>
      </c>
      <c r="AB332" t="inlineStr">
        <is>
          <t>on campus</t>
        </is>
      </c>
      <c r="AC332" t="inlineStr"/>
      <c r="AD332" t="n">
        <v>0</v>
      </c>
      <c r="AE332" t="inlineStr"/>
      <c r="AF332" t="inlineStr"/>
      <c r="AG332" t="inlineStr"/>
      <c r="AH332" t="inlineStr"/>
      <c r="AI332" t="inlineStr"/>
      <c r="AJ332" t="inlineStr"/>
      <c r="AK332" t="inlineStr"/>
      <c r="AL332" t="inlineStr"/>
      <c r="AM332" t="inlineStr"/>
    </row>
    <row r="333">
      <c r="A333" t="inlineStr">
        <is>
          <t>103372D</t>
        </is>
      </c>
      <c r="B333" t="inlineStr">
        <is>
          <t>Master of Pacific Development</t>
        </is>
      </c>
      <c r="C333" t="inlineStr">
        <is>
          <t>Masters Degree (Coursework)</t>
        </is>
      </c>
      <c r="D333" t="inlineStr">
        <is>
          <t>Postgraduate coursework</t>
        </is>
      </c>
      <c r="E333" t="inlineStr">
        <is>
          <t>Advertised: official page in place</t>
        </is>
      </c>
      <c r="F333" t="inlineStr">
        <is>
          <t>https://programsandcourses.anu.edu.au/2026/program/mpade</t>
        </is>
      </c>
      <c r="G333" t="inlineStr">
        <is>
          <t>https://programsandcourses.anu.edu.au/2026/program/mpade</t>
        </is>
      </c>
      <c r="H333" t="inlineStr">
        <is>
          <t>Read</t>
        </is>
      </c>
      <c r="I333" t="inlineStr">
        <is>
          <t>CRICOS code on page</t>
        </is>
      </c>
      <c r="J333" t="inlineStr"/>
      <c r="K333" t="inlineStr">
        <is>
          <t>Not sent to re-link</t>
        </is>
      </c>
      <c r="L333" t="inlineStr">
        <is>
          <t>Filled</t>
        </is>
      </c>
      <c r="M333" t="inlineStr">
        <is>
          <t>Filled</t>
        </is>
      </c>
      <c r="N333" t="inlineStr">
        <is>
          <t>56120.00 2026</t>
        </is>
      </c>
      <c r="O333" t="n">
        <v>0</v>
      </c>
      <c r="P333" t="inlineStr">
        <is>
          <t>University adapter</t>
        </is>
      </c>
      <c r="Q333" t="inlineStr">
        <is>
          <t>Filled</t>
        </is>
      </c>
      <c r="R333" t="n">
        <v>6.5</v>
      </c>
      <c r="S333" t="inlineStr">
        <is>
          <t>Central English policy</t>
        </is>
      </c>
      <c r="T333" t="inlineStr">
        <is>
          <t>Central rule applies (value agrees)</t>
        </is>
      </c>
      <c r="U333" t="inlineStr"/>
      <c r="V333" t="inlineStr">
        <is>
          <t>Not stated on course page</t>
        </is>
      </c>
      <c r="W333" t="inlineStr"/>
      <c r="X333" t="inlineStr"/>
      <c r="Y333" t="n">
        <v>0</v>
      </c>
      <c r="Z333" t="inlineStr">
        <is>
          <t>No</t>
        </is>
      </c>
      <c r="AA333" t="inlineStr">
        <is>
          <t>Filled</t>
        </is>
      </c>
      <c r="AB333" t="inlineStr">
        <is>
          <t>on campus</t>
        </is>
      </c>
      <c r="AC333" t="inlineStr"/>
      <c r="AD333" t="n">
        <v>0</v>
      </c>
      <c r="AE333" t="inlineStr"/>
      <c r="AF333" t="inlineStr"/>
      <c r="AG333" t="inlineStr"/>
      <c r="AH333" t="inlineStr"/>
      <c r="AI333" t="inlineStr"/>
      <c r="AJ333" t="inlineStr"/>
      <c r="AK333" t="inlineStr"/>
      <c r="AL333" t="inlineStr"/>
      <c r="AM333" t="inlineStr"/>
    </row>
    <row r="334">
      <c r="A334" t="inlineStr">
        <is>
          <t>118564F</t>
        </is>
      </c>
      <c r="B334" t="inlineStr">
        <is>
          <t>Master of Pacific Studies</t>
        </is>
      </c>
      <c r="C334" t="inlineStr">
        <is>
          <t>Masters Degree (Coursework)</t>
        </is>
      </c>
      <c r="D334" t="inlineStr">
        <is>
          <t>Postgraduate coursework</t>
        </is>
      </c>
      <c r="E334" t="inlineStr">
        <is>
          <t>Advertised: official page in place</t>
        </is>
      </c>
      <c r="F334" t="inlineStr">
        <is>
          <t>https://programsandcourses.anu.edu.au/2026/program/mpast</t>
        </is>
      </c>
      <c r="G334" t="inlineStr">
        <is>
          <t>https://programsandcourses.anu.edu.au/2026/program/mpast</t>
        </is>
      </c>
      <c r="H334" t="inlineStr">
        <is>
          <t>Read</t>
        </is>
      </c>
      <c r="I334" t="inlineStr">
        <is>
          <t>CRICOS code on page</t>
        </is>
      </c>
      <c r="J334" t="inlineStr"/>
      <c r="K334" t="inlineStr">
        <is>
          <t>Not sent to re-link</t>
        </is>
      </c>
      <c r="L334" t="inlineStr">
        <is>
          <t>Filled</t>
        </is>
      </c>
      <c r="M334" t="inlineStr">
        <is>
          <t>Filled</t>
        </is>
      </c>
      <c r="N334" t="inlineStr">
        <is>
          <t>53110.00 2026</t>
        </is>
      </c>
      <c r="O334" t="n">
        <v>0</v>
      </c>
      <c r="P334" t="inlineStr">
        <is>
          <t>University adapter</t>
        </is>
      </c>
      <c r="Q334" t="inlineStr">
        <is>
          <t>Filled</t>
        </is>
      </c>
      <c r="R334" t="n">
        <v>6.5</v>
      </c>
      <c r="S334" t="inlineStr">
        <is>
          <t>Central English policy</t>
        </is>
      </c>
      <c r="T334" t="inlineStr">
        <is>
          <t>Central rule applies (value agrees)</t>
        </is>
      </c>
      <c r="U334" t="inlineStr"/>
      <c r="V334" t="inlineStr">
        <is>
          <t>Not stated on course page</t>
        </is>
      </c>
      <c r="W334" t="inlineStr"/>
      <c r="X334" t="inlineStr"/>
      <c r="Y334" t="n">
        <v>0</v>
      </c>
      <c r="Z334" t="inlineStr">
        <is>
          <t>No</t>
        </is>
      </c>
      <c r="AA334" t="inlineStr">
        <is>
          <t>Filled</t>
        </is>
      </c>
      <c r="AB334" t="inlineStr">
        <is>
          <t>on campus</t>
        </is>
      </c>
      <c r="AC334" t="inlineStr"/>
      <c r="AD334" t="n">
        <v>0</v>
      </c>
      <c r="AE334" t="inlineStr"/>
      <c r="AF334" t="inlineStr"/>
      <c r="AG334" t="inlineStr"/>
      <c r="AH334" t="inlineStr"/>
      <c r="AI334" t="inlineStr"/>
      <c r="AJ334" t="inlineStr"/>
      <c r="AK334" t="inlineStr"/>
      <c r="AL334" t="inlineStr"/>
      <c r="AM334" t="inlineStr"/>
    </row>
    <row r="335">
      <c r="A335" t="inlineStr">
        <is>
          <t>114599E</t>
        </is>
      </c>
      <c r="B335" t="inlineStr">
        <is>
          <t>Master of Peace and Conflict Studies</t>
        </is>
      </c>
      <c r="C335" t="inlineStr">
        <is>
          <t>Masters Degree (Coursework)</t>
        </is>
      </c>
      <c r="D335" t="inlineStr">
        <is>
          <t>Postgraduate coursework</t>
        </is>
      </c>
      <c r="E335" t="inlineStr">
        <is>
          <t>Advertised: official page in place</t>
        </is>
      </c>
      <c r="F335" t="inlineStr">
        <is>
          <t>https://programsandcourses.anu.edu.au/program/mpcs</t>
        </is>
      </c>
      <c r="G335" t="inlineStr">
        <is>
          <t>https://programsandcourses.anu.edu.au/program/mpcs</t>
        </is>
      </c>
      <c r="H335" t="inlineStr">
        <is>
          <t>Read</t>
        </is>
      </c>
      <c r="I335" t="inlineStr">
        <is>
          <t>CRICOS code on page</t>
        </is>
      </c>
      <c r="J335" t="inlineStr"/>
      <c r="K335" t="inlineStr">
        <is>
          <t>Not sent to re-link</t>
        </is>
      </c>
      <c r="L335" t="inlineStr">
        <is>
          <t>Filled</t>
        </is>
      </c>
      <c r="M335" t="inlineStr">
        <is>
          <t>Filled</t>
        </is>
      </c>
      <c r="N335" t="inlineStr">
        <is>
          <t>57640.00 2026</t>
        </is>
      </c>
      <c r="O335" t="n">
        <v>0</v>
      </c>
      <c r="P335" t="inlineStr">
        <is>
          <t>University adapter</t>
        </is>
      </c>
      <c r="Q335" t="inlineStr">
        <is>
          <t>Filled</t>
        </is>
      </c>
      <c r="R335" t="n">
        <v>6.5</v>
      </c>
      <c r="S335" t="inlineStr">
        <is>
          <t>Central English policy</t>
        </is>
      </c>
      <c r="T335" t="inlineStr">
        <is>
          <t>Central rule applies (value agrees)</t>
        </is>
      </c>
      <c r="U335" t="inlineStr"/>
      <c r="V335" t="inlineStr">
        <is>
          <t>Not stated on course page</t>
        </is>
      </c>
      <c r="W335" t="inlineStr"/>
      <c r="X335" t="inlineStr"/>
      <c r="Y335" t="n">
        <v>0</v>
      </c>
      <c r="Z335" t="inlineStr">
        <is>
          <t>No</t>
        </is>
      </c>
      <c r="AA335" t="inlineStr">
        <is>
          <t>Filled</t>
        </is>
      </c>
      <c r="AB335" t="inlineStr">
        <is>
          <t>on campus</t>
        </is>
      </c>
      <c r="AC335" t="inlineStr"/>
      <c r="AD335" t="n">
        <v>0</v>
      </c>
      <c r="AE335" t="inlineStr"/>
      <c r="AF335" t="inlineStr"/>
      <c r="AG335" t="inlineStr"/>
      <c r="AH335" t="inlineStr"/>
      <c r="AI335" t="inlineStr"/>
      <c r="AJ335" t="inlineStr"/>
      <c r="AK335" t="inlineStr"/>
      <c r="AL335" t="inlineStr"/>
      <c r="AM335" t="inlineStr"/>
    </row>
    <row r="336">
      <c r="A336" t="inlineStr">
        <is>
          <t>114598F</t>
        </is>
      </c>
      <c r="B336" t="inlineStr">
        <is>
          <t>Master of Peace and Conflict Studies (Advanced)</t>
        </is>
      </c>
      <c r="C336" t="inlineStr">
        <is>
          <t>Masters Degree (Coursework)</t>
        </is>
      </c>
      <c r="D336" t="inlineStr">
        <is>
          <t>Postgraduate coursework</t>
        </is>
      </c>
      <c r="E336" t="inlineStr">
        <is>
          <t>Advertised: official page in place</t>
        </is>
      </c>
      <c r="F336" t="inlineStr">
        <is>
          <t>https://programsandcourses.anu.edu.au/2025/program/vpcs</t>
        </is>
      </c>
      <c r="G336" t="inlineStr">
        <is>
          <t>https://programsandcourses.anu.edu.au/2025/program/vpcs</t>
        </is>
      </c>
      <c r="H336" t="inlineStr">
        <is>
          <t>Read</t>
        </is>
      </c>
      <c r="I336" t="inlineStr">
        <is>
          <t>CRICOS code on page</t>
        </is>
      </c>
      <c r="J336" t="inlineStr"/>
      <c r="K336" t="inlineStr">
        <is>
          <t>Not sent to re-link</t>
        </is>
      </c>
      <c r="L336" t="inlineStr">
        <is>
          <t>Filled</t>
        </is>
      </c>
      <c r="M336" t="inlineStr">
        <is>
          <t>Filled</t>
        </is>
      </c>
      <c r="N336" t="inlineStr">
        <is>
          <t>53700.00 2026</t>
        </is>
      </c>
      <c r="O336" t="n">
        <v>0</v>
      </c>
      <c r="P336" t="inlineStr">
        <is>
          <t>Other</t>
        </is>
      </c>
      <c r="Q336" t="inlineStr">
        <is>
          <t>Filled</t>
        </is>
      </c>
      <c r="R336" t="n">
        <v>6.5</v>
      </c>
      <c r="S336" t="inlineStr">
        <is>
          <t>Central English policy</t>
        </is>
      </c>
      <c r="T336" t="inlineStr">
        <is>
          <t>Central rule applies (value agrees)</t>
        </is>
      </c>
      <c r="U336" t="inlineStr"/>
      <c r="V336" t="inlineStr">
        <is>
          <t>Waiting for Layer 4 review</t>
        </is>
      </c>
      <c r="W336" t="inlineStr"/>
      <c r="X336" t="inlineStr"/>
      <c r="Y336" t="n">
        <v>0</v>
      </c>
      <c r="Z336" t="inlineStr">
        <is>
          <t>No</t>
        </is>
      </c>
      <c r="AA336" t="inlineStr">
        <is>
          <t>Filled</t>
        </is>
      </c>
      <c r="AB336" t="inlineStr">
        <is>
          <t>on campus</t>
        </is>
      </c>
      <c r="AC336" t="inlineStr"/>
      <c r="AD336" t="n">
        <v>0</v>
      </c>
      <c r="AE336" t="inlineStr"/>
      <c r="AF336" t="inlineStr">
        <is>
          <t>Yes</t>
        </is>
      </c>
      <c r="AG336" t="inlineStr"/>
      <c r="AH336" t="inlineStr"/>
      <c r="AI336" t="inlineStr"/>
      <c r="AJ336" t="inlineStr"/>
      <c r="AK336" t="inlineStr"/>
      <c r="AL336" t="inlineStr"/>
      <c r="AM336" t="inlineStr"/>
    </row>
    <row r="337">
      <c r="A337" t="inlineStr">
        <is>
          <t>048350D</t>
        </is>
      </c>
      <c r="B337" t="inlineStr">
        <is>
          <t>Master of Philosophy (Business and Economics)</t>
        </is>
      </c>
      <c r="C337" t="inlineStr">
        <is>
          <t>Masters Degree (Research)</t>
        </is>
      </c>
      <c r="D337" t="inlineStr">
        <is>
          <t>Research degree</t>
        </is>
      </c>
      <c r="E337" t="inlineStr">
        <is>
          <t>Advertised: official page in place</t>
        </is>
      </c>
      <c r="F337" t="inlineStr">
        <is>
          <t>https://programsandcourses.anu.edu.au/program/8040xmphil</t>
        </is>
      </c>
      <c r="G337" t="inlineStr">
        <is>
          <t>https://programsandcourses.anu.edu.au/program/8040xmphil</t>
        </is>
      </c>
      <c r="H337" t="inlineStr">
        <is>
          <t>Read</t>
        </is>
      </c>
      <c r="I337" t="inlineStr">
        <is>
          <t>CRICOS code on page</t>
        </is>
      </c>
      <c r="J337" t="inlineStr"/>
      <c r="K337" t="inlineStr">
        <is>
          <t>Not sent to re-link</t>
        </is>
      </c>
      <c r="L337" t="inlineStr">
        <is>
          <t>Filled</t>
        </is>
      </c>
      <c r="M337" t="inlineStr">
        <is>
          <t>Filled</t>
        </is>
      </c>
      <c r="N337" t="inlineStr">
        <is>
          <t>55765.00 2026</t>
        </is>
      </c>
      <c r="O337" t="n">
        <v>0</v>
      </c>
      <c r="P337" t="inlineStr">
        <is>
          <t>University adapter</t>
        </is>
      </c>
      <c r="Q337" t="inlineStr">
        <is>
          <t>Filled</t>
        </is>
      </c>
      <c r="R337" t="n">
        <v>6.5</v>
      </c>
      <c r="S337" t="inlineStr">
        <is>
          <t>Central English policy</t>
        </is>
      </c>
      <c r="T337" t="inlineStr">
        <is>
          <t>Central rule applies (value agrees)</t>
        </is>
      </c>
      <c r="U337" t="inlineStr"/>
      <c r="V337" t="inlineStr">
        <is>
          <t>Not stated on course page</t>
        </is>
      </c>
      <c r="W337" t="inlineStr"/>
      <c r="X337" t="inlineStr"/>
      <c r="Y337" t="n">
        <v>0</v>
      </c>
      <c r="Z337" t="inlineStr">
        <is>
          <t>No</t>
        </is>
      </c>
      <c r="AA337" t="inlineStr">
        <is>
          <t>Filled</t>
        </is>
      </c>
      <c r="AB337" t="inlineStr">
        <is>
          <t>on campus</t>
        </is>
      </c>
      <c r="AC337" t="inlineStr"/>
      <c r="AD337" t="n">
        <v>0</v>
      </c>
      <c r="AE337" t="inlineStr"/>
      <c r="AF337" t="inlineStr"/>
      <c r="AG337" t="inlineStr"/>
      <c r="AH337" t="inlineStr"/>
      <c r="AI337" t="inlineStr"/>
      <c r="AJ337" t="inlineStr"/>
      <c r="AK337" t="inlineStr"/>
      <c r="AL337" t="inlineStr"/>
      <c r="AM337" t="inlineStr"/>
    </row>
    <row r="338">
      <c r="A338" t="inlineStr">
        <is>
          <t>048403G</t>
        </is>
      </c>
      <c r="B338" t="inlineStr">
        <is>
          <t>Master of Philosophy (John Curtin School of Medical Research)</t>
        </is>
      </c>
      <c r="C338" t="inlineStr">
        <is>
          <t>Masters Degree (Research)</t>
        </is>
      </c>
      <c r="D338" t="inlineStr">
        <is>
          <t>Research degree</t>
        </is>
      </c>
      <c r="E338" t="inlineStr">
        <is>
          <t>Advertised: official page in place</t>
        </is>
      </c>
      <c r="F338" t="inlineStr">
        <is>
          <t>https://programsandcourses.anu.edu.au/2022/program/8710XMPHIL</t>
        </is>
      </c>
      <c r="G338" t="inlineStr">
        <is>
          <t>https://programsandcourses.anu.edu.au/program/8710XMPHIL</t>
        </is>
      </c>
      <c r="H338" t="inlineStr">
        <is>
          <t>Read</t>
        </is>
      </c>
      <c r="I338" t="inlineStr">
        <is>
          <t>CRICOS code on page</t>
        </is>
      </c>
      <c r="J338" t="inlineStr"/>
      <c r="K338" t="inlineStr">
        <is>
          <t>Not sent to re-link</t>
        </is>
      </c>
      <c r="L338" t="inlineStr">
        <is>
          <t>Filled</t>
        </is>
      </c>
      <c r="M338" t="inlineStr">
        <is>
          <t>Filled</t>
        </is>
      </c>
      <c r="N338" t="inlineStr">
        <is>
          <t>65560.00 2026</t>
        </is>
      </c>
      <c r="O338" t="n">
        <v>0</v>
      </c>
      <c r="P338" t="inlineStr">
        <is>
          <t>University adapter</t>
        </is>
      </c>
      <c r="Q338" t="inlineStr">
        <is>
          <t>Filled</t>
        </is>
      </c>
      <c r="R338" t="n">
        <v>6.5</v>
      </c>
      <c r="S338" t="inlineStr">
        <is>
          <t>Central English policy</t>
        </is>
      </c>
      <c r="T338" t="inlineStr">
        <is>
          <t>Central rule applies (value agrees)</t>
        </is>
      </c>
      <c r="U338" t="inlineStr"/>
      <c r="V338" t="inlineStr">
        <is>
          <t>Not stated on course page</t>
        </is>
      </c>
      <c r="W338" t="inlineStr"/>
      <c r="X338" t="inlineStr"/>
      <c r="Y338" t="n">
        <v>0</v>
      </c>
      <c r="Z338" t="inlineStr">
        <is>
          <t>No</t>
        </is>
      </c>
      <c r="AA338" t="inlineStr">
        <is>
          <t>Filled</t>
        </is>
      </c>
      <c r="AB338" t="inlineStr">
        <is>
          <t>on campus</t>
        </is>
      </c>
      <c r="AC338" t="inlineStr"/>
      <c r="AD338" t="n">
        <v>0</v>
      </c>
      <c r="AE338" t="inlineStr"/>
      <c r="AF338" t="inlineStr"/>
      <c r="AG338" t="inlineStr"/>
      <c r="AH338" t="inlineStr"/>
      <c r="AI338" t="inlineStr"/>
      <c r="AJ338" t="inlineStr"/>
      <c r="AK338" t="inlineStr"/>
      <c r="AL338" t="inlineStr"/>
      <c r="AM338" t="inlineStr"/>
    </row>
    <row r="339">
      <c r="A339" t="inlineStr">
        <is>
          <t>048384E</t>
        </is>
      </c>
      <c r="B339" t="inlineStr">
        <is>
          <t>Master of Philosophy (Law)</t>
        </is>
      </c>
      <c r="C339" t="inlineStr">
        <is>
          <t>Masters Degree (Research)</t>
        </is>
      </c>
      <c r="D339" t="inlineStr">
        <is>
          <t>Research degree</t>
        </is>
      </c>
      <c r="E339" t="inlineStr">
        <is>
          <t>Advertised: official page in place</t>
        </is>
      </c>
      <c r="F339" t="inlineStr">
        <is>
          <t>https://programsandcourses.anu.edu.au/2023/program/8030xmphil</t>
        </is>
      </c>
      <c r="G339" t="inlineStr">
        <is>
          <t>https://programsandcourses.anu.edu.au/program/8030xmphil</t>
        </is>
      </c>
      <c r="H339" t="inlineStr">
        <is>
          <t>Read</t>
        </is>
      </c>
      <c r="I339" t="inlineStr">
        <is>
          <t>CRICOS code on page</t>
        </is>
      </c>
      <c r="J339" t="inlineStr"/>
      <c r="K339" t="inlineStr">
        <is>
          <t>Not sent to re-link</t>
        </is>
      </c>
      <c r="L339" t="inlineStr">
        <is>
          <t>Filled</t>
        </is>
      </c>
      <c r="M339" t="inlineStr">
        <is>
          <t>Filled</t>
        </is>
      </c>
      <c r="N339" t="inlineStr">
        <is>
          <t>55765.00 2026</t>
        </is>
      </c>
      <c r="O339" t="n">
        <v>0</v>
      </c>
      <c r="P339" t="inlineStr">
        <is>
          <t>University adapter</t>
        </is>
      </c>
      <c r="Q339" t="inlineStr">
        <is>
          <t>Filled</t>
        </is>
      </c>
      <c r="R339" t="n">
        <v>6.5</v>
      </c>
      <c r="S339" t="inlineStr">
        <is>
          <t>Central English policy</t>
        </is>
      </c>
      <c r="T339" t="inlineStr">
        <is>
          <t>Central rule applies (value agrees)</t>
        </is>
      </c>
      <c r="U339" t="inlineStr"/>
      <c r="V339" t="inlineStr">
        <is>
          <t>Not stated on course page</t>
        </is>
      </c>
      <c r="W339" t="inlineStr"/>
      <c r="X339" t="inlineStr"/>
      <c r="Y339" t="n">
        <v>0</v>
      </c>
      <c r="Z339" t="inlineStr">
        <is>
          <t>No</t>
        </is>
      </c>
      <c r="AA339" t="inlineStr">
        <is>
          <t>Filled</t>
        </is>
      </c>
      <c r="AB339" t="inlineStr">
        <is>
          <t>on campus</t>
        </is>
      </c>
      <c r="AC339" t="inlineStr"/>
      <c r="AD339" t="n">
        <v>0</v>
      </c>
      <c r="AE339" t="inlineStr"/>
      <c r="AF339" t="inlineStr"/>
      <c r="AG339" t="inlineStr"/>
      <c r="AH339" t="inlineStr"/>
      <c r="AI339" t="inlineStr"/>
      <c r="AJ339" t="inlineStr"/>
      <c r="AK339" t="inlineStr"/>
      <c r="AL339" t="inlineStr"/>
      <c r="AM339" t="inlineStr"/>
    </row>
    <row r="340">
      <c r="A340" t="inlineStr">
        <is>
          <t>048405E</t>
        </is>
      </c>
      <c r="B340" t="inlineStr">
        <is>
          <t>Master of Philosophy (Medicine)</t>
        </is>
      </c>
      <c r="C340" t="inlineStr">
        <is>
          <t>Masters Degree (Research)</t>
        </is>
      </c>
      <c r="D340" t="inlineStr">
        <is>
          <t>Research degree</t>
        </is>
      </c>
      <c r="E340" t="inlineStr">
        <is>
          <t>Advertised: official page in place</t>
        </is>
      </c>
      <c r="F340" t="inlineStr">
        <is>
          <t>https://programsandcourses.anu.edu.au/2024/program/8910xmphil</t>
        </is>
      </c>
      <c r="G340" t="inlineStr">
        <is>
          <t>https://programsandcourses.anu.edu.au/program/8910xmphil</t>
        </is>
      </c>
      <c r="H340" t="inlineStr">
        <is>
          <t>Read</t>
        </is>
      </c>
      <c r="I340" t="inlineStr">
        <is>
          <t>CRICOS code on page</t>
        </is>
      </c>
      <c r="J340" t="inlineStr"/>
      <c r="K340" t="inlineStr">
        <is>
          <t>Not sent to re-link</t>
        </is>
      </c>
      <c r="L340" t="inlineStr">
        <is>
          <t>Filled</t>
        </is>
      </c>
      <c r="M340" t="inlineStr">
        <is>
          <t>Filled</t>
        </is>
      </c>
      <c r="N340" t="inlineStr">
        <is>
          <t>58925.00 2026</t>
        </is>
      </c>
      <c r="O340" t="n">
        <v>0</v>
      </c>
      <c r="P340" t="inlineStr">
        <is>
          <t>University adapter</t>
        </is>
      </c>
      <c r="Q340" t="inlineStr">
        <is>
          <t>Filled</t>
        </is>
      </c>
      <c r="R340" t="n">
        <v>6.5</v>
      </c>
      <c r="S340" t="inlineStr">
        <is>
          <t>Central English policy</t>
        </is>
      </c>
      <c r="T340" t="inlineStr">
        <is>
          <t>Central rule applies (value agrees)</t>
        </is>
      </c>
      <c r="U340" t="inlineStr"/>
      <c r="V340" t="inlineStr">
        <is>
          <t>Not stated on course page</t>
        </is>
      </c>
      <c r="W340" t="inlineStr"/>
      <c r="X340" t="inlineStr"/>
      <c r="Y340" t="n">
        <v>0</v>
      </c>
      <c r="Z340" t="inlineStr">
        <is>
          <t>No</t>
        </is>
      </c>
      <c r="AA340" t="inlineStr">
        <is>
          <t>Filled</t>
        </is>
      </c>
      <c r="AB340" t="inlineStr">
        <is>
          <t>on campus</t>
        </is>
      </c>
      <c r="AC340" t="inlineStr"/>
      <c r="AD340" t="n">
        <v>0</v>
      </c>
      <c r="AE340" t="inlineStr"/>
      <c r="AF340" t="inlineStr"/>
      <c r="AG340" t="inlineStr"/>
      <c r="AH340" t="inlineStr"/>
      <c r="AI340" t="inlineStr"/>
      <c r="AJ340" t="inlineStr"/>
      <c r="AK340" t="inlineStr"/>
      <c r="AL340" t="inlineStr"/>
      <c r="AM340" t="inlineStr"/>
    </row>
    <row r="341">
      <c r="A341" t="inlineStr">
        <is>
          <t>074011G</t>
        </is>
      </c>
      <c r="B341" t="inlineStr">
        <is>
          <t>Master of Philosophy (National Security College)</t>
        </is>
      </c>
      <c r="C341" t="inlineStr">
        <is>
          <t>Masters Degree (Research)</t>
        </is>
      </c>
      <c r="D341" t="inlineStr">
        <is>
          <t>Research degree</t>
        </is>
      </c>
      <c r="E341" t="inlineStr">
        <is>
          <t>Advertised: official page in place</t>
        </is>
      </c>
      <c r="F341" t="inlineStr">
        <is>
          <t>https://programsandcourses.anu.edu.au/program/8850xmphil</t>
        </is>
      </c>
      <c r="G341" t="inlineStr">
        <is>
          <t>https://programsandcourses.anu.edu.au/program/8850xmphil</t>
        </is>
      </c>
      <c r="H341" t="inlineStr">
        <is>
          <t>Read</t>
        </is>
      </c>
      <c r="I341" t="inlineStr">
        <is>
          <t>CRICOS code on page</t>
        </is>
      </c>
      <c r="J341" t="inlineStr"/>
      <c r="K341" t="inlineStr">
        <is>
          <t>Not sent to re-link</t>
        </is>
      </c>
      <c r="L341" t="inlineStr">
        <is>
          <t>Filled</t>
        </is>
      </c>
      <c r="M341" t="inlineStr">
        <is>
          <t>Filled</t>
        </is>
      </c>
      <c r="N341" t="inlineStr">
        <is>
          <t>58925.00 2026</t>
        </is>
      </c>
      <c r="O341" t="n">
        <v>0</v>
      </c>
      <c r="P341" t="inlineStr">
        <is>
          <t>University adapter</t>
        </is>
      </c>
      <c r="Q341" t="inlineStr">
        <is>
          <t>Filled</t>
        </is>
      </c>
      <c r="R341" t="n">
        <v>6.5</v>
      </c>
      <c r="S341" t="inlineStr">
        <is>
          <t>Central English policy</t>
        </is>
      </c>
      <c r="T341" t="inlineStr">
        <is>
          <t>Central rule applies (value agrees)</t>
        </is>
      </c>
      <c r="U341" t="inlineStr"/>
      <c r="V341" t="inlineStr">
        <is>
          <t>Not stated on course page</t>
        </is>
      </c>
      <c r="W341" t="inlineStr"/>
      <c r="X341" t="inlineStr"/>
      <c r="Y341" t="n">
        <v>0</v>
      </c>
      <c r="Z341" t="inlineStr">
        <is>
          <t>No</t>
        </is>
      </c>
      <c r="AA341" t="inlineStr">
        <is>
          <t>Filled</t>
        </is>
      </c>
      <c r="AB341" t="inlineStr">
        <is>
          <t>on campus</t>
        </is>
      </c>
      <c r="AC341" t="inlineStr"/>
      <c r="AD341" t="n">
        <v>0</v>
      </c>
      <c r="AE341" t="inlineStr"/>
      <c r="AF341" t="inlineStr"/>
      <c r="AG341" t="inlineStr"/>
      <c r="AH341" t="inlineStr"/>
      <c r="AI341" t="inlineStr"/>
      <c r="AJ341" t="inlineStr"/>
      <c r="AK341" t="inlineStr"/>
      <c r="AL341" t="inlineStr"/>
      <c r="AM341" t="inlineStr"/>
    </row>
    <row r="342">
      <c r="A342" t="inlineStr">
        <is>
          <t>048401J</t>
        </is>
      </c>
      <c r="B342" t="inlineStr">
        <is>
          <t>Master of Philosophy (Research School of Astronomy and Astrophysics)</t>
        </is>
      </c>
      <c r="C342" t="inlineStr">
        <is>
          <t>Masters Degree (Research)</t>
        </is>
      </c>
      <c r="D342" t="inlineStr">
        <is>
          <t>Research degree</t>
        </is>
      </c>
      <c r="E342" t="inlineStr">
        <is>
          <t>Advertised: official page in place</t>
        </is>
      </c>
      <c r="F342" t="inlineStr">
        <is>
          <t>https://programsandcourses.anu.edu.au/2023/program/8670xmphil</t>
        </is>
      </c>
      <c r="G342" t="inlineStr">
        <is>
          <t>https://programsandcourses.anu.edu.au/program/8670xmphil</t>
        </is>
      </c>
      <c r="H342" t="inlineStr">
        <is>
          <t>Read</t>
        </is>
      </c>
      <c r="I342" t="inlineStr">
        <is>
          <t>CRICOS code on page</t>
        </is>
      </c>
      <c r="J342" t="inlineStr"/>
      <c r="K342" t="inlineStr">
        <is>
          <t>Not sent to re-link</t>
        </is>
      </c>
      <c r="L342" t="inlineStr">
        <is>
          <t>Filled</t>
        </is>
      </c>
      <c r="M342" t="inlineStr">
        <is>
          <t>Filled</t>
        </is>
      </c>
      <c r="N342" t="inlineStr">
        <is>
          <t>58925.00 2026</t>
        </is>
      </c>
      <c r="O342" t="n">
        <v>0</v>
      </c>
      <c r="P342" t="inlineStr">
        <is>
          <t>University adapter</t>
        </is>
      </c>
      <c r="Q342" t="inlineStr">
        <is>
          <t>Filled</t>
        </is>
      </c>
      <c r="R342" t="n">
        <v>6.5</v>
      </c>
      <c r="S342" t="inlineStr">
        <is>
          <t>Central English policy</t>
        </is>
      </c>
      <c r="T342" t="inlineStr">
        <is>
          <t>Central rule applies (value agrees)</t>
        </is>
      </c>
      <c r="U342" t="inlineStr"/>
      <c r="V342" t="inlineStr">
        <is>
          <t>Not stated on course page</t>
        </is>
      </c>
      <c r="W342" t="inlineStr"/>
      <c r="X342" t="inlineStr"/>
      <c r="Y342" t="n">
        <v>0</v>
      </c>
      <c r="Z342" t="inlineStr">
        <is>
          <t>No</t>
        </is>
      </c>
      <c r="AA342" t="inlineStr">
        <is>
          <t>Filled</t>
        </is>
      </c>
      <c r="AB342" t="inlineStr">
        <is>
          <t>on campus</t>
        </is>
      </c>
      <c r="AC342" t="inlineStr"/>
      <c r="AD342" t="n">
        <v>0</v>
      </c>
      <c r="AE342" t="inlineStr"/>
      <c r="AF342" t="inlineStr"/>
      <c r="AG342" t="inlineStr"/>
      <c r="AH342" t="inlineStr"/>
      <c r="AI342" t="inlineStr"/>
      <c r="AJ342" t="inlineStr"/>
      <c r="AK342" t="inlineStr"/>
      <c r="AL342" t="inlineStr"/>
      <c r="AM342" t="inlineStr"/>
    </row>
    <row r="343">
      <c r="A343" t="inlineStr">
        <is>
          <t>048396A</t>
        </is>
      </c>
      <c r="B343" t="inlineStr">
        <is>
          <t>Master of Philosophy (Research School of Chemistry)</t>
        </is>
      </c>
      <c r="C343" t="inlineStr">
        <is>
          <t>Masters Degree (Research)</t>
        </is>
      </c>
      <c r="D343" t="inlineStr">
        <is>
          <t>Research degree</t>
        </is>
      </c>
      <c r="E343" t="inlineStr">
        <is>
          <t>Advertised: official page in place</t>
        </is>
      </c>
      <c r="F343" t="inlineStr">
        <is>
          <t>https://programsandcourses.anu.edu.au/2021/program/8620xmphil</t>
        </is>
      </c>
      <c r="G343" t="inlineStr">
        <is>
          <t>https://programsandcourses.anu.edu.au/program/8620xmphil</t>
        </is>
      </c>
      <c r="H343" t="inlineStr">
        <is>
          <t>Read</t>
        </is>
      </c>
      <c r="I343" t="inlineStr">
        <is>
          <t>CRICOS code on page</t>
        </is>
      </c>
      <c r="J343" t="inlineStr"/>
      <c r="K343" t="inlineStr">
        <is>
          <t>Not sent to re-link</t>
        </is>
      </c>
      <c r="L343" t="inlineStr">
        <is>
          <t>Filled</t>
        </is>
      </c>
      <c r="M343" t="inlineStr">
        <is>
          <t>Filled</t>
        </is>
      </c>
      <c r="N343" t="inlineStr">
        <is>
          <t>58925.00 2026</t>
        </is>
      </c>
      <c r="O343" t="n">
        <v>0</v>
      </c>
      <c r="P343" t="inlineStr">
        <is>
          <t>University adapter</t>
        </is>
      </c>
      <c r="Q343" t="inlineStr">
        <is>
          <t>Filled</t>
        </is>
      </c>
      <c r="R343" t="n">
        <v>6.5</v>
      </c>
      <c r="S343" t="inlineStr">
        <is>
          <t>Central English policy</t>
        </is>
      </c>
      <c r="T343" t="inlineStr">
        <is>
          <t>Central rule applies (value agrees)</t>
        </is>
      </c>
      <c r="U343" t="inlineStr"/>
      <c r="V343" t="inlineStr">
        <is>
          <t>Not stated on course page</t>
        </is>
      </c>
      <c r="W343" t="inlineStr"/>
      <c r="X343" t="inlineStr"/>
      <c r="Y343" t="n">
        <v>0</v>
      </c>
      <c r="Z343" t="inlineStr">
        <is>
          <t>No</t>
        </is>
      </c>
      <c r="AA343" t="inlineStr">
        <is>
          <t>Filled</t>
        </is>
      </c>
      <c r="AB343" t="inlineStr">
        <is>
          <t>on campus</t>
        </is>
      </c>
      <c r="AC343" t="inlineStr"/>
      <c r="AD343" t="n">
        <v>0</v>
      </c>
      <c r="AE343" t="inlineStr"/>
      <c r="AF343" t="inlineStr"/>
      <c r="AG343" t="inlineStr"/>
      <c r="AH343" t="inlineStr"/>
      <c r="AI343" t="inlineStr"/>
      <c r="AJ343" t="inlineStr"/>
      <c r="AK343" t="inlineStr"/>
      <c r="AL343" t="inlineStr"/>
      <c r="AM343" t="inlineStr"/>
    </row>
    <row r="344">
      <c r="A344" t="inlineStr">
        <is>
          <t>048398K</t>
        </is>
      </c>
      <c r="B344" t="inlineStr">
        <is>
          <t>Master of Philosophy (Research School of Earth Sciences)</t>
        </is>
      </c>
      <c r="C344" t="inlineStr">
        <is>
          <t>Masters Degree (Research)</t>
        </is>
      </c>
      <c r="D344" t="inlineStr">
        <is>
          <t>Research degree</t>
        </is>
      </c>
      <c r="E344" t="inlineStr">
        <is>
          <t>Advertised: official page in place</t>
        </is>
      </c>
      <c r="F344" t="inlineStr">
        <is>
          <t>https://programsandcourses.anu.edu.au/program/8640xmphil</t>
        </is>
      </c>
      <c r="G344" t="inlineStr">
        <is>
          <t>https://programsandcourses.anu.edu.au/program/8640xmphil</t>
        </is>
      </c>
      <c r="H344" t="inlineStr">
        <is>
          <t>Read</t>
        </is>
      </c>
      <c r="I344" t="inlineStr">
        <is>
          <t>CRICOS code on page</t>
        </is>
      </c>
      <c r="J344" t="inlineStr"/>
      <c r="K344" t="inlineStr">
        <is>
          <t>Not sent to re-link</t>
        </is>
      </c>
      <c r="L344" t="inlineStr">
        <is>
          <t>Filled</t>
        </is>
      </c>
      <c r="M344" t="inlineStr">
        <is>
          <t>Filled</t>
        </is>
      </c>
      <c r="N344" t="inlineStr">
        <is>
          <t>58925.00 2026</t>
        </is>
      </c>
      <c r="O344" t="n">
        <v>0</v>
      </c>
      <c r="P344" t="inlineStr">
        <is>
          <t>University adapter</t>
        </is>
      </c>
      <c r="Q344" t="inlineStr">
        <is>
          <t>Filled</t>
        </is>
      </c>
      <c r="R344" t="n">
        <v>6.5</v>
      </c>
      <c r="S344" t="inlineStr">
        <is>
          <t>Central English policy</t>
        </is>
      </c>
      <c r="T344" t="inlineStr">
        <is>
          <t>Central rule applies (value agrees)</t>
        </is>
      </c>
      <c r="U344" t="inlineStr"/>
      <c r="V344" t="inlineStr">
        <is>
          <t>Not stated on course page</t>
        </is>
      </c>
      <c r="W344" t="inlineStr"/>
      <c r="X344" t="inlineStr"/>
      <c r="Y344" t="n">
        <v>0</v>
      </c>
      <c r="Z344" t="inlineStr">
        <is>
          <t>No</t>
        </is>
      </c>
      <c r="AA344" t="inlineStr">
        <is>
          <t>Filled</t>
        </is>
      </c>
      <c r="AB344" t="inlineStr">
        <is>
          <t>on campus</t>
        </is>
      </c>
      <c r="AC344" t="inlineStr"/>
      <c r="AD344" t="n">
        <v>0</v>
      </c>
      <c r="AE344" t="inlineStr"/>
      <c r="AF344" t="inlineStr"/>
      <c r="AG344" t="inlineStr"/>
      <c r="AH344" t="inlineStr"/>
      <c r="AI344" t="inlineStr"/>
      <c r="AJ344" t="inlineStr"/>
      <c r="AK344" t="inlineStr"/>
      <c r="AL344" t="inlineStr"/>
      <c r="AM344" t="inlineStr"/>
    </row>
    <row r="345">
      <c r="A345" t="inlineStr">
        <is>
          <t>048399J</t>
        </is>
      </c>
      <c r="B345" t="inlineStr">
        <is>
          <t>Master of Philosophy (School of Maths Sciences)</t>
        </is>
      </c>
      <c r="C345" t="inlineStr">
        <is>
          <t>Masters Degree (Research)</t>
        </is>
      </c>
      <c r="D345" t="inlineStr">
        <is>
          <t>Research degree</t>
        </is>
      </c>
      <c r="E345" t="inlineStr">
        <is>
          <t>Advertised: official page in place</t>
        </is>
      </c>
      <c r="F345" t="inlineStr">
        <is>
          <t>https://programsandcourses.anu.edu.au/program/8650xmphil</t>
        </is>
      </c>
      <c r="G345" t="inlineStr">
        <is>
          <t>https://programsandcourses.anu.edu.au/program/8650xmphil</t>
        </is>
      </c>
      <c r="H345" t="inlineStr">
        <is>
          <t>Read</t>
        </is>
      </c>
      <c r="I345" t="inlineStr">
        <is>
          <t>CRICOS code on page</t>
        </is>
      </c>
      <c r="J345" t="inlineStr"/>
      <c r="K345" t="inlineStr">
        <is>
          <t>Not sent to re-link</t>
        </is>
      </c>
      <c r="L345" t="inlineStr">
        <is>
          <t>Filled</t>
        </is>
      </c>
      <c r="M345" t="inlineStr">
        <is>
          <t>Filled</t>
        </is>
      </c>
      <c r="N345" t="inlineStr">
        <is>
          <t>58925.00 2026</t>
        </is>
      </c>
      <c r="O345" t="n">
        <v>0</v>
      </c>
      <c r="P345" t="inlineStr">
        <is>
          <t>University adapter</t>
        </is>
      </c>
      <c r="Q345" t="inlineStr">
        <is>
          <t>Filled</t>
        </is>
      </c>
      <c r="R345" t="n">
        <v>6.5</v>
      </c>
      <c r="S345" t="inlineStr">
        <is>
          <t>Central English policy</t>
        </is>
      </c>
      <c r="T345" t="inlineStr">
        <is>
          <t>Central rule applies (value agrees)</t>
        </is>
      </c>
      <c r="U345" t="inlineStr"/>
      <c r="V345" t="inlineStr">
        <is>
          <t>Not stated on course page</t>
        </is>
      </c>
      <c r="W345" t="inlineStr"/>
      <c r="X345" t="inlineStr"/>
      <c r="Y345" t="n">
        <v>0</v>
      </c>
      <c r="Z345" t="inlineStr">
        <is>
          <t>No</t>
        </is>
      </c>
      <c r="AA345" t="inlineStr">
        <is>
          <t>Filled</t>
        </is>
      </c>
      <c r="AB345" t="inlineStr">
        <is>
          <t>on campus</t>
        </is>
      </c>
      <c r="AC345" t="inlineStr"/>
      <c r="AD345" t="n">
        <v>0</v>
      </c>
      <c r="AE345" t="inlineStr"/>
      <c r="AF345" t="inlineStr"/>
      <c r="AG345" t="inlineStr"/>
      <c r="AH345" t="inlineStr"/>
      <c r="AI345" t="inlineStr"/>
      <c r="AJ345" t="inlineStr"/>
      <c r="AK345" t="inlineStr"/>
      <c r="AL345" t="inlineStr"/>
      <c r="AM345" t="inlineStr"/>
    </row>
    <row r="346">
      <c r="A346" t="inlineStr">
        <is>
          <t>094625M</t>
        </is>
      </c>
      <c r="B346" t="inlineStr">
        <is>
          <t>Master of Philosophy, Australian National Centre for the Public Awareness of Science</t>
        </is>
      </c>
      <c r="C346" t="inlineStr">
        <is>
          <t>Masters Degree (Research)</t>
        </is>
      </c>
      <c r="D346" t="inlineStr">
        <is>
          <t>Research degree</t>
        </is>
      </c>
      <c r="E346" t="inlineStr">
        <is>
          <t>Advertised: official page in place</t>
        </is>
      </c>
      <c r="F346" t="inlineStr">
        <is>
          <t>https://programsandcourses.anu.edu.au/program/8603xmphil</t>
        </is>
      </c>
      <c r="G346" t="inlineStr">
        <is>
          <t>https://programsandcourses.anu.edu.au/program/8603xmphil</t>
        </is>
      </c>
      <c r="H346" t="inlineStr">
        <is>
          <t>Read</t>
        </is>
      </c>
      <c r="I346" t="inlineStr">
        <is>
          <t>CRICOS code on page</t>
        </is>
      </c>
      <c r="J346" t="inlineStr"/>
      <c r="K346" t="inlineStr">
        <is>
          <t>Not sent to re-link</t>
        </is>
      </c>
      <c r="L346" t="inlineStr">
        <is>
          <t>Filled</t>
        </is>
      </c>
      <c r="M346" t="inlineStr">
        <is>
          <t>Filled</t>
        </is>
      </c>
      <c r="N346" t="inlineStr">
        <is>
          <t>58925.00 2026</t>
        </is>
      </c>
      <c r="O346" t="n">
        <v>0</v>
      </c>
      <c r="P346" t="inlineStr">
        <is>
          <t>University adapter</t>
        </is>
      </c>
      <c r="Q346" t="inlineStr">
        <is>
          <t>Filled</t>
        </is>
      </c>
      <c r="R346" t="n">
        <v>6.5</v>
      </c>
      <c r="S346" t="inlineStr">
        <is>
          <t>Central English policy</t>
        </is>
      </c>
      <c r="T346" t="inlineStr">
        <is>
          <t>Central rule applies (value agrees)</t>
        </is>
      </c>
      <c r="U346" t="inlineStr"/>
      <c r="V346" t="inlineStr">
        <is>
          <t>Not stated on course page</t>
        </is>
      </c>
      <c r="W346" t="inlineStr"/>
      <c r="X346" t="inlineStr"/>
      <c r="Y346" t="n">
        <v>0</v>
      </c>
      <c r="Z346" t="inlineStr">
        <is>
          <t>No</t>
        </is>
      </c>
      <c r="AA346" t="inlineStr">
        <is>
          <t>Filled</t>
        </is>
      </c>
      <c r="AB346" t="inlineStr">
        <is>
          <t>on campus</t>
        </is>
      </c>
      <c r="AC346" t="inlineStr"/>
      <c r="AD346" t="n">
        <v>0</v>
      </c>
      <c r="AE346" t="inlineStr"/>
      <c r="AF346" t="inlineStr"/>
      <c r="AG346" t="inlineStr"/>
      <c r="AH346" t="inlineStr"/>
      <c r="AI346" t="inlineStr"/>
      <c r="AJ346" t="inlineStr"/>
      <c r="AK346" t="inlineStr"/>
      <c r="AL346" t="inlineStr"/>
      <c r="AM346" t="inlineStr"/>
    </row>
    <row r="347">
      <c r="A347" t="inlineStr">
        <is>
          <t>051680D</t>
        </is>
      </c>
      <c r="B347" t="inlineStr">
        <is>
          <t>Master of Philosophy, Crawford School of Public Policy</t>
        </is>
      </c>
      <c r="C347" t="inlineStr">
        <is>
          <t>Masters Degree (Research)</t>
        </is>
      </c>
      <c r="D347" t="inlineStr">
        <is>
          <t>Research degree</t>
        </is>
      </c>
      <c r="E347" t="inlineStr">
        <is>
          <t>Advertised: official page in place</t>
        </is>
      </c>
      <c r="F347" t="inlineStr">
        <is>
          <t>https://programsandcourses.anu.edu.au/2023/program/8540xmphil</t>
        </is>
      </c>
      <c r="G347" t="inlineStr">
        <is>
          <t>https://programsandcourses.anu.edu.au/program/8540xmphil</t>
        </is>
      </c>
      <c r="H347" t="inlineStr">
        <is>
          <t>Read</t>
        </is>
      </c>
      <c r="I347" t="inlineStr">
        <is>
          <t>CRICOS code on page</t>
        </is>
      </c>
      <c r="J347" t="inlineStr"/>
      <c r="K347" t="inlineStr">
        <is>
          <t>Not sent to re-link</t>
        </is>
      </c>
      <c r="L347" t="inlineStr">
        <is>
          <t>Filled</t>
        </is>
      </c>
      <c r="M347" t="inlineStr">
        <is>
          <t>Filled</t>
        </is>
      </c>
      <c r="N347" t="inlineStr">
        <is>
          <t>58925.00 2026</t>
        </is>
      </c>
      <c r="O347" t="n">
        <v>0</v>
      </c>
      <c r="P347" t="inlineStr">
        <is>
          <t>University adapter</t>
        </is>
      </c>
      <c r="Q347" t="inlineStr">
        <is>
          <t>Filled</t>
        </is>
      </c>
      <c r="R347" t="n">
        <v>6.5</v>
      </c>
      <c r="S347" t="inlineStr">
        <is>
          <t>Central English policy</t>
        </is>
      </c>
      <c r="T347" t="inlineStr">
        <is>
          <t>Central rule applies (value agrees)</t>
        </is>
      </c>
      <c r="U347" t="inlineStr"/>
      <c r="V347" t="inlineStr">
        <is>
          <t>Not stated on course page</t>
        </is>
      </c>
      <c r="W347" t="inlineStr"/>
      <c r="X347" t="inlineStr"/>
      <c r="Y347" t="n">
        <v>0</v>
      </c>
      <c r="Z347" t="inlineStr">
        <is>
          <t>No</t>
        </is>
      </c>
      <c r="AA347" t="inlineStr">
        <is>
          <t>Filled</t>
        </is>
      </c>
      <c r="AB347" t="inlineStr">
        <is>
          <t>on campus</t>
        </is>
      </c>
      <c r="AC347" t="inlineStr"/>
      <c r="AD347" t="n">
        <v>0</v>
      </c>
      <c r="AE347" t="inlineStr"/>
      <c r="AF347" t="inlineStr"/>
      <c r="AG347" t="inlineStr"/>
      <c r="AH347" t="inlineStr"/>
      <c r="AI347" t="inlineStr"/>
      <c r="AJ347" t="inlineStr"/>
      <c r="AK347" t="inlineStr"/>
      <c r="AL347" t="inlineStr"/>
      <c r="AM347" t="inlineStr"/>
    </row>
    <row r="348">
      <c r="A348" t="inlineStr">
        <is>
          <t>048385D</t>
        </is>
      </c>
      <c r="B348" t="inlineStr">
        <is>
          <t>Master of Philosophy, Culture, History and Language</t>
        </is>
      </c>
      <c r="C348" t="inlineStr">
        <is>
          <t>Masters Degree (Research)</t>
        </is>
      </c>
      <c r="D348" t="inlineStr">
        <is>
          <t>Research degree</t>
        </is>
      </c>
      <c r="E348" t="inlineStr">
        <is>
          <t>Advertised: official page in place</t>
        </is>
      </c>
      <c r="F348" t="inlineStr">
        <is>
          <t>https://programsandcourses.anu.edu.au/2021/program/8050xmphil</t>
        </is>
      </c>
      <c r="G348" t="inlineStr">
        <is>
          <t>https://programsandcourses.anu.edu.au/program/8050xmphil</t>
        </is>
      </c>
      <c r="H348" t="inlineStr">
        <is>
          <t>Read</t>
        </is>
      </c>
      <c r="I348" t="inlineStr">
        <is>
          <t>CRICOS code on page</t>
        </is>
      </c>
      <c r="J348" t="inlineStr"/>
      <c r="K348" t="inlineStr">
        <is>
          <t>Not sent to re-link</t>
        </is>
      </c>
      <c r="L348" t="inlineStr">
        <is>
          <t>Filled</t>
        </is>
      </c>
      <c r="M348" t="inlineStr">
        <is>
          <t>Filled</t>
        </is>
      </c>
      <c r="N348" t="inlineStr">
        <is>
          <t>49010.00 2026</t>
        </is>
      </c>
      <c r="O348" t="n">
        <v>0</v>
      </c>
      <c r="P348" t="inlineStr">
        <is>
          <t>University adapter</t>
        </is>
      </c>
      <c r="Q348" t="inlineStr">
        <is>
          <t>Filled</t>
        </is>
      </c>
      <c r="R348" t="n">
        <v>6.5</v>
      </c>
      <c r="S348" t="inlineStr">
        <is>
          <t>Central English policy</t>
        </is>
      </c>
      <c r="T348" t="inlineStr">
        <is>
          <t>Central rule applies (value agrees)</t>
        </is>
      </c>
      <c r="U348" t="inlineStr"/>
      <c r="V348" t="inlineStr">
        <is>
          <t>Not stated on course page</t>
        </is>
      </c>
      <c r="W348" t="inlineStr"/>
      <c r="X348" t="inlineStr"/>
      <c r="Y348" t="n">
        <v>0</v>
      </c>
      <c r="Z348" t="inlineStr">
        <is>
          <t>No</t>
        </is>
      </c>
      <c r="AA348" t="inlineStr">
        <is>
          <t>Filled</t>
        </is>
      </c>
      <c r="AB348" t="inlineStr">
        <is>
          <t>on campus</t>
        </is>
      </c>
      <c r="AC348" t="inlineStr"/>
      <c r="AD348" t="n">
        <v>0</v>
      </c>
      <c r="AE348" t="inlineStr"/>
      <c r="AF348" t="inlineStr"/>
      <c r="AG348" t="inlineStr"/>
      <c r="AH348" t="inlineStr"/>
      <c r="AI348" t="inlineStr"/>
      <c r="AJ348" t="inlineStr"/>
      <c r="AK348" t="inlineStr"/>
      <c r="AL348" t="inlineStr"/>
      <c r="AM348" t="inlineStr"/>
    </row>
    <row r="349">
      <c r="A349" t="inlineStr">
        <is>
          <t>048387B</t>
        </is>
      </c>
      <c r="B349" t="inlineStr">
        <is>
          <t>Master of Philosophy, Engineering and Computer Science</t>
        </is>
      </c>
      <c r="C349" t="inlineStr">
        <is>
          <t>Masters Degree (Research)</t>
        </is>
      </c>
      <c r="D349" t="inlineStr">
        <is>
          <t>Research degree</t>
        </is>
      </c>
      <c r="E349" t="inlineStr">
        <is>
          <t>Advertised: official page in place</t>
        </is>
      </c>
      <c r="F349" t="inlineStr">
        <is>
          <t>https://programsandcourses.anu.edu.au/2022/program/8070xmphil</t>
        </is>
      </c>
      <c r="G349" t="inlineStr">
        <is>
          <t>https://programsandcourses.anu.edu.au/2022/program/8070xmphil</t>
        </is>
      </c>
      <c r="H349" t="inlineStr">
        <is>
          <t>Read</t>
        </is>
      </c>
      <c r="I349" t="inlineStr">
        <is>
          <t>CRICOS code on page</t>
        </is>
      </c>
      <c r="J349" t="inlineStr"/>
      <c r="K349" t="inlineStr">
        <is>
          <t>Not sent to re-link</t>
        </is>
      </c>
      <c r="L349" t="inlineStr">
        <is>
          <t>Filled</t>
        </is>
      </c>
      <c r="M349" t="inlineStr">
        <is>
          <t>Filled</t>
        </is>
      </c>
      <c r="N349" t="inlineStr">
        <is>
          <t>47940.00 2026</t>
        </is>
      </c>
      <c r="O349" t="n">
        <v>0</v>
      </c>
      <c r="P349" t="inlineStr">
        <is>
          <t>University adapter</t>
        </is>
      </c>
      <c r="Q349" t="inlineStr">
        <is>
          <t>Filled</t>
        </is>
      </c>
      <c r="R349" t="n">
        <v>6.5</v>
      </c>
      <c r="S349" t="inlineStr">
        <is>
          <t>Central English policy</t>
        </is>
      </c>
      <c r="T349" t="inlineStr">
        <is>
          <t>Central rule applies (value agrees)</t>
        </is>
      </c>
      <c r="U349" t="inlineStr"/>
      <c r="V349" t="inlineStr">
        <is>
          <t>Not stated on course page</t>
        </is>
      </c>
      <c r="W349" t="inlineStr"/>
      <c r="X349" t="inlineStr"/>
      <c r="Y349" t="n">
        <v>0</v>
      </c>
      <c r="Z349" t="inlineStr">
        <is>
          <t>No</t>
        </is>
      </c>
      <c r="AA349" t="inlineStr">
        <is>
          <t>Filled</t>
        </is>
      </c>
      <c r="AB349" t="inlineStr">
        <is>
          <t>on campus</t>
        </is>
      </c>
      <c r="AC349" t="inlineStr"/>
      <c r="AD349" t="n">
        <v>0</v>
      </c>
      <c r="AE349" t="inlineStr"/>
      <c r="AF349" t="inlineStr"/>
      <c r="AG349" t="inlineStr"/>
      <c r="AH349" t="inlineStr"/>
      <c r="AI349" t="inlineStr"/>
      <c r="AJ349" t="inlineStr"/>
      <c r="AK349" t="inlineStr"/>
      <c r="AL349" t="inlineStr"/>
      <c r="AM349" t="inlineStr"/>
    </row>
    <row r="350">
      <c r="A350" t="inlineStr">
        <is>
          <t>070534A</t>
        </is>
      </c>
      <c r="B350" t="inlineStr">
        <is>
          <t>Master of Philosophy, Fenner School of Environment and Society</t>
        </is>
      </c>
      <c r="C350" t="inlineStr">
        <is>
          <t>Masters Degree (Research)</t>
        </is>
      </c>
      <c r="D350" t="inlineStr">
        <is>
          <t>Research degree</t>
        </is>
      </c>
      <c r="E350" t="inlineStr">
        <is>
          <t>Advertised: official page in place</t>
        </is>
      </c>
      <c r="F350" t="inlineStr">
        <is>
          <t>https://programsandcourses.anu.edu.au/program/8065xmphil</t>
        </is>
      </c>
      <c r="G350" t="inlineStr">
        <is>
          <t>https://programsandcourses.anu.edu.au/program/8065xmphil</t>
        </is>
      </c>
      <c r="H350" t="inlineStr">
        <is>
          <t>Read</t>
        </is>
      </c>
      <c r="I350" t="inlineStr">
        <is>
          <t>CRICOS code on page</t>
        </is>
      </c>
      <c r="J350" t="inlineStr"/>
      <c r="K350" t="inlineStr">
        <is>
          <t>Not sent to re-link</t>
        </is>
      </c>
      <c r="L350" t="inlineStr">
        <is>
          <t>Filled</t>
        </is>
      </c>
      <c r="M350" t="inlineStr">
        <is>
          <t>Filled</t>
        </is>
      </c>
      <c r="N350" t="inlineStr">
        <is>
          <t>58925.00 2026</t>
        </is>
      </c>
      <c r="O350" t="n">
        <v>0</v>
      </c>
      <c r="P350" t="inlineStr">
        <is>
          <t>University adapter</t>
        </is>
      </c>
      <c r="Q350" t="inlineStr">
        <is>
          <t>Filled</t>
        </is>
      </c>
      <c r="R350" t="n">
        <v>6.5</v>
      </c>
      <c r="S350" t="inlineStr">
        <is>
          <t>Central English policy</t>
        </is>
      </c>
      <c r="T350" t="inlineStr">
        <is>
          <t>Central rule applies (value agrees)</t>
        </is>
      </c>
      <c r="U350" t="inlineStr"/>
      <c r="V350" t="inlineStr">
        <is>
          <t>Not stated on course page</t>
        </is>
      </c>
      <c r="W350" t="inlineStr"/>
      <c r="X350" t="inlineStr"/>
      <c r="Y350" t="n">
        <v>0</v>
      </c>
      <c r="Z350" t="inlineStr">
        <is>
          <t>No</t>
        </is>
      </c>
      <c r="AA350" t="inlineStr">
        <is>
          <t>Filled</t>
        </is>
      </c>
      <c r="AB350" t="inlineStr">
        <is>
          <t>on campus</t>
        </is>
      </c>
      <c r="AC350" t="inlineStr"/>
      <c r="AD350" t="n">
        <v>0</v>
      </c>
      <c r="AE350" t="inlineStr"/>
      <c r="AF350" t="inlineStr"/>
      <c r="AG350" t="inlineStr"/>
      <c r="AH350" t="inlineStr"/>
      <c r="AI350" t="inlineStr"/>
      <c r="AJ350" t="inlineStr"/>
      <c r="AK350" t="inlineStr"/>
      <c r="AL350" t="inlineStr"/>
      <c r="AM350" t="inlineStr"/>
    </row>
    <row r="351">
      <c r="A351" t="inlineStr">
        <is>
          <t>070899E</t>
        </is>
      </c>
      <c r="B351" t="inlineStr">
        <is>
          <t>Master of Philosophy, International, Political and Strategic Studies</t>
        </is>
      </c>
      <c r="C351" t="inlineStr">
        <is>
          <t>Masters Degree (Research)</t>
        </is>
      </c>
      <c r="D351" t="inlineStr">
        <is>
          <t>Research degree</t>
        </is>
      </c>
      <c r="E351" t="inlineStr">
        <is>
          <t>Advertised: official page in place</t>
        </is>
      </c>
      <c r="F351" t="inlineStr">
        <is>
          <t>https://programsandcourses.anu.edu.au/2021/program/8510xmphil</t>
        </is>
      </c>
      <c r="G351" t="inlineStr">
        <is>
          <t>https://programsandcourses.anu.edu.au/program/8510xmphil</t>
        </is>
      </c>
      <c r="H351" t="inlineStr">
        <is>
          <t>Read</t>
        </is>
      </c>
      <c r="I351" t="inlineStr">
        <is>
          <t>CRICOS code on page</t>
        </is>
      </c>
      <c r="J351" t="inlineStr"/>
      <c r="K351" t="inlineStr">
        <is>
          <t>Not sent to re-link</t>
        </is>
      </c>
      <c r="L351" t="inlineStr">
        <is>
          <t>Filled</t>
        </is>
      </c>
      <c r="M351" t="inlineStr">
        <is>
          <t>Filled</t>
        </is>
      </c>
      <c r="N351" t="inlineStr">
        <is>
          <t>58925.00 2026</t>
        </is>
      </c>
      <c r="O351" t="n">
        <v>0</v>
      </c>
      <c r="P351" t="inlineStr">
        <is>
          <t>University adapter</t>
        </is>
      </c>
      <c r="Q351" t="inlineStr">
        <is>
          <t>Filled</t>
        </is>
      </c>
      <c r="R351" t="n">
        <v>6.5</v>
      </c>
      <c r="S351" t="inlineStr">
        <is>
          <t>Central English policy</t>
        </is>
      </c>
      <c r="T351" t="inlineStr">
        <is>
          <t>Central rule applies (value agrees)</t>
        </is>
      </c>
      <c r="U351" t="inlineStr"/>
      <c r="V351" t="inlineStr">
        <is>
          <t>Not stated on course page</t>
        </is>
      </c>
      <c r="W351" t="inlineStr"/>
      <c r="X351" t="inlineStr"/>
      <c r="Y351" t="n">
        <v>0</v>
      </c>
      <c r="Z351" t="inlineStr">
        <is>
          <t>No</t>
        </is>
      </c>
      <c r="AA351" t="inlineStr">
        <is>
          <t>Filled</t>
        </is>
      </c>
      <c r="AB351" t="inlineStr">
        <is>
          <t>on campus</t>
        </is>
      </c>
      <c r="AC351" t="inlineStr"/>
      <c r="AD351" t="n">
        <v>0</v>
      </c>
      <c r="AE351" t="inlineStr"/>
      <c r="AF351" t="inlineStr"/>
      <c r="AG351" t="inlineStr"/>
      <c r="AH351" t="inlineStr"/>
      <c r="AI351" t="inlineStr"/>
      <c r="AJ351" t="inlineStr"/>
      <c r="AK351" t="inlineStr"/>
      <c r="AL351" t="inlineStr"/>
      <c r="AM351" t="inlineStr"/>
    </row>
    <row r="352">
      <c r="A352" t="inlineStr">
        <is>
          <t>070336G</t>
        </is>
      </c>
      <c r="B352" t="inlineStr">
        <is>
          <t>Master of Philosophy, Psychology</t>
        </is>
      </c>
      <c r="C352" t="inlineStr">
        <is>
          <t>Masters Degree (Research)</t>
        </is>
      </c>
      <c r="D352" t="inlineStr">
        <is>
          <t>Research degree</t>
        </is>
      </c>
      <c r="E352" t="inlineStr">
        <is>
          <t>Advertised: official page in place</t>
        </is>
      </c>
      <c r="F352" t="inlineStr">
        <is>
          <t>https://programsandcourses.anu.edu.au/2020/program/8723xmphil</t>
        </is>
      </c>
      <c r="G352" t="inlineStr">
        <is>
          <t>https://programsandcourses.anu.edu.au/program/8723xmphil</t>
        </is>
      </c>
      <c r="H352" t="inlineStr">
        <is>
          <t>Read</t>
        </is>
      </c>
      <c r="I352" t="inlineStr">
        <is>
          <t>CRICOS code on page</t>
        </is>
      </c>
      <c r="J352" t="inlineStr"/>
      <c r="K352" t="inlineStr">
        <is>
          <t>Not sent to re-link</t>
        </is>
      </c>
      <c r="L352" t="inlineStr">
        <is>
          <t>Filled</t>
        </is>
      </c>
      <c r="M352" t="inlineStr">
        <is>
          <t>Filled</t>
        </is>
      </c>
      <c r="N352" t="inlineStr">
        <is>
          <t>62700.00 2026</t>
        </is>
      </c>
      <c r="O352" t="n">
        <v>0</v>
      </c>
      <c r="P352" t="inlineStr">
        <is>
          <t>University adapter</t>
        </is>
      </c>
      <c r="Q352" t="inlineStr">
        <is>
          <t>Filled</t>
        </is>
      </c>
      <c r="R352" t="n">
        <v>6.5</v>
      </c>
      <c r="S352" t="inlineStr">
        <is>
          <t>Central English policy</t>
        </is>
      </c>
      <c r="T352" t="inlineStr">
        <is>
          <t>Central rule applies (value agrees)</t>
        </is>
      </c>
      <c r="U352" t="inlineStr"/>
      <c r="V352" t="inlineStr">
        <is>
          <t>Not stated on course page</t>
        </is>
      </c>
      <c r="W352" t="inlineStr"/>
      <c r="X352" t="inlineStr"/>
      <c r="Y352" t="n">
        <v>0</v>
      </c>
      <c r="Z352" t="inlineStr">
        <is>
          <t>No</t>
        </is>
      </c>
      <c r="AA352" t="inlineStr">
        <is>
          <t>Filled</t>
        </is>
      </c>
      <c r="AB352" t="inlineStr">
        <is>
          <t>on campus</t>
        </is>
      </c>
      <c r="AC352" t="inlineStr"/>
      <c r="AD352" t="n">
        <v>0</v>
      </c>
      <c r="AE352" t="inlineStr"/>
      <c r="AF352" t="inlineStr"/>
      <c r="AG352" t="inlineStr"/>
      <c r="AH352" t="inlineStr"/>
      <c r="AI352" t="inlineStr"/>
      <c r="AJ352" t="inlineStr"/>
      <c r="AK352" t="inlineStr"/>
      <c r="AL352" t="inlineStr"/>
      <c r="AM352" t="inlineStr"/>
    </row>
    <row r="353">
      <c r="A353" t="inlineStr">
        <is>
          <t>070626G</t>
        </is>
      </c>
      <c r="B353" t="inlineStr">
        <is>
          <t>Master of Philosophy, Regulation and Governance</t>
        </is>
      </c>
      <c r="C353" t="inlineStr">
        <is>
          <t>Masters Degree (Research)</t>
        </is>
      </c>
      <c r="D353" t="inlineStr">
        <is>
          <t>Research degree</t>
        </is>
      </c>
      <c r="E353" t="inlineStr">
        <is>
          <t>Advertised: official page in place</t>
        </is>
      </c>
      <c r="F353" t="inlineStr">
        <is>
          <t>https://programsandcourses.anu.edu.au/program/8560xmphil</t>
        </is>
      </c>
      <c r="G353" t="inlineStr">
        <is>
          <t>https://programsandcourses.anu.edu.au/program/8560xmphil</t>
        </is>
      </c>
      <c r="H353" t="inlineStr">
        <is>
          <t>Read</t>
        </is>
      </c>
      <c r="I353" t="inlineStr">
        <is>
          <t>CRICOS code on page</t>
        </is>
      </c>
      <c r="J353" t="inlineStr"/>
      <c r="K353" t="inlineStr">
        <is>
          <t>Not sent to re-link</t>
        </is>
      </c>
      <c r="L353" t="inlineStr">
        <is>
          <t>Filled</t>
        </is>
      </c>
      <c r="M353" t="inlineStr">
        <is>
          <t>Filled</t>
        </is>
      </c>
      <c r="N353" t="inlineStr">
        <is>
          <t>58925.00 2026</t>
        </is>
      </c>
      <c r="O353" t="n">
        <v>0</v>
      </c>
      <c r="P353" t="inlineStr">
        <is>
          <t>University adapter</t>
        </is>
      </c>
      <c r="Q353" t="inlineStr">
        <is>
          <t>Filled</t>
        </is>
      </c>
      <c r="R353" t="n">
        <v>6.5</v>
      </c>
      <c r="S353" t="inlineStr">
        <is>
          <t>Central English policy</t>
        </is>
      </c>
      <c r="T353" t="inlineStr">
        <is>
          <t>Central rule applies (value agrees)</t>
        </is>
      </c>
      <c r="U353" t="inlineStr"/>
      <c r="V353" t="inlineStr">
        <is>
          <t>Not stated on course page</t>
        </is>
      </c>
      <c r="W353" t="inlineStr"/>
      <c r="X353" t="inlineStr"/>
      <c r="Y353" t="n">
        <v>0</v>
      </c>
      <c r="Z353" t="inlineStr">
        <is>
          <t>No</t>
        </is>
      </c>
      <c r="AA353" t="inlineStr">
        <is>
          <t>Filled</t>
        </is>
      </c>
      <c r="AB353" t="inlineStr">
        <is>
          <t>on campus</t>
        </is>
      </c>
      <c r="AC353" t="inlineStr"/>
      <c r="AD353" t="n">
        <v>0</v>
      </c>
      <c r="AE353" t="inlineStr"/>
      <c r="AF353" t="inlineStr"/>
      <c r="AG353" t="inlineStr"/>
      <c r="AH353" t="inlineStr"/>
      <c r="AI353" t="inlineStr"/>
      <c r="AJ353" t="inlineStr"/>
      <c r="AK353" t="inlineStr"/>
      <c r="AL353" t="inlineStr"/>
      <c r="AM353" t="inlineStr"/>
    </row>
    <row r="354">
      <c r="A354" t="inlineStr">
        <is>
          <t>070536K</t>
        </is>
      </c>
      <c r="B354" t="inlineStr">
        <is>
          <t>Master of Philosophy, Research School of Biology</t>
        </is>
      </c>
      <c r="C354" t="inlineStr">
        <is>
          <t>Masters Degree (Research)</t>
        </is>
      </c>
      <c r="D354" t="inlineStr">
        <is>
          <t>Research degree</t>
        </is>
      </c>
      <c r="E354" t="inlineStr">
        <is>
          <t>Advertised: official page in place</t>
        </is>
      </c>
      <c r="F354" t="inlineStr">
        <is>
          <t>https://programsandcourses.anu.edu.au/2024/program/8066xmphil</t>
        </is>
      </c>
      <c r="G354" t="inlineStr">
        <is>
          <t>https://programsandcourses.anu.edu.au/program/8066xmphil</t>
        </is>
      </c>
      <c r="H354" t="inlineStr">
        <is>
          <t>Read</t>
        </is>
      </c>
      <c r="I354" t="inlineStr">
        <is>
          <t>CRICOS code on page</t>
        </is>
      </c>
      <c r="J354" t="inlineStr"/>
      <c r="K354" t="inlineStr">
        <is>
          <t>Not sent to re-link</t>
        </is>
      </c>
      <c r="L354" t="inlineStr">
        <is>
          <t>Filled</t>
        </is>
      </c>
      <c r="M354" t="inlineStr">
        <is>
          <t>Filled</t>
        </is>
      </c>
      <c r="N354" t="inlineStr">
        <is>
          <t>58925.00 2026</t>
        </is>
      </c>
      <c r="O354" t="n">
        <v>0</v>
      </c>
      <c r="P354" t="inlineStr">
        <is>
          <t>University adapter</t>
        </is>
      </c>
      <c r="Q354" t="inlineStr">
        <is>
          <t>Filled</t>
        </is>
      </c>
      <c r="R354" t="n">
        <v>6.5</v>
      </c>
      <c r="S354" t="inlineStr">
        <is>
          <t>Central English policy</t>
        </is>
      </c>
      <c r="T354" t="inlineStr">
        <is>
          <t>Central rule applies (value agrees)</t>
        </is>
      </c>
      <c r="U354" t="inlineStr"/>
      <c r="V354" t="inlineStr">
        <is>
          <t>Not stated on course page</t>
        </is>
      </c>
      <c r="W354" t="inlineStr"/>
      <c r="X354" t="inlineStr"/>
      <c r="Y354" t="n">
        <v>0</v>
      </c>
      <c r="Z354" t="inlineStr">
        <is>
          <t>No</t>
        </is>
      </c>
      <c r="AA354" t="inlineStr">
        <is>
          <t>Filled</t>
        </is>
      </c>
      <c r="AB354" t="inlineStr">
        <is>
          <t>on campus</t>
        </is>
      </c>
      <c r="AC354" t="inlineStr"/>
      <c r="AD354" t="n">
        <v>0</v>
      </c>
      <c r="AE354" t="inlineStr"/>
      <c r="AF354" t="inlineStr"/>
      <c r="AG354" t="inlineStr"/>
      <c r="AH354" t="inlineStr"/>
      <c r="AI354" t="inlineStr"/>
      <c r="AJ354" t="inlineStr"/>
      <c r="AK354" t="inlineStr"/>
      <c r="AL354" t="inlineStr"/>
      <c r="AM354" t="inlineStr"/>
    </row>
    <row r="355">
      <c r="A355" t="inlineStr">
        <is>
          <t>074383A</t>
        </is>
      </c>
      <c r="B355" t="inlineStr">
        <is>
          <t>Master of Philosophy, Research School of Humanities and the Arts</t>
        </is>
      </c>
      <c r="C355" t="inlineStr">
        <is>
          <t>Masters Degree (Research)</t>
        </is>
      </c>
      <c r="D355" t="inlineStr">
        <is>
          <t>Research degree</t>
        </is>
      </c>
      <c r="E355" t="inlineStr">
        <is>
          <t>Advertised: official page in place</t>
        </is>
      </c>
      <c r="F355" t="inlineStr">
        <is>
          <t>https://programsandcourses.anu.edu.au/program/8551xmphil</t>
        </is>
      </c>
      <c r="G355" t="inlineStr">
        <is>
          <t>https://programsandcourses.anu.edu.au/program/8551xmphil</t>
        </is>
      </c>
      <c r="H355" t="inlineStr">
        <is>
          <t>Read</t>
        </is>
      </c>
      <c r="I355" t="inlineStr">
        <is>
          <t>CRICOS code on page</t>
        </is>
      </c>
      <c r="J355" t="inlineStr"/>
      <c r="K355" t="inlineStr">
        <is>
          <t>Not sent to re-link</t>
        </is>
      </c>
      <c r="L355" t="inlineStr">
        <is>
          <t>Filled</t>
        </is>
      </c>
      <c r="M355" t="inlineStr">
        <is>
          <t>Filled</t>
        </is>
      </c>
      <c r="N355" t="inlineStr">
        <is>
          <t>49010.00 2026</t>
        </is>
      </c>
      <c r="O355" t="n">
        <v>0</v>
      </c>
      <c r="P355" t="inlineStr">
        <is>
          <t>University adapter</t>
        </is>
      </c>
      <c r="Q355" t="inlineStr">
        <is>
          <t>Filled</t>
        </is>
      </c>
      <c r="R355" t="n">
        <v>6.5</v>
      </c>
      <c r="S355" t="inlineStr">
        <is>
          <t>Central English policy</t>
        </is>
      </c>
      <c r="T355" t="inlineStr">
        <is>
          <t>Central rule applies (value agrees)</t>
        </is>
      </c>
      <c r="U355" t="inlineStr"/>
      <c r="V355" t="inlineStr">
        <is>
          <t>Not stated on course page</t>
        </is>
      </c>
      <c r="W355" t="inlineStr"/>
      <c r="X355" t="inlineStr"/>
      <c r="Y355" t="n">
        <v>0</v>
      </c>
      <c r="Z355" t="inlineStr">
        <is>
          <t>No</t>
        </is>
      </c>
      <c r="AA355" t="inlineStr">
        <is>
          <t>Filled</t>
        </is>
      </c>
      <c r="AB355" t="inlineStr">
        <is>
          <t>on campus</t>
        </is>
      </c>
      <c r="AC355" t="inlineStr"/>
      <c r="AD355" t="n">
        <v>0</v>
      </c>
      <c r="AE355" t="inlineStr"/>
      <c r="AF355" t="inlineStr"/>
      <c r="AG355" t="inlineStr"/>
      <c r="AH355" t="inlineStr"/>
      <c r="AI355" t="inlineStr"/>
      <c r="AJ355" t="inlineStr"/>
      <c r="AK355" t="inlineStr"/>
      <c r="AL355" t="inlineStr"/>
      <c r="AM355" t="inlineStr"/>
    </row>
    <row r="356">
      <c r="A356" t="inlineStr">
        <is>
          <t>048402G</t>
        </is>
      </c>
      <c r="B356" t="inlineStr">
        <is>
          <t>Master of Philosophy, Research School of Physics and Engineering</t>
        </is>
      </c>
      <c r="C356" t="inlineStr">
        <is>
          <t>Masters Degree (Research)</t>
        </is>
      </c>
      <c r="D356" t="inlineStr">
        <is>
          <t>Research degree</t>
        </is>
      </c>
      <c r="E356" t="inlineStr">
        <is>
          <t>Advertised: official page in place</t>
        </is>
      </c>
      <c r="F356" t="inlineStr">
        <is>
          <t>https://programsandcourses.anu.edu.au/program/8680xmphil</t>
        </is>
      </c>
      <c r="G356" t="inlineStr">
        <is>
          <t>https://programsandcourses.anu.edu.au/program/8680xmphil</t>
        </is>
      </c>
      <c r="H356" t="inlineStr">
        <is>
          <t>Read</t>
        </is>
      </c>
      <c r="I356" t="inlineStr">
        <is>
          <t>CRICOS code on page</t>
        </is>
      </c>
      <c r="J356" t="inlineStr"/>
      <c r="K356" t="inlineStr">
        <is>
          <t>Not sent to re-link</t>
        </is>
      </c>
      <c r="L356" t="inlineStr">
        <is>
          <t>Filled</t>
        </is>
      </c>
      <c r="M356" t="inlineStr">
        <is>
          <t>Filled</t>
        </is>
      </c>
      <c r="N356" t="inlineStr">
        <is>
          <t>58925.00 2026</t>
        </is>
      </c>
      <c r="O356" t="n">
        <v>0</v>
      </c>
      <c r="P356" t="inlineStr">
        <is>
          <t>University adapter</t>
        </is>
      </c>
      <c r="Q356" t="inlineStr">
        <is>
          <t>Filled</t>
        </is>
      </c>
      <c r="R356" t="n">
        <v>6.5</v>
      </c>
      <c r="S356" t="inlineStr">
        <is>
          <t>Central English policy</t>
        </is>
      </c>
      <c r="T356" t="inlineStr">
        <is>
          <t>Central rule applies (value agrees)</t>
        </is>
      </c>
      <c r="U356" t="inlineStr"/>
      <c r="V356" t="inlineStr">
        <is>
          <t>Not stated on course page</t>
        </is>
      </c>
      <c r="W356" t="inlineStr"/>
      <c r="X356" t="inlineStr"/>
      <c r="Y356" t="n">
        <v>0</v>
      </c>
      <c r="Z356" t="inlineStr">
        <is>
          <t>No</t>
        </is>
      </c>
      <c r="AA356" t="inlineStr">
        <is>
          <t>Filled</t>
        </is>
      </c>
      <c r="AB356" t="inlineStr">
        <is>
          <t>on campus</t>
        </is>
      </c>
      <c r="AC356" t="inlineStr"/>
      <c r="AD356" t="n">
        <v>0</v>
      </c>
      <c r="AE356" t="inlineStr"/>
      <c r="AF356" t="inlineStr"/>
      <c r="AG356" t="inlineStr"/>
      <c r="AH356" t="inlineStr"/>
      <c r="AI356" t="inlineStr"/>
      <c r="AJ356" t="inlineStr"/>
      <c r="AK356" t="inlineStr"/>
      <c r="AL356" t="inlineStr"/>
      <c r="AM356" t="inlineStr"/>
    </row>
    <row r="357">
      <c r="A357" t="inlineStr">
        <is>
          <t>094627J</t>
        </is>
      </c>
      <c r="B357" t="inlineStr">
        <is>
          <t>Master of Philosophy, Research School of Population Health</t>
        </is>
      </c>
      <c r="C357" t="inlineStr">
        <is>
          <t>Masters Degree (Research)</t>
        </is>
      </c>
      <c r="D357" t="inlineStr">
        <is>
          <t>Research degree</t>
        </is>
      </c>
      <c r="E357" t="inlineStr">
        <is>
          <t>Advertised: official page in place</t>
        </is>
      </c>
      <c r="F357" t="inlineStr">
        <is>
          <t>https://programsandcourses.anu.edu.au/2022/program/8601xmphil</t>
        </is>
      </c>
      <c r="G357" t="inlineStr">
        <is>
          <t>https://programsandcourses.anu.edu.au/program/8601xmphil</t>
        </is>
      </c>
      <c r="H357" t="inlineStr">
        <is>
          <t>Read</t>
        </is>
      </c>
      <c r="I357" t="inlineStr">
        <is>
          <t>CRICOS code on page</t>
        </is>
      </c>
      <c r="J357" t="inlineStr"/>
      <c r="K357" t="inlineStr">
        <is>
          <t>Not sent to re-link</t>
        </is>
      </c>
      <c r="L357" t="inlineStr">
        <is>
          <t>Filled</t>
        </is>
      </c>
      <c r="M357" t="inlineStr">
        <is>
          <t>Filled</t>
        </is>
      </c>
      <c r="N357" t="inlineStr">
        <is>
          <t>62700.00 2026</t>
        </is>
      </c>
      <c r="O357" t="n">
        <v>0</v>
      </c>
      <c r="P357" t="inlineStr">
        <is>
          <t>University adapter</t>
        </is>
      </c>
      <c r="Q357" t="inlineStr">
        <is>
          <t>Filled</t>
        </is>
      </c>
      <c r="R357" t="n">
        <v>6.5</v>
      </c>
      <c r="S357" t="inlineStr">
        <is>
          <t>Central English policy</t>
        </is>
      </c>
      <c r="T357" t="inlineStr">
        <is>
          <t>Central rule applies (value agrees)</t>
        </is>
      </c>
      <c r="U357" t="inlineStr"/>
      <c r="V357" t="inlineStr">
        <is>
          <t>Not stated on course page</t>
        </is>
      </c>
      <c r="W357" t="inlineStr"/>
      <c r="X357" t="inlineStr"/>
      <c r="Y357" t="n">
        <v>0</v>
      </c>
      <c r="Z357" t="inlineStr">
        <is>
          <t>No</t>
        </is>
      </c>
      <c r="AA357" t="inlineStr">
        <is>
          <t>Filled</t>
        </is>
      </c>
      <c r="AB357" t="inlineStr">
        <is>
          <t>on campus</t>
        </is>
      </c>
      <c r="AC357" t="inlineStr"/>
      <c r="AD357" t="n">
        <v>0</v>
      </c>
      <c r="AE357" t="inlineStr"/>
      <c r="AF357" t="inlineStr"/>
      <c r="AG357" t="inlineStr"/>
      <c r="AH357" t="inlineStr"/>
      <c r="AI357" t="inlineStr"/>
      <c r="AJ357" t="inlineStr"/>
      <c r="AK357" t="inlineStr"/>
      <c r="AL357" t="inlineStr"/>
      <c r="AM357" t="inlineStr"/>
    </row>
    <row r="358">
      <c r="A358" t="inlineStr">
        <is>
          <t>048389M</t>
        </is>
      </c>
      <c r="B358" t="inlineStr">
        <is>
          <t>Master of Philosophy, Research School of Social Sciences</t>
        </is>
      </c>
      <c r="C358" t="inlineStr">
        <is>
          <t>Masters Degree (Research)</t>
        </is>
      </c>
      <c r="D358" t="inlineStr">
        <is>
          <t>Research degree</t>
        </is>
      </c>
      <c r="E358" t="inlineStr">
        <is>
          <t>Advertised: official page in place</t>
        </is>
      </c>
      <c r="F358" t="inlineStr">
        <is>
          <t>https://programsandcourses.anu.edu.au/2024/program/8520xmphil</t>
        </is>
      </c>
      <c r="G358" t="inlineStr">
        <is>
          <t>https://programsandcourses.anu.edu.au/program/8520xmphil</t>
        </is>
      </c>
      <c r="H358" t="inlineStr">
        <is>
          <t>Read</t>
        </is>
      </c>
      <c r="I358" t="inlineStr">
        <is>
          <t>CRICOS code on page</t>
        </is>
      </c>
      <c r="J358" t="inlineStr"/>
      <c r="K358" t="inlineStr">
        <is>
          <t>Not sent to re-link</t>
        </is>
      </c>
      <c r="L358" t="inlineStr">
        <is>
          <t>Filled</t>
        </is>
      </c>
      <c r="M358" t="inlineStr">
        <is>
          <t>Filled</t>
        </is>
      </c>
      <c r="N358" t="inlineStr">
        <is>
          <t>49010.00 2026</t>
        </is>
      </c>
      <c r="O358" t="n">
        <v>0</v>
      </c>
      <c r="P358" t="inlineStr">
        <is>
          <t>University adapter</t>
        </is>
      </c>
      <c r="Q358" t="inlineStr">
        <is>
          <t>Filled</t>
        </is>
      </c>
      <c r="R358" t="n">
        <v>6.5</v>
      </c>
      <c r="S358" t="inlineStr">
        <is>
          <t>Central English policy</t>
        </is>
      </c>
      <c r="T358" t="inlineStr">
        <is>
          <t>Central rule applies (value agrees)</t>
        </is>
      </c>
      <c r="U358" t="inlineStr"/>
      <c r="V358" t="inlineStr">
        <is>
          <t>Not stated on course page</t>
        </is>
      </c>
      <c r="W358" t="inlineStr"/>
      <c r="X358" t="inlineStr"/>
      <c r="Y358" t="n">
        <v>0</v>
      </c>
      <c r="Z358" t="inlineStr">
        <is>
          <t>No</t>
        </is>
      </c>
      <c r="AA358" t="inlineStr">
        <is>
          <t>Filled</t>
        </is>
      </c>
      <c r="AB358" t="inlineStr">
        <is>
          <t>on campus</t>
        </is>
      </c>
      <c r="AC358" t="inlineStr"/>
      <c r="AD358" t="n">
        <v>0</v>
      </c>
      <c r="AE358" t="inlineStr"/>
      <c r="AF358" t="inlineStr"/>
      <c r="AG358" t="inlineStr"/>
      <c r="AH358" t="inlineStr"/>
      <c r="AI358" t="inlineStr"/>
      <c r="AJ358" t="inlineStr"/>
      <c r="AK358" t="inlineStr"/>
      <c r="AL358" t="inlineStr"/>
      <c r="AM358" t="inlineStr"/>
    </row>
    <row r="359">
      <c r="A359" t="inlineStr">
        <is>
          <t>114815B</t>
        </is>
      </c>
      <c r="B359" t="inlineStr">
        <is>
          <t>Master of Philosophy, School of Computing</t>
        </is>
      </c>
      <c r="C359" t="inlineStr">
        <is>
          <t>Masters Degree (Research)</t>
        </is>
      </c>
      <c r="D359" t="inlineStr">
        <is>
          <t>Research degree</t>
        </is>
      </c>
      <c r="E359" t="inlineStr">
        <is>
          <t>Advertised: official page in place</t>
        </is>
      </c>
      <c r="F359" t="inlineStr">
        <is>
          <t>https://programsandcourses.anu.edu.au/program/8714xmphil</t>
        </is>
      </c>
      <c r="G359" t="inlineStr">
        <is>
          <t>https://programsandcourses.anu.edu.au/program/8714xmphil</t>
        </is>
      </c>
      <c r="H359" t="inlineStr">
        <is>
          <t>Read</t>
        </is>
      </c>
      <c r="I359" t="inlineStr">
        <is>
          <t>CRICOS code on page</t>
        </is>
      </c>
      <c r="J359" t="inlineStr"/>
      <c r="K359" t="inlineStr">
        <is>
          <t>Not sent to re-link</t>
        </is>
      </c>
      <c r="L359" t="inlineStr">
        <is>
          <t>Filled</t>
        </is>
      </c>
      <c r="M359" t="inlineStr">
        <is>
          <t>Filled</t>
        </is>
      </c>
      <c r="N359" t="inlineStr">
        <is>
          <t>58925.00 2026</t>
        </is>
      </c>
      <c r="O359" t="n">
        <v>0</v>
      </c>
      <c r="P359" t="inlineStr">
        <is>
          <t>University adapter</t>
        </is>
      </c>
      <c r="Q359" t="inlineStr">
        <is>
          <t>Filled</t>
        </is>
      </c>
      <c r="R359" t="n">
        <v>6.5</v>
      </c>
      <c r="S359" t="inlineStr">
        <is>
          <t>Central English policy</t>
        </is>
      </c>
      <c r="T359" t="inlineStr">
        <is>
          <t>Central rule applies (value agrees)</t>
        </is>
      </c>
      <c r="U359" t="inlineStr"/>
      <c r="V359" t="inlineStr">
        <is>
          <t>Not stated on course page</t>
        </is>
      </c>
      <c r="W359" t="inlineStr"/>
      <c r="X359" t="inlineStr"/>
      <c r="Y359" t="n">
        <v>0</v>
      </c>
      <c r="Z359" t="inlineStr">
        <is>
          <t>No</t>
        </is>
      </c>
      <c r="AA359" t="inlineStr">
        <is>
          <t>Filled</t>
        </is>
      </c>
      <c r="AB359" t="inlineStr">
        <is>
          <t>on campus</t>
        </is>
      </c>
      <c r="AC359" t="inlineStr"/>
      <c r="AD359" t="n">
        <v>0</v>
      </c>
      <c r="AE359" t="inlineStr"/>
      <c r="AF359" t="inlineStr"/>
      <c r="AG359" t="inlineStr"/>
      <c r="AH359" t="inlineStr"/>
      <c r="AI359" t="inlineStr"/>
      <c r="AJ359" t="inlineStr"/>
      <c r="AK359" t="inlineStr"/>
      <c r="AL359" t="inlineStr"/>
      <c r="AM359" t="inlineStr"/>
    </row>
    <row r="360">
      <c r="A360" t="inlineStr">
        <is>
          <t>113799E</t>
        </is>
      </c>
      <c r="B360" t="inlineStr">
        <is>
          <t>Master of Philosophy, School of Cybernetics</t>
        </is>
      </c>
      <c r="C360" t="inlineStr">
        <is>
          <t>Masters Degree (Research)</t>
        </is>
      </c>
      <c r="D360" t="inlineStr">
        <is>
          <t>Research degree</t>
        </is>
      </c>
      <c r="E360" t="inlineStr">
        <is>
          <t>Advertised: official page in place</t>
        </is>
      </c>
      <c r="F360" t="inlineStr">
        <is>
          <t>https://programsandcourses.anu.edu.au/2026/program/8073xmphil</t>
        </is>
      </c>
      <c r="G360" t="inlineStr">
        <is>
          <t>https://programsandcourses.anu.edu.au/2026/program/8073xmphil</t>
        </is>
      </c>
      <c r="H360" t="inlineStr">
        <is>
          <t>Read</t>
        </is>
      </c>
      <c r="I360" t="inlineStr">
        <is>
          <t>CRICOS code on page</t>
        </is>
      </c>
      <c r="J360" t="inlineStr"/>
      <c r="K360" t="inlineStr">
        <is>
          <t>Not sent to re-link</t>
        </is>
      </c>
      <c r="L360" t="inlineStr">
        <is>
          <t>Filled</t>
        </is>
      </c>
      <c r="M360" t="inlineStr">
        <is>
          <t>Filled</t>
        </is>
      </c>
      <c r="N360" t="inlineStr">
        <is>
          <t>56120.00 2026</t>
        </is>
      </c>
      <c r="O360" t="n">
        <v>0</v>
      </c>
      <c r="P360" t="inlineStr">
        <is>
          <t>University adapter</t>
        </is>
      </c>
      <c r="Q360" t="inlineStr">
        <is>
          <t>Filled</t>
        </is>
      </c>
      <c r="R360" t="n">
        <v>6.5</v>
      </c>
      <c r="S360" t="inlineStr">
        <is>
          <t>Central English policy</t>
        </is>
      </c>
      <c r="T360" t="inlineStr">
        <is>
          <t>Central rule applies (value agrees)</t>
        </is>
      </c>
      <c r="U360" t="inlineStr"/>
      <c r="V360" t="inlineStr">
        <is>
          <t>Not stated on course page</t>
        </is>
      </c>
      <c r="W360" t="inlineStr"/>
      <c r="X360" t="inlineStr"/>
      <c r="Y360" t="n">
        <v>0</v>
      </c>
      <c r="Z360" t="inlineStr">
        <is>
          <t>No</t>
        </is>
      </c>
      <c r="AA360" t="inlineStr">
        <is>
          <t>Filled</t>
        </is>
      </c>
      <c r="AB360" t="inlineStr">
        <is>
          <t>blended</t>
        </is>
      </c>
      <c r="AC360" t="inlineStr"/>
      <c r="AD360" t="n">
        <v>0</v>
      </c>
      <c r="AE360" t="inlineStr"/>
      <c r="AF360" t="inlineStr"/>
      <c r="AG360" t="inlineStr"/>
      <c r="AH360" t="inlineStr"/>
      <c r="AI360" t="inlineStr"/>
      <c r="AJ360" t="inlineStr"/>
      <c r="AK360" t="inlineStr"/>
      <c r="AL360" t="inlineStr"/>
      <c r="AM360" t="inlineStr"/>
    </row>
    <row r="361">
      <c r="A361" t="inlineStr">
        <is>
          <t>114816A</t>
        </is>
      </c>
      <c r="B361" t="inlineStr">
        <is>
          <t>Master of Philosophy, School of Engineering</t>
        </is>
      </c>
      <c r="C361" t="inlineStr">
        <is>
          <t>Masters Degree (Research)</t>
        </is>
      </c>
      <c r="D361" t="inlineStr">
        <is>
          <t>Research degree</t>
        </is>
      </c>
      <c r="E361" t="inlineStr">
        <is>
          <t>Advertised: official page in place</t>
        </is>
      </c>
      <c r="F361" t="inlineStr">
        <is>
          <t>https://programsandcourses.anu.edu.au/2024/program/8715xmphil</t>
        </is>
      </c>
      <c r="G361" t="inlineStr">
        <is>
          <t>https://programsandcourses.anu.edu.au/program/8715xmphil</t>
        </is>
      </c>
      <c r="H361" t="inlineStr">
        <is>
          <t>Read</t>
        </is>
      </c>
      <c r="I361" t="inlineStr">
        <is>
          <t>CRICOS code on page</t>
        </is>
      </c>
      <c r="J361" t="inlineStr"/>
      <c r="K361" t="inlineStr">
        <is>
          <t>Not sent to re-link</t>
        </is>
      </c>
      <c r="L361" t="inlineStr">
        <is>
          <t>Filled</t>
        </is>
      </c>
      <c r="M361" t="inlineStr">
        <is>
          <t>Filled</t>
        </is>
      </c>
      <c r="N361" t="inlineStr">
        <is>
          <t>58925.00 2026</t>
        </is>
      </c>
      <c r="O361" t="n">
        <v>0</v>
      </c>
      <c r="P361" t="inlineStr">
        <is>
          <t>University adapter</t>
        </is>
      </c>
      <c r="Q361" t="inlineStr">
        <is>
          <t>Filled</t>
        </is>
      </c>
      <c r="R361" t="n">
        <v>6.5</v>
      </c>
      <c r="S361" t="inlineStr">
        <is>
          <t>Central English policy</t>
        </is>
      </c>
      <c r="T361" t="inlineStr">
        <is>
          <t>Central rule applies (value agrees)</t>
        </is>
      </c>
      <c r="U361" t="inlineStr"/>
      <c r="V361" t="inlineStr">
        <is>
          <t>Waiting for AI reading (Layer 3, now retired)</t>
        </is>
      </c>
      <c r="W361" t="inlineStr"/>
      <c r="X361" t="inlineStr"/>
      <c r="Y361" t="n">
        <v>0</v>
      </c>
      <c r="Z361" t="inlineStr">
        <is>
          <t>No</t>
        </is>
      </c>
      <c r="AA361" t="inlineStr">
        <is>
          <t>Filled</t>
        </is>
      </c>
      <c r="AB361" t="inlineStr">
        <is>
          <t>on campus</t>
        </is>
      </c>
      <c r="AC361" t="inlineStr"/>
      <c r="AD361" t="n">
        <v>0</v>
      </c>
      <c r="AE361" t="inlineStr"/>
      <c r="AF361" t="inlineStr"/>
      <c r="AG361" t="inlineStr">
        <is>
          <t>Yes</t>
        </is>
      </c>
      <c r="AH361" t="inlineStr"/>
      <c r="AI361" t="inlineStr"/>
      <c r="AJ361" t="inlineStr"/>
      <c r="AK361" t="inlineStr"/>
      <c r="AL361" t="inlineStr"/>
      <c r="AM361" t="inlineStr"/>
    </row>
    <row r="362">
      <c r="A362" t="inlineStr">
        <is>
          <t>048386C</t>
        </is>
      </c>
      <c r="B362" t="inlineStr">
        <is>
          <t>Master of Philosophy, Science</t>
        </is>
      </c>
      <c r="C362" t="inlineStr">
        <is>
          <t>Masters Degree (Research)</t>
        </is>
      </c>
      <c r="D362" t="inlineStr">
        <is>
          <t>Research degree</t>
        </is>
      </c>
      <c r="E362" t="inlineStr">
        <is>
          <t>Advertised: official page in place</t>
        </is>
      </c>
      <c r="F362" t="inlineStr">
        <is>
          <t>https://programsandcourses.anu.edu.au/2023/program/8060xmphil</t>
        </is>
      </c>
      <c r="G362" t="inlineStr">
        <is>
          <t>https://programsandcourses.anu.edu.au/program/8060xmphil</t>
        </is>
      </c>
      <c r="H362" t="inlineStr">
        <is>
          <t>Read</t>
        </is>
      </c>
      <c r="I362" t="inlineStr">
        <is>
          <t>CRICOS code on page</t>
        </is>
      </c>
      <c r="J362" t="inlineStr"/>
      <c r="K362" t="inlineStr">
        <is>
          <t>Not sent to re-link</t>
        </is>
      </c>
      <c r="L362" t="inlineStr">
        <is>
          <t>Filled</t>
        </is>
      </c>
      <c r="M362" t="inlineStr">
        <is>
          <t>Filled</t>
        </is>
      </c>
      <c r="N362" t="inlineStr">
        <is>
          <t>58925.00 2026</t>
        </is>
      </c>
      <c r="O362" t="n">
        <v>0</v>
      </c>
      <c r="P362" t="inlineStr">
        <is>
          <t>University adapter</t>
        </is>
      </c>
      <c r="Q362" t="inlineStr">
        <is>
          <t>Filled</t>
        </is>
      </c>
      <c r="R362" t="n">
        <v>6.5</v>
      </c>
      <c r="S362" t="inlineStr">
        <is>
          <t>Central English policy</t>
        </is>
      </c>
      <c r="T362" t="inlineStr">
        <is>
          <t>Central rule applies (value agrees)</t>
        </is>
      </c>
      <c r="U362" t="inlineStr"/>
      <c r="V362" t="inlineStr">
        <is>
          <t>Not stated on course page</t>
        </is>
      </c>
      <c r="W362" t="inlineStr"/>
      <c r="X362" t="inlineStr"/>
      <c r="Y362" t="n">
        <v>0</v>
      </c>
      <c r="Z362" t="inlineStr">
        <is>
          <t>No</t>
        </is>
      </c>
      <c r="AA362" t="inlineStr">
        <is>
          <t>Filled</t>
        </is>
      </c>
      <c r="AB362" t="inlineStr">
        <is>
          <t>on campus</t>
        </is>
      </c>
      <c r="AC362" t="inlineStr"/>
      <c r="AD362" t="n">
        <v>0</v>
      </c>
      <c r="AE362" t="inlineStr"/>
      <c r="AF362" t="inlineStr"/>
      <c r="AG362" t="inlineStr"/>
      <c r="AH362" t="inlineStr"/>
      <c r="AI362" t="inlineStr"/>
      <c r="AJ362" t="inlineStr"/>
      <c r="AK362" t="inlineStr"/>
      <c r="AL362" t="inlineStr"/>
      <c r="AM362" t="inlineStr"/>
    </row>
    <row r="363">
      <c r="A363" t="inlineStr">
        <is>
          <t>096437K</t>
        </is>
      </c>
      <c r="B363" t="inlineStr">
        <is>
          <t>Master of Political Science</t>
        </is>
      </c>
      <c r="C363" t="inlineStr">
        <is>
          <t>Masters Degree (Coursework)</t>
        </is>
      </c>
      <c r="D363" t="inlineStr">
        <is>
          <t>Postgraduate coursework</t>
        </is>
      </c>
      <c r="E363" t="inlineStr">
        <is>
          <t>Advertised: official page in place</t>
        </is>
      </c>
      <c r="F363" t="inlineStr">
        <is>
          <t>https://programsandcourses.anu.edu.au/program/MPOLS</t>
        </is>
      </c>
      <c r="G363" t="inlineStr">
        <is>
          <t>https://programsandcourses.anu.edu.au/program/MPOLS</t>
        </is>
      </c>
      <c r="H363" t="inlineStr">
        <is>
          <t>Read</t>
        </is>
      </c>
      <c r="I363" t="inlineStr">
        <is>
          <t>Exact title match</t>
        </is>
      </c>
      <c r="J363" t="inlineStr"/>
      <c r="K363" t="inlineStr">
        <is>
          <t>Not sent to re-link</t>
        </is>
      </c>
      <c r="L363" t="inlineStr">
        <is>
          <t>Filled</t>
        </is>
      </c>
      <c r="M363" t="inlineStr">
        <is>
          <t>Filled</t>
        </is>
      </c>
      <c r="N363" t="inlineStr">
        <is>
          <t>57640.00 2026</t>
        </is>
      </c>
      <c r="O363" t="n">
        <v>0</v>
      </c>
      <c r="P363" t="inlineStr">
        <is>
          <t>University adapter</t>
        </is>
      </c>
      <c r="Q363" t="inlineStr">
        <is>
          <t>Filled</t>
        </is>
      </c>
      <c r="R363" t="n">
        <v>6.5</v>
      </c>
      <c r="S363" t="inlineStr">
        <is>
          <t>Central English policy</t>
        </is>
      </c>
      <c r="T363" t="inlineStr">
        <is>
          <t>Central rule applies (value agrees)</t>
        </is>
      </c>
      <c r="U363" t="inlineStr"/>
      <c r="V363" t="inlineStr">
        <is>
          <t>Not stated on course page</t>
        </is>
      </c>
      <c r="W363" t="inlineStr"/>
      <c r="X363" t="inlineStr"/>
      <c r="Y363" t="n">
        <v>0</v>
      </c>
      <c r="Z363" t="inlineStr">
        <is>
          <t>No</t>
        </is>
      </c>
      <c r="AA363" t="inlineStr">
        <is>
          <t>Filled</t>
        </is>
      </c>
      <c r="AB363" t="inlineStr">
        <is>
          <t>on campus</t>
        </is>
      </c>
      <c r="AC363" t="inlineStr"/>
      <c r="AD363" t="n">
        <v>0</v>
      </c>
      <c r="AE363" t="inlineStr"/>
      <c r="AF363" t="inlineStr"/>
      <c r="AG363" t="inlineStr"/>
      <c r="AH363" t="inlineStr"/>
      <c r="AI363" t="inlineStr"/>
      <c r="AJ363" t="inlineStr"/>
      <c r="AK363" t="inlineStr"/>
      <c r="AL363" t="inlineStr"/>
      <c r="AM363" t="inlineStr"/>
    </row>
    <row r="364">
      <c r="A364" t="inlineStr">
        <is>
          <t>102925F</t>
        </is>
      </c>
      <c r="B364" t="inlineStr">
        <is>
          <t>Master of Political Science</t>
        </is>
      </c>
      <c r="C364" t="inlineStr">
        <is>
          <t>Masters Degree (Coursework)</t>
        </is>
      </c>
      <c r="D364" t="inlineStr">
        <is>
          <t>Postgraduate coursework</t>
        </is>
      </c>
      <c r="E364" t="inlineStr">
        <is>
          <t>Advertised: official page in place</t>
        </is>
      </c>
      <c r="F364" t="inlineStr">
        <is>
          <t>https://programsandcourses.anu.edu.au/program/mpols</t>
        </is>
      </c>
      <c r="G364" t="inlineStr">
        <is>
          <t>https://programsandcourses.anu.edu.au/program/mpols</t>
        </is>
      </c>
      <c r="H364" t="inlineStr">
        <is>
          <t>Read</t>
        </is>
      </c>
      <c r="I364" t="inlineStr">
        <is>
          <t>CRICOS code on page</t>
        </is>
      </c>
      <c r="J364" t="inlineStr"/>
      <c r="K364" t="inlineStr">
        <is>
          <t>Not sent to re-link</t>
        </is>
      </c>
      <c r="L364" t="inlineStr">
        <is>
          <t>Filled</t>
        </is>
      </c>
      <c r="M364" t="inlineStr">
        <is>
          <t>Filled</t>
        </is>
      </c>
      <c r="N364" t="inlineStr">
        <is>
          <t>57640.00 2026</t>
        </is>
      </c>
      <c r="O364" t="n">
        <v>0</v>
      </c>
      <c r="P364" t="inlineStr">
        <is>
          <t>University adapter</t>
        </is>
      </c>
      <c r="Q364" t="inlineStr">
        <is>
          <t>Filled</t>
        </is>
      </c>
      <c r="R364" t="n">
        <v>6.5</v>
      </c>
      <c r="S364" t="inlineStr">
        <is>
          <t>Central English policy</t>
        </is>
      </c>
      <c r="T364" t="inlineStr">
        <is>
          <t>Central rule applies (value agrees)</t>
        </is>
      </c>
      <c r="U364" t="inlineStr"/>
      <c r="V364" t="inlineStr">
        <is>
          <t>Not stated on course page</t>
        </is>
      </c>
      <c r="W364" t="inlineStr"/>
      <c r="X364" t="inlineStr"/>
      <c r="Y364" t="n">
        <v>0</v>
      </c>
      <c r="Z364" t="inlineStr">
        <is>
          <t>No</t>
        </is>
      </c>
      <c r="AA364" t="inlineStr">
        <is>
          <t>Filled</t>
        </is>
      </c>
      <c r="AB364" t="inlineStr">
        <is>
          <t>on campus</t>
        </is>
      </c>
      <c r="AC364" t="inlineStr"/>
      <c r="AD364" t="n">
        <v>0</v>
      </c>
      <c r="AE364" t="inlineStr"/>
      <c r="AF364" t="inlineStr"/>
      <c r="AG364" t="inlineStr"/>
      <c r="AH364" t="inlineStr"/>
      <c r="AI364" t="inlineStr"/>
      <c r="AJ364" t="inlineStr"/>
      <c r="AK364" t="inlineStr"/>
      <c r="AL364" t="inlineStr"/>
      <c r="AM364" t="inlineStr"/>
    </row>
    <row r="365">
      <c r="A365" t="inlineStr">
        <is>
          <t>096438J</t>
        </is>
      </c>
      <c r="B365" t="inlineStr">
        <is>
          <t>Master of Political Science (Advanced)</t>
        </is>
      </c>
      <c r="C365" t="inlineStr">
        <is>
          <t>Masters Degree (Coursework)</t>
        </is>
      </c>
      <c r="D365" t="inlineStr">
        <is>
          <t>Postgraduate coursework</t>
        </is>
      </c>
      <c r="E365" t="inlineStr">
        <is>
          <t>Advertised: official page in place</t>
        </is>
      </c>
      <c r="F365" t="inlineStr">
        <is>
          <t>https://programsandcourses.anu.edu.au/program/vplsc</t>
        </is>
      </c>
      <c r="G365" t="inlineStr">
        <is>
          <t>https://programsandcourses.anu.edu.au/program/vplsc</t>
        </is>
      </c>
      <c r="H365" t="inlineStr">
        <is>
          <t>Read</t>
        </is>
      </c>
      <c r="I365" t="inlineStr">
        <is>
          <t>CRICOS code on page</t>
        </is>
      </c>
      <c r="J365" t="inlineStr"/>
      <c r="K365" t="inlineStr">
        <is>
          <t>Not sent to re-link</t>
        </is>
      </c>
      <c r="L365" t="inlineStr">
        <is>
          <t>Filled</t>
        </is>
      </c>
      <c r="M365" t="inlineStr">
        <is>
          <t>Filled</t>
        </is>
      </c>
      <c r="N365" t="inlineStr">
        <is>
          <t>57640.00 2026</t>
        </is>
      </c>
      <c r="O365" t="n">
        <v>0</v>
      </c>
      <c r="P365" t="inlineStr">
        <is>
          <t>University adapter</t>
        </is>
      </c>
      <c r="Q365" t="inlineStr">
        <is>
          <t>Filled</t>
        </is>
      </c>
      <c r="R365" t="n">
        <v>6.5</v>
      </c>
      <c r="S365" t="inlineStr">
        <is>
          <t>Central English policy</t>
        </is>
      </c>
      <c r="T365" t="inlineStr">
        <is>
          <t>Central rule applies (value agrees)</t>
        </is>
      </c>
      <c r="U365" t="inlineStr"/>
      <c r="V365" t="inlineStr">
        <is>
          <t>Value found, being checked</t>
        </is>
      </c>
      <c r="W365" t="inlineStr"/>
      <c r="X365" t="inlineStr"/>
      <c r="Y365" t="n">
        <v>0</v>
      </c>
      <c r="Z365" t="inlineStr">
        <is>
          <t>No</t>
        </is>
      </c>
      <c r="AA365" t="inlineStr">
        <is>
          <t>Filled</t>
        </is>
      </c>
      <c r="AB365" t="inlineStr">
        <is>
          <t>on campus</t>
        </is>
      </c>
      <c r="AC365" t="inlineStr"/>
      <c r="AD365" t="n">
        <v>0</v>
      </c>
      <c r="AE365" t="inlineStr"/>
      <c r="AF365" t="inlineStr">
        <is>
          <t>Yes</t>
        </is>
      </c>
      <c r="AG365" t="inlineStr"/>
      <c r="AH365" t="inlineStr"/>
      <c r="AI365" t="inlineStr"/>
      <c r="AJ365" t="inlineStr"/>
      <c r="AK365" t="inlineStr"/>
      <c r="AL365" t="inlineStr"/>
      <c r="AM365" t="inlineStr"/>
    </row>
    <row r="366">
      <c r="A366" t="inlineStr">
        <is>
          <t>050799G</t>
        </is>
      </c>
      <c r="B366" t="inlineStr">
        <is>
          <t>Master of Professional Accounting</t>
        </is>
      </c>
      <c r="C366" t="inlineStr">
        <is>
          <t>Masters Degree (Coursework)</t>
        </is>
      </c>
      <c r="D366" t="inlineStr">
        <is>
          <t>Postgraduate coursework</t>
        </is>
      </c>
      <c r="E366" t="inlineStr">
        <is>
          <t>Advertised: official page in place</t>
        </is>
      </c>
      <c r="F366" t="inlineStr">
        <is>
          <t>https://programsandcourses.anu.edu.au/program/7413xmpacc</t>
        </is>
      </c>
      <c r="G366" t="inlineStr">
        <is>
          <t>https://programsandcourses.anu.edu.au/program/7413xmpacc</t>
        </is>
      </c>
      <c r="H366" t="inlineStr">
        <is>
          <t>Read</t>
        </is>
      </c>
      <c r="I366" t="inlineStr">
        <is>
          <t>CRICOS code on page</t>
        </is>
      </c>
      <c r="J366" t="inlineStr"/>
      <c r="K366" t="inlineStr">
        <is>
          <t>Not sent to re-link</t>
        </is>
      </c>
      <c r="L366" t="inlineStr">
        <is>
          <t>Filled</t>
        </is>
      </c>
      <c r="M366" t="inlineStr">
        <is>
          <t>Filled</t>
        </is>
      </c>
      <c r="N366" t="inlineStr">
        <is>
          <t>57640.00 2026</t>
        </is>
      </c>
      <c r="O366" t="n">
        <v>0</v>
      </c>
      <c r="P366" t="inlineStr">
        <is>
          <t>University adapter</t>
        </is>
      </c>
      <c r="Q366" t="inlineStr">
        <is>
          <t>Filled</t>
        </is>
      </c>
      <c r="R366" t="n">
        <v>6.5</v>
      </c>
      <c r="S366" t="inlineStr">
        <is>
          <t>Central English policy</t>
        </is>
      </c>
      <c r="T366" t="inlineStr">
        <is>
          <t>Central rule applies (value agrees)</t>
        </is>
      </c>
      <c r="U366" t="inlineStr"/>
      <c r="V366" t="inlineStr">
        <is>
          <t>Not stated on course page</t>
        </is>
      </c>
      <c r="W366" t="inlineStr"/>
      <c r="X366" t="inlineStr"/>
      <c r="Y366" t="n">
        <v>0</v>
      </c>
      <c r="Z366" t="inlineStr">
        <is>
          <t>No</t>
        </is>
      </c>
      <c r="AA366" t="inlineStr">
        <is>
          <t>Filled</t>
        </is>
      </c>
      <c r="AB366" t="inlineStr">
        <is>
          <t>on campus</t>
        </is>
      </c>
      <c r="AC366" t="inlineStr"/>
      <c r="AD366" t="n">
        <v>0</v>
      </c>
      <c r="AE366" t="inlineStr"/>
      <c r="AF366" t="inlineStr"/>
      <c r="AG366" t="inlineStr"/>
      <c r="AH366" t="inlineStr"/>
      <c r="AI366" t="inlineStr"/>
      <c r="AJ366" t="inlineStr"/>
      <c r="AK366" t="inlineStr"/>
      <c r="AL366" t="inlineStr"/>
      <c r="AM366" t="inlineStr"/>
    </row>
    <row r="367">
      <c r="A367" t="inlineStr">
        <is>
          <t>096441C</t>
        </is>
      </c>
      <c r="B367" t="inlineStr">
        <is>
          <t>Master of Professional Psychology</t>
        </is>
      </c>
      <c r="C367" t="inlineStr">
        <is>
          <t>Masters Degree (Coursework)</t>
        </is>
      </c>
      <c r="D367" t="inlineStr">
        <is>
          <t>Postgraduate coursework</t>
        </is>
      </c>
      <c r="E367" t="inlineStr">
        <is>
          <t>Advertised: official page in place</t>
        </is>
      </c>
      <c r="F367" t="inlineStr">
        <is>
          <t>https://programsandcourses.anu.edu.au/program/mppsy</t>
        </is>
      </c>
      <c r="G367" t="inlineStr">
        <is>
          <t>https://programsandcourses.anu.edu.au/program/mppsy</t>
        </is>
      </c>
      <c r="H367" t="inlineStr">
        <is>
          <t>Read</t>
        </is>
      </c>
      <c r="I367" t="inlineStr">
        <is>
          <t>CRICOS code on page</t>
        </is>
      </c>
      <c r="J367" t="inlineStr"/>
      <c r="K367" t="inlineStr">
        <is>
          <t>Not sent to re-link</t>
        </is>
      </c>
      <c r="L367" t="inlineStr">
        <is>
          <t>Filled</t>
        </is>
      </c>
      <c r="M367" t="inlineStr">
        <is>
          <t>Filled</t>
        </is>
      </c>
      <c r="N367" t="inlineStr">
        <is>
          <t>60870.00 2026</t>
        </is>
      </c>
      <c r="O367" t="n">
        <v>0</v>
      </c>
      <c r="P367" t="inlineStr">
        <is>
          <t>University adapter</t>
        </is>
      </c>
      <c r="Q367" t="inlineStr">
        <is>
          <t>Filled</t>
        </is>
      </c>
      <c r="R367" t="n">
        <v>7</v>
      </c>
      <c r="S367" t="inlineStr">
        <is>
          <t>Central English policy</t>
        </is>
      </c>
      <c r="T367" t="inlineStr">
        <is>
          <t>Central rule applies (value agrees)</t>
        </is>
      </c>
      <c r="U367" t="inlineStr"/>
      <c r="V367" t="inlineStr">
        <is>
          <t>Not stated on course page</t>
        </is>
      </c>
      <c r="W367" t="inlineStr"/>
      <c r="X367" t="inlineStr"/>
      <c r="Y367" t="n">
        <v>0</v>
      </c>
      <c r="Z367" t="inlineStr">
        <is>
          <t>No</t>
        </is>
      </c>
      <c r="AA367" t="inlineStr">
        <is>
          <t>Filled</t>
        </is>
      </c>
      <c r="AB367" t="inlineStr">
        <is>
          <t>on campus</t>
        </is>
      </c>
      <c r="AC367" t="inlineStr"/>
      <c r="AD367" t="n">
        <v>0</v>
      </c>
      <c r="AE367" t="inlineStr"/>
      <c r="AF367" t="inlineStr"/>
      <c r="AG367" t="inlineStr"/>
      <c r="AH367" t="inlineStr"/>
      <c r="AI367" t="inlineStr"/>
      <c r="AJ367" t="inlineStr"/>
      <c r="AK367" t="inlineStr"/>
      <c r="AL367" t="inlineStr"/>
      <c r="AM367" t="inlineStr"/>
    </row>
    <row r="368">
      <c r="A368" t="inlineStr">
        <is>
          <t>119061K</t>
        </is>
      </c>
      <c r="B368" t="inlineStr">
        <is>
          <t>Master of Project Leadership</t>
        </is>
      </c>
      <c r="C368" t="inlineStr">
        <is>
          <t>Masters Degree (Coursework)</t>
        </is>
      </c>
      <c r="D368" t="inlineStr">
        <is>
          <t>Postgraduate coursework</t>
        </is>
      </c>
      <c r="E368" t="inlineStr">
        <is>
          <t>Advertised: official page in place</t>
        </is>
      </c>
      <c r="F368" t="inlineStr">
        <is>
          <t>https://programsandcourses.anu.edu.au/2027/program/mprle</t>
        </is>
      </c>
      <c r="G368" t="inlineStr">
        <is>
          <t>https://programsandcourses.anu.edu.au/2027/program/mprle</t>
        </is>
      </c>
      <c r="H368" t="inlineStr">
        <is>
          <t>Read</t>
        </is>
      </c>
      <c r="I368" t="inlineStr">
        <is>
          <t>CRICOS code on page</t>
        </is>
      </c>
      <c r="J368" t="inlineStr"/>
      <c r="K368" t="inlineStr">
        <is>
          <t>Not sent to re-link</t>
        </is>
      </c>
      <c r="L368" t="inlineStr">
        <is>
          <t>Filled</t>
        </is>
      </c>
      <c r="M368" t="inlineStr">
        <is>
          <t>Filled</t>
        </is>
      </c>
      <c r="N368" t="inlineStr">
        <is>
          <t>57640.00 2026</t>
        </is>
      </c>
      <c r="O368" t="n">
        <v>0</v>
      </c>
      <c r="P368" t="inlineStr">
        <is>
          <t>University adapter</t>
        </is>
      </c>
      <c r="Q368" t="inlineStr">
        <is>
          <t>Filled</t>
        </is>
      </c>
      <c r="R368" t="n">
        <v>6.5</v>
      </c>
      <c r="S368" t="inlineStr">
        <is>
          <t>Central English policy</t>
        </is>
      </c>
      <c r="T368" t="inlineStr">
        <is>
          <t>Central rule applies (value agrees)</t>
        </is>
      </c>
      <c r="U368" t="inlineStr"/>
      <c r="V368" t="inlineStr">
        <is>
          <t>Not stated on course page</t>
        </is>
      </c>
      <c r="W368" t="inlineStr"/>
      <c r="X368" t="inlineStr"/>
      <c r="Y368" t="n">
        <v>0</v>
      </c>
      <c r="Z368" t="inlineStr">
        <is>
          <t>No</t>
        </is>
      </c>
      <c r="AA368" t="inlineStr">
        <is>
          <t>Filled</t>
        </is>
      </c>
      <c r="AB368" t="inlineStr">
        <is>
          <t>on campus</t>
        </is>
      </c>
      <c r="AC368" t="inlineStr"/>
      <c r="AD368" t="n">
        <v>0</v>
      </c>
      <c r="AE368" t="inlineStr"/>
      <c r="AF368" t="inlineStr"/>
      <c r="AG368" t="inlineStr"/>
      <c r="AH368" t="inlineStr"/>
      <c r="AI368" t="inlineStr"/>
      <c r="AJ368" t="inlineStr"/>
      <c r="AK368" t="inlineStr"/>
      <c r="AL368" t="inlineStr"/>
      <c r="AM368" t="inlineStr"/>
    </row>
    <row r="369">
      <c r="A369" t="inlineStr">
        <is>
          <t>082344G</t>
        </is>
      </c>
      <c r="B369" t="inlineStr">
        <is>
          <t>Master of Project Management</t>
        </is>
      </c>
      <c r="C369" t="inlineStr">
        <is>
          <t>Masters Degree (Coursework)</t>
        </is>
      </c>
      <c r="D369" t="inlineStr">
        <is>
          <t>Postgraduate coursework</t>
        </is>
      </c>
      <c r="E369" t="inlineStr">
        <is>
          <t>Advertised: official page in place</t>
        </is>
      </c>
      <c r="F369" t="inlineStr">
        <is>
          <t>https://programsandcourses.anu.edu.au/program/mprom</t>
        </is>
      </c>
      <c r="G369" t="inlineStr">
        <is>
          <t>https://programsandcourses.anu.edu.au/program/mprom</t>
        </is>
      </c>
      <c r="H369" t="inlineStr">
        <is>
          <t>Read</t>
        </is>
      </c>
      <c r="I369" t="inlineStr">
        <is>
          <t>CRICOS code on page</t>
        </is>
      </c>
      <c r="J369" t="inlineStr"/>
      <c r="K369" t="inlineStr">
        <is>
          <t>Not sent to re-link</t>
        </is>
      </c>
      <c r="L369" t="inlineStr">
        <is>
          <t>Filled</t>
        </is>
      </c>
      <c r="M369" t="inlineStr">
        <is>
          <t>Filled</t>
        </is>
      </c>
      <c r="N369" t="inlineStr">
        <is>
          <t>57640.00 2026</t>
        </is>
      </c>
      <c r="O369" t="n">
        <v>0</v>
      </c>
      <c r="P369" t="inlineStr">
        <is>
          <t>University adapter</t>
        </is>
      </c>
      <c r="Q369" t="inlineStr">
        <is>
          <t>Filled</t>
        </is>
      </c>
      <c r="R369" t="n">
        <v>6.5</v>
      </c>
      <c r="S369" t="inlineStr">
        <is>
          <t>Central English policy</t>
        </is>
      </c>
      <c r="T369" t="inlineStr">
        <is>
          <t>Central rule applies (value agrees)</t>
        </is>
      </c>
      <c r="U369" t="inlineStr"/>
      <c r="V369" t="inlineStr">
        <is>
          <t>Not stated on course page</t>
        </is>
      </c>
      <c r="W369" t="inlineStr"/>
      <c r="X369" t="inlineStr"/>
      <c r="Y369" t="n">
        <v>0</v>
      </c>
      <c r="Z369" t="inlineStr">
        <is>
          <t>No</t>
        </is>
      </c>
      <c r="AA369" t="inlineStr">
        <is>
          <t>Filled</t>
        </is>
      </c>
      <c r="AB369" t="inlineStr">
        <is>
          <t>on campus</t>
        </is>
      </c>
      <c r="AC369" t="inlineStr"/>
      <c r="AD369" t="n">
        <v>0</v>
      </c>
      <c r="AE369" t="inlineStr"/>
      <c r="AF369" t="inlineStr"/>
      <c r="AG369" t="inlineStr"/>
      <c r="AH369" t="inlineStr"/>
      <c r="AI369" t="inlineStr"/>
      <c r="AJ369" t="inlineStr"/>
      <c r="AK369" t="inlineStr"/>
      <c r="AL369" t="inlineStr"/>
      <c r="AM369" t="inlineStr"/>
    </row>
    <row r="370">
      <c r="A370" t="inlineStr">
        <is>
          <t>091193K</t>
        </is>
      </c>
      <c r="B370" t="inlineStr">
        <is>
          <t>Master of Project Management (Advanced)</t>
        </is>
      </c>
      <c r="C370" t="inlineStr">
        <is>
          <t>Masters Degree (Coursework)</t>
        </is>
      </c>
      <c r="D370" t="inlineStr">
        <is>
          <t>Postgraduate coursework</t>
        </is>
      </c>
      <c r="E370" t="inlineStr">
        <is>
          <t>Advertised: official page in place</t>
        </is>
      </c>
      <c r="F370" t="inlineStr">
        <is>
          <t>https://programsandcourses.anu.edu.au/2020/program/vprom</t>
        </is>
      </c>
      <c r="G370" t="inlineStr">
        <is>
          <t>https://programsandcourses.anu.edu.au/2021/program/vprom</t>
        </is>
      </c>
      <c r="H370" t="inlineStr">
        <is>
          <t>Read</t>
        </is>
      </c>
      <c r="I370" t="inlineStr">
        <is>
          <t>CRICOS code on page</t>
        </is>
      </c>
      <c r="J370" t="inlineStr"/>
      <c r="K370" t="inlineStr">
        <is>
          <t>Not sent to re-link</t>
        </is>
      </c>
      <c r="L370" t="inlineStr">
        <is>
          <t>Filled</t>
        </is>
      </c>
      <c r="M370" t="inlineStr">
        <is>
          <t>Filled</t>
        </is>
      </c>
      <c r="N370" t="inlineStr">
        <is>
          <t>44470.00 2026</t>
        </is>
      </c>
      <c r="O370" t="n">
        <v>0</v>
      </c>
      <c r="P370" t="inlineStr">
        <is>
          <t>University adapter</t>
        </is>
      </c>
      <c r="Q370" t="inlineStr">
        <is>
          <t>Filled</t>
        </is>
      </c>
      <c r="R370" t="n">
        <v>6.5</v>
      </c>
      <c r="S370" t="inlineStr">
        <is>
          <t>Central English policy</t>
        </is>
      </c>
      <c r="T370" t="inlineStr">
        <is>
          <t>Central rule applies (value agrees)</t>
        </is>
      </c>
      <c r="U370" t="inlineStr"/>
      <c r="V370" t="inlineStr">
        <is>
          <t>Not stated on course page</t>
        </is>
      </c>
      <c r="W370" t="inlineStr"/>
      <c r="X370" t="inlineStr"/>
      <c r="Y370" t="n">
        <v>0</v>
      </c>
      <c r="Z370" t="inlineStr">
        <is>
          <t>No</t>
        </is>
      </c>
      <c r="AA370" t="inlineStr">
        <is>
          <t>Filled</t>
        </is>
      </c>
      <c r="AB370" t="inlineStr">
        <is>
          <t>on campus</t>
        </is>
      </c>
      <c r="AC370" t="inlineStr"/>
      <c r="AD370" t="n">
        <v>0</v>
      </c>
      <c r="AE370" t="inlineStr"/>
      <c r="AF370" t="inlineStr"/>
      <c r="AG370" t="inlineStr"/>
      <c r="AH370" t="inlineStr"/>
      <c r="AI370" t="inlineStr"/>
      <c r="AJ370" t="inlineStr"/>
      <c r="AK370" t="inlineStr"/>
      <c r="AL370" t="inlineStr"/>
      <c r="AM370" t="inlineStr"/>
    </row>
    <row r="371">
      <c r="A371" t="inlineStr">
        <is>
          <t>082345G</t>
        </is>
      </c>
      <c r="B371" t="inlineStr">
        <is>
          <t>Master of Public Administration</t>
        </is>
      </c>
      <c r="C371" t="inlineStr">
        <is>
          <t>Masters Degree (Coursework)</t>
        </is>
      </c>
      <c r="D371" t="inlineStr">
        <is>
          <t>Postgraduate coursework</t>
        </is>
      </c>
      <c r="E371" t="inlineStr">
        <is>
          <t>Advertised: official page in place</t>
        </is>
      </c>
      <c r="F371" t="inlineStr">
        <is>
          <t>https://programsandcourses.anu.edu.au/program/MPAD</t>
        </is>
      </c>
      <c r="G371" t="inlineStr">
        <is>
          <t>https://programsandcourses.anu.edu.au/program/MPAD</t>
        </is>
      </c>
      <c r="H371" t="inlineStr">
        <is>
          <t>Read</t>
        </is>
      </c>
      <c r="I371" t="inlineStr">
        <is>
          <t>Exact title match</t>
        </is>
      </c>
      <c r="J371" t="inlineStr"/>
      <c r="K371" t="inlineStr">
        <is>
          <t>Not sent to re-link</t>
        </is>
      </c>
      <c r="L371" t="inlineStr">
        <is>
          <t>Filled</t>
        </is>
      </c>
      <c r="M371" t="inlineStr">
        <is>
          <t>Filled</t>
        </is>
      </c>
      <c r="N371" t="inlineStr">
        <is>
          <t>57640.00 2026</t>
        </is>
      </c>
      <c r="O371" t="n">
        <v>0</v>
      </c>
      <c r="P371" t="inlineStr">
        <is>
          <t>University adapter</t>
        </is>
      </c>
      <c r="Q371" t="inlineStr">
        <is>
          <t>Filled</t>
        </is>
      </c>
      <c r="R371" t="n">
        <v>6.5</v>
      </c>
      <c r="S371" t="inlineStr">
        <is>
          <t>Central English policy</t>
        </is>
      </c>
      <c r="T371" t="inlineStr">
        <is>
          <t>Central rule applies (value agrees)</t>
        </is>
      </c>
      <c r="U371" t="inlineStr"/>
      <c r="V371" t="inlineStr">
        <is>
          <t>Not stated on course page</t>
        </is>
      </c>
      <c r="W371" t="inlineStr"/>
      <c r="X371" t="inlineStr"/>
      <c r="Y371" t="n">
        <v>0</v>
      </c>
      <c r="Z371" t="inlineStr">
        <is>
          <t>No</t>
        </is>
      </c>
      <c r="AA371" t="inlineStr">
        <is>
          <t>Filled</t>
        </is>
      </c>
      <c r="AB371" t="inlineStr">
        <is>
          <t>on campus</t>
        </is>
      </c>
      <c r="AC371" t="inlineStr"/>
      <c r="AD371" t="n">
        <v>0</v>
      </c>
      <c r="AE371" t="inlineStr"/>
      <c r="AF371" t="inlineStr"/>
      <c r="AG371" t="inlineStr"/>
      <c r="AH371" t="inlineStr"/>
      <c r="AI371" t="inlineStr"/>
      <c r="AJ371" t="inlineStr"/>
      <c r="AK371" t="inlineStr"/>
      <c r="AL371" t="inlineStr"/>
      <c r="AM371" t="inlineStr"/>
    </row>
    <row r="372">
      <c r="A372" t="inlineStr">
        <is>
          <t>102923H</t>
        </is>
      </c>
      <c r="B372" t="inlineStr">
        <is>
          <t>Master of Public Administration</t>
        </is>
      </c>
      <c r="C372" t="inlineStr">
        <is>
          <t>Masters Degree (Coursework)</t>
        </is>
      </c>
      <c r="D372" t="inlineStr">
        <is>
          <t>Postgraduate coursework</t>
        </is>
      </c>
      <c r="E372" t="inlineStr">
        <is>
          <t>Advertised: official page in place</t>
        </is>
      </c>
      <c r="F372" t="inlineStr">
        <is>
          <t>https://programsandcourses.anu.edu.au/program/mpad</t>
        </is>
      </c>
      <c r="G372" t="inlineStr">
        <is>
          <t>https://programsandcourses.anu.edu.au/program/mpad</t>
        </is>
      </c>
      <c r="H372" t="inlineStr">
        <is>
          <t>Read</t>
        </is>
      </c>
      <c r="I372" t="inlineStr">
        <is>
          <t>CRICOS code on page</t>
        </is>
      </c>
      <c r="J372" t="inlineStr"/>
      <c r="K372" t="inlineStr">
        <is>
          <t>Not sent to re-link</t>
        </is>
      </c>
      <c r="L372" t="inlineStr">
        <is>
          <t>Filled</t>
        </is>
      </c>
      <c r="M372" t="inlineStr">
        <is>
          <t>Filled</t>
        </is>
      </c>
      <c r="N372" t="inlineStr">
        <is>
          <t>57640.00 2026</t>
        </is>
      </c>
      <c r="O372" t="n">
        <v>0</v>
      </c>
      <c r="P372" t="inlineStr">
        <is>
          <t>University adapter</t>
        </is>
      </c>
      <c r="Q372" t="inlineStr">
        <is>
          <t>Filled</t>
        </is>
      </c>
      <c r="R372" t="n">
        <v>6.5</v>
      </c>
      <c r="S372" t="inlineStr">
        <is>
          <t>Central English policy</t>
        </is>
      </c>
      <c r="T372" t="inlineStr">
        <is>
          <t>Central rule applies (value agrees)</t>
        </is>
      </c>
      <c r="U372" t="inlineStr"/>
      <c r="V372" t="inlineStr">
        <is>
          <t>Not stated on course page</t>
        </is>
      </c>
      <c r="W372" t="inlineStr"/>
      <c r="X372" t="inlineStr"/>
      <c r="Y372" t="n">
        <v>0</v>
      </c>
      <c r="Z372" t="inlineStr">
        <is>
          <t>No</t>
        </is>
      </c>
      <c r="AA372" t="inlineStr">
        <is>
          <t>Filled</t>
        </is>
      </c>
      <c r="AB372" t="inlineStr">
        <is>
          <t>on campus</t>
        </is>
      </c>
      <c r="AC372" t="inlineStr"/>
      <c r="AD372" t="n">
        <v>0</v>
      </c>
      <c r="AE372" t="inlineStr"/>
      <c r="AF372" t="inlineStr"/>
      <c r="AG372" t="inlineStr"/>
      <c r="AH372" t="inlineStr"/>
      <c r="AI372" t="inlineStr"/>
      <c r="AJ372" t="inlineStr"/>
      <c r="AK372" t="inlineStr"/>
      <c r="AL372" t="inlineStr"/>
      <c r="AM372" t="inlineStr"/>
    </row>
    <row r="373">
      <c r="A373" t="inlineStr">
        <is>
          <t>082346F</t>
        </is>
      </c>
      <c r="B373" t="inlineStr">
        <is>
          <t>Master of Public Health</t>
        </is>
      </c>
      <c r="C373" t="inlineStr">
        <is>
          <t>Masters Degree (Coursework)</t>
        </is>
      </c>
      <c r="D373" t="inlineStr">
        <is>
          <t>Postgraduate coursework</t>
        </is>
      </c>
      <c r="E373" t="inlineStr">
        <is>
          <t>Advertised: official page in place</t>
        </is>
      </c>
      <c r="F373" t="inlineStr">
        <is>
          <t>https://programsandcourses.anu.edu.au/program/mpubh</t>
        </is>
      </c>
      <c r="G373" t="inlineStr">
        <is>
          <t>https://programsandcourses.anu.edu.au/program/mpubh</t>
        </is>
      </c>
      <c r="H373" t="inlineStr">
        <is>
          <t>Read</t>
        </is>
      </c>
      <c r="I373" t="inlineStr">
        <is>
          <t>CRICOS code on page</t>
        </is>
      </c>
      <c r="J373" t="inlineStr"/>
      <c r="K373" t="inlineStr">
        <is>
          <t>Not sent to re-link</t>
        </is>
      </c>
      <c r="L373" t="inlineStr">
        <is>
          <t>Filled</t>
        </is>
      </c>
      <c r="M373" t="inlineStr">
        <is>
          <t>Filled</t>
        </is>
      </c>
      <c r="N373" t="inlineStr">
        <is>
          <t>54540.00 2026</t>
        </is>
      </c>
      <c r="O373" t="n">
        <v>0</v>
      </c>
      <c r="P373" t="inlineStr">
        <is>
          <t>University adapter</t>
        </is>
      </c>
      <c r="Q373" t="inlineStr">
        <is>
          <t>Filled</t>
        </is>
      </c>
      <c r="R373" t="n">
        <v>6.5</v>
      </c>
      <c r="S373" t="inlineStr">
        <is>
          <t>Central English policy</t>
        </is>
      </c>
      <c r="T373" t="inlineStr">
        <is>
          <t>Central rule applies (value agrees)</t>
        </is>
      </c>
      <c r="U373" t="inlineStr"/>
      <c r="V373" t="inlineStr">
        <is>
          <t>Not stated on course page</t>
        </is>
      </c>
      <c r="W373" t="inlineStr"/>
      <c r="X373" t="inlineStr"/>
      <c r="Y373" t="n">
        <v>0</v>
      </c>
      <c r="Z373" t="inlineStr">
        <is>
          <t>No</t>
        </is>
      </c>
      <c r="AA373" t="inlineStr">
        <is>
          <t>Filled</t>
        </is>
      </c>
      <c r="AB373" t="inlineStr">
        <is>
          <t>blended</t>
        </is>
      </c>
      <c r="AC373" t="inlineStr"/>
      <c r="AD373" t="n">
        <v>0</v>
      </c>
      <c r="AE373" t="inlineStr"/>
      <c r="AF373" t="inlineStr"/>
      <c r="AG373" t="inlineStr"/>
      <c r="AH373" t="inlineStr"/>
      <c r="AI373" t="inlineStr"/>
      <c r="AJ373" t="inlineStr"/>
      <c r="AK373" t="inlineStr"/>
      <c r="AL373" t="inlineStr"/>
      <c r="AM373" t="inlineStr"/>
    </row>
    <row r="374">
      <c r="A374" t="inlineStr">
        <is>
          <t>082347E</t>
        </is>
      </c>
      <c r="B374" t="inlineStr">
        <is>
          <t>Master of Public Health (Advanced)</t>
        </is>
      </c>
      <c r="C374" t="inlineStr">
        <is>
          <t>Masters Degree (Coursework)</t>
        </is>
      </c>
      <c r="D374" t="inlineStr">
        <is>
          <t>Postgraduate coursework</t>
        </is>
      </c>
      <c r="E374" t="inlineStr">
        <is>
          <t>Advertised: official page in place</t>
        </is>
      </c>
      <c r="F374" t="inlineStr">
        <is>
          <t>https://programsandcourses.anu.edu.au/program/vpubh</t>
        </is>
      </c>
      <c r="G374" t="inlineStr">
        <is>
          <t>https://programsandcourses.anu.edu.au/program/vpubh</t>
        </is>
      </c>
      <c r="H374" t="inlineStr">
        <is>
          <t>Read</t>
        </is>
      </c>
      <c r="I374" t="inlineStr">
        <is>
          <t>CRICOS code on page</t>
        </is>
      </c>
      <c r="J374" t="inlineStr"/>
      <c r="K374" t="inlineStr">
        <is>
          <t>Not sent to re-link</t>
        </is>
      </c>
      <c r="L374" t="inlineStr">
        <is>
          <t>Filled</t>
        </is>
      </c>
      <c r="M374" t="inlineStr">
        <is>
          <t>Filled</t>
        </is>
      </c>
      <c r="N374" t="inlineStr">
        <is>
          <t>54540.00 2026</t>
        </is>
      </c>
      <c r="O374" t="n">
        <v>0</v>
      </c>
      <c r="P374" t="inlineStr">
        <is>
          <t>University adapter</t>
        </is>
      </c>
      <c r="Q374" t="inlineStr">
        <is>
          <t>Filled</t>
        </is>
      </c>
      <c r="R374" t="n">
        <v>6.5</v>
      </c>
      <c r="S374" t="inlineStr">
        <is>
          <t>Central English policy</t>
        </is>
      </c>
      <c r="T374" t="inlineStr">
        <is>
          <t>Central rule applies (value agrees)</t>
        </is>
      </c>
      <c r="U374" t="inlineStr"/>
      <c r="V374" t="inlineStr">
        <is>
          <t>Not stated on course page</t>
        </is>
      </c>
      <c r="W374" t="inlineStr"/>
      <c r="X374" t="inlineStr"/>
      <c r="Y374" t="n">
        <v>0</v>
      </c>
      <c r="Z374" t="inlineStr">
        <is>
          <t>No</t>
        </is>
      </c>
      <c r="AA374" t="inlineStr">
        <is>
          <t>Filled</t>
        </is>
      </c>
      <c r="AB374" t="inlineStr">
        <is>
          <t>blended</t>
        </is>
      </c>
      <c r="AC374" t="inlineStr"/>
      <c r="AD374" t="n">
        <v>0</v>
      </c>
      <c r="AE374" t="inlineStr"/>
      <c r="AF374" t="inlineStr"/>
      <c r="AG374" t="inlineStr"/>
      <c r="AH374" t="inlineStr"/>
      <c r="AI374" t="inlineStr"/>
      <c r="AJ374" t="inlineStr"/>
      <c r="AK374" t="inlineStr"/>
      <c r="AL374" t="inlineStr"/>
      <c r="AM374" t="inlineStr"/>
    </row>
    <row r="375">
      <c r="A375" t="inlineStr">
        <is>
          <t>082349C</t>
        </is>
      </c>
      <c r="B375" t="inlineStr">
        <is>
          <t>Master of Public Policy</t>
        </is>
      </c>
      <c r="C375" t="inlineStr">
        <is>
          <t>Masters Degree (Coursework)</t>
        </is>
      </c>
      <c r="D375" t="inlineStr">
        <is>
          <t>Postgraduate coursework</t>
        </is>
      </c>
      <c r="E375" t="inlineStr">
        <is>
          <t>Advertised: official page in place</t>
        </is>
      </c>
      <c r="F375" t="inlineStr">
        <is>
          <t>https://www.anu.edu.au/students/program-administration/prizes/master-of-public-policy-prize</t>
        </is>
      </c>
      <c r="G375" t="inlineStr">
        <is>
          <t>https://www.anu.edu.au/students/program-administration/prizes/master-of-public-policy-prize</t>
        </is>
      </c>
      <c r="H375" t="inlineStr">
        <is>
          <t>Read</t>
        </is>
      </c>
      <c r="I375" t="inlineStr">
        <is>
          <t>Exact title match</t>
        </is>
      </c>
      <c r="J375" t="inlineStr"/>
      <c r="K375" t="inlineStr">
        <is>
          <t>Not sent to re-link</t>
        </is>
      </c>
      <c r="L375" t="inlineStr">
        <is>
          <t>Filled</t>
        </is>
      </c>
      <c r="M375" t="inlineStr">
        <is>
          <t>Not stated on course page</t>
        </is>
      </c>
      <c r="N375" t="inlineStr"/>
      <c r="O375" t="n">
        <v>0</v>
      </c>
      <c r="P375" t="inlineStr"/>
      <c r="Q375" t="inlineStr">
        <is>
          <t>Filled</t>
        </is>
      </c>
      <c r="R375" t="n">
        <v>6.5</v>
      </c>
      <c r="S375" t="inlineStr">
        <is>
          <t>Central English policy</t>
        </is>
      </c>
      <c r="T375" t="inlineStr">
        <is>
          <t>Central rule applies (value agrees)</t>
        </is>
      </c>
      <c r="U375" t="inlineStr"/>
      <c r="V375" t="inlineStr">
        <is>
          <t>Not stated on course page</t>
        </is>
      </c>
      <c r="W375" t="inlineStr"/>
      <c r="X375" t="inlineStr"/>
      <c r="Y375" t="n">
        <v>0</v>
      </c>
      <c r="Z375" t="inlineStr">
        <is>
          <t>No</t>
        </is>
      </c>
      <c r="AA375" t="inlineStr">
        <is>
          <t>Not stated on course page</t>
        </is>
      </c>
      <c r="AB375" t="inlineStr"/>
      <c r="AC375" t="inlineStr">
        <is>
          <t>Skipped: the page does not state it</t>
        </is>
      </c>
      <c r="AD375" t="n">
        <v>0</v>
      </c>
      <c r="AE375" t="inlineStr"/>
      <c r="AF375" t="inlineStr"/>
      <c r="AG375" t="inlineStr"/>
      <c r="AH375" t="inlineStr"/>
      <c r="AI375" t="inlineStr"/>
      <c r="AJ375" t="inlineStr"/>
      <c r="AK375" t="inlineStr"/>
      <c r="AL375" t="inlineStr"/>
      <c r="AM375" t="inlineStr"/>
    </row>
    <row r="376">
      <c r="A376" t="inlineStr">
        <is>
          <t>093289G</t>
        </is>
      </c>
      <c r="B376" t="inlineStr">
        <is>
          <t>Master of Public Policy (ANU/UT)</t>
        </is>
      </c>
      <c r="C376" t="inlineStr">
        <is>
          <t>Masters Degree (Coursework)</t>
        </is>
      </c>
      <c r="D376" t="inlineStr">
        <is>
          <t>Postgraduate coursework</t>
        </is>
      </c>
      <c r="E376" t="inlineStr">
        <is>
          <t>Advertised: official page in place</t>
        </is>
      </c>
      <c r="F376" t="inlineStr">
        <is>
          <t>https://programsandcourses.anu.edu.au/program/mppau</t>
        </is>
      </c>
      <c r="G376" t="inlineStr">
        <is>
          <t>https://programsandcourses.anu.edu.au/program/mppau</t>
        </is>
      </c>
      <c r="H376" t="inlineStr">
        <is>
          <t>Read</t>
        </is>
      </c>
      <c r="I376" t="inlineStr">
        <is>
          <t>CRICOS code on page</t>
        </is>
      </c>
      <c r="J376" t="inlineStr"/>
      <c r="K376" t="inlineStr">
        <is>
          <t>Not sent to re-link</t>
        </is>
      </c>
      <c r="L376" t="inlineStr">
        <is>
          <t>Filled</t>
        </is>
      </c>
      <c r="M376" t="inlineStr">
        <is>
          <t>Filled</t>
        </is>
      </c>
      <c r="N376" t="inlineStr">
        <is>
          <t>57640.00 2026</t>
        </is>
      </c>
      <c r="O376" t="n">
        <v>0</v>
      </c>
      <c r="P376" t="inlineStr">
        <is>
          <t>University adapter</t>
        </is>
      </c>
      <c r="Q376" t="inlineStr">
        <is>
          <t>Not stated on course page</t>
        </is>
      </c>
      <c r="S376" t="inlineStr"/>
      <c r="T376" t="inlineStr">
        <is>
          <t>Held: double degree (its parts are at different levels)</t>
        </is>
      </c>
      <c r="U376" t="inlineStr"/>
      <c r="V376" t="inlineStr">
        <is>
          <t>Not stated on course page</t>
        </is>
      </c>
      <c r="W376" t="inlineStr"/>
      <c r="X376" t="inlineStr"/>
      <c r="Y376" t="n">
        <v>0</v>
      </c>
      <c r="Z376" t="inlineStr">
        <is>
          <t>No</t>
        </is>
      </c>
      <c r="AA376" t="inlineStr">
        <is>
          <t>Filled</t>
        </is>
      </c>
      <c r="AB376" t="inlineStr">
        <is>
          <t>on campus</t>
        </is>
      </c>
      <c r="AC376" t="inlineStr"/>
      <c r="AD376" t="n">
        <v>0</v>
      </c>
      <c r="AE376" t="inlineStr"/>
      <c r="AF376" t="inlineStr"/>
      <c r="AG376" t="inlineStr"/>
      <c r="AH376" t="inlineStr"/>
      <c r="AI376" t="inlineStr"/>
      <c r="AJ376" t="inlineStr">
        <is>
          <t>Yes</t>
        </is>
      </c>
      <c r="AK376" t="inlineStr"/>
      <c r="AL376" t="inlineStr"/>
      <c r="AM376" t="inlineStr"/>
    </row>
    <row r="377">
      <c r="A377" t="inlineStr">
        <is>
          <t>103373C</t>
        </is>
      </c>
      <c r="B377" t="inlineStr">
        <is>
          <t>Master of Regulation and Governance</t>
        </is>
      </c>
      <c r="C377" t="inlineStr">
        <is>
          <t>Masters Degree (Coursework)</t>
        </is>
      </c>
      <c r="D377" t="inlineStr">
        <is>
          <t>Postgraduate coursework</t>
        </is>
      </c>
      <c r="E377" t="inlineStr">
        <is>
          <t>Advertised: official page in place</t>
        </is>
      </c>
      <c r="F377" t="inlineStr">
        <is>
          <t>https://programsandcourses.anu.edu.au/program/MRGOV</t>
        </is>
      </c>
      <c r="G377" t="inlineStr">
        <is>
          <t>https://programsandcourses.anu.edu.au/program/MRGOV</t>
        </is>
      </c>
      <c r="H377" t="inlineStr">
        <is>
          <t>Read</t>
        </is>
      </c>
      <c r="I377" t="inlineStr">
        <is>
          <t>Exact title match</t>
        </is>
      </c>
      <c r="J377" t="inlineStr"/>
      <c r="K377" t="inlineStr">
        <is>
          <t>Not sent to re-link</t>
        </is>
      </c>
      <c r="L377" t="inlineStr">
        <is>
          <t>Filled</t>
        </is>
      </c>
      <c r="M377" t="inlineStr">
        <is>
          <t>Filled</t>
        </is>
      </c>
      <c r="N377" t="inlineStr">
        <is>
          <t>57640.00 2026</t>
        </is>
      </c>
      <c r="O377" t="n">
        <v>0</v>
      </c>
      <c r="P377" t="inlineStr">
        <is>
          <t>University adapter</t>
        </is>
      </c>
      <c r="Q377" t="inlineStr">
        <is>
          <t>Filled</t>
        </is>
      </c>
      <c r="R377" t="n">
        <v>6.5</v>
      </c>
      <c r="S377" t="inlineStr">
        <is>
          <t>Central English policy</t>
        </is>
      </c>
      <c r="T377" t="inlineStr">
        <is>
          <t>Central rule applies (value agrees)</t>
        </is>
      </c>
      <c r="U377" t="inlineStr"/>
      <c r="V377" t="inlineStr">
        <is>
          <t>Not stated on course page</t>
        </is>
      </c>
      <c r="W377" t="inlineStr"/>
      <c r="X377" t="inlineStr"/>
      <c r="Y377" t="n">
        <v>0</v>
      </c>
      <c r="Z377" t="inlineStr">
        <is>
          <t>No</t>
        </is>
      </c>
      <c r="AA377" t="inlineStr">
        <is>
          <t>Filled</t>
        </is>
      </c>
      <c r="AB377" t="inlineStr">
        <is>
          <t>on campus</t>
        </is>
      </c>
      <c r="AC377" t="inlineStr"/>
      <c r="AD377" t="n">
        <v>0</v>
      </c>
      <c r="AE377" t="inlineStr"/>
      <c r="AF377" t="inlineStr"/>
      <c r="AG377" t="inlineStr"/>
      <c r="AH377" t="inlineStr"/>
      <c r="AI377" t="inlineStr"/>
      <c r="AJ377" t="inlineStr"/>
      <c r="AK377" t="inlineStr"/>
      <c r="AL377" t="inlineStr"/>
      <c r="AM377" t="inlineStr"/>
    </row>
    <row r="378">
      <c r="A378" t="inlineStr">
        <is>
          <t>119046J</t>
        </is>
      </c>
      <c r="B378" t="inlineStr">
        <is>
          <t>Master of Regulation and Governance</t>
        </is>
      </c>
      <c r="C378" t="inlineStr">
        <is>
          <t>Masters Degree (Coursework)</t>
        </is>
      </c>
      <c r="D378" t="inlineStr">
        <is>
          <t>Postgraduate coursework</t>
        </is>
      </c>
      <c r="E378" t="inlineStr">
        <is>
          <t>Advertised: official page in place</t>
        </is>
      </c>
      <c r="F378" t="inlineStr">
        <is>
          <t>https://programsandcourses.anu.edu.au/program/mrgov</t>
        </is>
      </c>
      <c r="G378" t="inlineStr">
        <is>
          <t>https://programsandcourses.anu.edu.au/program/mrgov</t>
        </is>
      </c>
      <c r="H378" t="inlineStr">
        <is>
          <t>Read</t>
        </is>
      </c>
      <c r="I378" t="inlineStr">
        <is>
          <t>CRICOS code on page</t>
        </is>
      </c>
      <c r="J378" t="inlineStr"/>
      <c r="K378" t="inlineStr">
        <is>
          <t>Not sent to re-link</t>
        </is>
      </c>
      <c r="L378" t="inlineStr">
        <is>
          <t>Filled</t>
        </is>
      </c>
      <c r="M378" t="inlineStr">
        <is>
          <t>Filled</t>
        </is>
      </c>
      <c r="N378" t="inlineStr">
        <is>
          <t>57640.00 2026</t>
        </is>
      </c>
      <c r="O378" t="n">
        <v>0</v>
      </c>
      <c r="P378" t="inlineStr">
        <is>
          <t>University adapter</t>
        </is>
      </c>
      <c r="Q378" t="inlineStr">
        <is>
          <t>Filled</t>
        </is>
      </c>
      <c r="R378" t="n">
        <v>6.5</v>
      </c>
      <c r="S378" t="inlineStr">
        <is>
          <t>Central English policy</t>
        </is>
      </c>
      <c r="T378" t="inlineStr">
        <is>
          <t>Central rule applies (value agrees)</t>
        </is>
      </c>
      <c r="U378" t="inlineStr"/>
      <c r="V378" t="inlineStr">
        <is>
          <t>Not stated on course page</t>
        </is>
      </c>
      <c r="W378" t="inlineStr"/>
      <c r="X378" t="inlineStr"/>
      <c r="Y378" t="n">
        <v>0</v>
      </c>
      <c r="Z378" t="inlineStr">
        <is>
          <t>No</t>
        </is>
      </c>
      <c r="AA378" t="inlineStr">
        <is>
          <t>Filled</t>
        </is>
      </c>
      <c r="AB378" t="inlineStr">
        <is>
          <t>on campus</t>
        </is>
      </c>
      <c r="AC378" t="inlineStr"/>
      <c r="AD378" t="n">
        <v>0</v>
      </c>
      <c r="AE378" t="inlineStr"/>
      <c r="AF378" t="inlineStr"/>
      <c r="AG378" t="inlineStr"/>
      <c r="AH378" t="inlineStr"/>
      <c r="AI378" t="inlineStr"/>
      <c r="AJ378" t="inlineStr"/>
      <c r="AK378" t="inlineStr"/>
      <c r="AL378" t="inlineStr"/>
      <c r="AM378" t="inlineStr"/>
    </row>
    <row r="379">
      <c r="A379" t="inlineStr">
        <is>
          <t>096439G</t>
        </is>
      </c>
      <c r="B379" t="inlineStr">
        <is>
          <t>Master of Science</t>
        </is>
      </c>
      <c r="C379" t="inlineStr">
        <is>
          <t>Masters Degree (Coursework)</t>
        </is>
      </c>
      <c r="D379" t="inlineStr">
        <is>
          <t>Postgraduate coursework</t>
        </is>
      </c>
      <c r="E379" t="inlineStr">
        <is>
          <t>Advertised: official page in place</t>
        </is>
      </c>
      <c r="F379" t="inlineStr">
        <is>
          <t>https://programsandcourses.anu.edu.au/program/nscbs</t>
        </is>
      </c>
      <c r="G379" t="inlineStr">
        <is>
          <t>https://programsandcourses.anu.edu.au/program/nscbs</t>
        </is>
      </c>
      <c r="H379" t="inlineStr">
        <is>
          <t>Read</t>
        </is>
      </c>
      <c r="I379" t="inlineStr">
        <is>
          <t>CRICOS code on page</t>
        </is>
      </c>
      <c r="J379" t="inlineStr"/>
      <c r="K379" t="inlineStr">
        <is>
          <t>Not sent to re-link</t>
        </is>
      </c>
      <c r="L379" t="inlineStr">
        <is>
          <t>Filled</t>
        </is>
      </c>
      <c r="M379" t="inlineStr">
        <is>
          <t>Filled</t>
        </is>
      </c>
      <c r="N379" t="inlineStr">
        <is>
          <t>57640.00 2026</t>
        </is>
      </c>
      <c r="O379" t="n">
        <v>0</v>
      </c>
      <c r="P379" t="inlineStr">
        <is>
          <t>University adapter</t>
        </is>
      </c>
      <c r="Q379" t="inlineStr">
        <is>
          <t>Filled</t>
        </is>
      </c>
      <c r="R379" t="n">
        <v>6.5</v>
      </c>
      <c r="S379" t="inlineStr">
        <is>
          <t>Central English policy</t>
        </is>
      </c>
      <c r="T379" t="inlineStr">
        <is>
          <t>Central rule applies (value agrees)</t>
        </is>
      </c>
      <c r="U379" t="inlineStr"/>
      <c r="V379" t="inlineStr">
        <is>
          <t>Not stated on course page</t>
        </is>
      </c>
      <c r="W379" t="inlineStr"/>
      <c r="X379" t="inlineStr"/>
      <c r="Y379" t="n">
        <v>0</v>
      </c>
      <c r="Z379" t="inlineStr">
        <is>
          <t>No</t>
        </is>
      </c>
      <c r="AA379" t="inlineStr">
        <is>
          <t>Filled</t>
        </is>
      </c>
      <c r="AB379" t="inlineStr">
        <is>
          <t>on campus</t>
        </is>
      </c>
      <c r="AC379" t="inlineStr"/>
      <c r="AD379" t="n">
        <v>0</v>
      </c>
      <c r="AE379" t="inlineStr"/>
      <c r="AF379" t="inlineStr"/>
      <c r="AG379" t="inlineStr"/>
      <c r="AH379" t="inlineStr"/>
      <c r="AI379" t="inlineStr"/>
      <c r="AJ379" t="inlineStr"/>
      <c r="AK379" t="inlineStr"/>
      <c r="AL379" t="inlineStr"/>
      <c r="AM379" t="inlineStr"/>
    </row>
    <row r="380">
      <c r="A380" t="inlineStr">
        <is>
          <t>096440D</t>
        </is>
      </c>
      <c r="B380" t="inlineStr">
        <is>
          <t>Master of Science (Advanced)</t>
        </is>
      </c>
      <c r="C380" t="inlineStr">
        <is>
          <t>Masters Degree (Coursework)</t>
        </is>
      </c>
      <c r="D380" t="inlineStr">
        <is>
          <t>Postgraduate coursework</t>
        </is>
      </c>
      <c r="E380" t="inlineStr">
        <is>
          <t>Advertised: official page in place</t>
        </is>
      </c>
      <c r="F380" t="inlineStr">
        <is>
          <t>https://programsandcourses.anu.edu.au/program/vscqb</t>
        </is>
      </c>
      <c r="G380" t="inlineStr">
        <is>
          <t>https://programsandcourses.anu.edu.au/program/vscqb</t>
        </is>
      </c>
      <c r="H380" t="inlineStr">
        <is>
          <t>Read</t>
        </is>
      </c>
      <c r="I380" t="inlineStr">
        <is>
          <t>CRICOS code on page</t>
        </is>
      </c>
      <c r="J380" t="inlineStr"/>
      <c r="K380" t="inlineStr">
        <is>
          <t>Not sent to re-link</t>
        </is>
      </c>
      <c r="L380" t="inlineStr">
        <is>
          <t>Filled</t>
        </is>
      </c>
      <c r="M380" t="inlineStr">
        <is>
          <t>Filled</t>
        </is>
      </c>
      <c r="N380" t="inlineStr">
        <is>
          <t>57640.00 2026</t>
        </is>
      </c>
      <c r="O380" t="n">
        <v>0</v>
      </c>
      <c r="P380" t="inlineStr">
        <is>
          <t>University adapter</t>
        </is>
      </c>
      <c r="Q380" t="inlineStr">
        <is>
          <t>Filled</t>
        </is>
      </c>
      <c r="R380" t="n">
        <v>6.5</v>
      </c>
      <c r="S380" t="inlineStr">
        <is>
          <t>Central English policy</t>
        </is>
      </c>
      <c r="T380" t="inlineStr">
        <is>
          <t>Central rule applies (value agrees)</t>
        </is>
      </c>
      <c r="U380" t="inlineStr"/>
      <c r="V380" t="inlineStr">
        <is>
          <t>Not stated on course page</t>
        </is>
      </c>
      <c r="W380" t="inlineStr"/>
      <c r="X380" t="inlineStr"/>
      <c r="Y380" t="n">
        <v>0</v>
      </c>
      <c r="Z380" t="inlineStr">
        <is>
          <t>No</t>
        </is>
      </c>
      <c r="AA380" t="inlineStr">
        <is>
          <t>Filled</t>
        </is>
      </c>
      <c r="AB380" t="inlineStr">
        <is>
          <t>on campus</t>
        </is>
      </c>
      <c r="AC380" t="inlineStr"/>
      <c r="AD380" t="n">
        <v>0</v>
      </c>
      <c r="AE380" t="inlineStr"/>
      <c r="AF380" t="inlineStr"/>
      <c r="AG380" t="inlineStr"/>
      <c r="AH380" t="inlineStr"/>
      <c r="AI380" t="inlineStr"/>
      <c r="AJ380" t="inlineStr"/>
      <c r="AK380" t="inlineStr"/>
      <c r="AL380" t="inlineStr"/>
      <c r="AM380" t="inlineStr"/>
    </row>
    <row r="381">
      <c r="A381" t="inlineStr">
        <is>
          <t>0101484</t>
        </is>
      </c>
      <c r="B381" t="inlineStr">
        <is>
          <t>Master of Science (Advanced) in Agricultural Innovation</t>
        </is>
      </c>
      <c r="C381" t="inlineStr">
        <is>
          <t>Masters Degree (Coursework)</t>
        </is>
      </c>
      <c r="D381" t="inlineStr">
        <is>
          <t>Postgraduate coursework</t>
        </is>
      </c>
      <c r="E381" t="inlineStr">
        <is>
          <t>Advertised: official page in place</t>
        </is>
      </c>
      <c r="F381" t="inlineStr">
        <is>
          <t>https://programsandcourses.anu.edu.au/2026/program/7670xvscai</t>
        </is>
      </c>
      <c r="G381" t="inlineStr">
        <is>
          <t>https://programsandcourses.anu.edu.au/2026/program/7670xvscai</t>
        </is>
      </c>
      <c r="H381" t="inlineStr">
        <is>
          <t>Read</t>
        </is>
      </c>
      <c r="I381" t="inlineStr">
        <is>
          <t>CRICOS code on page</t>
        </is>
      </c>
      <c r="J381" t="inlineStr"/>
      <c r="K381" t="inlineStr">
        <is>
          <t>Not sent to re-link</t>
        </is>
      </c>
      <c r="L381" t="inlineStr">
        <is>
          <t>Filled</t>
        </is>
      </c>
      <c r="M381" t="inlineStr">
        <is>
          <t>Filled</t>
        </is>
      </c>
      <c r="N381" t="inlineStr">
        <is>
          <t>56120.00 2026</t>
        </is>
      </c>
      <c r="O381" t="n">
        <v>0</v>
      </c>
      <c r="P381" t="inlineStr">
        <is>
          <t>University adapter</t>
        </is>
      </c>
      <c r="Q381" t="inlineStr">
        <is>
          <t>Filled</t>
        </is>
      </c>
      <c r="R381" t="n">
        <v>6.5</v>
      </c>
      <c r="S381" t="inlineStr">
        <is>
          <t>Central English policy</t>
        </is>
      </c>
      <c r="T381" t="inlineStr">
        <is>
          <t>Central rule applies (value agrees)</t>
        </is>
      </c>
      <c r="U381" t="inlineStr"/>
      <c r="V381" t="inlineStr">
        <is>
          <t>Not stated on course page</t>
        </is>
      </c>
      <c r="W381" t="inlineStr"/>
      <c r="X381" t="inlineStr"/>
      <c r="Y381" t="n">
        <v>0</v>
      </c>
      <c r="Z381" t="inlineStr">
        <is>
          <t>No</t>
        </is>
      </c>
      <c r="AA381" t="inlineStr">
        <is>
          <t>Filled</t>
        </is>
      </c>
      <c r="AB381" t="inlineStr">
        <is>
          <t>on campus</t>
        </is>
      </c>
      <c r="AC381" t="inlineStr"/>
      <c r="AD381" t="n">
        <v>0</v>
      </c>
      <c r="AE381" t="inlineStr"/>
      <c r="AF381" t="inlineStr"/>
      <c r="AG381" t="inlineStr"/>
      <c r="AH381" t="inlineStr"/>
      <c r="AI381" t="inlineStr"/>
      <c r="AJ381" t="inlineStr"/>
      <c r="AK381" t="inlineStr"/>
      <c r="AL381" t="inlineStr"/>
      <c r="AM381" t="inlineStr"/>
    </row>
    <row r="382">
      <c r="A382" t="inlineStr">
        <is>
          <t>0101477</t>
        </is>
      </c>
      <c r="B382" t="inlineStr">
        <is>
          <t>Master of Science (Advanced) in Astronomy and Astrophysics</t>
        </is>
      </c>
      <c r="C382" t="inlineStr">
        <is>
          <t>Masters Degree (Coursework)</t>
        </is>
      </c>
      <c r="D382" t="inlineStr">
        <is>
          <t>Postgraduate coursework</t>
        </is>
      </c>
      <c r="E382" t="inlineStr">
        <is>
          <t>Advertised: official page in place</t>
        </is>
      </c>
      <c r="F382" t="inlineStr">
        <is>
          <t>https://programsandcourses.anu.edu.au/program/vscaa</t>
        </is>
      </c>
      <c r="G382" t="inlineStr">
        <is>
          <t>https://programsandcourses.anu.edu.au/program/vscaa</t>
        </is>
      </c>
      <c r="H382" t="inlineStr">
        <is>
          <t>Read</t>
        </is>
      </c>
      <c r="I382" t="inlineStr">
        <is>
          <t>CRICOS code on page</t>
        </is>
      </c>
      <c r="J382" t="inlineStr"/>
      <c r="K382" t="inlineStr">
        <is>
          <t>Not sent to re-link</t>
        </is>
      </c>
      <c r="L382" t="inlineStr">
        <is>
          <t>Filled</t>
        </is>
      </c>
      <c r="M382" t="inlineStr">
        <is>
          <t>Filled</t>
        </is>
      </c>
      <c r="N382" t="inlineStr">
        <is>
          <t>57640.00 2026</t>
        </is>
      </c>
      <c r="O382" t="n">
        <v>0</v>
      </c>
      <c r="P382" t="inlineStr">
        <is>
          <t>University adapter</t>
        </is>
      </c>
      <c r="Q382" t="inlineStr">
        <is>
          <t>Filled</t>
        </is>
      </c>
      <c r="R382" t="n">
        <v>6.5</v>
      </c>
      <c r="S382" t="inlineStr">
        <is>
          <t>Central English policy</t>
        </is>
      </c>
      <c r="T382" t="inlineStr">
        <is>
          <t>Central rule applies (value agrees)</t>
        </is>
      </c>
      <c r="U382" t="inlineStr"/>
      <c r="V382" t="inlineStr">
        <is>
          <t>Not stated on course page</t>
        </is>
      </c>
      <c r="W382" t="inlineStr"/>
      <c r="X382" t="inlineStr"/>
      <c r="Y382" t="n">
        <v>0</v>
      </c>
      <c r="Z382" t="inlineStr">
        <is>
          <t>No</t>
        </is>
      </c>
      <c r="AA382" t="inlineStr">
        <is>
          <t>Filled</t>
        </is>
      </c>
      <c r="AB382" t="inlineStr">
        <is>
          <t>on campus</t>
        </is>
      </c>
      <c r="AC382" t="inlineStr"/>
      <c r="AD382" t="n">
        <v>0</v>
      </c>
      <c r="AE382" t="inlineStr"/>
      <c r="AF382" t="inlineStr"/>
      <c r="AG382" t="inlineStr"/>
      <c r="AH382" t="inlineStr"/>
      <c r="AI382" t="inlineStr"/>
      <c r="AJ382" t="inlineStr"/>
      <c r="AK382" t="inlineStr"/>
      <c r="AL382" t="inlineStr"/>
      <c r="AM382" t="inlineStr"/>
    </row>
    <row r="383">
      <c r="A383" t="inlineStr">
        <is>
          <t>102931H</t>
        </is>
      </c>
      <c r="B383" t="inlineStr">
        <is>
          <t>Master of Science (Advanced) in Materials Science</t>
        </is>
      </c>
      <c r="C383" t="inlineStr">
        <is>
          <t>Masters Degree (Coursework)</t>
        </is>
      </c>
      <c r="D383" t="inlineStr">
        <is>
          <t>Postgraduate coursework</t>
        </is>
      </c>
      <c r="E383" t="inlineStr">
        <is>
          <t>Advertised: official page in place</t>
        </is>
      </c>
      <c r="F383" t="inlineStr">
        <is>
          <t>https://programsandcourses.anu.edu.au/program/vscmc</t>
        </is>
      </c>
      <c r="G383" t="inlineStr">
        <is>
          <t>https://programsandcourses.anu.edu.au/program/vscmc</t>
        </is>
      </c>
      <c r="H383" t="inlineStr">
        <is>
          <t>Read</t>
        </is>
      </c>
      <c r="I383" t="inlineStr">
        <is>
          <t>CRICOS code on page</t>
        </is>
      </c>
      <c r="J383" t="inlineStr"/>
      <c r="K383" t="inlineStr">
        <is>
          <t>Not sent to re-link</t>
        </is>
      </c>
      <c r="L383" t="inlineStr">
        <is>
          <t>Filled</t>
        </is>
      </c>
      <c r="M383" t="inlineStr">
        <is>
          <t>Filled</t>
        </is>
      </c>
      <c r="N383" t="inlineStr">
        <is>
          <t>57640.00 2026</t>
        </is>
      </c>
      <c r="O383" t="n">
        <v>0</v>
      </c>
      <c r="P383" t="inlineStr">
        <is>
          <t>University adapter</t>
        </is>
      </c>
      <c r="Q383" t="inlineStr">
        <is>
          <t>Filled</t>
        </is>
      </c>
      <c r="R383" t="n">
        <v>6.5</v>
      </c>
      <c r="S383" t="inlineStr">
        <is>
          <t>Central English policy</t>
        </is>
      </c>
      <c r="T383" t="inlineStr">
        <is>
          <t>Central rule applies (value agrees)</t>
        </is>
      </c>
      <c r="U383" t="inlineStr"/>
      <c r="V383" t="inlineStr">
        <is>
          <t>Not stated on course page</t>
        </is>
      </c>
      <c r="W383" t="inlineStr"/>
      <c r="X383" t="inlineStr"/>
      <c r="Y383" t="n">
        <v>0</v>
      </c>
      <c r="Z383" t="inlineStr">
        <is>
          <t>No</t>
        </is>
      </c>
      <c r="AA383" t="inlineStr">
        <is>
          <t>Filled</t>
        </is>
      </c>
      <c r="AB383" t="inlineStr">
        <is>
          <t>on campus</t>
        </is>
      </c>
      <c r="AC383" t="inlineStr"/>
      <c r="AD383" t="n">
        <v>0</v>
      </c>
      <c r="AE383" t="inlineStr"/>
      <c r="AF383" t="inlineStr"/>
      <c r="AG383" t="inlineStr"/>
      <c r="AH383" t="inlineStr"/>
      <c r="AI383" t="inlineStr"/>
      <c r="AJ383" t="inlineStr"/>
      <c r="AK383" t="inlineStr"/>
      <c r="AL383" t="inlineStr"/>
      <c r="AM383" t="inlineStr"/>
    </row>
    <row r="384">
      <c r="A384" t="inlineStr">
        <is>
          <t>099251G</t>
        </is>
      </c>
      <c r="B384" t="inlineStr">
        <is>
          <t>Master of Science (Advanced) in Nuclear Science</t>
        </is>
      </c>
      <c r="C384" t="inlineStr">
        <is>
          <t>Masters Degree (Coursework)</t>
        </is>
      </c>
      <c r="D384" t="inlineStr">
        <is>
          <t>Postgraduate coursework</t>
        </is>
      </c>
      <c r="E384" t="inlineStr">
        <is>
          <t>Advertised: official page in place</t>
        </is>
      </c>
      <c r="F384" t="inlineStr">
        <is>
          <t>https://programsandcourses.anu.edu.au/program/vscns</t>
        </is>
      </c>
      <c r="G384" t="inlineStr">
        <is>
          <t>https://programsandcourses.anu.edu.au/program/vscns</t>
        </is>
      </c>
      <c r="H384" t="inlineStr">
        <is>
          <t>Read</t>
        </is>
      </c>
      <c r="I384" t="inlineStr">
        <is>
          <t>CRICOS code on page</t>
        </is>
      </c>
      <c r="J384" t="inlineStr"/>
      <c r="K384" t="inlineStr">
        <is>
          <t>Not sent to re-link</t>
        </is>
      </c>
      <c r="L384" t="inlineStr">
        <is>
          <t>Filled</t>
        </is>
      </c>
      <c r="M384" t="inlineStr">
        <is>
          <t>Filled</t>
        </is>
      </c>
      <c r="N384" t="inlineStr">
        <is>
          <t>57640.00 2026</t>
        </is>
      </c>
      <c r="O384" t="n">
        <v>0</v>
      </c>
      <c r="P384" t="inlineStr">
        <is>
          <t>University adapter</t>
        </is>
      </c>
      <c r="Q384" t="inlineStr">
        <is>
          <t>Filled</t>
        </is>
      </c>
      <c r="R384" t="n">
        <v>6.5</v>
      </c>
      <c r="S384" t="inlineStr">
        <is>
          <t>Central English policy</t>
        </is>
      </c>
      <c r="T384" t="inlineStr">
        <is>
          <t>Central rule applies (value agrees)</t>
        </is>
      </c>
      <c r="U384" t="inlineStr"/>
      <c r="V384" t="inlineStr">
        <is>
          <t>Not stated on course page</t>
        </is>
      </c>
      <c r="W384" t="inlineStr"/>
      <c r="X384" t="inlineStr"/>
      <c r="Y384" t="n">
        <v>0</v>
      </c>
      <c r="Z384" t="inlineStr">
        <is>
          <t>No</t>
        </is>
      </c>
      <c r="AA384" t="inlineStr">
        <is>
          <t>Filled</t>
        </is>
      </c>
      <c r="AB384" t="inlineStr">
        <is>
          <t>on campus</t>
        </is>
      </c>
      <c r="AC384" t="inlineStr"/>
      <c r="AD384" t="n">
        <v>0</v>
      </c>
      <c r="AE384" t="inlineStr"/>
      <c r="AF384" t="inlineStr"/>
      <c r="AG384" t="inlineStr"/>
      <c r="AH384" t="inlineStr"/>
      <c r="AI384" t="inlineStr"/>
      <c r="AJ384" t="inlineStr"/>
      <c r="AK384" t="inlineStr"/>
      <c r="AL384" t="inlineStr"/>
      <c r="AM384" t="inlineStr"/>
    </row>
    <row r="385">
      <c r="A385" t="inlineStr">
        <is>
          <t>099249A</t>
        </is>
      </c>
      <c r="B385" t="inlineStr">
        <is>
          <t>Master of Science (Advanced) in Precision Instrumentation and Measurement</t>
        </is>
      </c>
      <c r="C385" t="inlineStr">
        <is>
          <t>Masters Degree (Coursework)</t>
        </is>
      </c>
      <c r="D385" t="inlineStr">
        <is>
          <t>Postgraduate coursework</t>
        </is>
      </c>
      <c r="E385" t="inlineStr">
        <is>
          <t>Advertised: official page in place</t>
        </is>
      </c>
      <c r="F385" t="inlineStr">
        <is>
          <t>https://programsandcourses.anu.edu.au/program/vscpi</t>
        </is>
      </c>
      <c r="G385" t="inlineStr">
        <is>
          <t>https://programsandcourses.anu.edu.au/program/vscpi</t>
        </is>
      </c>
      <c r="H385" t="inlineStr">
        <is>
          <t>Read</t>
        </is>
      </c>
      <c r="I385" t="inlineStr">
        <is>
          <t>CRICOS code on page</t>
        </is>
      </c>
      <c r="J385" t="inlineStr"/>
      <c r="K385" t="inlineStr">
        <is>
          <t>Not sent to re-link</t>
        </is>
      </c>
      <c r="L385" t="inlineStr">
        <is>
          <t>Filled</t>
        </is>
      </c>
      <c r="M385" t="inlineStr">
        <is>
          <t>Filled</t>
        </is>
      </c>
      <c r="N385" t="inlineStr">
        <is>
          <t>57640.00 2026</t>
        </is>
      </c>
      <c r="O385" t="n">
        <v>0</v>
      </c>
      <c r="P385" t="inlineStr">
        <is>
          <t>University adapter</t>
        </is>
      </c>
      <c r="Q385" t="inlineStr">
        <is>
          <t>Filled</t>
        </is>
      </c>
      <c r="R385" t="n">
        <v>6.5</v>
      </c>
      <c r="S385" t="inlineStr">
        <is>
          <t>Central English policy</t>
        </is>
      </c>
      <c r="T385" t="inlineStr">
        <is>
          <t>Central rule applies (value agrees)</t>
        </is>
      </c>
      <c r="U385" t="inlineStr"/>
      <c r="V385" t="inlineStr">
        <is>
          <t>Not stated on course page</t>
        </is>
      </c>
      <c r="W385" t="inlineStr"/>
      <c r="X385" t="inlineStr"/>
      <c r="Y385" t="n">
        <v>0</v>
      </c>
      <c r="Z385" t="inlineStr">
        <is>
          <t>No</t>
        </is>
      </c>
      <c r="AA385" t="inlineStr">
        <is>
          <t>Filled</t>
        </is>
      </c>
      <c r="AB385" t="inlineStr">
        <is>
          <t>on campus</t>
        </is>
      </c>
      <c r="AC385" t="inlineStr"/>
      <c r="AD385" t="n">
        <v>0</v>
      </c>
      <c r="AE385" t="inlineStr"/>
      <c r="AF385" t="inlineStr"/>
      <c r="AG385" t="inlineStr"/>
      <c r="AH385" t="inlineStr"/>
      <c r="AI385" t="inlineStr"/>
      <c r="AJ385" t="inlineStr"/>
      <c r="AK385" t="inlineStr"/>
      <c r="AL385" t="inlineStr"/>
      <c r="AM385" t="inlineStr"/>
    </row>
    <row r="386">
      <c r="A386" t="inlineStr">
        <is>
          <t>099253E</t>
        </is>
      </c>
      <c r="B386" t="inlineStr">
        <is>
          <t>Master of Science (Advanced) in Quantum Technology</t>
        </is>
      </c>
      <c r="C386" t="inlineStr">
        <is>
          <t>Masters Degree (Coursework)</t>
        </is>
      </c>
      <c r="D386" t="inlineStr">
        <is>
          <t>Postgraduate coursework</t>
        </is>
      </c>
      <c r="E386" t="inlineStr">
        <is>
          <t>Advertised: official page in place</t>
        </is>
      </c>
      <c r="F386" t="inlineStr">
        <is>
          <t>https://programsandcourses.anu.edu.au/program/vscqt</t>
        </is>
      </c>
      <c r="G386" t="inlineStr">
        <is>
          <t>https://programsandcourses.anu.edu.au/program/vscqt</t>
        </is>
      </c>
      <c r="H386" t="inlineStr">
        <is>
          <t>Read</t>
        </is>
      </c>
      <c r="I386" t="inlineStr">
        <is>
          <t>CRICOS code on page</t>
        </is>
      </c>
      <c r="J386" t="inlineStr"/>
      <c r="K386" t="inlineStr">
        <is>
          <t>Not sent to re-link</t>
        </is>
      </c>
      <c r="L386" t="inlineStr">
        <is>
          <t>Filled</t>
        </is>
      </c>
      <c r="M386" t="inlineStr">
        <is>
          <t>Filled</t>
        </is>
      </c>
      <c r="N386" t="inlineStr">
        <is>
          <t>57640.00 2026</t>
        </is>
      </c>
      <c r="O386" t="n">
        <v>0</v>
      </c>
      <c r="P386" t="inlineStr">
        <is>
          <t>University adapter</t>
        </is>
      </c>
      <c r="Q386" t="inlineStr">
        <is>
          <t>Filled</t>
        </is>
      </c>
      <c r="R386" t="n">
        <v>6.5</v>
      </c>
      <c r="S386" t="inlineStr">
        <is>
          <t>Central English policy</t>
        </is>
      </c>
      <c r="T386" t="inlineStr">
        <is>
          <t>Central rule applies (value agrees)</t>
        </is>
      </c>
      <c r="U386" t="inlineStr"/>
      <c r="V386" t="inlineStr">
        <is>
          <t>Not stated on course page</t>
        </is>
      </c>
      <c r="W386" t="inlineStr"/>
      <c r="X386" t="inlineStr"/>
      <c r="Y386" t="n">
        <v>0</v>
      </c>
      <c r="Z386" t="inlineStr">
        <is>
          <t>No</t>
        </is>
      </c>
      <c r="AA386" t="inlineStr">
        <is>
          <t>Filled</t>
        </is>
      </c>
      <c r="AB386" t="inlineStr">
        <is>
          <t>on campus</t>
        </is>
      </c>
      <c r="AC386" t="inlineStr"/>
      <c r="AD386" t="n">
        <v>0</v>
      </c>
      <c r="AE386" t="inlineStr"/>
      <c r="AF386" t="inlineStr"/>
      <c r="AG386" t="inlineStr"/>
      <c r="AH386" t="inlineStr"/>
      <c r="AI386" t="inlineStr"/>
      <c r="AJ386" t="inlineStr"/>
      <c r="AK386" t="inlineStr"/>
      <c r="AL386" t="inlineStr"/>
      <c r="AM386" t="inlineStr"/>
    </row>
    <row r="387">
      <c r="A387" t="inlineStr">
        <is>
          <t>0101482</t>
        </is>
      </c>
      <c r="B387" t="inlineStr">
        <is>
          <t>Master of Science (Advanced) in Theoretical Physics</t>
        </is>
      </c>
      <c r="C387" t="inlineStr">
        <is>
          <t>Masters Degree (Coursework)</t>
        </is>
      </c>
      <c r="D387" t="inlineStr">
        <is>
          <t>Postgraduate coursework</t>
        </is>
      </c>
      <c r="E387" t="inlineStr">
        <is>
          <t>Advertised: official page in place</t>
        </is>
      </c>
      <c r="F387" t="inlineStr">
        <is>
          <t>https://programsandcourses.anu.edu.au/program/vsctp</t>
        </is>
      </c>
      <c r="G387" t="inlineStr">
        <is>
          <t>https://programsandcourses.anu.edu.au/program/vsctp</t>
        </is>
      </c>
      <c r="H387" t="inlineStr">
        <is>
          <t>Read</t>
        </is>
      </c>
      <c r="I387" t="inlineStr">
        <is>
          <t>CRICOS code on page</t>
        </is>
      </c>
      <c r="J387" t="inlineStr"/>
      <c r="K387" t="inlineStr">
        <is>
          <t>Not sent to re-link</t>
        </is>
      </c>
      <c r="L387" t="inlineStr">
        <is>
          <t>Filled</t>
        </is>
      </c>
      <c r="M387" t="inlineStr">
        <is>
          <t>Filled</t>
        </is>
      </c>
      <c r="N387" t="inlineStr">
        <is>
          <t>57640.00 2026</t>
        </is>
      </c>
      <c r="O387" t="n">
        <v>0</v>
      </c>
      <c r="P387" t="inlineStr">
        <is>
          <t>University adapter</t>
        </is>
      </c>
      <c r="Q387" t="inlineStr">
        <is>
          <t>Filled</t>
        </is>
      </c>
      <c r="R387" t="n">
        <v>6.5</v>
      </c>
      <c r="S387" t="inlineStr">
        <is>
          <t>Central English policy</t>
        </is>
      </c>
      <c r="T387" t="inlineStr">
        <is>
          <t>Central rule applies (value agrees)</t>
        </is>
      </c>
      <c r="U387" t="inlineStr"/>
      <c r="V387" t="inlineStr">
        <is>
          <t>Not stated on course page</t>
        </is>
      </c>
      <c r="W387" t="inlineStr"/>
      <c r="X387" t="inlineStr"/>
      <c r="Y387" t="n">
        <v>0</v>
      </c>
      <c r="Z387" t="inlineStr">
        <is>
          <t>No</t>
        </is>
      </c>
      <c r="AA387" t="inlineStr">
        <is>
          <t>Filled</t>
        </is>
      </c>
      <c r="AB387" t="inlineStr">
        <is>
          <t>on campus</t>
        </is>
      </c>
      <c r="AC387" t="inlineStr"/>
      <c r="AD387" t="n">
        <v>0</v>
      </c>
      <c r="AE387" t="inlineStr"/>
      <c r="AF387" t="inlineStr"/>
      <c r="AG387" t="inlineStr"/>
      <c r="AH387" t="inlineStr"/>
      <c r="AI387" t="inlineStr"/>
      <c r="AJ387" t="inlineStr"/>
      <c r="AK387" t="inlineStr"/>
      <c r="AL387" t="inlineStr"/>
      <c r="AM387" t="inlineStr"/>
    </row>
    <row r="388">
      <c r="A388" t="inlineStr">
        <is>
          <t>082350K</t>
        </is>
      </c>
      <c r="B388" t="inlineStr">
        <is>
          <t>Master of Science Communication</t>
        </is>
      </c>
      <c r="C388" t="inlineStr">
        <is>
          <t>Masters Degree (Coursework)</t>
        </is>
      </c>
      <c r="D388" t="inlineStr">
        <is>
          <t>Postgraduate coursework</t>
        </is>
      </c>
      <c r="E388" t="inlineStr">
        <is>
          <t>Advertised: official page in place</t>
        </is>
      </c>
      <c r="F388" t="inlineStr">
        <is>
          <t>https://programsandcourses.anu.edu.au/program/mscom</t>
        </is>
      </c>
      <c r="G388" t="inlineStr">
        <is>
          <t>https://programsandcourses.anu.edu.au/program/mscom</t>
        </is>
      </c>
      <c r="H388" t="inlineStr">
        <is>
          <t>Read</t>
        </is>
      </c>
      <c r="I388" t="inlineStr">
        <is>
          <t>CRICOS code on page</t>
        </is>
      </c>
      <c r="J388" t="inlineStr"/>
      <c r="K388" t="inlineStr">
        <is>
          <t>Not sent to re-link</t>
        </is>
      </c>
      <c r="L388" t="inlineStr">
        <is>
          <t>Filled</t>
        </is>
      </c>
      <c r="M388" t="inlineStr">
        <is>
          <t>Filled</t>
        </is>
      </c>
      <c r="N388" t="inlineStr">
        <is>
          <t>57640.00 2026</t>
        </is>
      </c>
      <c r="O388" t="n">
        <v>0</v>
      </c>
      <c r="P388" t="inlineStr">
        <is>
          <t>University adapter</t>
        </is>
      </c>
      <c r="Q388" t="inlineStr">
        <is>
          <t>Filled</t>
        </is>
      </c>
      <c r="R388" t="n">
        <v>6.5</v>
      </c>
      <c r="S388" t="inlineStr">
        <is>
          <t>Central English policy</t>
        </is>
      </c>
      <c r="T388" t="inlineStr">
        <is>
          <t>Central rule applies (value agrees)</t>
        </is>
      </c>
      <c r="U388" t="inlineStr"/>
      <c r="V388" t="inlineStr">
        <is>
          <t>Not stated on course page</t>
        </is>
      </c>
      <c r="W388" t="inlineStr"/>
      <c r="X388" t="inlineStr"/>
      <c r="Y388" t="n">
        <v>0</v>
      </c>
      <c r="Z388" t="inlineStr">
        <is>
          <t>No</t>
        </is>
      </c>
      <c r="AA388" t="inlineStr">
        <is>
          <t>Filled</t>
        </is>
      </c>
      <c r="AB388" t="inlineStr">
        <is>
          <t>on campus</t>
        </is>
      </c>
      <c r="AC388" t="inlineStr"/>
      <c r="AD388" t="n">
        <v>0</v>
      </c>
      <c r="AE388" t="inlineStr"/>
      <c r="AF388" t="inlineStr"/>
      <c r="AG388" t="inlineStr"/>
      <c r="AH388" t="inlineStr"/>
      <c r="AI388" t="inlineStr"/>
      <c r="AJ388" t="inlineStr"/>
      <c r="AK388" t="inlineStr"/>
      <c r="AL388" t="inlineStr"/>
      <c r="AM388" t="inlineStr"/>
    </row>
    <row r="389">
      <c r="A389" t="inlineStr">
        <is>
          <t>083816F</t>
        </is>
      </c>
      <c r="B389" t="inlineStr">
        <is>
          <t>Master of Science Communication Outreach</t>
        </is>
      </c>
      <c r="C389" t="inlineStr">
        <is>
          <t>Masters Degree (Coursework)</t>
        </is>
      </c>
      <c r="D389" t="inlineStr">
        <is>
          <t>Postgraduate coursework</t>
        </is>
      </c>
      <c r="E389" t="inlineStr">
        <is>
          <t>Advertised: official page in place</t>
        </is>
      </c>
      <c r="F389" t="inlineStr">
        <is>
          <t>https://programsandcourses.anu.edu.au/2015/program/7624xmsco</t>
        </is>
      </c>
      <c r="G389" t="inlineStr">
        <is>
          <t>https://programsandcourses.anu.edu.au/2021/program/7624xmsco</t>
        </is>
      </c>
      <c r="H389" t="inlineStr">
        <is>
          <t>Read</t>
        </is>
      </c>
      <c r="I389" t="inlineStr">
        <is>
          <t>CRICOS code on page</t>
        </is>
      </c>
      <c r="J389" t="inlineStr"/>
      <c r="K389" t="inlineStr">
        <is>
          <t>Not sent to re-link</t>
        </is>
      </c>
      <c r="L389" t="inlineStr">
        <is>
          <t>Filled</t>
        </is>
      </c>
      <c r="M389" t="inlineStr">
        <is>
          <t>Filled</t>
        </is>
      </c>
      <c r="N389" t="inlineStr">
        <is>
          <t>48384.00 2026</t>
        </is>
      </c>
      <c r="O389" t="n">
        <v>0</v>
      </c>
      <c r="P389" t="inlineStr">
        <is>
          <t>University adapter</t>
        </is>
      </c>
      <c r="Q389" t="inlineStr">
        <is>
          <t>Filled</t>
        </is>
      </c>
      <c r="R389" t="n">
        <v>6.5</v>
      </c>
      <c r="S389" t="inlineStr">
        <is>
          <t>Central English policy</t>
        </is>
      </c>
      <c r="T389" t="inlineStr">
        <is>
          <t>Central rule applies (value agrees)</t>
        </is>
      </c>
      <c r="U389" t="inlineStr"/>
      <c r="V389" t="inlineStr">
        <is>
          <t>Not stated on course page</t>
        </is>
      </c>
      <c r="W389" t="inlineStr"/>
      <c r="X389" t="inlineStr"/>
      <c r="Y389" t="n">
        <v>0</v>
      </c>
      <c r="Z389" t="inlineStr">
        <is>
          <t>No</t>
        </is>
      </c>
      <c r="AA389" t="inlineStr">
        <is>
          <t>Filled</t>
        </is>
      </c>
      <c r="AB389" t="inlineStr">
        <is>
          <t>on campus</t>
        </is>
      </c>
      <c r="AC389" t="inlineStr"/>
      <c r="AD389" t="n">
        <v>0</v>
      </c>
      <c r="AE389" t="inlineStr"/>
      <c r="AF389" t="inlineStr"/>
      <c r="AG389" t="inlineStr"/>
      <c r="AH389" t="inlineStr"/>
      <c r="AI389" t="inlineStr"/>
      <c r="AJ389" t="inlineStr"/>
      <c r="AK389" t="inlineStr"/>
      <c r="AL389" t="inlineStr"/>
      <c r="AM389" t="inlineStr"/>
    </row>
    <row r="390">
      <c r="A390" t="inlineStr">
        <is>
          <t>0101483</t>
        </is>
      </c>
      <c r="B390" t="inlineStr">
        <is>
          <t>Master of Science in Agricultural Innovation</t>
        </is>
      </c>
      <c r="C390" t="inlineStr">
        <is>
          <t>Masters Degree (Coursework)</t>
        </is>
      </c>
      <c r="D390" t="inlineStr">
        <is>
          <t>Postgraduate coursework</t>
        </is>
      </c>
      <c r="E390" t="inlineStr">
        <is>
          <t>Advertised: official page in place</t>
        </is>
      </c>
      <c r="F390" t="inlineStr">
        <is>
          <t>https://programsandcourses.anu.edu.au/2027/program/7670xnscai</t>
        </is>
      </c>
      <c r="G390" t="inlineStr">
        <is>
          <t>https://programsandcourses.anu.edu.au/2027/program/7670xnscai</t>
        </is>
      </c>
      <c r="H390" t="inlineStr">
        <is>
          <t>Read</t>
        </is>
      </c>
      <c r="I390" t="inlineStr">
        <is>
          <t>CRICOS code on page</t>
        </is>
      </c>
      <c r="J390" t="inlineStr"/>
      <c r="K390" t="inlineStr">
        <is>
          <t>Not sent to re-link</t>
        </is>
      </c>
      <c r="L390" t="inlineStr">
        <is>
          <t>Filled</t>
        </is>
      </c>
      <c r="M390" t="inlineStr">
        <is>
          <t>Filled</t>
        </is>
      </c>
      <c r="N390" t="inlineStr">
        <is>
          <t>57640.00 2026</t>
        </is>
      </c>
      <c r="O390" t="n">
        <v>0</v>
      </c>
      <c r="P390" t="inlineStr">
        <is>
          <t>University adapter</t>
        </is>
      </c>
      <c r="Q390" t="inlineStr">
        <is>
          <t>Filled</t>
        </is>
      </c>
      <c r="R390" t="n">
        <v>6.5</v>
      </c>
      <c r="S390" t="inlineStr">
        <is>
          <t>Central English policy</t>
        </is>
      </c>
      <c r="T390" t="inlineStr">
        <is>
          <t>Central rule applies (value agrees)</t>
        </is>
      </c>
      <c r="U390" t="inlineStr"/>
      <c r="V390" t="inlineStr">
        <is>
          <t>Not stated on course page</t>
        </is>
      </c>
      <c r="W390" t="inlineStr"/>
      <c r="X390" t="inlineStr"/>
      <c r="Y390" t="n">
        <v>0</v>
      </c>
      <c r="Z390" t="inlineStr">
        <is>
          <t>No</t>
        </is>
      </c>
      <c r="AA390" t="inlineStr">
        <is>
          <t>Filled</t>
        </is>
      </c>
      <c r="AB390" t="inlineStr">
        <is>
          <t>on campus</t>
        </is>
      </c>
      <c r="AC390" t="inlineStr"/>
      <c r="AD390" t="n">
        <v>0</v>
      </c>
      <c r="AE390" t="inlineStr"/>
      <c r="AF390" t="inlineStr"/>
      <c r="AG390" t="inlineStr"/>
      <c r="AH390" t="inlineStr"/>
      <c r="AI390" t="inlineStr"/>
      <c r="AJ390" t="inlineStr"/>
      <c r="AK390" t="inlineStr"/>
      <c r="AL390" t="inlineStr"/>
      <c r="AM390" t="inlineStr"/>
    </row>
    <row r="391">
      <c r="A391" t="inlineStr">
        <is>
          <t>0101476</t>
        </is>
      </c>
      <c r="B391" t="inlineStr">
        <is>
          <t>Master of Science in Astronomy and Astrophysics</t>
        </is>
      </c>
      <c r="C391" t="inlineStr">
        <is>
          <t>Masters Degree (Coursework)</t>
        </is>
      </c>
      <c r="D391" t="inlineStr">
        <is>
          <t>Postgraduate coursework</t>
        </is>
      </c>
      <c r="E391" t="inlineStr">
        <is>
          <t>Advertised: official page in place</t>
        </is>
      </c>
      <c r="F391" t="inlineStr">
        <is>
          <t>https://programsandcourses.anu.edu.au/program/nscaa</t>
        </is>
      </c>
      <c r="G391" t="inlineStr">
        <is>
          <t>https://programsandcourses.anu.edu.au/program/nscaa</t>
        </is>
      </c>
      <c r="H391" t="inlineStr">
        <is>
          <t>Read</t>
        </is>
      </c>
      <c r="I391" t="inlineStr">
        <is>
          <t>CRICOS code on page</t>
        </is>
      </c>
      <c r="J391" t="inlineStr"/>
      <c r="K391" t="inlineStr">
        <is>
          <t>Not sent to re-link</t>
        </is>
      </c>
      <c r="L391" t="inlineStr">
        <is>
          <t>Filled</t>
        </is>
      </c>
      <c r="M391" t="inlineStr">
        <is>
          <t>Filled</t>
        </is>
      </c>
      <c r="N391" t="inlineStr">
        <is>
          <t>57640.00 2026</t>
        </is>
      </c>
      <c r="O391" t="n">
        <v>0</v>
      </c>
      <c r="P391" t="inlineStr">
        <is>
          <t>University adapter</t>
        </is>
      </c>
      <c r="Q391" t="inlineStr">
        <is>
          <t>Filled</t>
        </is>
      </c>
      <c r="R391" t="n">
        <v>6.5</v>
      </c>
      <c r="S391" t="inlineStr">
        <is>
          <t>Central English policy</t>
        </is>
      </c>
      <c r="T391" t="inlineStr">
        <is>
          <t>Central rule applies (value agrees)</t>
        </is>
      </c>
      <c r="U391" t="inlineStr"/>
      <c r="V391" t="inlineStr">
        <is>
          <t>Not stated on course page</t>
        </is>
      </c>
      <c r="W391" t="inlineStr"/>
      <c r="X391" t="inlineStr"/>
      <c r="Y391" t="n">
        <v>0</v>
      </c>
      <c r="Z391" t="inlineStr">
        <is>
          <t>No</t>
        </is>
      </c>
      <c r="AA391" t="inlineStr">
        <is>
          <t>Filled</t>
        </is>
      </c>
      <c r="AB391" t="inlineStr">
        <is>
          <t>on campus</t>
        </is>
      </c>
      <c r="AC391" t="inlineStr"/>
      <c r="AD391" t="n">
        <v>0</v>
      </c>
      <c r="AE391" t="inlineStr"/>
      <c r="AF391" t="inlineStr"/>
      <c r="AG391" t="inlineStr"/>
      <c r="AH391" t="inlineStr"/>
      <c r="AI391" t="inlineStr"/>
      <c r="AJ391" t="inlineStr"/>
      <c r="AK391" t="inlineStr"/>
      <c r="AL391" t="inlineStr"/>
      <c r="AM391" t="inlineStr"/>
    </row>
    <row r="392">
      <c r="A392" t="inlineStr">
        <is>
          <t>0101480</t>
        </is>
      </c>
      <c r="B392" t="inlineStr">
        <is>
          <t>Master of Science in Earth Sciences</t>
        </is>
      </c>
      <c r="C392" t="inlineStr">
        <is>
          <t>Masters Degree (Coursework)</t>
        </is>
      </c>
      <c r="D392" t="inlineStr">
        <is>
          <t>Postgraduate coursework</t>
        </is>
      </c>
      <c r="E392" t="inlineStr">
        <is>
          <t>Advertised: official page in place</t>
        </is>
      </c>
      <c r="F392" t="inlineStr">
        <is>
          <t>https://programsandcourses.anu.edu.au/program/nsces</t>
        </is>
      </c>
      <c r="G392" t="inlineStr">
        <is>
          <t>https://programsandcourses.anu.edu.au/program/nsces</t>
        </is>
      </c>
      <c r="H392" t="inlineStr">
        <is>
          <t>Read</t>
        </is>
      </c>
      <c r="I392" t="inlineStr">
        <is>
          <t>CRICOS code on page</t>
        </is>
      </c>
      <c r="J392" t="inlineStr"/>
      <c r="K392" t="inlineStr">
        <is>
          <t>Not sent to re-link</t>
        </is>
      </c>
      <c r="L392" t="inlineStr">
        <is>
          <t>Filled</t>
        </is>
      </c>
      <c r="M392" t="inlineStr">
        <is>
          <t>Filled</t>
        </is>
      </c>
      <c r="N392" t="inlineStr">
        <is>
          <t>57640.00 2026</t>
        </is>
      </c>
      <c r="O392" t="n">
        <v>0</v>
      </c>
      <c r="P392" t="inlineStr">
        <is>
          <t>University adapter</t>
        </is>
      </c>
      <c r="Q392" t="inlineStr">
        <is>
          <t>Filled</t>
        </is>
      </c>
      <c r="R392" t="n">
        <v>6.5</v>
      </c>
      <c r="S392" t="inlineStr">
        <is>
          <t>Central English policy</t>
        </is>
      </c>
      <c r="T392" t="inlineStr">
        <is>
          <t>Central rule applies (value agrees)</t>
        </is>
      </c>
      <c r="U392" t="inlineStr"/>
      <c r="V392" t="inlineStr">
        <is>
          <t>Not stated on course page</t>
        </is>
      </c>
      <c r="W392" t="inlineStr"/>
      <c r="X392" t="inlineStr"/>
      <c r="Y392" t="n">
        <v>0</v>
      </c>
      <c r="Z392" t="inlineStr">
        <is>
          <t>No</t>
        </is>
      </c>
      <c r="AA392" t="inlineStr">
        <is>
          <t>Filled</t>
        </is>
      </c>
      <c r="AB392" t="inlineStr">
        <is>
          <t>on campus</t>
        </is>
      </c>
      <c r="AC392" t="inlineStr"/>
      <c r="AD392" t="n">
        <v>0</v>
      </c>
      <c r="AE392" t="inlineStr"/>
      <c r="AF392" t="inlineStr"/>
      <c r="AG392" t="inlineStr"/>
      <c r="AH392" t="inlineStr"/>
      <c r="AI392" t="inlineStr"/>
      <c r="AJ392" t="inlineStr"/>
      <c r="AK392" t="inlineStr"/>
      <c r="AL392" t="inlineStr"/>
      <c r="AM392" t="inlineStr"/>
    </row>
    <row r="393">
      <c r="A393" t="inlineStr">
        <is>
          <t>102930J</t>
        </is>
      </c>
      <c r="B393" t="inlineStr">
        <is>
          <t>Master of Science in Materials Science</t>
        </is>
      </c>
      <c r="C393" t="inlineStr">
        <is>
          <t>Masters Degree (Coursework)</t>
        </is>
      </c>
      <c r="D393" t="inlineStr">
        <is>
          <t>Postgraduate coursework</t>
        </is>
      </c>
      <c r="E393" t="inlineStr">
        <is>
          <t>Advertised: official page in place</t>
        </is>
      </c>
      <c r="F393" t="inlineStr">
        <is>
          <t>https://programsandcourses.anu.edu.au/program/nscmc</t>
        </is>
      </c>
      <c r="G393" t="inlineStr">
        <is>
          <t>https://programsandcourses.anu.edu.au/program/nscmc</t>
        </is>
      </c>
      <c r="H393" t="inlineStr">
        <is>
          <t>Read</t>
        </is>
      </c>
      <c r="I393" t="inlineStr">
        <is>
          <t>CRICOS code on page</t>
        </is>
      </c>
      <c r="J393" t="inlineStr"/>
      <c r="K393" t="inlineStr">
        <is>
          <t>Not sent to re-link</t>
        </is>
      </c>
      <c r="L393" t="inlineStr">
        <is>
          <t>Filled</t>
        </is>
      </c>
      <c r="M393" t="inlineStr">
        <is>
          <t>Filled</t>
        </is>
      </c>
      <c r="N393" t="inlineStr">
        <is>
          <t>57640.00 2026</t>
        </is>
      </c>
      <c r="O393" t="n">
        <v>0</v>
      </c>
      <c r="P393" t="inlineStr">
        <is>
          <t>University adapter</t>
        </is>
      </c>
      <c r="Q393" t="inlineStr">
        <is>
          <t>Filled</t>
        </is>
      </c>
      <c r="R393" t="n">
        <v>6.5</v>
      </c>
      <c r="S393" t="inlineStr">
        <is>
          <t>Central English policy</t>
        </is>
      </c>
      <c r="T393" t="inlineStr">
        <is>
          <t>Central rule applies (value agrees)</t>
        </is>
      </c>
      <c r="U393" t="inlineStr"/>
      <c r="V393" t="inlineStr">
        <is>
          <t>Not stated on course page</t>
        </is>
      </c>
      <c r="W393" t="inlineStr"/>
      <c r="X393" t="inlineStr"/>
      <c r="Y393" t="n">
        <v>0</v>
      </c>
      <c r="Z393" t="inlineStr">
        <is>
          <t>No</t>
        </is>
      </c>
      <c r="AA393" t="inlineStr">
        <is>
          <t>Filled</t>
        </is>
      </c>
      <c r="AB393" t="inlineStr">
        <is>
          <t>on campus</t>
        </is>
      </c>
      <c r="AC393" t="inlineStr"/>
      <c r="AD393" t="n">
        <v>0</v>
      </c>
      <c r="AE393" t="inlineStr"/>
      <c r="AF393" t="inlineStr"/>
      <c r="AG393" t="inlineStr"/>
      <c r="AH393" t="inlineStr"/>
      <c r="AI393" t="inlineStr"/>
      <c r="AJ393" t="inlineStr"/>
      <c r="AK393" t="inlineStr"/>
      <c r="AL393" t="inlineStr"/>
      <c r="AM393" t="inlineStr"/>
    </row>
    <row r="394">
      <c r="A394" t="inlineStr">
        <is>
          <t>102929B</t>
        </is>
      </c>
      <c r="B394" t="inlineStr">
        <is>
          <t>Master of Science in Mathematical Science</t>
        </is>
      </c>
      <c r="C394" t="inlineStr">
        <is>
          <t>Masters Degree (Coursework)</t>
        </is>
      </c>
      <c r="D394" t="inlineStr">
        <is>
          <t>Postgraduate coursework</t>
        </is>
      </c>
      <c r="E394" t="inlineStr">
        <is>
          <t>Advertised: official page in place</t>
        </is>
      </c>
      <c r="F394" t="inlineStr">
        <is>
          <t>https://programsandcourses.anu.edu.au/program/7670xnscms</t>
        </is>
      </c>
      <c r="G394" t="inlineStr">
        <is>
          <t>https://programsandcourses.anu.edu.au/program/7670xnscms</t>
        </is>
      </c>
      <c r="H394" t="inlineStr">
        <is>
          <t>Read</t>
        </is>
      </c>
      <c r="I394" t="inlineStr">
        <is>
          <t>CRICOS code on page</t>
        </is>
      </c>
      <c r="J394" t="inlineStr"/>
      <c r="K394" t="inlineStr">
        <is>
          <t>Not sent to re-link</t>
        </is>
      </c>
      <c r="L394" t="inlineStr">
        <is>
          <t>Filled</t>
        </is>
      </c>
      <c r="M394" t="inlineStr">
        <is>
          <t>Filled</t>
        </is>
      </c>
      <c r="N394" t="inlineStr">
        <is>
          <t>57640.00 2026</t>
        </is>
      </c>
      <c r="O394" t="n">
        <v>0</v>
      </c>
      <c r="P394" t="inlineStr">
        <is>
          <t>University adapter</t>
        </is>
      </c>
      <c r="Q394" t="inlineStr">
        <is>
          <t>Filled</t>
        </is>
      </c>
      <c r="R394" t="n">
        <v>6.5</v>
      </c>
      <c r="S394" t="inlineStr">
        <is>
          <t>Central English policy</t>
        </is>
      </c>
      <c r="T394" t="inlineStr">
        <is>
          <t>Central rule applies (value agrees)</t>
        </is>
      </c>
      <c r="U394" t="inlineStr"/>
      <c r="V394" t="inlineStr">
        <is>
          <t>Not stated on course page</t>
        </is>
      </c>
      <c r="W394" t="inlineStr"/>
      <c r="X394" t="inlineStr"/>
      <c r="Y394" t="n">
        <v>0</v>
      </c>
      <c r="Z394" t="inlineStr">
        <is>
          <t>No</t>
        </is>
      </c>
      <c r="AA394" t="inlineStr">
        <is>
          <t>Filled</t>
        </is>
      </c>
      <c r="AB394" t="inlineStr">
        <is>
          <t>on campus</t>
        </is>
      </c>
      <c r="AC394" t="inlineStr"/>
      <c r="AD394" t="n">
        <v>0</v>
      </c>
      <c r="AE394" t="inlineStr"/>
      <c r="AF394" t="inlineStr"/>
      <c r="AG394" t="inlineStr"/>
      <c r="AH394" t="inlineStr"/>
      <c r="AI394" t="inlineStr"/>
      <c r="AJ394" t="inlineStr"/>
      <c r="AK394" t="inlineStr"/>
      <c r="AL394" t="inlineStr"/>
      <c r="AM394" t="inlineStr"/>
    </row>
    <row r="395">
      <c r="A395" t="inlineStr">
        <is>
          <t>099254D</t>
        </is>
      </c>
      <c r="B395" t="inlineStr">
        <is>
          <t>Master of Science in Nuclear Science</t>
        </is>
      </c>
      <c r="C395" t="inlineStr">
        <is>
          <t>Masters Degree (Coursework)</t>
        </is>
      </c>
      <c r="D395" t="inlineStr">
        <is>
          <t>Postgraduate coursework</t>
        </is>
      </c>
      <c r="E395" t="inlineStr">
        <is>
          <t>Advertised: official page in place</t>
        </is>
      </c>
      <c r="F395" t="inlineStr">
        <is>
          <t>https://programsandcourses.anu.edu.au/program/nscns</t>
        </is>
      </c>
      <c r="G395" t="inlineStr">
        <is>
          <t>https://programsandcourses.anu.edu.au/program/nscns</t>
        </is>
      </c>
      <c r="H395" t="inlineStr">
        <is>
          <t>Read</t>
        </is>
      </c>
      <c r="I395" t="inlineStr">
        <is>
          <t>CRICOS code on page</t>
        </is>
      </c>
      <c r="J395" t="inlineStr"/>
      <c r="K395" t="inlineStr">
        <is>
          <t>Not sent to re-link</t>
        </is>
      </c>
      <c r="L395" t="inlineStr">
        <is>
          <t>Filled</t>
        </is>
      </c>
      <c r="M395" t="inlineStr">
        <is>
          <t>Filled</t>
        </is>
      </c>
      <c r="N395" t="inlineStr">
        <is>
          <t>57640.00 2026</t>
        </is>
      </c>
      <c r="O395" t="n">
        <v>0</v>
      </c>
      <c r="P395" t="inlineStr">
        <is>
          <t>University adapter</t>
        </is>
      </c>
      <c r="Q395" t="inlineStr">
        <is>
          <t>Filled</t>
        </is>
      </c>
      <c r="R395" t="n">
        <v>6.5</v>
      </c>
      <c r="S395" t="inlineStr">
        <is>
          <t>Central English policy</t>
        </is>
      </c>
      <c r="T395" t="inlineStr">
        <is>
          <t>Central rule applies (value agrees)</t>
        </is>
      </c>
      <c r="U395" t="inlineStr"/>
      <c r="V395" t="inlineStr">
        <is>
          <t>Not stated on course page</t>
        </is>
      </c>
      <c r="W395" t="inlineStr"/>
      <c r="X395" t="inlineStr"/>
      <c r="Y395" t="n">
        <v>0</v>
      </c>
      <c r="Z395" t="inlineStr">
        <is>
          <t>No</t>
        </is>
      </c>
      <c r="AA395" t="inlineStr">
        <is>
          <t>Filled</t>
        </is>
      </c>
      <c r="AB395" t="inlineStr">
        <is>
          <t>on campus</t>
        </is>
      </c>
      <c r="AC395" t="inlineStr"/>
      <c r="AD395" t="n">
        <v>0</v>
      </c>
      <c r="AE395" t="inlineStr"/>
      <c r="AF395" t="inlineStr"/>
      <c r="AG395" t="inlineStr"/>
      <c r="AH395" t="inlineStr"/>
      <c r="AI395" t="inlineStr"/>
      <c r="AJ395" t="inlineStr"/>
      <c r="AK395" t="inlineStr"/>
      <c r="AL395" t="inlineStr"/>
      <c r="AM395" t="inlineStr"/>
    </row>
    <row r="396">
      <c r="A396" t="inlineStr">
        <is>
          <t>099248B</t>
        </is>
      </c>
      <c r="B396" t="inlineStr">
        <is>
          <t>Master of Science in Precision Instrumentation and Measurement</t>
        </is>
      </c>
      <c r="C396" t="inlineStr">
        <is>
          <t>Masters Degree (Coursework)</t>
        </is>
      </c>
      <c r="D396" t="inlineStr">
        <is>
          <t>Postgraduate coursework</t>
        </is>
      </c>
      <c r="E396" t="inlineStr">
        <is>
          <t>Advertised: official page in place</t>
        </is>
      </c>
      <c r="F396" t="inlineStr">
        <is>
          <t>https://programsandcourses.anu.edu.au/program/nscpi</t>
        </is>
      </c>
      <c r="G396" t="inlineStr">
        <is>
          <t>https://programsandcourses.anu.edu.au/program/nscpi</t>
        </is>
      </c>
      <c r="H396" t="inlineStr">
        <is>
          <t>Read</t>
        </is>
      </c>
      <c r="I396" t="inlineStr">
        <is>
          <t>CRICOS code on page</t>
        </is>
      </c>
      <c r="J396" t="inlineStr"/>
      <c r="K396" t="inlineStr">
        <is>
          <t>Not sent to re-link</t>
        </is>
      </c>
      <c r="L396" t="inlineStr">
        <is>
          <t>Filled</t>
        </is>
      </c>
      <c r="M396" t="inlineStr">
        <is>
          <t>Filled</t>
        </is>
      </c>
      <c r="N396" t="inlineStr">
        <is>
          <t>57640.00 2026</t>
        </is>
      </c>
      <c r="O396" t="n">
        <v>0</v>
      </c>
      <c r="P396" t="inlineStr">
        <is>
          <t>University adapter</t>
        </is>
      </c>
      <c r="Q396" t="inlineStr">
        <is>
          <t>Filled</t>
        </is>
      </c>
      <c r="R396" t="n">
        <v>6.5</v>
      </c>
      <c r="S396" t="inlineStr">
        <is>
          <t>Central English policy</t>
        </is>
      </c>
      <c r="T396" t="inlineStr">
        <is>
          <t>Central rule applies (value agrees)</t>
        </is>
      </c>
      <c r="U396" t="inlineStr"/>
      <c r="V396" t="inlineStr">
        <is>
          <t>Not stated on course page</t>
        </is>
      </c>
      <c r="W396" t="inlineStr"/>
      <c r="X396" t="inlineStr"/>
      <c r="Y396" t="n">
        <v>0</v>
      </c>
      <c r="Z396" t="inlineStr">
        <is>
          <t>No</t>
        </is>
      </c>
      <c r="AA396" t="inlineStr">
        <is>
          <t>Filled</t>
        </is>
      </c>
      <c r="AB396" t="inlineStr">
        <is>
          <t>on campus</t>
        </is>
      </c>
      <c r="AC396" t="inlineStr"/>
      <c r="AD396" t="n">
        <v>0</v>
      </c>
      <c r="AE396" t="inlineStr"/>
      <c r="AF396" t="inlineStr"/>
      <c r="AG396" t="inlineStr"/>
      <c r="AH396" t="inlineStr"/>
      <c r="AI396" t="inlineStr"/>
      <c r="AJ396" t="inlineStr"/>
      <c r="AK396" t="inlineStr"/>
      <c r="AL396" t="inlineStr"/>
      <c r="AM396" t="inlineStr"/>
    </row>
    <row r="397">
      <c r="A397" t="inlineStr">
        <is>
          <t>099252F</t>
        </is>
      </c>
      <c r="B397" t="inlineStr">
        <is>
          <t>Master of Science in Quantum Technology</t>
        </is>
      </c>
      <c r="C397" t="inlineStr">
        <is>
          <t>Masters Degree (Coursework)</t>
        </is>
      </c>
      <c r="D397" t="inlineStr">
        <is>
          <t>Postgraduate coursework</t>
        </is>
      </c>
      <c r="E397" t="inlineStr">
        <is>
          <t>Advertised: official page in place</t>
        </is>
      </c>
      <c r="F397" t="inlineStr">
        <is>
          <t>https://programsandcourses.anu.edu.au/program/nscqt</t>
        </is>
      </c>
      <c r="G397" t="inlineStr">
        <is>
          <t>https://programsandcourses.anu.edu.au/program/nscqt</t>
        </is>
      </c>
      <c r="H397" t="inlineStr">
        <is>
          <t>Read</t>
        </is>
      </c>
      <c r="I397" t="inlineStr">
        <is>
          <t>CRICOS code on page</t>
        </is>
      </c>
      <c r="J397" t="inlineStr"/>
      <c r="K397" t="inlineStr">
        <is>
          <t>Not sent to re-link</t>
        </is>
      </c>
      <c r="L397" t="inlineStr">
        <is>
          <t>Filled</t>
        </is>
      </c>
      <c r="M397" t="inlineStr">
        <is>
          <t>Filled</t>
        </is>
      </c>
      <c r="N397" t="inlineStr">
        <is>
          <t>57640.00 2026</t>
        </is>
      </c>
      <c r="O397" t="n">
        <v>0</v>
      </c>
      <c r="P397" t="inlineStr">
        <is>
          <t>University adapter</t>
        </is>
      </c>
      <c r="Q397" t="inlineStr">
        <is>
          <t>Filled</t>
        </is>
      </c>
      <c r="R397" t="n">
        <v>6.5</v>
      </c>
      <c r="S397" t="inlineStr">
        <is>
          <t>Central English policy</t>
        </is>
      </c>
      <c r="T397" t="inlineStr">
        <is>
          <t>Central rule applies (value agrees)</t>
        </is>
      </c>
      <c r="U397" t="inlineStr"/>
      <c r="V397" t="inlineStr">
        <is>
          <t>Not stated on course page</t>
        </is>
      </c>
      <c r="W397" t="inlineStr"/>
      <c r="X397" t="inlineStr"/>
      <c r="Y397" t="n">
        <v>0</v>
      </c>
      <c r="Z397" t="inlineStr">
        <is>
          <t>No</t>
        </is>
      </c>
      <c r="AA397" t="inlineStr">
        <is>
          <t>Filled</t>
        </is>
      </c>
      <c r="AB397" t="inlineStr">
        <is>
          <t>on campus</t>
        </is>
      </c>
      <c r="AC397" t="inlineStr"/>
      <c r="AD397" t="n">
        <v>0</v>
      </c>
      <c r="AE397" t="inlineStr"/>
      <c r="AF397" t="inlineStr"/>
      <c r="AG397" t="inlineStr"/>
      <c r="AH397" t="inlineStr"/>
      <c r="AI397" t="inlineStr"/>
      <c r="AJ397" t="inlineStr"/>
      <c r="AK397" t="inlineStr"/>
      <c r="AL397" t="inlineStr"/>
      <c r="AM397" t="inlineStr"/>
    </row>
    <row r="398">
      <c r="A398" t="inlineStr">
        <is>
          <t>0101481</t>
        </is>
      </c>
      <c r="B398" t="inlineStr">
        <is>
          <t>Master of Science in Theoretical Physics</t>
        </is>
      </c>
      <c r="C398" t="inlineStr">
        <is>
          <t>Masters Degree (Coursework)</t>
        </is>
      </c>
      <c r="D398" t="inlineStr">
        <is>
          <t>Postgraduate coursework</t>
        </is>
      </c>
      <c r="E398" t="inlineStr">
        <is>
          <t>Advertised: official page in place</t>
        </is>
      </c>
      <c r="F398" t="inlineStr">
        <is>
          <t>https://programsandcourses.anu.edu.au/program/nsctp</t>
        </is>
      </c>
      <c r="G398" t="inlineStr">
        <is>
          <t>https://programsandcourses.anu.edu.au/program/nsctp</t>
        </is>
      </c>
      <c r="H398" t="inlineStr">
        <is>
          <t>Read</t>
        </is>
      </c>
      <c r="I398" t="inlineStr">
        <is>
          <t>CRICOS code on page</t>
        </is>
      </c>
      <c r="J398" t="inlineStr"/>
      <c r="K398" t="inlineStr">
        <is>
          <t>Not sent to re-link</t>
        </is>
      </c>
      <c r="L398" t="inlineStr">
        <is>
          <t>Filled</t>
        </is>
      </c>
      <c r="M398" t="inlineStr">
        <is>
          <t>Filled</t>
        </is>
      </c>
      <c r="N398" t="inlineStr">
        <is>
          <t>57640.00 2026</t>
        </is>
      </c>
      <c r="O398" t="n">
        <v>0</v>
      </c>
      <c r="P398" t="inlineStr">
        <is>
          <t>University adapter</t>
        </is>
      </c>
      <c r="Q398" t="inlineStr">
        <is>
          <t>Filled</t>
        </is>
      </c>
      <c r="R398" t="n">
        <v>6.5</v>
      </c>
      <c r="S398" t="inlineStr">
        <is>
          <t>Central English policy</t>
        </is>
      </c>
      <c r="T398" t="inlineStr">
        <is>
          <t>Central rule applies (value agrees)</t>
        </is>
      </c>
      <c r="U398" t="inlineStr"/>
      <c r="V398" t="inlineStr">
        <is>
          <t>Not stated on course page</t>
        </is>
      </c>
      <c r="W398" t="inlineStr"/>
      <c r="X398" t="inlineStr"/>
      <c r="Y398" t="n">
        <v>0</v>
      </c>
      <c r="Z398" t="inlineStr">
        <is>
          <t>No</t>
        </is>
      </c>
      <c r="AA398" t="inlineStr">
        <is>
          <t>Filled</t>
        </is>
      </c>
      <c r="AB398" t="inlineStr">
        <is>
          <t>on campus</t>
        </is>
      </c>
      <c r="AC398" t="inlineStr"/>
      <c r="AD398" t="n">
        <v>0</v>
      </c>
      <c r="AE398" t="inlineStr"/>
      <c r="AF398" t="inlineStr"/>
      <c r="AG398" t="inlineStr"/>
      <c r="AH398" t="inlineStr"/>
      <c r="AI398" t="inlineStr"/>
      <c r="AJ398" t="inlineStr"/>
      <c r="AK398" t="inlineStr"/>
      <c r="AL398" t="inlineStr"/>
      <c r="AM398" t="inlineStr"/>
    </row>
    <row r="399">
      <c r="A399" t="inlineStr">
        <is>
          <t>082351J</t>
        </is>
      </c>
      <c r="B399" t="inlineStr">
        <is>
          <t>Master of Social Research</t>
        </is>
      </c>
      <c r="C399" t="inlineStr">
        <is>
          <t>Masters Degree (Coursework)</t>
        </is>
      </c>
      <c r="D399" t="inlineStr">
        <is>
          <t>Postgraduate coursework</t>
        </is>
      </c>
      <c r="E399" t="inlineStr">
        <is>
          <t>Advertised: official page in place</t>
        </is>
      </c>
      <c r="F399" t="inlineStr">
        <is>
          <t>https://programsandcourses.anu.edu.au/2020/program/msres</t>
        </is>
      </c>
      <c r="G399" t="inlineStr">
        <is>
          <t>https://programsandcourses.anu.edu.au/2024/program/msrm</t>
        </is>
      </c>
      <c r="H399" t="inlineStr">
        <is>
          <t>Read</t>
        </is>
      </c>
      <c r="I399" t="inlineStr">
        <is>
          <t>Exact title match</t>
        </is>
      </c>
      <c r="J399" t="inlineStr"/>
      <c r="K399" t="inlineStr">
        <is>
          <t>Not sent to re-link</t>
        </is>
      </c>
      <c r="L399" t="inlineStr">
        <is>
          <t>Filled</t>
        </is>
      </c>
      <c r="M399" t="inlineStr">
        <is>
          <t>Filled</t>
        </is>
      </c>
      <c r="N399" t="inlineStr">
        <is>
          <t>48035.00 2026</t>
        </is>
      </c>
      <c r="O399" t="n">
        <v>0</v>
      </c>
      <c r="P399" t="inlineStr">
        <is>
          <t>University adapter</t>
        </is>
      </c>
      <c r="Q399" t="inlineStr">
        <is>
          <t>Filled</t>
        </is>
      </c>
      <c r="R399" t="n">
        <v>6.5</v>
      </c>
      <c r="S399" t="inlineStr">
        <is>
          <t>Central English policy</t>
        </is>
      </c>
      <c r="T399" t="inlineStr">
        <is>
          <t>Central rule applies (value agrees)</t>
        </is>
      </c>
      <c r="U399" t="inlineStr"/>
      <c r="V399" t="inlineStr">
        <is>
          <t>Not stated on course page</t>
        </is>
      </c>
      <c r="W399" t="inlineStr"/>
      <c r="X399" t="inlineStr"/>
      <c r="Y399" t="n">
        <v>0</v>
      </c>
      <c r="Z399" t="inlineStr">
        <is>
          <t>No</t>
        </is>
      </c>
      <c r="AA399" t="inlineStr">
        <is>
          <t>Filled</t>
        </is>
      </c>
      <c r="AB399" t="inlineStr">
        <is>
          <t>on campus</t>
        </is>
      </c>
      <c r="AC399" t="inlineStr"/>
      <c r="AD399" t="n">
        <v>0</v>
      </c>
      <c r="AE399" t="inlineStr"/>
      <c r="AF399" t="inlineStr"/>
      <c r="AG399" t="inlineStr"/>
      <c r="AH399" t="inlineStr"/>
      <c r="AI399" t="inlineStr"/>
      <c r="AJ399" t="inlineStr"/>
      <c r="AK399" t="inlineStr"/>
      <c r="AL399" t="inlineStr"/>
      <c r="AM399" t="inlineStr"/>
    </row>
    <row r="400">
      <c r="A400" t="inlineStr">
        <is>
          <t>082352G</t>
        </is>
      </c>
      <c r="B400" t="inlineStr">
        <is>
          <t>Master of Social Research (Advanced)</t>
        </is>
      </c>
      <c r="C400" t="inlineStr">
        <is>
          <t>Masters Degree (Coursework)</t>
        </is>
      </c>
      <c r="D400" t="inlineStr">
        <is>
          <t>Postgraduate coursework</t>
        </is>
      </c>
      <c r="E400" t="inlineStr">
        <is>
          <t>Advertised: official page in place</t>
        </is>
      </c>
      <c r="F400" t="inlineStr">
        <is>
          <t>https://programsandcourses.anu.edu.au/2022/program/vsres</t>
        </is>
      </c>
      <c r="G400" t="inlineStr">
        <is>
          <t>https://programsandcourses.anu.edu.au/2022/program/vsres</t>
        </is>
      </c>
      <c r="H400" t="inlineStr">
        <is>
          <t>Read</t>
        </is>
      </c>
      <c r="I400" t="inlineStr">
        <is>
          <t>CRICOS code on page</t>
        </is>
      </c>
      <c r="J400" t="inlineStr"/>
      <c r="K400" t="inlineStr">
        <is>
          <t>Not sent to re-link</t>
        </is>
      </c>
      <c r="L400" t="inlineStr">
        <is>
          <t>Filled</t>
        </is>
      </c>
      <c r="M400" t="inlineStr">
        <is>
          <t>Filled</t>
        </is>
      </c>
      <c r="N400" t="inlineStr">
        <is>
          <t>45360.00 2026</t>
        </is>
      </c>
      <c r="O400" t="n">
        <v>0</v>
      </c>
      <c r="P400" t="inlineStr">
        <is>
          <t>University adapter</t>
        </is>
      </c>
      <c r="Q400" t="inlineStr">
        <is>
          <t>Filled</t>
        </is>
      </c>
      <c r="R400" t="n">
        <v>6.5</v>
      </c>
      <c r="S400" t="inlineStr">
        <is>
          <t>Central English policy</t>
        </is>
      </c>
      <c r="T400" t="inlineStr">
        <is>
          <t>Central rule applies (value agrees)</t>
        </is>
      </c>
      <c r="U400" t="inlineStr"/>
      <c r="V400" t="inlineStr">
        <is>
          <t>Not stated on course page</t>
        </is>
      </c>
      <c r="W400" t="inlineStr"/>
      <c r="X400" t="inlineStr"/>
      <c r="Y400" t="n">
        <v>0</v>
      </c>
      <c r="Z400" t="inlineStr">
        <is>
          <t>No</t>
        </is>
      </c>
      <c r="AA400" t="inlineStr">
        <is>
          <t>Filled</t>
        </is>
      </c>
      <c r="AB400" t="inlineStr">
        <is>
          <t>on campus</t>
        </is>
      </c>
      <c r="AC400" t="inlineStr"/>
      <c r="AD400" t="n">
        <v>0</v>
      </c>
      <c r="AE400" t="inlineStr"/>
      <c r="AF400" t="inlineStr"/>
      <c r="AG400" t="inlineStr"/>
      <c r="AH400" t="inlineStr"/>
      <c r="AI400" t="inlineStr"/>
      <c r="AJ400" t="inlineStr"/>
      <c r="AK400" t="inlineStr"/>
      <c r="AL400" t="inlineStr"/>
      <c r="AM400" t="inlineStr"/>
    </row>
    <row r="401">
      <c r="A401" t="inlineStr">
        <is>
          <t>108327B</t>
        </is>
      </c>
      <c r="B401" t="inlineStr">
        <is>
          <t>Master of Social Research Methods</t>
        </is>
      </c>
      <c r="C401" t="inlineStr">
        <is>
          <t>Masters Degree (Coursework)</t>
        </is>
      </c>
      <c r="D401" t="inlineStr">
        <is>
          <t>Postgraduate coursework</t>
        </is>
      </c>
      <c r="E401" t="inlineStr">
        <is>
          <t>Advertised: official page in place</t>
        </is>
      </c>
      <c r="F401" t="inlineStr">
        <is>
          <t>https://programsandcourses.anu.edu.au/program/msrm</t>
        </is>
      </c>
      <c r="G401" t="inlineStr">
        <is>
          <t>https://programsandcourses.anu.edu.au/program/msrm</t>
        </is>
      </c>
      <c r="H401" t="inlineStr">
        <is>
          <t>Read</t>
        </is>
      </c>
      <c r="I401" t="inlineStr">
        <is>
          <t>CRICOS code on page</t>
        </is>
      </c>
      <c r="J401" t="inlineStr"/>
      <c r="K401" t="inlineStr">
        <is>
          <t>Not sent to re-link</t>
        </is>
      </c>
      <c r="L401" t="inlineStr">
        <is>
          <t>Filled</t>
        </is>
      </c>
      <c r="M401" t="inlineStr">
        <is>
          <t>Filled</t>
        </is>
      </c>
      <c r="N401" t="inlineStr">
        <is>
          <t>54540.00 2026</t>
        </is>
      </c>
      <c r="O401" t="n">
        <v>0</v>
      </c>
      <c r="P401" t="inlineStr">
        <is>
          <t>University adapter</t>
        </is>
      </c>
      <c r="Q401" t="inlineStr">
        <is>
          <t>Filled</t>
        </is>
      </c>
      <c r="R401" t="n">
        <v>6.5</v>
      </c>
      <c r="S401" t="inlineStr">
        <is>
          <t>Central English policy</t>
        </is>
      </c>
      <c r="T401" t="inlineStr">
        <is>
          <t>Central rule applies (value agrees)</t>
        </is>
      </c>
      <c r="U401" t="inlineStr"/>
      <c r="V401" t="inlineStr">
        <is>
          <t>Not stated on course page</t>
        </is>
      </c>
      <c r="W401" t="inlineStr"/>
      <c r="X401" t="inlineStr"/>
      <c r="Y401" t="n">
        <v>0</v>
      </c>
      <c r="Z401" t="inlineStr">
        <is>
          <t>No</t>
        </is>
      </c>
      <c r="AA401" t="inlineStr">
        <is>
          <t>Filled</t>
        </is>
      </c>
      <c r="AB401" t="inlineStr">
        <is>
          <t>on campus</t>
        </is>
      </c>
      <c r="AC401" t="inlineStr"/>
      <c r="AD401" t="n">
        <v>0</v>
      </c>
      <c r="AE401" t="inlineStr"/>
      <c r="AF401" t="inlineStr"/>
      <c r="AG401" t="inlineStr"/>
      <c r="AH401" t="inlineStr"/>
      <c r="AI401" t="inlineStr"/>
      <c r="AJ401" t="inlineStr"/>
      <c r="AK401" t="inlineStr"/>
      <c r="AL401" t="inlineStr"/>
      <c r="AM401" t="inlineStr"/>
    </row>
    <row r="402">
      <c r="A402" t="inlineStr">
        <is>
          <t>108328A</t>
        </is>
      </c>
      <c r="B402" t="inlineStr">
        <is>
          <t>Master of Social Research Methods (Advanced)</t>
        </is>
      </c>
      <c r="C402" t="inlineStr">
        <is>
          <t>Masters Degree (Coursework)</t>
        </is>
      </c>
      <c r="D402" t="inlineStr">
        <is>
          <t>Postgraduate coursework</t>
        </is>
      </c>
      <c r="E402" t="inlineStr">
        <is>
          <t>Advertised: official page in place</t>
        </is>
      </c>
      <c r="F402" t="inlineStr">
        <is>
          <t>https://programsandcourses.anu.edu.au/program/vsrm</t>
        </is>
      </c>
      <c r="G402" t="inlineStr">
        <is>
          <t>https://programsandcourses.anu.edu.au/program/vsrm</t>
        </is>
      </c>
      <c r="H402" t="inlineStr">
        <is>
          <t>Read</t>
        </is>
      </c>
      <c r="I402" t="inlineStr">
        <is>
          <t>CRICOS code on page</t>
        </is>
      </c>
      <c r="J402" t="inlineStr"/>
      <c r="K402" t="inlineStr">
        <is>
          <t>Not sent to re-link</t>
        </is>
      </c>
      <c r="L402" t="inlineStr">
        <is>
          <t>Filled</t>
        </is>
      </c>
      <c r="M402" t="inlineStr">
        <is>
          <t>Filled</t>
        </is>
      </c>
      <c r="N402" t="inlineStr">
        <is>
          <t>54540.00 2026</t>
        </is>
      </c>
      <c r="O402" t="n">
        <v>0</v>
      </c>
      <c r="P402" t="inlineStr">
        <is>
          <t>University adapter</t>
        </is>
      </c>
      <c r="Q402" t="inlineStr">
        <is>
          <t>Filled</t>
        </is>
      </c>
      <c r="R402" t="n">
        <v>6.5</v>
      </c>
      <c r="S402" t="inlineStr">
        <is>
          <t>Central English policy</t>
        </is>
      </c>
      <c r="T402" t="inlineStr">
        <is>
          <t>Central rule applies (value agrees)</t>
        </is>
      </c>
      <c r="U402" t="inlineStr"/>
      <c r="V402" t="inlineStr">
        <is>
          <t>Not stated on course page</t>
        </is>
      </c>
      <c r="W402" t="inlineStr"/>
      <c r="X402" t="inlineStr"/>
      <c r="Y402" t="n">
        <v>0</v>
      </c>
      <c r="Z402" t="inlineStr">
        <is>
          <t>No</t>
        </is>
      </c>
      <c r="AA402" t="inlineStr">
        <is>
          <t>Filled</t>
        </is>
      </c>
      <c r="AB402" t="inlineStr">
        <is>
          <t>on campus</t>
        </is>
      </c>
      <c r="AC402" t="inlineStr"/>
      <c r="AD402" t="n">
        <v>0</v>
      </c>
      <c r="AE402" t="inlineStr"/>
      <c r="AF402" t="inlineStr"/>
      <c r="AG402" t="inlineStr"/>
      <c r="AH402" t="inlineStr"/>
      <c r="AI402" t="inlineStr"/>
      <c r="AJ402" t="inlineStr"/>
      <c r="AK402" t="inlineStr"/>
      <c r="AL402" t="inlineStr"/>
      <c r="AM402" t="inlineStr"/>
    </row>
    <row r="403">
      <c r="A403" t="inlineStr">
        <is>
          <t>111568C</t>
        </is>
      </c>
      <c r="B403" t="inlineStr">
        <is>
          <t>Master of Statistical Data Analysis</t>
        </is>
      </c>
      <c r="C403" t="inlineStr">
        <is>
          <t>Masters Degree (Coursework)</t>
        </is>
      </c>
      <c r="D403" t="inlineStr">
        <is>
          <t>Postgraduate coursework</t>
        </is>
      </c>
      <c r="E403" t="inlineStr">
        <is>
          <t>Advertised: official page in place</t>
        </is>
      </c>
      <c r="F403" t="inlineStr">
        <is>
          <t>https://cbe.anu.edu.au/study/postgraduate-programs/master-statistical-data-analysis</t>
        </is>
      </c>
      <c r="G403" t="inlineStr">
        <is>
          <t>https://cbe.anu.edu.au/study/postgraduate-programs/master-statistical-data-analysis</t>
        </is>
      </c>
      <c r="H403" t="inlineStr">
        <is>
          <t>Read</t>
        </is>
      </c>
      <c r="I403" t="inlineStr">
        <is>
          <t>CRICOS code on page</t>
        </is>
      </c>
      <c r="J403" t="inlineStr"/>
      <c r="K403" t="inlineStr">
        <is>
          <t>Not sent to re-link</t>
        </is>
      </c>
      <c r="L403" t="inlineStr">
        <is>
          <t>Filled</t>
        </is>
      </c>
      <c r="M403" t="inlineStr">
        <is>
          <t>Not stated on course page</t>
        </is>
      </c>
      <c r="N403" t="inlineStr"/>
      <c r="O403" t="n">
        <v>0</v>
      </c>
      <c r="P403" t="inlineStr"/>
      <c r="Q403" t="inlineStr">
        <is>
          <t>Filled</t>
        </is>
      </c>
      <c r="R403" t="n">
        <v>6.5</v>
      </c>
      <c r="S403" t="inlineStr">
        <is>
          <t>Central English policy</t>
        </is>
      </c>
      <c r="T403" t="inlineStr">
        <is>
          <t>Central rule applies (value agrees)</t>
        </is>
      </c>
      <c r="U403" t="inlineStr"/>
      <c r="V403" t="inlineStr">
        <is>
          <t>Not stated on course page</t>
        </is>
      </c>
      <c r="W403" t="inlineStr"/>
      <c r="X403" t="inlineStr"/>
      <c r="Y403" t="n">
        <v>0</v>
      </c>
      <c r="Z403" t="inlineStr">
        <is>
          <t>No</t>
        </is>
      </c>
      <c r="AA403" t="inlineStr">
        <is>
          <t>Filled</t>
        </is>
      </c>
      <c r="AB403" t="inlineStr">
        <is>
          <t>on campus</t>
        </is>
      </c>
      <c r="AC403" t="inlineStr">
        <is>
          <t>Filled</t>
        </is>
      </c>
      <c r="AD403" t="n">
        <v>0</v>
      </c>
      <c r="AE403" t="inlineStr"/>
      <c r="AF403" t="inlineStr"/>
      <c r="AG403" t="inlineStr"/>
      <c r="AH403" t="inlineStr"/>
      <c r="AI403" t="inlineStr"/>
      <c r="AJ403" t="inlineStr"/>
      <c r="AK403" t="inlineStr"/>
      <c r="AL403" t="inlineStr"/>
      <c r="AM403" t="inlineStr"/>
    </row>
    <row r="404">
      <c r="A404" t="inlineStr">
        <is>
          <t>082353G</t>
        </is>
      </c>
      <c r="B404" t="inlineStr">
        <is>
          <t>Master of Statistics</t>
        </is>
      </c>
      <c r="C404" t="inlineStr">
        <is>
          <t>Masters Degree (Coursework)</t>
        </is>
      </c>
      <c r="D404" t="inlineStr">
        <is>
          <t>Postgraduate coursework</t>
        </is>
      </c>
      <c r="E404" t="inlineStr">
        <is>
          <t>Advertised: official page in place</t>
        </is>
      </c>
      <c r="F404" t="inlineStr">
        <is>
          <t>https://cbe.anu.edu.au/study/postgraduate-programs/master-statistics</t>
        </is>
      </c>
      <c r="G404" t="inlineStr">
        <is>
          <t>https://cbe.anu.edu.au/study/postgraduate-programs/master-statistics</t>
        </is>
      </c>
      <c r="H404" t="inlineStr">
        <is>
          <t>Read</t>
        </is>
      </c>
      <c r="I404" t="inlineStr">
        <is>
          <t>CRICOS code on page</t>
        </is>
      </c>
      <c r="J404" t="inlineStr"/>
      <c r="K404" t="inlineStr">
        <is>
          <t>Not sent to re-link</t>
        </is>
      </c>
      <c r="L404" t="inlineStr">
        <is>
          <t>Filled</t>
        </is>
      </c>
      <c r="M404" t="inlineStr">
        <is>
          <t>Not stated on course page</t>
        </is>
      </c>
      <c r="N404" t="inlineStr"/>
      <c r="O404" t="n">
        <v>0</v>
      </c>
      <c r="P404" t="inlineStr"/>
      <c r="Q404" t="inlineStr">
        <is>
          <t>Filled</t>
        </is>
      </c>
      <c r="R404" t="n">
        <v>6.5</v>
      </c>
      <c r="S404" t="inlineStr">
        <is>
          <t>Central English policy</t>
        </is>
      </c>
      <c r="T404" t="inlineStr">
        <is>
          <t>Central rule applies (value agrees)</t>
        </is>
      </c>
      <c r="U404" t="inlineStr"/>
      <c r="V404" t="inlineStr">
        <is>
          <t>Not stated on course page</t>
        </is>
      </c>
      <c r="W404" t="inlineStr"/>
      <c r="X404" t="inlineStr"/>
      <c r="Y404" t="n">
        <v>0</v>
      </c>
      <c r="Z404" t="inlineStr">
        <is>
          <t>No</t>
        </is>
      </c>
      <c r="AA404" t="inlineStr">
        <is>
          <t>Filled</t>
        </is>
      </c>
      <c r="AB404" t="inlineStr">
        <is>
          <t>on campus</t>
        </is>
      </c>
      <c r="AC404" t="inlineStr">
        <is>
          <t>Filled</t>
        </is>
      </c>
      <c r="AD404" t="n">
        <v>0</v>
      </c>
      <c r="AE404" t="inlineStr"/>
      <c r="AF404" t="inlineStr"/>
      <c r="AG404" t="inlineStr"/>
      <c r="AH404" t="inlineStr"/>
      <c r="AI404" t="inlineStr"/>
      <c r="AJ404" t="inlineStr"/>
      <c r="AK404" t="inlineStr"/>
      <c r="AL404" t="inlineStr"/>
      <c r="AM404" t="inlineStr"/>
    </row>
    <row r="405">
      <c r="A405" t="inlineStr">
        <is>
          <t>119057F</t>
        </is>
      </c>
      <c r="B405" t="inlineStr">
        <is>
          <t>Master of Strategic and Defence Studies</t>
        </is>
      </c>
      <c r="C405" t="inlineStr">
        <is>
          <t>Masters Degree (Coursework)</t>
        </is>
      </c>
      <c r="D405" t="inlineStr">
        <is>
          <t>Postgraduate coursework</t>
        </is>
      </c>
      <c r="E405" t="inlineStr">
        <is>
          <t>Advertised: official page in place</t>
        </is>
      </c>
      <c r="F405" t="inlineStr">
        <is>
          <t>https://programsandcourses.anu.edu.au/2027/program/msdes</t>
        </is>
      </c>
      <c r="G405" t="inlineStr">
        <is>
          <t>https://programsandcourses.anu.edu.au/2027/program/msdes</t>
        </is>
      </c>
      <c r="H405" t="inlineStr">
        <is>
          <t>Read</t>
        </is>
      </c>
      <c r="I405" t="inlineStr">
        <is>
          <t>CRICOS code on page</t>
        </is>
      </c>
      <c r="J405" t="inlineStr"/>
      <c r="K405" t="inlineStr">
        <is>
          <t>Not sent to re-link</t>
        </is>
      </c>
      <c r="L405" t="inlineStr">
        <is>
          <t>Filled</t>
        </is>
      </c>
      <c r="M405" t="inlineStr">
        <is>
          <t>Filled</t>
        </is>
      </c>
      <c r="N405" t="inlineStr">
        <is>
          <t>57640.00 2026</t>
        </is>
      </c>
      <c r="O405" t="n">
        <v>0</v>
      </c>
      <c r="P405" t="inlineStr">
        <is>
          <t>University adapter</t>
        </is>
      </c>
      <c r="Q405" t="inlineStr">
        <is>
          <t>Filled</t>
        </is>
      </c>
      <c r="R405" t="n">
        <v>6.5</v>
      </c>
      <c r="S405" t="inlineStr">
        <is>
          <t>Central English policy</t>
        </is>
      </c>
      <c r="T405" t="inlineStr">
        <is>
          <t>Central rule applies (value agrees)</t>
        </is>
      </c>
      <c r="U405" t="inlineStr"/>
      <c r="V405" t="inlineStr">
        <is>
          <t>Not stated on course page</t>
        </is>
      </c>
      <c r="W405" t="inlineStr"/>
      <c r="X405" t="inlineStr"/>
      <c r="Y405" t="n">
        <v>0</v>
      </c>
      <c r="Z405" t="inlineStr">
        <is>
          <t>No</t>
        </is>
      </c>
      <c r="AA405" t="inlineStr">
        <is>
          <t>Filled</t>
        </is>
      </c>
      <c r="AB405" t="inlineStr">
        <is>
          <t>on campus</t>
        </is>
      </c>
      <c r="AC405" t="inlineStr"/>
      <c r="AD405" t="n">
        <v>0</v>
      </c>
      <c r="AE405" t="inlineStr"/>
      <c r="AF405" t="inlineStr"/>
      <c r="AG405" t="inlineStr"/>
      <c r="AH405" t="inlineStr"/>
      <c r="AI405" t="inlineStr"/>
      <c r="AJ405" t="inlineStr"/>
      <c r="AK405" t="inlineStr"/>
      <c r="AL405" t="inlineStr"/>
      <c r="AM405" t="inlineStr"/>
    </row>
    <row r="406">
      <c r="A406" t="inlineStr">
        <is>
          <t>082354F</t>
        </is>
      </c>
      <c r="B406" t="inlineStr">
        <is>
          <t>Master of Strategic Studies</t>
        </is>
      </c>
      <c r="C406" t="inlineStr">
        <is>
          <t>Masters Degree (Coursework)</t>
        </is>
      </c>
      <c r="D406" t="inlineStr">
        <is>
          <t>Postgraduate coursework</t>
        </is>
      </c>
      <c r="E406" t="inlineStr">
        <is>
          <t>Advertised: official page in place</t>
        </is>
      </c>
      <c r="F406" t="inlineStr">
        <is>
          <t>https://programsandcourses.anu.edu.au/2019/vertical-double/bir-mstst</t>
        </is>
      </c>
      <c r="G406" t="inlineStr">
        <is>
          <t>https://programsandcourses.anu.edu.au/2019/vertical-double/bir-mstst</t>
        </is>
      </c>
      <c r="H406" t="inlineStr">
        <is>
          <t>Read</t>
        </is>
      </c>
      <c r="I406" t="inlineStr">
        <is>
          <t>CRICOS code on page</t>
        </is>
      </c>
      <c r="J406" t="inlineStr"/>
      <c r="K406" t="inlineStr">
        <is>
          <t>Not sent to re-link</t>
        </is>
      </c>
      <c r="L406" t="inlineStr">
        <is>
          <t>Filled</t>
        </is>
      </c>
      <c r="M406" t="inlineStr">
        <is>
          <t>Waiting for Layer 4 review</t>
        </is>
      </c>
      <c r="N406" t="inlineStr"/>
      <c r="O406" t="n">
        <v>0</v>
      </c>
      <c r="P406" t="inlineStr"/>
      <c r="Q406" t="inlineStr">
        <is>
          <t>Filled</t>
        </is>
      </c>
      <c r="R406" t="n">
        <v>6.5</v>
      </c>
      <c r="S406" t="inlineStr">
        <is>
          <t>Central English policy</t>
        </is>
      </c>
      <c r="T406" t="inlineStr">
        <is>
          <t>Central rule applies (value agrees)</t>
        </is>
      </c>
      <c r="U406" t="inlineStr"/>
      <c r="V406" t="inlineStr">
        <is>
          <t>Value found, being checked</t>
        </is>
      </c>
      <c r="W406" t="inlineStr"/>
      <c r="X406" t="inlineStr"/>
      <c r="Y406" t="n">
        <v>0</v>
      </c>
      <c r="Z406" t="inlineStr">
        <is>
          <t>No</t>
        </is>
      </c>
      <c r="AA406" t="inlineStr">
        <is>
          <t>Filled</t>
        </is>
      </c>
      <c r="AB406" t="inlineStr">
        <is>
          <t>on campus</t>
        </is>
      </c>
      <c r="AC406" t="inlineStr">
        <is>
          <t>Filled</t>
        </is>
      </c>
      <c r="AD406" t="n">
        <v>0</v>
      </c>
      <c r="AE406" t="inlineStr"/>
      <c r="AF406" t="inlineStr">
        <is>
          <t>Yes</t>
        </is>
      </c>
      <c r="AG406" t="inlineStr"/>
      <c r="AH406" t="inlineStr"/>
      <c r="AI406" t="inlineStr"/>
      <c r="AJ406" t="inlineStr"/>
      <c r="AK406" t="inlineStr"/>
      <c r="AL406" t="inlineStr"/>
      <c r="AM406" t="inlineStr"/>
    </row>
    <row r="407">
      <c r="A407" t="inlineStr">
        <is>
          <t>102924G</t>
        </is>
      </c>
      <c r="B407" t="inlineStr">
        <is>
          <t>Master of Strategic Studies</t>
        </is>
      </c>
      <c r="C407" t="inlineStr">
        <is>
          <t>Masters Degree (Coursework)</t>
        </is>
      </c>
      <c r="D407" t="inlineStr">
        <is>
          <t>Postgraduate coursework</t>
        </is>
      </c>
      <c r="E407" t="inlineStr">
        <is>
          <t>Advertised: official page in place</t>
        </is>
      </c>
      <c r="F407" t="inlineStr">
        <is>
          <t>https://programsandcourses.anu.edu.au/2021/program/mstrat</t>
        </is>
      </c>
      <c r="G407" t="inlineStr">
        <is>
          <t>https://asiapacific.anu.edu.au/study/master/master-strategic-studies</t>
        </is>
      </c>
      <c r="H407" t="inlineStr">
        <is>
          <t>Read</t>
        </is>
      </c>
      <c r="I407" t="inlineStr">
        <is>
          <t>Exact title match</t>
        </is>
      </c>
      <c r="J407" t="inlineStr"/>
      <c r="K407" t="inlineStr">
        <is>
          <t>Not sent to re-link</t>
        </is>
      </c>
      <c r="L407" t="inlineStr">
        <is>
          <t>Filled</t>
        </is>
      </c>
      <c r="M407" t="inlineStr">
        <is>
          <t>Not stated on course page</t>
        </is>
      </c>
      <c r="N407" t="inlineStr"/>
      <c r="O407" t="n">
        <v>0</v>
      </c>
      <c r="P407" t="inlineStr"/>
      <c r="Q407" t="inlineStr">
        <is>
          <t>Filled</t>
        </is>
      </c>
      <c r="R407" t="n">
        <v>6.5</v>
      </c>
      <c r="S407" t="inlineStr">
        <is>
          <t>Central English policy</t>
        </is>
      </c>
      <c r="T407" t="inlineStr">
        <is>
          <t>Central rule applies (value agrees)</t>
        </is>
      </c>
      <c r="U407" t="inlineStr"/>
      <c r="V407" t="inlineStr">
        <is>
          <t>Waiting for Layer 4 review</t>
        </is>
      </c>
      <c r="W407" t="inlineStr"/>
      <c r="X407" t="inlineStr"/>
      <c r="Y407" t="n">
        <v>0</v>
      </c>
      <c r="Z407" t="inlineStr">
        <is>
          <t>No</t>
        </is>
      </c>
      <c r="AA407" t="inlineStr">
        <is>
          <t>Filled</t>
        </is>
      </c>
      <c r="AB407" t="inlineStr">
        <is>
          <t>on campus</t>
        </is>
      </c>
      <c r="AC407" t="inlineStr">
        <is>
          <t>Filled</t>
        </is>
      </c>
      <c r="AD407" t="n">
        <v>0</v>
      </c>
      <c r="AE407" t="inlineStr"/>
      <c r="AF407" t="inlineStr">
        <is>
          <t>Yes</t>
        </is>
      </c>
      <c r="AG407" t="inlineStr"/>
      <c r="AH407" t="inlineStr"/>
      <c r="AI407" t="inlineStr"/>
      <c r="AJ407" t="inlineStr"/>
      <c r="AK407" t="inlineStr"/>
      <c r="AL407" t="inlineStr"/>
      <c r="AM407" t="inlineStr"/>
    </row>
    <row r="408">
      <c r="A408" t="inlineStr">
        <is>
          <t>082355E</t>
        </is>
      </c>
      <c r="B408" t="inlineStr">
        <is>
          <t>Master of Strategic Studies (Advanced)</t>
        </is>
      </c>
      <c r="C408" t="inlineStr">
        <is>
          <t>Masters Degree (Coursework)</t>
        </is>
      </c>
      <c r="D408" t="inlineStr">
        <is>
          <t>Postgraduate coursework</t>
        </is>
      </c>
      <c r="E408" t="inlineStr">
        <is>
          <t>Advertised: official page in place</t>
        </is>
      </c>
      <c r="F408" t="inlineStr">
        <is>
          <t>https://programsandcourses.anu.edu.au/2026/program/vstst</t>
        </is>
      </c>
      <c r="G408" t="inlineStr">
        <is>
          <t>https://programsandcourses.anu.edu.au/2026/program/vstst</t>
        </is>
      </c>
      <c r="H408" t="inlineStr">
        <is>
          <t>Read</t>
        </is>
      </c>
      <c r="I408" t="inlineStr">
        <is>
          <t>CRICOS code on page</t>
        </is>
      </c>
      <c r="J408" t="inlineStr"/>
      <c r="K408" t="inlineStr">
        <is>
          <t>Not sent to re-link</t>
        </is>
      </c>
      <c r="L408" t="inlineStr">
        <is>
          <t>Filled</t>
        </is>
      </c>
      <c r="M408" t="inlineStr">
        <is>
          <t>Filled</t>
        </is>
      </c>
      <c r="N408" t="inlineStr">
        <is>
          <t>56120.00 2026</t>
        </is>
      </c>
      <c r="O408" t="n">
        <v>0</v>
      </c>
      <c r="P408" t="inlineStr">
        <is>
          <t>University adapter</t>
        </is>
      </c>
      <c r="Q408" t="inlineStr">
        <is>
          <t>Filled</t>
        </is>
      </c>
      <c r="R408" t="n">
        <v>6.5</v>
      </c>
      <c r="S408" t="inlineStr">
        <is>
          <t>Central English policy</t>
        </is>
      </c>
      <c r="T408" t="inlineStr">
        <is>
          <t>Central rule applies (value agrees)</t>
        </is>
      </c>
      <c r="U408" t="inlineStr"/>
      <c r="V408" t="inlineStr">
        <is>
          <t>Value found, being checked</t>
        </is>
      </c>
      <c r="W408" t="inlineStr"/>
      <c r="X408" t="inlineStr"/>
      <c r="Y408" t="n">
        <v>0</v>
      </c>
      <c r="Z408" t="inlineStr">
        <is>
          <t>No</t>
        </is>
      </c>
      <c r="AA408" t="inlineStr">
        <is>
          <t>Filled</t>
        </is>
      </c>
      <c r="AB408" t="inlineStr">
        <is>
          <t>on campus</t>
        </is>
      </c>
      <c r="AC408" t="inlineStr"/>
      <c r="AD408" t="n">
        <v>0</v>
      </c>
      <c r="AE408" t="inlineStr"/>
      <c r="AF408" t="inlineStr">
        <is>
          <t>Yes</t>
        </is>
      </c>
      <c r="AG408" t="inlineStr"/>
      <c r="AH408" t="inlineStr"/>
      <c r="AI408" t="inlineStr"/>
      <c r="AJ408" t="inlineStr"/>
      <c r="AK408" t="inlineStr"/>
      <c r="AL408" t="inlineStr"/>
      <c r="AM408" t="inlineStr"/>
    </row>
    <row r="409">
      <c r="A409" t="inlineStr">
        <is>
          <t>119058E</t>
        </is>
      </c>
      <c r="B409" t="inlineStr">
        <is>
          <t>Master of Strategy and Defence</t>
        </is>
      </c>
      <c r="C409" t="inlineStr">
        <is>
          <t>Masters Degree (Coursework)</t>
        </is>
      </c>
      <c r="D409" t="inlineStr">
        <is>
          <t>Postgraduate coursework</t>
        </is>
      </c>
      <c r="E409" t="inlineStr">
        <is>
          <t>Advertised: official page in place</t>
        </is>
      </c>
      <c r="F409" t="inlineStr">
        <is>
          <t>https://programsandcourses.anu.edu.au/program/msdef</t>
        </is>
      </c>
      <c r="G409" t="inlineStr">
        <is>
          <t>https://programsandcourses.anu.edu.au/program/msdef</t>
        </is>
      </c>
      <c r="H409" t="inlineStr">
        <is>
          <t>Read</t>
        </is>
      </c>
      <c r="I409" t="inlineStr">
        <is>
          <t>CRICOS code on page</t>
        </is>
      </c>
      <c r="J409" t="inlineStr"/>
      <c r="K409" t="inlineStr">
        <is>
          <t>Not sent to re-link</t>
        </is>
      </c>
      <c r="L409" t="inlineStr">
        <is>
          <t>Filled</t>
        </is>
      </c>
      <c r="M409" t="inlineStr">
        <is>
          <t>Filled</t>
        </is>
      </c>
      <c r="N409" t="inlineStr">
        <is>
          <t>57640.00 2026</t>
        </is>
      </c>
      <c r="O409" t="n">
        <v>0</v>
      </c>
      <c r="P409" t="inlineStr">
        <is>
          <t>University adapter</t>
        </is>
      </c>
      <c r="Q409" t="inlineStr">
        <is>
          <t>Filled</t>
        </is>
      </c>
      <c r="R409" t="n">
        <v>6.5</v>
      </c>
      <c r="S409" t="inlineStr">
        <is>
          <t>Central English policy</t>
        </is>
      </c>
      <c r="T409" t="inlineStr">
        <is>
          <t>Central rule applies (value agrees)</t>
        </is>
      </c>
      <c r="U409" t="inlineStr"/>
      <c r="V409" t="inlineStr">
        <is>
          <t>Not stated on course page</t>
        </is>
      </c>
      <c r="W409" t="inlineStr"/>
      <c r="X409" t="inlineStr"/>
      <c r="Y409" t="n">
        <v>0</v>
      </c>
      <c r="Z409" t="inlineStr">
        <is>
          <t>No</t>
        </is>
      </c>
      <c r="AA409" t="inlineStr">
        <is>
          <t>Filled</t>
        </is>
      </c>
      <c r="AB409" t="inlineStr">
        <is>
          <t>on campus</t>
        </is>
      </c>
      <c r="AC409" t="inlineStr"/>
      <c r="AD409" t="n">
        <v>0</v>
      </c>
      <c r="AE409" t="inlineStr"/>
      <c r="AF409" t="inlineStr"/>
      <c r="AG409" t="inlineStr"/>
      <c r="AH409" t="inlineStr"/>
      <c r="AI409" t="inlineStr"/>
      <c r="AJ409" t="inlineStr"/>
      <c r="AK409" t="inlineStr"/>
      <c r="AL409" t="inlineStr"/>
      <c r="AM409" t="inlineStr"/>
    </row>
    <row r="410">
      <c r="A410" t="inlineStr">
        <is>
          <t>082356D</t>
        </is>
      </c>
      <c r="B410" t="inlineStr">
        <is>
          <t>Master of Studies</t>
        </is>
      </c>
      <c r="C410" t="inlineStr">
        <is>
          <t>Masters Degree (Coursework)</t>
        </is>
      </c>
      <c r="D410" t="inlineStr">
        <is>
          <t>Postgraduate coursework</t>
        </is>
      </c>
      <c r="E410" t="inlineStr">
        <is>
          <t>Advertised: official page in place</t>
        </is>
      </c>
      <c r="F410" t="inlineStr">
        <is>
          <t>https://programsandcourses.anu.edu.au/program/MSTD</t>
        </is>
      </c>
      <c r="G410" t="inlineStr">
        <is>
          <t>https://programsandcourses.anu.edu.au/program/MSTD</t>
        </is>
      </c>
      <c r="H410" t="inlineStr">
        <is>
          <t>Read</t>
        </is>
      </c>
      <c r="I410" t="inlineStr">
        <is>
          <t>Exact title match</t>
        </is>
      </c>
      <c r="J410" t="inlineStr"/>
      <c r="K410" t="inlineStr">
        <is>
          <t>Not sent to re-link</t>
        </is>
      </c>
      <c r="L410" t="inlineStr">
        <is>
          <t>Filled</t>
        </is>
      </c>
      <c r="M410" t="inlineStr">
        <is>
          <t>Filled</t>
        </is>
      </c>
      <c r="N410" t="inlineStr">
        <is>
          <t>57640.00 2026</t>
        </is>
      </c>
      <c r="O410" t="n">
        <v>0</v>
      </c>
      <c r="P410" t="inlineStr">
        <is>
          <t>University adapter</t>
        </is>
      </c>
      <c r="Q410" t="inlineStr">
        <is>
          <t>Filled</t>
        </is>
      </c>
      <c r="R410" t="n">
        <v>6.5</v>
      </c>
      <c r="S410" t="inlineStr">
        <is>
          <t>Central English policy</t>
        </is>
      </c>
      <c r="T410" t="inlineStr">
        <is>
          <t>Central rule applies (value agrees)</t>
        </is>
      </c>
      <c r="U410" t="inlineStr"/>
      <c r="V410" t="inlineStr">
        <is>
          <t>Not stated on course page</t>
        </is>
      </c>
      <c r="W410" t="inlineStr"/>
      <c r="X410" t="inlineStr"/>
      <c r="Y410" t="n">
        <v>0</v>
      </c>
      <c r="Z410" t="inlineStr">
        <is>
          <t>No</t>
        </is>
      </c>
      <c r="AA410" t="inlineStr">
        <is>
          <t>Filled</t>
        </is>
      </c>
      <c r="AB410" t="inlineStr">
        <is>
          <t>on campus</t>
        </is>
      </c>
      <c r="AC410" t="inlineStr"/>
      <c r="AD410" t="n">
        <v>0</v>
      </c>
      <c r="AE410" t="inlineStr"/>
      <c r="AF410" t="inlineStr"/>
      <c r="AG410" t="inlineStr"/>
      <c r="AH410" t="inlineStr"/>
      <c r="AI410" t="inlineStr"/>
      <c r="AJ410" t="inlineStr"/>
      <c r="AK410" t="inlineStr"/>
      <c r="AL410" t="inlineStr"/>
      <c r="AM410" t="inlineStr"/>
    </row>
    <row r="411">
      <c r="A411" t="inlineStr">
        <is>
          <t>108332E</t>
        </is>
      </c>
      <c r="B411" t="inlineStr">
        <is>
          <t>Master of Studies</t>
        </is>
      </c>
      <c r="C411" t="inlineStr">
        <is>
          <t>Masters Degree (Coursework)</t>
        </is>
      </c>
      <c r="D411" t="inlineStr">
        <is>
          <t>Postgraduate coursework</t>
        </is>
      </c>
      <c r="E411" t="inlineStr">
        <is>
          <t>Advertised: official page in place</t>
        </is>
      </c>
      <c r="F411" t="inlineStr">
        <is>
          <t>https://programsandcourses.anu.edu.au/program/mstd</t>
        </is>
      </c>
      <c r="G411" t="inlineStr">
        <is>
          <t>https://programsandcourses.anu.edu.au/program/mstd</t>
        </is>
      </c>
      <c r="H411" t="inlineStr">
        <is>
          <t>Read</t>
        </is>
      </c>
      <c r="I411" t="inlineStr">
        <is>
          <t>CRICOS code on page</t>
        </is>
      </c>
      <c r="J411" t="inlineStr"/>
      <c r="K411" t="inlineStr">
        <is>
          <t>Not sent to re-link</t>
        </is>
      </c>
      <c r="L411" t="inlineStr">
        <is>
          <t>Filled</t>
        </is>
      </c>
      <c r="M411" t="inlineStr">
        <is>
          <t>Filled</t>
        </is>
      </c>
      <c r="N411" t="inlineStr">
        <is>
          <t>57640.00 2026</t>
        </is>
      </c>
      <c r="O411" t="n">
        <v>0</v>
      </c>
      <c r="P411" t="inlineStr">
        <is>
          <t>University adapter</t>
        </is>
      </c>
      <c r="Q411" t="inlineStr">
        <is>
          <t>Filled</t>
        </is>
      </c>
      <c r="R411" t="n">
        <v>6.5</v>
      </c>
      <c r="S411" t="inlineStr">
        <is>
          <t>Central English policy</t>
        </is>
      </c>
      <c r="T411" t="inlineStr">
        <is>
          <t>Central rule applies (value agrees)</t>
        </is>
      </c>
      <c r="U411" t="inlineStr"/>
      <c r="V411" t="inlineStr">
        <is>
          <t>Not stated on course page</t>
        </is>
      </c>
      <c r="W411" t="inlineStr"/>
      <c r="X411" t="inlineStr"/>
      <c r="Y411" t="n">
        <v>0</v>
      </c>
      <c r="Z411" t="inlineStr">
        <is>
          <t>No</t>
        </is>
      </c>
      <c r="AA411" t="inlineStr">
        <is>
          <t>Filled</t>
        </is>
      </c>
      <c r="AB411" t="inlineStr">
        <is>
          <t>on campus</t>
        </is>
      </c>
      <c r="AC411" t="inlineStr"/>
      <c r="AD411" t="n">
        <v>0</v>
      </c>
      <c r="AE411" t="inlineStr"/>
      <c r="AF411" t="inlineStr"/>
      <c r="AG411" t="inlineStr"/>
      <c r="AH411" t="inlineStr"/>
      <c r="AI411" t="inlineStr"/>
      <c r="AJ411" t="inlineStr"/>
      <c r="AK411" t="inlineStr"/>
      <c r="AL411" t="inlineStr"/>
      <c r="AM411" t="inlineStr"/>
    </row>
    <row r="412">
      <c r="A412" t="inlineStr">
        <is>
          <t>119045K</t>
        </is>
      </c>
      <c r="B412" t="inlineStr">
        <is>
          <t>Master of Technology Governance</t>
        </is>
      </c>
      <c r="C412" t="inlineStr">
        <is>
          <t>Masters Degree (Coursework)</t>
        </is>
      </c>
      <c r="D412" t="inlineStr">
        <is>
          <t>Postgraduate coursework</t>
        </is>
      </c>
      <c r="E412" t="inlineStr">
        <is>
          <t>Advertised: official page in place</t>
        </is>
      </c>
      <c r="F412" t="inlineStr">
        <is>
          <t>https://programsandcourses.anu.edu.au/2026/program/mtgov</t>
        </is>
      </c>
      <c r="G412" t="inlineStr">
        <is>
          <t>https://programsandcourses.anu.edu.au/2026/program/mtgov</t>
        </is>
      </c>
      <c r="H412" t="inlineStr">
        <is>
          <t>Read</t>
        </is>
      </c>
      <c r="I412" t="inlineStr">
        <is>
          <t>CRICOS code on page</t>
        </is>
      </c>
      <c r="J412" t="inlineStr"/>
      <c r="K412" t="inlineStr">
        <is>
          <t>Not sent to re-link</t>
        </is>
      </c>
      <c r="L412" t="inlineStr">
        <is>
          <t>Filled</t>
        </is>
      </c>
      <c r="M412" t="inlineStr">
        <is>
          <t>Filled</t>
        </is>
      </c>
      <c r="N412" t="inlineStr">
        <is>
          <t>56120.00 2026</t>
        </is>
      </c>
      <c r="O412" t="n">
        <v>0</v>
      </c>
      <c r="P412" t="inlineStr">
        <is>
          <t>University adapter</t>
        </is>
      </c>
      <c r="Q412" t="inlineStr">
        <is>
          <t>Filled</t>
        </is>
      </c>
      <c r="R412" t="n">
        <v>6.5</v>
      </c>
      <c r="S412" t="inlineStr">
        <is>
          <t>Central English policy</t>
        </is>
      </c>
      <c r="T412" t="inlineStr">
        <is>
          <t>Central rule applies (value agrees)</t>
        </is>
      </c>
      <c r="U412" t="inlineStr"/>
      <c r="V412" t="inlineStr">
        <is>
          <t>Waiting for AI reading (Layer 3, now retired)</t>
        </is>
      </c>
      <c r="W412" t="inlineStr"/>
      <c r="X412" t="inlineStr"/>
      <c r="Y412" t="n">
        <v>0</v>
      </c>
      <c r="Z412" t="inlineStr">
        <is>
          <t>No</t>
        </is>
      </c>
      <c r="AA412" t="inlineStr">
        <is>
          <t>Filled</t>
        </is>
      </c>
      <c r="AB412" t="inlineStr">
        <is>
          <t>on campus</t>
        </is>
      </c>
      <c r="AC412" t="inlineStr"/>
      <c r="AD412" t="n">
        <v>0</v>
      </c>
      <c r="AE412" t="inlineStr"/>
      <c r="AF412" t="inlineStr"/>
      <c r="AG412" t="inlineStr">
        <is>
          <t>Yes</t>
        </is>
      </c>
      <c r="AH412" t="inlineStr"/>
      <c r="AI412" t="inlineStr"/>
      <c r="AJ412" t="inlineStr"/>
      <c r="AK412" t="inlineStr"/>
      <c r="AL412" t="inlineStr"/>
      <c r="AM412" t="inlineStr"/>
    </row>
    <row r="413">
      <c r="A413" t="inlineStr">
        <is>
          <t>111567D</t>
        </is>
      </c>
      <c r="B413" t="inlineStr">
        <is>
          <t>Master of Technology Governance</t>
        </is>
      </c>
      <c r="C413" t="inlineStr">
        <is>
          <t>Masters Degree (Coursework)</t>
        </is>
      </c>
      <c r="D413" t="inlineStr">
        <is>
          <t>Postgraduate coursework</t>
        </is>
      </c>
      <c r="E413" t="inlineStr">
        <is>
          <t>Advertised: official page in place</t>
        </is>
      </c>
      <c r="F413" t="inlineStr">
        <is>
          <t>https://programsandcourses.anu.edu.au/2025/program/mtego</t>
        </is>
      </c>
      <c r="G413" t="inlineStr">
        <is>
          <t>https://programsandcourses.anu.edu.au/2026/program/mtgov</t>
        </is>
      </c>
      <c r="H413" t="inlineStr">
        <is>
          <t>Read</t>
        </is>
      </c>
      <c r="I413" t="inlineStr">
        <is>
          <t>Exact title match</t>
        </is>
      </c>
      <c r="J413" t="inlineStr"/>
      <c r="K413" t="inlineStr">
        <is>
          <t>Not sent to re-link</t>
        </is>
      </c>
      <c r="L413" t="inlineStr">
        <is>
          <t>Filled</t>
        </is>
      </c>
      <c r="M413" t="inlineStr">
        <is>
          <t>Filled</t>
        </is>
      </c>
      <c r="N413" t="inlineStr">
        <is>
          <t>56120.00 2026</t>
        </is>
      </c>
      <c r="O413" t="n">
        <v>0</v>
      </c>
      <c r="P413" t="inlineStr">
        <is>
          <t>University adapter</t>
        </is>
      </c>
      <c r="Q413" t="inlineStr">
        <is>
          <t>Filled</t>
        </is>
      </c>
      <c r="R413" t="n">
        <v>6.5</v>
      </c>
      <c r="S413" t="inlineStr">
        <is>
          <t>Central English policy</t>
        </is>
      </c>
      <c r="T413" t="inlineStr">
        <is>
          <t>Central rule applies (value agrees)</t>
        </is>
      </c>
      <c r="U413" t="inlineStr"/>
      <c r="V413" t="inlineStr">
        <is>
          <t>Not stated on course page</t>
        </is>
      </c>
      <c r="W413" t="inlineStr"/>
      <c r="X413" t="inlineStr"/>
      <c r="Y413" t="n">
        <v>0</v>
      </c>
      <c r="Z413" t="inlineStr">
        <is>
          <t>No</t>
        </is>
      </c>
      <c r="AA413" t="inlineStr">
        <is>
          <t>Filled</t>
        </is>
      </c>
      <c r="AB413" t="inlineStr">
        <is>
          <t>on campus</t>
        </is>
      </c>
      <c r="AC413" t="inlineStr"/>
      <c r="AD413" t="n">
        <v>0</v>
      </c>
      <c r="AE413" t="inlineStr"/>
      <c r="AF413" t="inlineStr"/>
      <c r="AG413" t="inlineStr"/>
      <c r="AH413" t="inlineStr"/>
      <c r="AI413" t="inlineStr"/>
      <c r="AJ413" t="inlineStr"/>
      <c r="AK413" t="inlineStr"/>
      <c r="AL413" t="inlineStr"/>
      <c r="AM413" t="inlineStr"/>
    </row>
    <row r="414">
      <c r="A414" t="inlineStr">
        <is>
          <t>083815G</t>
        </is>
      </c>
      <c r="B414" t="inlineStr">
        <is>
          <t>Master of Translation</t>
        </is>
      </c>
      <c r="C414" t="inlineStr">
        <is>
          <t>Masters Degree (Coursework)</t>
        </is>
      </c>
      <c r="D414" t="inlineStr">
        <is>
          <t>Postgraduate coursework</t>
        </is>
      </c>
      <c r="E414" t="inlineStr">
        <is>
          <t>Advertised: official page in place</t>
        </is>
      </c>
      <c r="F414" t="inlineStr">
        <is>
          <t>https://programsandcourses.anu.edu.au/2017/program/mtran</t>
        </is>
      </c>
      <c r="G414" t="inlineStr">
        <is>
          <t>https://programsandcourses.anu.edu.au/2021/program/mtran</t>
        </is>
      </c>
      <c r="H414" t="inlineStr">
        <is>
          <t>Read</t>
        </is>
      </c>
      <c r="I414" t="inlineStr">
        <is>
          <t>CRICOS code on page</t>
        </is>
      </c>
      <c r="J414" t="inlineStr"/>
      <c r="K414" t="inlineStr">
        <is>
          <t>Not sent to re-link</t>
        </is>
      </c>
      <c r="L414" t="inlineStr">
        <is>
          <t>Filled</t>
        </is>
      </c>
      <c r="M414" t="inlineStr">
        <is>
          <t>Filled</t>
        </is>
      </c>
      <c r="N414" t="inlineStr">
        <is>
          <t>44470.00 2026</t>
        </is>
      </c>
      <c r="O414" t="n">
        <v>0</v>
      </c>
      <c r="P414" t="inlineStr">
        <is>
          <t>University adapter</t>
        </is>
      </c>
      <c r="Q414" t="inlineStr">
        <is>
          <t>Filled</t>
        </is>
      </c>
      <c r="R414" t="n">
        <v>6.5</v>
      </c>
      <c r="S414" t="inlineStr">
        <is>
          <t>Central English policy</t>
        </is>
      </c>
      <c r="T414" t="inlineStr">
        <is>
          <t>Central rule applies (value agrees)</t>
        </is>
      </c>
      <c r="U414" t="inlineStr"/>
      <c r="V414" t="inlineStr">
        <is>
          <t>Not stated on course page</t>
        </is>
      </c>
      <c r="W414" t="inlineStr"/>
      <c r="X414" t="inlineStr"/>
      <c r="Y414" t="n">
        <v>0</v>
      </c>
      <c r="Z414" t="inlineStr">
        <is>
          <t>No</t>
        </is>
      </c>
      <c r="AA414" t="inlineStr">
        <is>
          <t>Filled</t>
        </is>
      </c>
      <c r="AB414" t="inlineStr">
        <is>
          <t>on campus</t>
        </is>
      </c>
      <c r="AC414" t="inlineStr"/>
      <c r="AD414" t="n">
        <v>0</v>
      </c>
      <c r="AE414" t="inlineStr"/>
      <c r="AF414" t="inlineStr"/>
      <c r="AG414" t="inlineStr"/>
      <c r="AH414" t="inlineStr"/>
      <c r="AI414" t="inlineStr"/>
      <c r="AJ414" t="inlineStr"/>
      <c r="AK414" t="inlineStr"/>
      <c r="AL414" t="inlineStr"/>
      <c r="AM414" t="inlineStr"/>
    </row>
    <row r="415">
      <c r="A415" t="inlineStr">
        <is>
          <t>083814G</t>
        </is>
      </c>
      <c r="B415" t="inlineStr">
        <is>
          <t>Master of Translation (Advanced)</t>
        </is>
      </c>
      <c r="C415" t="inlineStr">
        <is>
          <t>Masters Degree (Coursework)</t>
        </is>
      </c>
      <c r="D415" t="inlineStr">
        <is>
          <t>Postgraduate coursework</t>
        </is>
      </c>
      <c r="E415" t="inlineStr">
        <is>
          <t>Advertised: official page in place</t>
        </is>
      </c>
      <c r="F415" t="inlineStr">
        <is>
          <t>https://programsandcourses.anu.edu.au/2017/program/vtran</t>
        </is>
      </c>
      <c r="G415" t="inlineStr">
        <is>
          <t>https://programsandcourses.anu.edu.au/2022/program/vtran</t>
        </is>
      </c>
      <c r="H415" t="inlineStr">
        <is>
          <t>Read</t>
        </is>
      </c>
      <c r="I415" t="inlineStr">
        <is>
          <t>CRICOS code on page</t>
        </is>
      </c>
      <c r="J415" t="inlineStr"/>
      <c r="K415" t="inlineStr">
        <is>
          <t>Not sent to re-link</t>
        </is>
      </c>
      <c r="L415" t="inlineStr">
        <is>
          <t>Filled</t>
        </is>
      </c>
      <c r="M415" t="inlineStr">
        <is>
          <t>Filled</t>
        </is>
      </c>
      <c r="N415" t="inlineStr">
        <is>
          <t>45360.00 2026</t>
        </is>
      </c>
      <c r="O415" t="n">
        <v>0</v>
      </c>
      <c r="P415" t="inlineStr">
        <is>
          <t>University adapter</t>
        </is>
      </c>
      <c r="Q415" t="inlineStr">
        <is>
          <t>Filled</t>
        </is>
      </c>
      <c r="R415" t="n">
        <v>6.5</v>
      </c>
      <c r="S415" t="inlineStr">
        <is>
          <t>Central English policy</t>
        </is>
      </c>
      <c r="T415" t="inlineStr">
        <is>
          <t>Central rule applies (value agrees)</t>
        </is>
      </c>
      <c r="U415" t="inlineStr"/>
      <c r="V415" t="inlineStr">
        <is>
          <t>Not stated on course page</t>
        </is>
      </c>
      <c r="W415" t="inlineStr"/>
      <c r="X415" t="inlineStr"/>
      <c r="Y415" t="n">
        <v>0</v>
      </c>
      <c r="Z415" t="inlineStr">
        <is>
          <t>No</t>
        </is>
      </c>
      <c r="AA415" t="inlineStr">
        <is>
          <t>Filled</t>
        </is>
      </c>
      <c r="AB415" t="inlineStr">
        <is>
          <t>on campus</t>
        </is>
      </c>
      <c r="AC415" t="inlineStr"/>
      <c r="AD415" t="n">
        <v>0</v>
      </c>
      <c r="AE415" t="inlineStr"/>
      <c r="AF415" t="inlineStr"/>
      <c r="AG415" t="inlineStr"/>
      <c r="AH415" t="inlineStr"/>
      <c r="AI415" t="inlineStr"/>
      <c r="AJ415" t="inlineStr"/>
      <c r="AK415" t="inlineStr"/>
      <c r="AL415" t="inlineStr"/>
      <c r="AM415" t="inlineStr"/>
    </row>
    <row r="416">
      <c r="A416" t="inlineStr">
        <is>
          <t>082377K</t>
        </is>
      </c>
      <c r="B416" t="inlineStr">
        <is>
          <t>Master of Visual Arts</t>
        </is>
      </c>
      <c r="C416" t="inlineStr">
        <is>
          <t>Masters Degree (Coursework)</t>
        </is>
      </c>
      <c r="D416" t="inlineStr">
        <is>
          <t>Postgraduate coursework</t>
        </is>
      </c>
      <c r="E416" t="inlineStr">
        <is>
          <t>Advertised: official page in place</t>
        </is>
      </c>
      <c r="F416" t="inlineStr">
        <is>
          <t>https://programsandcourses.anu.edu.au/2015/program/mvisa</t>
        </is>
      </c>
      <c r="G416" t="inlineStr">
        <is>
          <t>https://programsandcourses.anu.edu.au/2020/program/mvisa</t>
        </is>
      </c>
      <c r="H416" t="inlineStr">
        <is>
          <t>Read</t>
        </is>
      </c>
      <c r="I416" t="inlineStr">
        <is>
          <t>CRICOS code on page</t>
        </is>
      </c>
      <c r="J416" t="inlineStr"/>
      <c r="K416" t="inlineStr">
        <is>
          <t>Not sent to re-link</t>
        </is>
      </c>
      <c r="L416" t="inlineStr">
        <is>
          <t>Filled</t>
        </is>
      </c>
      <c r="M416" t="inlineStr">
        <is>
          <t>Filled</t>
        </is>
      </c>
      <c r="N416" t="inlineStr">
        <is>
          <t>38304.00 2026</t>
        </is>
      </c>
      <c r="O416" t="n">
        <v>0</v>
      </c>
      <c r="P416" t="inlineStr">
        <is>
          <t>University adapter</t>
        </is>
      </c>
      <c r="Q416" t="inlineStr">
        <is>
          <t>Filled</t>
        </is>
      </c>
      <c r="R416" t="n">
        <v>6.5</v>
      </c>
      <c r="S416" t="inlineStr">
        <is>
          <t>Central English policy</t>
        </is>
      </c>
      <c r="T416" t="inlineStr">
        <is>
          <t>Central rule applies (value agrees)</t>
        </is>
      </c>
      <c r="U416" t="inlineStr"/>
      <c r="V416" t="inlineStr">
        <is>
          <t>Not stated on course page</t>
        </is>
      </c>
      <c r="W416" t="inlineStr"/>
      <c r="X416" t="inlineStr"/>
      <c r="Y416" t="n">
        <v>0</v>
      </c>
      <c r="Z416" t="inlineStr">
        <is>
          <t>No</t>
        </is>
      </c>
      <c r="AA416" t="inlineStr">
        <is>
          <t>Filled</t>
        </is>
      </c>
      <c r="AB416" t="inlineStr">
        <is>
          <t>on campus</t>
        </is>
      </c>
      <c r="AC416" t="inlineStr"/>
      <c r="AD416" t="n">
        <v>0</v>
      </c>
      <c r="AE416" t="inlineStr"/>
      <c r="AF416" t="inlineStr"/>
      <c r="AG416" t="inlineStr"/>
      <c r="AH416" t="inlineStr"/>
      <c r="AI416" t="inlineStr"/>
      <c r="AJ416" t="inlineStr"/>
      <c r="AK416" t="inlineStr"/>
      <c r="AL416" t="inlineStr"/>
      <c r="AM416" t="inlineStr"/>
    </row>
    <row r="417">
      <c r="A417" t="inlineStr">
        <is>
          <t>082359A</t>
        </is>
      </c>
      <c r="B417" t="inlineStr">
        <is>
          <t>Master of Visual Arts (Advanced)</t>
        </is>
      </c>
      <c r="C417" t="inlineStr">
        <is>
          <t>Masters Degree (Coursework)</t>
        </is>
      </c>
      <c r="D417" t="inlineStr">
        <is>
          <t>Postgraduate coursework</t>
        </is>
      </c>
      <c r="E417" t="inlineStr">
        <is>
          <t>Advertised: official page in place</t>
        </is>
      </c>
      <c r="F417" t="inlineStr">
        <is>
          <t>https://programsandcourses.anu.edu.au/2015/program/vvisa</t>
        </is>
      </c>
      <c r="G417" t="inlineStr">
        <is>
          <t>https://programsandcourses.anu.edu.au/2019/program/vvisa</t>
        </is>
      </c>
      <c r="H417" t="inlineStr">
        <is>
          <t>Read</t>
        </is>
      </c>
      <c r="I417" t="inlineStr">
        <is>
          <t>CRICOS code on page</t>
        </is>
      </c>
      <c r="J417" t="inlineStr"/>
      <c r="K417" t="inlineStr">
        <is>
          <t>Not sent to re-link</t>
        </is>
      </c>
      <c r="L417" t="inlineStr">
        <is>
          <t>Filled</t>
        </is>
      </c>
      <c r="M417" t="inlineStr">
        <is>
          <t>Filled</t>
        </is>
      </c>
      <c r="N417" t="inlineStr">
        <is>
          <t>36480.00 2026</t>
        </is>
      </c>
      <c r="O417" t="n">
        <v>0</v>
      </c>
      <c r="P417" t="inlineStr">
        <is>
          <t>University adapter</t>
        </is>
      </c>
      <c r="Q417" t="inlineStr">
        <is>
          <t>Filled</t>
        </is>
      </c>
      <c r="R417" t="n">
        <v>6.5</v>
      </c>
      <c r="S417" t="inlineStr">
        <is>
          <t>Central English policy</t>
        </is>
      </c>
      <c r="T417" t="inlineStr">
        <is>
          <t>Central rule applies (value agrees)</t>
        </is>
      </c>
      <c r="U417" t="inlineStr"/>
      <c r="V417" t="inlineStr">
        <is>
          <t>Not stated on course page</t>
        </is>
      </c>
      <c r="W417" t="inlineStr"/>
      <c r="X417" t="inlineStr"/>
      <c r="Y417" t="n">
        <v>0</v>
      </c>
      <c r="Z417" t="inlineStr">
        <is>
          <t>No</t>
        </is>
      </c>
      <c r="AA417" t="inlineStr">
        <is>
          <t>Filled</t>
        </is>
      </c>
      <c r="AB417" t="inlineStr">
        <is>
          <t>on campus</t>
        </is>
      </c>
      <c r="AC417" t="inlineStr">
        <is>
          <t>Filled</t>
        </is>
      </c>
      <c r="AD417" t="n">
        <v>0</v>
      </c>
      <c r="AE417" t="inlineStr"/>
      <c r="AF417" t="inlineStr"/>
      <c r="AG417" t="inlineStr"/>
      <c r="AH417" t="inlineStr"/>
      <c r="AI417" t="inlineStr"/>
      <c r="AJ417" t="inlineStr"/>
      <c r="AK417" t="inlineStr"/>
      <c r="AL417" t="inlineStr"/>
      <c r="AM417" t="inlineStr"/>
    </row>
    <row r="418">
      <c r="A418" t="inlineStr">
        <is>
          <t>002305M</t>
        </is>
      </c>
      <c r="B418" t="inlineStr">
        <is>
          <t>Non Award (Humanities, Asian Studies, Law)</t>
        </is>
      </c>
      <c r="C418" t="inlineStr">
        <is>
          <t>Non AQF Award</t>
        </is>
      </c>
      <c r="D418" t="inlineStr">
        <is>
          <t>Non-award</t>
        </is>
      </c>
      <c r="E418" t="inlineStr">
        <is>
          <t>Advertised: official page in place</t>
        </is>
      </c>
      <c r="F418" t="inlineStr">
        <is>
          <t>https://programsandcourses.anu.edu.au/2026/program/1110xnawd</t>
        </is>
      </c>
      <c r="G418" t="inlineStr">
        <is>
          <t>https://programsandcourses.anu.edu.au/2026/program/1110xnawd</t>
        </is>
      </c>
      <c r="H418" t="inlineStr">
        <is>
          <t>Read</t>
        </is>
      </c>
      <c r="I418" t="inlineStr">
        <is>
          <t>CRICOS code on page</t>
        </is>
      </c>
      <c r="J418" t="inlineStr"/>
      <c r="K418" t="inlineStr">
        <is>
          <t>Not sent to re-link</t>
        </is>
      </c>
      <c r="L418" t="inlineStr">
        <is>
          <t>Filled</t>
        </is>
      </c>
      <c r="M418" t="inlineStr">
        <is>
          <t>Not stated on course page</t>
        </is>
      </c>
      <c r="N418" t="inlineStr"/>
      <c r="O418" t="n">
        <v>0</v>
      </c>
      <c r="P418" t="inlineStr"/>
      <c r="Q418" t="inlineStr">
        <is>
          <t>Not stated on course page</t>
        </is>
      </c>
      <c r="S418" t="inlineStr"/>
      <c r="T418" t="inlineStr">
        <is>
          <t>Held: level not covered by the policy default</t>
        </is>
      </c>
      <c r="U418" t="inlineStr"/>
      <c r="V418" t="inlineStr">
        <is>
          <t>Not stated on course page</t>
        </is>
      </c>
      <c r="W418" t="inlineStr"/>
      <c r="X418" t="inlineStr"/>
      <c r="Y418" t="n">
        <v>0</v>
      </c>
      <c r="Z418" t="inlineStr">
        <is>
          <t>No</t>
        </is>
      </c>
      <c r="AA418" t="inlineStr">
        <is>
          <t>Not stated on course page</t>
        </is>
      </c>
      <c r="AB418" t="inlineStr"/>
      <c r="AC418" t="inlineStr">
        <is>
          <t>Skipped: the page does not state it</t>
        </is>
      </c>
      <c r="AD418" t="n">
        <v>0</v>
      </c>
      <c r="AE418" t="inlineStr"/>
      <c r="AF418" t="inlineStr"/>
      <c r="AG418" t="inlineStr"/>
      <c r="AH418" t="inlineStr"/>
      <c r="AI418" t="inlineStr"/>
      <c r="AJ418" t="inlineStr">
        <is>
          <t>Yes</t>
        </is>
      </c>
      <c r="AK418" t="inlineStr"/>
      <c r="AL418" t="inlineStr"/>
      <c r="AM418" t="inlineStr"/>
    </row>
    <row r="419">
      <c r="A419" t="inlineStr">
        <is>
          <t>002307J</t>
        </is>
      </c>
      <c r="B419" t="inlineStr">
        <is>
          <t>Non Award (Science, Engineering)</t>
        </is>
      </c>
      <c r="C419" t="inlineStr">
        <is>
          <t>Non AQF Award</t>
        </is>
      </c>
      <c r="D419" t="inlineStr">
        <is>
          <t>Non-award</t>
        </is>
      </c>
      <c r="E419" t="inlineStr">
        <is>
          <t>Advertised: official page in place</t>
        </is>
      </c>
      <c r="F419" t="inlineStr">
        <is>
          <t>https://programsandcourses.anu.edu.au/program/1170XNAWD</t>
        </is>
      </c>
      <c r="G419" t="inlineStr">
        <is>
          <t>https://programsandcourses.anu.edu.au/program/1170XNAWD</t>
        </is>
      </c>
      <c r="H419" t="inlineStr">
        <is>
          <t>Read</t>
        </is>
      </c>
      <c r="I419" t="inlineStr">
        <is>
          <t>CRICOS code on page</t>
        </is>
      </c>
      <c r="J419" t="inlineStr"/>
      <c r="K419" t="inlineStr">
        <is>
          <t>Not sent to re-link</t>
        </is>
      </c>
      <c r="L419" t="inlineStr">
        <is>
          <t>Filled</t>
        </is>
      </c>
      <c r="M419" t="inlineStr">
        <is>
          <t>Not stated on course page</t>
        </is>
      </c>
      <c r="N419" t="inlineStr"/>
      <c r="O419" t="n">
        <v>0</v>
      </c>
      <c r="P419" t="inlineStr"/>
      <c r="Q419" t="inlineStr">
        <is>
          <t>Not stated on course page</t>
        </is>
      </c>
      <c r="S419" t="inlineStr"/>
      <c r="T419" t="inlineStr">
        <is>
          <t>Held: level not covered by the policy default</t>
        </is>
      </c>
      <c r="U419" t="inlineStr"/>
      <c r="V419" t="inlineStr">
        <is>
          <t>Not stated on course page</t>
        </is>
      </c>
      <c r="W419" t="inlineStr"/>
      <c r="X419" t="inlineStr"/>
      <c r="Y419" t="n">
        <v>0</v>
      </c>
      <c r="Z419" t="inlineStr">
        <is>
          <t>No</t>
        </is>
      </c>
      <c r="AA419" t="inlineStr">
        <is>
          <t>Not stated on course page</t>
        </is>
      </c>
      <c r="AB419" t="inlineStr"/>
      <c r="AC419" t="inlineStr">
        <is>
          <t>Skipped: the page does not state it</t>
        </is>
      </c>
      <c r="AD419" t="n">
        <v>0</v>
      </c>
      <c r="AE419" t="inlineStr"/>
      <c r="AF419" t="inlineStr"/>
      <c r="AG419" t="inlineStr"/>
      <c r="AH419" t="inlineStr"/>
      <c r="AI419" t="inlineStr"/>
      <c r="AJ419" t="inlineStr">
        <is>
          <t>Yes</t>
        </is>
      </c>
      <c r="AK419" t="inlineStr"/>
      <c r="AL419" t="inlineStr"/>
      <c r="AM419" t="inlineStr"/>
    </row>
    <row r="420">
      <c r="A420" t="inlineStr">
        <is>
          <t>069088F</t>
        </is>
      </c>
      <c r="B420" t="inlineStr">
        <is>
          <t>Non Award-Joint Degree NUS-ANU</t>
        </is>
      </c>
      <c r="C420" t="inlineStr">
        <is>
          <t>Non AQF Award</t>
        </is>
      </c>
      <c r="D420" t="inlineStr">
        <is>
          <t>Non-award</t>
        </is>
      </c>
      <c r="E420" t="inlineStr">
        <is>
          <t>Advertised: official page in place</t>
        </is>
      </c>
      <c r="F420" t="inlineStr">
        <is>
          <t>https://programsandcourses.anu.edu.au/program/5035xjoint</t>
        </is>
      </c>
      <c r="G420" t="inlineStr">
        <is>
          <t>https://programsandcourses.anu.edu.au/program/5035xjoint</t>
        </is>
      </c>
      <c r="H420" t="inlineStr">
        <is>
          <t>Read</t>
        </is>
      </c>
      <c r="I420" t="inlineStr">
        <is>
          <t>CRICOS code on page</t>
        </is>
      </c>
      <c r="J420" t="inlineStr"/>
      <c r="K420" t="inlineStr">
        <is>
          <t>Not sent to re-link</t>
        </is>
      </c>
      <c r="L420" t="inlineStr">
        <is>
          <t>Filled</t>
        </is>
      </c>
      <c r="M420" t="inlineStr">
        <is>
          <t>Not stated on course page</t>
        </is>
      </c>
      <c r="N420" t="inlineStr"/>
      <c r="O420" t="n">
        <v>0</v>
      </c>
      <c r="P420" t="inlineStr"/>
      <c r="Q420" t="inlineStr">
        <is>
          <t>Not stated on course page</t>
        </is>
      </c>
      <c r="S420" t="inlineStr"/>
      <c r="T420" t="inlineStr">
        <is>
          <t>Held: level not covered by the policy default</t>
        </is>
      </c>
      <c r="U420" t="inlineStr"/>
      <c r="V420" t="inlineStr">
        <is>
          <t>Not stated on course page</t>
        </is>
      </c>
      <c r="W420" t="inlineStr"/>
      <c r="X420" t="inlineStr"/>
      <c r="Y420" t="n">
        <v>0</v>
      </c>
      <c r="Z420" t="inlineStr">
        <is>
          <t>No</t>
        </is>
      </c>
      <c r="AA420" t="inlineStr">
        <is>
          <t>Not stated on course page</t>
        </is>
      </c>
      <c r="AB420" t="inlineStr"/>
      <c r="AC420" t="inlineStr">
        <is>
          <t>Skipped: the page does not state it</t>
        </is>
      </c>
      <c r="AD420" t="n">
        <v>0</v>
      </c>
      <c r="AE420" t="inlineStr"/>
      <c r="AF420" t="inlineStr"/>
      <c r="AG420" t="inlineStr"/>
      <c r="AH420" t="inlineStr"/>
      <c r="AI420" t="inlineStr"/>
      <c r="AJ420" t="inlineStr">
        <is>
          <t>Yes</t>
        </is>
      </c>
      <c r="AK420" t="inlineStr"/>
      <c r="AL420" t="inlineStr"/>
      <c r="AM420" t="inlineStr"/>
    </row>
    <row r="421">
      <c r="A421" t="inlineStr">
        <is>
          <t>048336B</t>
        </is>
      </c>
      <c r="B421" t="inlineStr">
        <is>
          <t>Non-Award (Economics &amp; Commerce; IT; Visual Arts &amp; Music)</t>
        </is>
      </c>
      <c r="C421" t="inlineStr">
        <is>
          <t>Non AQF Award</t>
        </is>
      </c>
      <c r="D421" t="inlineStr">
        <is>
          <t>Non-award</t>
        </is>
      </c>
      <c r="E421" t="inlineStr">
        <is>
          <t>Advertised: official page in place</t>
        </is>
      </c>
      <c r="F421" t="inlineStr">
        <is>
          <t>https://programsandcourses.anu.edu.au/program/1140xnawd</t>
        </is>
      </c>
      <c r="G421" t="inlineStr">
        <is>
          <t>https://programsandcourses.anu.edu.au/program/1140xnawd</t>
        </is>
      </c>
      <c r="H421" t="inlineStr">
        <is>
          <t>Read</t>
        </is>
      </c>
      <c r="I421" t="inlineStr">
        <is>
          <t>CRICOS code on page</t>
        </is>
      </c>
      <c r="J421" t="inlineStr"/>
      <c r="K421" t="inlineStr">
        <is>
          <t>Not sent to re-link</t>
        </is>
      </c>
      <c r="L421" t="inlineStr">
        <is>
          <t>Filled</t>
        </is>
      </c>
      <c r="M421" t="inlineStr">
        <is>
          <t>Not stated on course page</t>
        </is>
      </c>
      <c r="N421" t="inlineStr"/>
      <c r="O421" t="n">
        <v>0</v>
      </c>
      <c r="P421" t="inlineStr"/>
      <c r="Q421" t="inlineStr">
        <is>
          <t>Not stated on course page</t>
        </is>
      </c>
      <c r="S421" t="inlineStr"/>
      <c r="T421" t="inlineStr">
        <is>
          <t>Held: level not covered by the policy default</t>
        </is>
      </c>
      <c r="U421" t="inlineStr"/>
      <c r="V421" t="inlineStr">
        <is>
          <t>Not stated on course page</t>
        </is>
      </c>
      <c r="W421" t="inlineStr"/>
      <c r="X421" t="inlineStr"/>
      <c r="Y421" t="n">
        <v>0</v>
      </c>
      <c r="Z421" t="inlineStr">
        <is>
          <t>No</t>
        </is>
      </c>
      <c r="AA421" t="inlineStr">
        <is>
          <t>Not stated on course page</t>
        </is>
      </c>
      <c r="AB421" t="inlineStr"/>
      <c r="AC421" t="inlineStr">
        <is>
          <t>Skipped: the page does not state it</t>
        </is>
      </c>
      <c r="AD421" t="n">
        <v>0</v>
      </c>
      <c r="AE421" t="inlineStr"/>
      <c r="AF421" t="inlineStr"/>
      <c r="AG421" t="inlineStr"/>
      <c r="AH421" t="inlineStr"/>
      <c r="AI421" t="inlineStr"/>
      <c r="AJ421" t="inlineStr">
        <is>
          <t>Yes</t>
        </is>
      </c>
      <c r="AK421" t="inlineStr"/>
      <c r="AL421" t="inlineStr"/>
      <c r="AM421" t="inlineStr"/>
    </row>
    <row r="422">
      <c r="A422" t="inlineStr">
        <is>
          <t>048334D</t>
        </is>
      </c>
      <c r="B422" t="inlineStr">
        <is>
          <t>Non-Award (Humanities; Asian Studies; Law)</t>
        </is>
      </c>
      <c r="C422" t="inlineStr">
        <is>
          <t>Non AQF Award</t>
        </is>
      </c>
      <c r="D422" t="inlineStr">
        <is>
          <t>Non-award</t>
        </is>
      </c>
      <c r="E422" t="inlineStr">
        <is>
          <t>Advertised: official page in place</t>
        </is>
      </c>
      <c r="F422" t="inlineStr">
        <is>
          <t>https://programsandcourses.anu.edu.au/program/1130xnawd</t>
        </is>
      </c>
      <c r="G422" t="inlineStr">
        <is>
          <t>https://programsandcourses.anu.edu.au/program/1130xnawd</t>
        </is>
      </c>
      <c r="H422" t="inlineStr">
        <is>
          <t>Read</t>
        </is>
      </c>
      <c r="I422" t="inlineStr">
        <is>
          <t>CRICOS code on page</t>
        </is>
      </c>
      <c r="J422" t="inlineStr"/>
      <c r="K422" t="inlineStr">
        <is>
          <t>Not sent to re-link</t>
        </is>
      </c>
      <c r="L422" t="inlineStr">
        <is>
          <t>Filled</t>
        </is>
      </c>
      <c r="M422" t="inlineStr">
        <is>
          <t>Not stated on course page</t>
        </is>
      </c>
      <c r="N422" t="inlineStr"/>
      <c r="O422" t="n">
        <v>0</v>
      </c>
      <c r="P422" t="inlineStr"/>
      <c r="Q422" t="inlineStr">
        <is>
          <t>Not stated on course page</t>
        </is>
      </c>
      <c r="S422" t="inlineStr"/>
      <c r="T422" t="inlineStr">
        <is>
          <t>Held: level not covered by the policy default</t>
        </is>
      </c>
      <c r="U422" t="inlineStr"/>
      <c r="V422" t="inlineStr">
        <is>
          <t>Not stated on course page</t>
        </is>
      </c>
      <c r="W422" t="inlineStr"/>
      <c r="X422" t="inlineStr"/>
      <c r="Y422" t="n">
        <v>0</v>
      </c>
      <c r="Z422" t="inlineStr">
        <is>
          <t>No</t>
        </is>
      </c>
      <c r="AA422" t="inlineStr">
        <is>
          <t>Not stated on course page</t>
        </is>
      </c>
      <c r="AB422" t="inlineStr"/>
      <c r="AC422" t="inlineStr">
        <is>
          <t>Skipped: the page does not state it</t>
        </is>
      </c>
      <c r="AD422" t="n">
        <v>0</v>
      </c>
      <c r="AE422" t="inlineStr"/>
      <c r="AF422" t="inlineStr"/>
      <c r="AG422" t="inlineStr"/>
      <c r="AH422" t="inlineStr"/>
      <c r="AI422" t="inlineStr"/>
      <c r="AJ422" t="inlineStr">
        <is>
          <t>Yes</t>
        </is>
      </c>
      <c r="AK422" t="inlineStr"/>
      <c r="AL422" t="inlineStr"/>
      <c r="AM422" t="inlineStr"/>
    </row>
    <row r="423">
      <c r="A423" t="inlineStr">
        <is>
          <t>023800M</t>
        </is>
      </c>
      <c r="B423" t="inlineStr">
        <is>
          <t>Study Abroad (Non Award)</t>
        </is>
      </c>
      <c r="C423" t="inlineStr">
        <is>
          <t>Non AQF Award</t>
        </is>
      </c>
      <c r="D423" t="inlineStr">
        <is>
          <t>Non-award</t>
        </is>
      </c>
      <c r="E423" t="inlineStr">
        <is>
          <t>Advertised: official page in place</t>
        </is>
      </c>
      <c r="F423" t="inlineStr">
        <is>
          <t>https://programsandcourses.anu.edu.au/2021/program/1300xnaw12</t>
        </is>
      </c>
      <c r="G423" t="inlineStr">
        <is>
          <t>https://programsandcourses.anu.edu.au/program/1300xnaw12</t>
        </is>
      </c>
      <c r="H423" t="inlineStr">
        <is>
          <t>Read</t>
        </is>
      </c>
      <c r="I423" t="inlineStr">
        <is>
          <t>CRICOS code on page</t>
        </is>
      </c>
      <c r="J423" t="inlineStr"/>
      <c r="K423" t="inlineStr">
        <is>
          <t>Not sent to re-link</t>
        </is>
      </c>
      <c r="L423" t="inlineStr">
        <is>
          <t>Filled</t>
        </is>
      </c>
      <c r="M423" t="inlineStr">
        <is>
          <t>Not stated on course page</t>
        </is>
      </c>
      <c r="N423" t="inlineStr"/>
      <c r="O423" t="n">
        <v>0</v>
      </c>
      <c r="P423" t="inlineStr"/>
      <c r="Q423" t="inlineStr">
        <is>
          <t>Not stated on course page</t>
        </is>
      </c>
      <c r="S423" t="inlineStr"/>
      <c r="T423" t="inlineStr">
        <is>
          <t>Held: level not covered by the policy default</t>
        </is>
      </c>
      <c r="U423" t="inlineStr"/>
      <c r="V423" t="inlineStr">
        <is>
          <t>Not stated on course page</t>
        </is>
      </c>
      <c r="W423" t="inlineStr"/>
      <c r="X423" t="inlineStr"/>
      <c r="Y423" t="n">
        <v>0</v>
      </c>
      <c r="Z423" t="inlineStr">
        <is>
          <t>No</t>
        </is>
      </c>
      <c r="AA423" t="inlineStr">
        <is>
          <t>Filled</t>
        </is>
      </c>
      <c r="AB423" t="inlineStr">
        <is>
          <t>on campus</t>
        </is>
      </c>
      <c r="AC423" t="inlineStr">
        <is>
          <t>Filled</t>
        </is>
      </c>
      <c r="AD423" t="n">
        <v>0</v>
      </c>
      <c r="AE423" t="inlineStr"/>
      <c r="AF423" t="inlineStr"/>
      <c r="AG423" t="inlineStr"/>
      <c r="AH423" t="inlineStr"/>
      <c r="AI423" t="inlineStr"/>
      <c r="AJ423" t="inlineStr">
        <is>
          <t>Yes</t>
        </is>
      </c>
      <c r="AK423" t="inlineStr"/>
      <c r="AL423" t="inlineStr"/>
      <c r="AM423" t="inlineStr"/>
    </row>
    <row r="424">
      <c r="A424" t="inlineStr">
        <is>
          <t>003132G</t>
        </is>
      </c>
      <c r="B424" t="inlineStr">
        <is>
          <t>Study Abroad (Non-Degree/Semester)</t>
        </is>
      </c>
      <c r="C424" t="inlineStr">
        <is>
          <t>Non AQF Award</t>
        </is>
      </c>
      <c r="D424" t="inlineStr">
        <is>
          <t>Non-award</t>
        </is>
      </c>
      <c r="E424" t="inlineStr">
        <is>
          <t>Advertised: official page in place</t>
        </is>
      </c>
      <c r="F424" t="inlineStr">
        <is>
          <t>https://programsandcourses.anu.edu.au/program/1300xnawd6</t>
        </is>
      </c>
      <c r="G424" t="inlineStr">
        <is>
          <t>https://programsandcourses.anu.edu.au/program/1300xnawd6</t>
        </is>
      </c>
      <c r="H424" t="inlineStr">
        <is>
          <t>Read</t>
        </is>
      </c>
      <c r="I424" t="inlineStr">
        <is>
          <t>CRICOS code on page</t>
        </is>
      </c>
      <c r="J424" t="inlineStr"/>
      <c r="K424" t="inlineStr">
        <is>
          <t>Not sent to re-link</t>
        </is>
      </c>
      <c r="L424" t="inlineStr">
        <is>
          <t>Filled</t>
        </is>
      </c>
      <c r="M424" t="inlineStr">
        <is>
          <t>Not stated on course page</t>
        </is>
      </c>
      <c r="N424" t="inlineStr"/>
      <c r="O424" t="n">
        <v>0</v>
      </c>
      <c r="P424" t="inlineStr"/>
      <c r="Q424" t="inlineStr">
        <is>
          <t>Not stated on course page</t>
        </is>
      </c>
      <c r="S424" t="inlineStr"/>
      <c r="T424" t="inlineStr">
        <is>
          <t>Held: double degree (its parts are at different levels)</t>
        </is>
      </c>
      <c r="U424" t="inlineStr"/>
      <c r="V424" t="inlineStr">
        <is>
          <t>Not stated on course page</t>
        </is>
      </c>
      <c r="W424" t="inlineStr"/>
      <c r="X424" t="inlineStr"/>
      <c r="Y424" t="n">
        <v>0</v>
      </c>
      <c r="Z424" t="inlineStr">
        <is>
          <t>No</t>
        </is>
      </c>
      <c r="AA424" t="inlineStr">
        <is>
          <t>Not stated on course page</t>
        </is>
      </c>
      <c r="AB424" t="inlineStr"/>
      <c r="AC424" t="inlineStr">
        <is>
          <t>Skipped: the page does not state it</t>
        </is>
      </c>
      <c r="AD424" t="n">
        <v>0</v>
      </c>
      <c r="AE424" t="inlineStr"/>
      <c r="AF424" t="inlineStr"/>
      <c r="AG424" t="inlineStr"/>
      <c r="AH424" t="inlineStr"/>
      <c r="AI424" t="inlineStr"/>
      <c r="AJ424" t="inlineStr">
        <is>
          <t>Yes</t>
        </is>
      </c>
      <c r="AK424" t="inlineStr"/>
      <c r="AL424" t="inlineStr"/>
      <c r="AM424" t="inlineStr"/>
    </row>
  </sheetData>
  <autoFilter ref="A1:AM4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4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22" customWidth="1" min="3" max="3"/>
    <col width="18" customWidth="1" min="4" max="4"/>
    <col width="34" customWidth="1" min="5" max="5"/>
    <col width="40" customWidth="1" min="6" max="6"/>
    <col width="40" customWidth="1" min="7" max="7"/>
    <col width="20" customWidth="1" min="8" max="8"/>
    <col width="18" customWidth="1" min="9" max="9"/>
    <col width="16" customWidth="1" min="10" max="10"/>
    <col width="40" customWidth="1" min="11" max="11"/>
    <col width="22" customWidth="1" min="12" max="12"/>
    <col width="22" customWidth="1" min="13" max="13"/>
    <col width="18" customWidth="1" min="14" max="14"/>
    <col width="12" customWidth="1" min="15" max="15"/>
    <col width="16" customWidth="1" min="16" max="16"/>
    <col width="22" customWidth="1" min="17" max="17"/>
    <col width="9" customWidth="1" min="18" max="18"/>
    <col width="20" customWidth="1" min="19" max="19"/>
    <col width="36" customWidth="1" min="20" max="20"/>
    <col width="34" customWidth="1" min="21" max="21"/>
    <col width="22" customWidth="1" min="22" max="22"/>
    <col width="20" customWidth="1" min="23" max="23"/>
    <col width="16" customWidth="1" min="24" max="24"/>
    <col width="10" customWidth="1" min="25" max="25"/>
    <col width="12" customWidth="1" min="26" max="26"/>
    <col width="22" customWidth="1" min="27" max="27"/>
    <col width="16" customWidth="1" min="28" max="28"/>
    <col width="40" customWidth="1" min="29" max="29"/>
    <col width="10"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s>
  <sheetData>
    <row r="1" ht="60" customHeight="1">
      <c r="A1" s="4" t="inlineStr">
        <is>
          <t>CRICOS code</t>
        </is>
      </c>
      <c r="B1" s="4" t="inlineStr">
        <is>
          <t>Course title</t>
        </is>
      </c>
      <c r="C1" s="4" t="inlineStr">
        <is>
          <t>Study level</t>
        </is>
      </c>
      <c r="D1" s="4" t="inlineStr">
        <is>
          <t>Study level group</t>
        </is>
      </c>
      <c r="E1" s="4" t="inlineStr">
        <is>
          <t>Advertised status</t>
        </is>
      </c>
      <c r="F1" s="4" t="inlineStr">
        <is>
          <t>Official course page (in place)</t>
        </is>
      </c>
      <c r="G1" s="4" t="inlineStr">
        <is>
          <t>Page found (address)</t>
        </is>
      </c>
      <c r="H1" s="4" t="inlineStr">
        <is>
          <t>Page read result</t>
        </is>
      </c>
      <c r="I1" s="4" t="inlineStr">
        <is>
          <t>Identity proof</t>
        </is>
      </c>
      <c r="J1" s="4" t="inlineStr">
        <is>
          <t>No-page record</t>
        </is>
      </c>
      <c r="K1" s="4" t="inlineStr">
        <is>
          <t>Re-link lane result</t>
        </is>
      </c>
      <c r="L1" s="4" t="inlineStr">
        <is>
          <t>Official course page (state)</t>
        </is>
      </c>
      <c r="M1" s="4" t="inlineStr">
        <is>
          <t>International tuition (state)</t>
        </is>
      </c>
      <c r="N1" s="4" t="inlineStr">
        <is>
          <t>International fee (amount, year)</t>
        </is>
      </c>
      <c r="O1" s="4" t="inlineStr">
        <is>
          <t>Rows in approved fee schedule (by CRICOS code)</t>
        </is>
      </c>
      <c r="P1" s="4" t="inlineStr">
        <is>
          <t>Fee source</t>
        </is>
      </c>
      <c r="Q1" s="4" t="inlineStr">
        <is>
          <t>English requirement (state)</t>
        </is>
      </c>
      <c r="R1" s="4" t="inlineStr">
        <is>
          <t>IELTS overall</t>
        </is>
      </c>
      <c r="S1" s="4" t="inlineStr">
        <is>
          <t>English source</t>
        </is>
      </c>
      <c r="T1" s="4" t="inlineStr">
        <is>
          <t>Central English rule for this course</t>
        </is>
      </c>
      <c r="U1" s="4" t="inlineStr">
        <is>
          <t>Course page disagrees with central English</t>
        </is>
      </c>
      <c r="V1" s="4" t="inlineStr">
        <is>
          <t>Intakes (state)</t>
        </is>
      </c>
      <c r="W1" s="4" t="inlineStr">
        <is>
          <t>Intake months</t>
        </is>
      </c>
      <c r="X1" s="4" t="inlineStr">
        <is>
          <t>Intakes source</t>
        </is>
      </c>
      <c r="Y1" s="4" t="inlineStr">
        <is>
          <t>Intake rows withdrawn earlier</t>
        </is>
      </c>
      <c r="Z1" s="4" t="inlineStr">
        <is>
          <t>Calendar months allowed at this level (19 Oct rule)</t>
        </is>
      </c>
      <c r="AA1" s="4" t="inlineStr">
        <is>
          <t>Delivery mode (state)</t>
        </is>
      </c>
      <c r="AB1" s="4" t="inlineStr">
        <is>
          <t>Delivery mode</t>
        </is>
      </c>
      <c r="AC1" s="4" t="inlineStr">
        <is>
          <t>Delivery: last reader result</t>
        </is>
      </c>
      <c r="AD1" s="4" t="inlineStr">
        <is>
          <t>Delivery values taken back (23 Oct)</t>
        </is>
      </c>
      <c r="AE1" s="4" t="inlineStr">
        <is>
          <t>Action: read the bound page again (rendered)</t>
        </is>
      </c>
      <c r="AF1" s="4" t="inlineStr">
        <is>
          <t>Action: Layer 4 review of a value read from the course page</t>
        </is>
      </c>
      <c r="AG1" s="4" t="inlineStr">
        <is>
          <t>Action: re-route item stuck in retired Layer 3</t>
        </is>
      </c>
      <c r="AH1" s="4" t="inlineStr">
        <is>
          <t>Action: calendar months, undergraduate (22 Oct rule)</t>
        </is>
      </c>
      <c r="AI1" s="4" t="inlineStr">
        <is>
          <t>Action: calendar months, postgraduate/research (19 + 22 Oct rules)</t>
        </is>
      </c>
      <c r="AJ1" s="4" t="inlineStr">
        <is>
          <t>Action: English rule for held course types</t>
        </is>
      </c>
      <c r="AK1" s="4" t="inlineStr">
        <is>
          <t>Action: delivery quote not found, re-run</t>
        </is>
      </c>
      <c r="AL1" s="4" t="inlineStr">
        <is>
          <t>Action: fee in approved schedule, not admitted</t>
        </is>
      </c>
      <c r="AM1" s="4" t="inlineStr">
        <is>
          <t>Action: confirm no-page record</t>
        </is>
      </c>
    </row>
    <row r="2">
      <c r="A2" t="inlineStr">
        <is>
          <t>037228G</t>
        </is>
      </c>
      <c r="B2" t="inlineStr">
        <is>
          <t>Bachelor of Agriculture</t>
        </is>
      </c>
      <c r="C2" t="inlineStr">
        <is>
          <t>Bachelor</t>
        </is>
      </c>
      <c r="D2" t="inlineStr">
        <is>
          <t>Undergraduate</t>
        </is>
      </c>
      <c r="E2" t="inlineStr">
        <is>
          <t>Advertised: official page in place</t>
        </is>
      </c>
      <c r="F2" t="inlineStr">
        <is>
          <t>https://handbook.unimelb.edu.au/2026/courses/b-agr</t>
        </is>
      </c>
      <c r="G2" t="inlineStr">
        <is>
          <t>https://handbook.unimelb.edu.au/2026/courses/b-agr</t>
        </is>
      </c>
      <c r="H2" t="inlineStr">
        <is>
          <t>Read</t>
        </is>
      </c>
      <c r="I2" t="inlineStr">
        <is>
          <t>CRICOS code on page</t>
        </is>
      </c>
      <c r="J2" t="inlineStr"/>
      <c r="K2" t="inlineStr">
        <is>
          <t>Not sent to re-link</t>
        </is>
      </c>
      <c r="L2" t="inlineStr">
        <is>
          <t>Filled</t>
        </is>
      </c>
      <c r="M2" t="inlineStr">
        <is>
          <t>Waiting for Layer 4 review</t>
        </is>
      </c>
      <c r="N2" t="inlineStr"/>
      <c r="O2" t="n">
        <v>0</v>
      </c>
      <c r="P2" t="inlineStr"/>
      <c r="Q2" t="inlineStr">
        <is>
          <t>Not stated on course page</t>
        </is>
      </c>
      <c r="S2" t="inlineStr"/>
      <c r="T2" t="inlineStr">
        <is>
          <t>Level map (Melbourne): not computed per course in this report</t>
        </is>
      </c>
      <c r="U2" t="inlineStr"/>
      <c r="V2" t="inlineStr">
        <is>
          <t>Not stated on course page</t>
        </is>
      </c>
      <c r="W2" t="inlineStr"/>
      <c r="X2" t="inlineStr"/>
      <c r="Y2" t="n">
        <v>2</v>
      </c>
      <c r="Z2" t="inlineStr">
        <is>
          <t>Yes</t>
        </is>
      </c>
      <c r="AA2" t="inlineStr">
        <is>
          <t>Filled</t>
        </is>
      </c>
      <c r="AB2" t="inlineStr">
        <is>
          <t>on campus</t>
        </is>
      </c>
      <c r="AC2" t="inlineStr"/>
      <c r="AD2" t="n">
        <v>0</v>
      </c>
      <c r="AE2" t="inlineStr"/>
      <c r="AF2" t="inlineStr">
        <is>
          <t>Yes</t>
        </is>
      </c>
      <c r="AG2" t="inlineStr"/>
      <c r="AH2" t="inlineStr">
        <is>
          <t>Yes</t>
        </is>
      </c>
      <c r="AI2" t="inlineStr"/>
      <c r="AJ2" t="inlineStr"/>
      <c r="AK2" t="inlineStr"/>
      <c r="AL2" t="inlineStr"/>
      <c r="AM2" t="inlineStr"/>
    </row>
    <row r="3">
      <c r="A3" t="inlineStr">
        <is>
          <t>037229G</t>
        </is>
      </c>
      <c r="B3" t="inlineStr">
        <is>
          <t>Bachelor of Agriculture (Degree with Honours)</t>
        </is>
      </c>
      <c r="C3" t="inlineStr">
        <is>
          <t>Bachelor Honours Degree</t>
        </is>
      </c>
      <c r="D3" t="inlineStr">
        <is>
          <t>Undergraduate</t>
        </is>
      </c>
      <c r="E3" t="inlineStr">
        <is>
          <t>Advertised: official page in place</t>
        </is>
      </c>
      <c r="F3" t="inlineStr">
        <is>
          <t>https://handbook.unimelb.edu.au/2026/courses/bh-agr</t>
        </is>
      </c>
      <c r="G3" t="inlineStr">
        <is>
          <t>https://handbook.unimelb.edu.au/2026/courses/bh-agr</t>
        </is>
      </c>
      <c r="H3" t="inlineStr">
        <is>
          <t>Read</t>
        </is>
      </c>
      <c r="I3" t="inlineStr">
        <is>
          <t>CRICOS code on page</t>
        </is>
      </c>
      <c r="J3" t="inlineStr"/>
      <c r="K3" t="inlineStr">
        <is>
          <t>Not sent to re-link</t>
        </is>
      </c>
      <c r="L3" t="inlineStr">
        <is>
          <t>Filled</t>
        </is>
      </c>
      <c r="M3" t="inlineStr">
        <is>
          <t>Waiting for Layer 4 review</t>
        </is>
      </c>
      <c r="N3" t="inlineStr"/>
      <c r="O3" t="n">
        <v>0</v>
      </c>
      <c r="P3" t="inlineStr"/>
      <c r="Q3" t="inlineStr">
        <is>
          <t>Not stated on course page</t>
        </is>
      </c>
      <c r="S3" t="inlineStr"/>
      <c r="T3" t="inlineStr">
        <is>
          <t>Level map (Melbourne): not computed per course in this report</t>
        </is>
      </c>
      <c r="U3" t="inlineStr"/>
      <c r="V3" t="inlineStr">
        <is>
          <t>Waiting for Layer 4 review</t>
        </is>
      </c>
      <c r="W3" t="inlineStr"/>
      <c r="X3" t="inlineStr"/>
      <c r="Y3" t="n">
        <v>2</v>
      </c>
      <c r="Z3" t="inlineStr">
        <is>
          <t>Yes</t>
        </is>
      </c>
      <c r="AA3" t="inlineStr">
        <is>
          <t>Filled</t>
        </is>
      </c>
      <c r="AB3" t="inlineStr">
        <is>
          <t>on campus</t>
        </is>
      </c>
      <c r="AC3" t="inlineStr"/>
      <c r="AD3" t="n">
        <v>0</v>
      </c>
      <c r="AE3" t="inlineStr"/>
      <c r="AF3" t="inlineStr">
        <is>
          <t>Yes</t>
        </is>
      </c>
      <c r="AG3" t="inlineStr"/>
      <c r="AH3" t="inlineStr">
        <is>
          <t>Yes</t>
        </is>
      </c>
      <c r="AI3" t="inlineStr"/>
      <c r="AJ3" t="inlineStr"/>
      <c r="AK3" t="inlineStr"/>
      <c r="AL3" t="inlineStr"/>
      <c r="AM3" t="inlineStr"/>
    </row>
    <row r="4">
      <c r="A4" t="inlineStr">
        <is>
          <t>002167E</t>
        </is>
      </c>
      <c r="B4" t="inlineStr">
        <is>
          <t>Bachelor of Arts</t>
        </is>
      </c>
      <c r="C4" t="inlineStr">
        <is>
          <t>Bachelor</t>
        </is>
      </c>
      <c r="D4" t="inlineStr">
        <is>
          <t>Undergraduate</t>
        </is>
      </c>
      <c r="E4" t="inlineStr">
        <is>
          <t>Advertised: official page in place</t>
        </is>
      </c>
      <c r="F4" t="inlineStr">
        <is>
          <t>https://study.unimelb.edu.au/find/courses/undergraduate/bachelor-of-arts/</t>
        </is>
      </c>
      <c r="G4" t="inlineStr">
        <is>
          <t>https://study.unimelb.edu.au/find/courses/undergraduate/bachelor-of-arts/</t>
        </is>
      </c>
      <c r="H4" t="inlineStr">
        <is>
          <t>Read</t>
        </is>
      </c>
      <c r="I4" t="inlineStr">
        <is>
          <t>CRICOS code on page</t>
        </is>
      </c>
      <c r="J4" t="inlineStr"/>
      <c r="K4" t="inlineStr">
        <is>
          <t>Not sent to re-link</t>
        </is>
      </c>
      <c r="L4" t="inlineStr">
        <is>
          <t>Filled</t>
        </is>
      </c>
      <c r="M4" t="inlineStr">
        <is>
          <t>Filled</t>
        </is>
      </c>
      <c r="N4" t="inlineStr">
        <is>
          <t>44356.00 2027</t>
        </is>
      </c>
      <c r="O4" t="n">
        <v>0</v>
      </c>
      <c r="P4" t="inlineStr">
        <is>
          <t>Other</t>
        </is>
      </c>
      <c r="Q4" t="inlineStr">
        <is>
          <t>Filled</t>
        </is>
      </c>
      <c r="R4" t="n">
        <v>6.5</v>
      </c>
      <c r="S4" t="inlineStr">
        <is>
          <t>University adapter</t>
        </is>
      </c>
      <c r="T4" t="inlineStr">
        <is>
          <t>Level map (Melbourne): not computed per course in this report</t>
        </is>
      </c>
      <c r="U4" t="inlineStr"/>
      <c r="V4" t="inlineStr">
        <is>
          <t>Filled</t>
        </is>
      </c>
      <c r="W4" t="inlineStr">
        <is>
          <t>March, July</t>
        </is>
      </c>
      <c r="X4" t="inlineStr">
        <is>
          <t>University adapter</t>
        </is>
      </c>
      <c r="Y4" t="n">
        <v>0</v>
      </c>
      <c r="Z4" t="inlineStr">
        <is>
          <t>Yes</t>
        </is>
      </c>
      <c r="AA4" t="inlineStr">
        <is>
          <t>Filled</t>
        </is>
      </c>
      <c r="AB4" t="inlineStr">
        <is>
          <t>on campus</t>
        </is>
      </c>
      <c r="AC4" t="inlineStr"/>
      <c r="AD4" t="n">
        <v>0</v>
      </c>
      <c r="AE4" t="inlineStr"/>
      <c r="AF4" t="inlineStr"/>
      <c r="AG4" t="inlineStr"/>
      <c r="AH4" t="inlineStr"/>
      <c r="AI4" t="inlineStr"/>
      <c r="AJ4" t="inlineStr"/>
      <c r="AK4" t="inlineStr"/>
      <c r="AL4" t="inlineStr"/>
      <c r="AM4" t="inlineStr"/>
    </row>
    <row r="5">
      <c r="A5" t="inlineStr">
        <is>
          <t>009645A</t>
        </is>
      </c>
      <c r="B5" t="inlineStr">
        <is>
          <t>Bachelor of Arts (Degree with Honours)</t>
        </is>
      </c>
      <c r="C5" t="inlineStr">
        <is>
          <t>Bachelor Honours Degree</t>
        </is>
      </c>
      <c r="D5" t="inlineStr">
        <is>
          <t>Undergraduate</t>
        </is>
      </c>
      <c r="E5" t="inlineStr">
        <is>
          <t>Advertised: official page in place</t>
        </is>
      </c>
      <c r="F5" t="inlineStr">
        <is>
          <t>https://study.unimelb.edu.au/find/courses/honours/bachelor-of-arts-degree-with-honours/</t>
        </is>
      </c>
      <c r="G5" t="inlineStr">
        <is>
          <t>https://study.unimelb.edu.au/find/courses/honours/bachelor-of-arts-degree-with-honours/</t>
        </is>
      </c>
      <c r="H5" t="inlineStr">
        <is>
          <t>Read</t>
        </is>
      </c>
      <c r="I5" t="inlineStr">
        <is>
          <t>CRICOS code on page</t>
        </is>
      </c>
      <c r="J5" t="inlineStr"/>
      <c r="K5" t="inlineStr">
        <is>
          <t>Not sent to re-link</t>
        </is>
      </c>
      <c r="L5" t="inlineStr">
        <is>
          <t>Filled</t>
        </is>
      </c>
      <c r="M5" t="inlineStr">
        <is>
          <t>Filled</t>
        </is>
      </c>
      <c r="N5" t="inlineStr">
        <is>
          <t>44356.00 2027</t>
        </is>
      </c>
      <c r="O5" t="n">
        <v>0</v>
      </c>
      <c r="P5" t="inlineStr">
        <is>
          <t>Other</t>
        </is>
      </c>
      <c r="Q5" t="inlineStr">
        <is>
          <t>Filled</t>
        </is>
      </c>
      <c r="R5" t="n">
        <v>6.5</v>
      </c>
      <c r="S5" t="inlineStr">
        <is>
          <t>University adapter</t>
        </is>
      </c>
      <c r="T5" t="inlineStr">
        <is>
          <t>Level map (Melbourne): not computed per course in this report</t>
        </is>
      </c>
      <c r="U5" t="inlineStr"/>
      <c r="V5" t="inlineStr">
        <is>
          <t>Filled</t>
        </is>
      </c>
      <c r="W5" t="inlineStr">
        <is>
          <t>February, July</t>
        </is>
      </c>
      <c r="X5" t="inlineStr">
        <is>
          <t>University adapter</t>
        </is>
      </c>
      <c r="Y5" t="n">
        <v>0</v>
      </c>
      <c r="Z5" t="inlineStr">
        <is>
          <t>Yes</t>
        </is>
      </c>
      <c r="AA5" t="inlineStr">
        <is>
          <t>Filled</t>
        </is>
      </c>
      <c r="AB5" t="inlineStr">
        <is>
          <t>on campus</t>
        </is>
      </c>
      <c r="AC5" t="inlineStr"/>
      <c r="AD5" t="n">
        <v>0</v>
      </c>
      <c r="AE5" t="inlineStr"/>
      <c r="AF5" t="inlineStr"/>
      <c r="AG5" t="inlineStr"/>
      <c r="AH5" t="inlineStr"/>
      <c r="AI5" t="inlineStr"/>
      <c r="AJ5" t="inlineStr"/>
      <c r="AK5" t="inlineStr"/>
      <c r="AL5" t="inlineStr"/>
      <c r="AM5" t="inlineStr"/>
    </row>
    <row r="6">
      <c r="A6" t="inlineStr">
        <is>
          <t>053178B</t>
        </is>
      </c>
      <c r="B6" t="inlineStr">
        <is>
          <t>Bachelor of Arts (Honours) Psychology</t>
        </is>
      </c>
      <c r="C6" t="inlineStr">
        <is>
          <t>Bachelor Honours Degree</t>
        </is>
      </c>
      <c r="D6" t="inlineStr">
        <is>
          <t>Undergraduate</t>
        </is>
      </c>
      <c r="E6" t="inlineStr">
        <is>
          <t>Page address no longer works</t>
        </is>
      </c>
      <c r="F6" t="inlineStr"/>
      <c r="G6" t="inlineStr">
        <is>
          <t>https://study.unimelb.edu.au/find/courses/honours/bachelor-of-arts-degree-with-honours/</t>
        </is>
      </c>
      <c r="H6" t="inlineStr">
        <is>
          <t>Blocked by the site</t>
        </is>
      </c>
      <c r="I6" t="inlineStr"/>
      <c r="J6" t="inlineStr"/>
      <c r="K6" t="inlineStr">
        <is>
          <t>Finished, no page: no address from the university's address forms or stored lis</t>
        </is>
      </c>
      <c r="L6" t="inlineStr">
        <is>
          <t>Blocked: needs a person</t>
        </is>
      </c>
      <c r="M6" t="inlineStr">
        <is>
          <t>Blocked: needs a person</t>
        </is>
      </c>
      <c r="N6" t="inlineStr"/>
      <c r="O6" t="n">
        <v>0</v>
      </c>
      <c r="P6" t="inlineStr"/>
      <c r="Q6" t="inlineStr">
        <is>
          <t>Blocked: needs a person</t>
        </is>
      </c>
      <c r="S6" t="inlineStr"/>
      <c r="T6" t="inlineStr">
        <is>
          <t>Level map (Melbourne): not computed per course in this report</t>
        </is>
      </c>
      <c r="U6" t="inlineStr"/>
      <c r="V6" t="inlineStr">
        <is>
          <t>Blocked: needs a person</t>
        </is>
      </c>
      <c r="W6" t="inlineStr"/>
      <c r="X6" t="inlineStr"/>
      <c r="Y6" t="n">
        <v>0</v>
      </c>
      <c r="Z6" t="inlineStr">
        <is>
          <t>Yes</t>
        </is>
      </c>
      <c r="AA6" t="inlineStr">
        <is>
          <t>Not stated on course page</t>
        </is>
      </c>
      <c r="AB6" t="inlineStr"/>
      <c r="AC6" t="inlineStr">
        <is>
          <t>Skipped: no allowed source had a value</t>
        </is>
      </c>
      <c r="AD6" t="n">
        <v>1</v>
      </c>
      <c r="AE6" t="inlineStr"/>
      <c r="AF6" t="inlineStr"/>
      <c r="AG6" t="inlineStr"/>
      <c r="AH6" t="inlineStr"/>
      <c r="AI6" t="inlineStr"/>
      <c r="AJ6" t="inlineStr"/>
      <c r="AK6" t="inlineStr"/>
      <c r="AL6" t="inlineStr"/>
      <c r="AM6" t="inlineStr"/>
    </row>
    <row r="7">
      <c r="A7" t="inlineStr">
        <is>
          <t>058838G</t>
        </is>
      </c>
      <c r="B7" t="inlineStr">
        <is>
          <t>Bachelor of Biomedicine</t>
        </is>
      </c>
      <c r="C7" t="inlineStr">
        <is>
          <t>Bachelor</t>
        </is>
      </c>
      <c r="D7" t="inlineStr">
        <is>
          <t>Undergraduate</t>
        </is>
      </c>
      <c r="E7" t="inlineStr">
        <is>
          <t>Advertised: official page in place</t>
        </is>
      </c>
      <c r="F7" t="inlineStr">
        <is>
          <t>https://study.unimelb.edu.au/find/courses/undergraduate/bachelor-of-biomedicine/</t>
        </is>
      </c>
      <c r="G7" t="inlineStr">
        <is>
          <t>https://study.unimelb.edu.au/find/courses/undergraduate/bachelor-of-biomedicine/</t>
        </is>
      </c>
      <c r="H7" t="inlineStr">
        <is>
          <t>Read</t>
        </is>
      </c>
      <c r="I7" t="inlineStr">
        <is>
          <t>CRICOS code on page</t>
        </is>
      </c>
      <c r="J7" t="inlineStr"/>
      <c r="K7" t="inlineStr">
        <is>
          <t>Not sent to re-link</t>
        </is>
      </c>
      <c r="L7" t="inlineStr">
        <is>
          <t>Filled</t>
        </is>
      </c>
      <c r="M7" t="inlineStr">
        <is>
          <t>Filled</t>
        </is>
      </c>
      <c r="N7" t="inlineStr">
        <is>
          <t>58084.00 2027</t>
        </is>
      </c>
      <c r="O7" t="n">
        <v>0</v>
      </c>
      <c r="P7" t="inlineStr">
        <is>
          <t>Other</t>
        </is>
      </c>
      <c r="Q7" t="inlineStr">
        <is>
          <t>Filled</t>
        </is>
      </c>
      <c r="R7" t="n">
        <v>6.5</v>
      </c>
      <c r="S7" t="inlineStr">
        <is>
          <t>University adapter</t>
        </is>
      </c>
      <c r="T7" t="inlineStr">
        <is>
          <t>Level map (Melbourne): not computed per course in this report</t>
        </is>
      </c>
      <c r="U7" t="inlineStr"/>
      <c r="V7" t="inlineStr">
        <is>
          <t>Filled</t>
        </is>
      </c>
      <c r="W7" t="inlineStr">
        <is>
          <t>March, July</t>
        </is>
      </c>
      <c r="X7" t="inlineStr">
        <is>
          <t>University adapter</t>
        </is>
      </c>
      <c r="Y7" t="n">
        <v>0</v>
      </c>
      <c r="Z7" t="inlineStr">
        <is>
          <t>Yes</t>
        </is>
      </c>
      <c r="AA7" t="inlineStr">
        <is>
          <t>Filled</t>
        </is>
      </c>
      <c r="AB7" t="inlineStr">
        <is>
          <t>on campus</t>
        </is>
      </c>
      <c r="AC7" t="inlineStr"/>
      <c r="AD7" t="n">
        <v>0</v>
      </c>
      <c r="AE7" t="inlineStr"/>
      <c r="AF7" t="inlineStr"/>
      <c r="AG7" t="inlineStr"/>
      <c r="AH7" t="inlineStr"/>
      <c r="AI7" t="inlineStr"/>
      <c r="AJ7" t="inlineStr"/>
      <c r="AK7" t="inlineStr"/>
      <c r="AL7" t="inlineStr"/>
      <c r="AM7" t="inlineStr"/>
    </row>
    <row r="8">
      <c r="A8" t="inlineStr">
        <is>
          <t>073113J</t>
        </is>
      </c>
      <c r="B8" t="inlineStr">
        <is>
          <t>Bachelor of Biomedicine (Honours)</t>
        </is>
      </c>
      <c r="C8" t="inlineStr">
        <is>
          <t>Bachelor Honours Degree</t>
        </is>
      </c>
      <c r="D8" t="inlineStr">
        <is>
          <t>Undergraduate</t>
        </is>
      </c>
      <c r="E8" t="inlineStr">
        <is>
          <t>Advertised: official page in place</t>
        </is>
      </c>
      <c r="F8" t="inlineStr">
        <is>
          <t>https://handbook.unimelb.edu.au/2026/courses/bh-bmed</t>
        </is>
      </c>
      <c r="G8" t="inlineStr">
        <is>
          <t>https://handbook.unimelb.edu.au/2026/courses/bh-bmed</t>
        </is>
      </c>
      <c r="H8" t="inlineStr">
        <is>
          <t>Read</t>
        </is>
      </c>
      <c r="I8" t="inlineStr">
        <is>
          <t>CRICOS code on page</t>
        </is>
      </c>
      <c r="J8" t="inlineStr"/>
      <c r="K8" t="inlineStr">
        <is>
          <t>Not sent to re-link</t>
        </is>
      </c>
      <c r="L8" t="inlineStr">
        <is>
          <t>Filled</t>
        </is>
      </c>
      <c r="M8" t="inlineStr">
        <is>
          <t>Waiting for Layer 4 review</t>
        </is>
      </c>
      <c r="N8" t="inlineStr"/>
      <c r="O8" t="n">
        <v>0</v>
      </c>
      <c r="P8" t="inlineStr"/>
      <c r="Q8" t="inlineStr">
        <is>
          <t>Not stated on course page</t>
        </is>
      </c>
      <c r="S8" t="inlineStr"/>
      <c r="T8" t="inlineStr">
        <is>
          <t>Level map (Melbourne): not computed per course in this report</t>
        </is>
      </c>
      <c r="U8" t="inlineStr"/>
      <c r="V8" t="inlineStr">
        <is>
          <t>Not stated on course page</t>
        </is>
      </c>
      <c r="W8" t="inlineStr"/>
      <c r="X8" t="inlineStr"/>
      <c r="Y8" t="n">
        <v>2</v>
      </c>
      <c r="Z8" t="inlineStr">
        <is>
          <t>Yes</t>
        </is>
      </c>
      <c r="AA8" t="inlineStr">
        <is>
          <t>Filled</t>
        </is>
      </c>
      <c r="AB8" t="inlineStr">
        <is>
          <t>on campus</t>
        </is>
      </c>
      <c r="AC8" t="inlineStr"/>
      <c r="AD8" t="n">
        <v>0</v>
      </c>
      <c r="AE8" t="inlineStr"/>
      <c r="AF8" t="inlineStr">
        <is>
          <t>Yes</t>
        </is>
      </c>
      <c r="AG8" t="inlineStr"/>
      <c r="AH8" t="inlineStr">
        <is>
          <t>Yes</t>
        </is>
      </c>
      <c r="AI8" t="inlineStr"/>
      <c r="AJ8" t="inlineStr"/>
      <c r="AK8" t="inlineStr"/>
      <c r="AL8" t="inlineStr"/>
      <c r="AM8" t="inlineStr"/>
    </row>
    <row r="9">
      <c r="A9" t="inlineStr">
        <is>
          <t>002143B</t>
        </is>
      </c>
      <c r="B9" t="inlineStr">
        <is>
          <t>Bachelor of Commerce</t>
        </is>
      </c>
      <c r="C9" t="inlineStr">
        <is>
          <t>Bachelor</t>
        </is>
      </c>
      <c r="D9" t="inlineStr">
        <is>
          <t>Undergraduate</t>
        </is>
      </c>
      <c r="E9" t="inlineStr">
        <is>
          <t>Advertised: official page in place</t>
        </is>
      </c>
      <c r="F9" t="inlineStr">
        <is>
          <t>https://study.unimelb.edu.au/find/courses/undergraduate/bachelor-of-commerce/</t>
        </is>
      </c>
      <c r="G9" t="inlineStr">
        <is>
          <t>https://study.unimelb.edu.au/find/courses/undergraduate/bachelor-of-commerce/</t>
        </is>
      </c>
      <c r="H9" t="inlineStr">
        <is>
          <t>Read</t>
        </is>
      </c>
      <c r="I9" t="inlineStr">
        <is>
          <t>CRICOS code on page</t>
        </is>
      </c>
      <c r="J9" t="inlineStr"/>
      <c r="K9" t="inlineStr">
        <is>
          <t>Not sent to re-link</t>
        </is>
      </c>
      <c r="L9" t="inlineStr">
        <is>
          <t>Filled</t>
        </is>
      </c>
      <c r="M9" t="inlineStr">
        <is>
          <t>Filled</t>
        </is>
      </c>
      <c r="N9" t="inlineStr">
        <is>
          <t>56451.00 2027</t>
        </is>
      </c>
      <c r="O9" t="n">
        <v>0</v>
      </c>
      <c r="P9" t="inlineStr">
        <is>
          <t>Other</t>
        </is>
      </c>
      <c r="Q9" t="inlineStr">
        <is>
          <t>Filled</t>
        </is>
      </c>
      <c r="R9" t="n">
        <v>6.5</v>
      </c>
      <c r="S9" t="inlineStr">
        <is>
          <t>University adapter</t>
        </is>
      </c>
      <c r="T9" t="inlineStr">
        <is>
          <t>Level map (Melbourne): not computed per course in this report</t>
        </is>
      </c>
      <c r="U9" t="inlineStr"/>
      <c r="V9" t="inlineStr">
        <is>
          <t>Filled</t>
        </is>
      </c>
      <c r="W9" t="inlineStr">
        <is>
          <t>March, July</t>
        </is>
      </c>
      <c r="X9" t="inlineStr">
        <is>
          <t>University adapter</t>
        </is>
      </c>
      <c r="Y9" t="n">
        <v>0</v>
      </c>
      <c r="Z9" t="inlineStr">
        <is>
          <t>Yes</t>
        </is>
      </c>
      <c r="AA9" t="inlineStr">
        <is>
          <t>Filled</t>
        </is>
      </c>
      <c r="AB9" t="inlineStr">
        <is>
          <t>on campus</t>
        </is>
      </c>
      <c r="AC9" t="inlineStr"/>
      <c r="AD9" t="n">
        <v>0</v>
      </c>
      <c r="AE9" t="inlineStr"/>
      <c r="AF9" t="inlineStr"/>
      <c r="AG9" t="inlineStr"/>
      <c r="AH9" t="inlineStr"/>
      <c r="AI9" t="inlineStr"/>
      <c r="AJ9" t="inlineStr"/>
      <c r="AK9" t="inlineStr"/>
      <c r="AL9" t="inlineStr"/>
      <c r="AM9" t="inlineStr"/>
    </row>
    <row r="10">
      <c r="A10" t="inlineStr">
        <is>
          <t>014798G</t>
        </is>
      </c>
      <c r="B10" t="inlineStr">
        <is>
          <t>Bachelor of Commerce (Degree with Honours)</t>
        </is>
      </c>
      <c r="C10" t="inlineStr">
        <is>
          <t>Bachelor Honours Degree</t>
        </is>
      </c>
      <c r="D10" t="inlineStr">
        <is>
          <t>Undergraduate</t>
        </is>
      </c>
      <c r="E10" t="inlineStr">
        <is>
          <t>Advertised: official page in place</t>
        </is>
      </c>
      <c r="F10" t="inlineStr">
        <is>
          <t>https://handbook.unimelb.edu.au/courses/bh-com/</t>
        </is>
      </c>
      <c r="G10" t="inlineStr">
        <is>
          <t>https://handbook.unimelb.edu.au/courses/bh-com/</t>
        </is>
      </c>
      <c r="H10" t="inlineStr">
        <is>
          <t>Read</t>
        </is>
      </c>
      <c r="I10" t="inlineStr">
        <is>
          <t>CRICOS code on page</t>
        </is>
      </c>
      <c r="J10" t="inlineStr"/>
      <c r="K10" t="inlineStr">
        <is>
          <t>Not sent to re-link</t>
        </is>
      </c>
      <c r="L10" t="inlineStr">
        <is>
          <t>Filled</t>
        </is>
      </c>
      <c r="M10" t="inlineStr">
        <is>
          <t>Waiting for Layer 4 review</t>
        </is>
      </c>
      <c r="N10" t="inlineStr"/>
      <c r="O10" t="n">
        <v>0</v>
      </c>
      <c r="P10" t="inlineStr"/>
      <c r="Q10" t="inlineStr">
        <is>
          <t>Not stated on course page</t>
        </is>
      </c>
      <c r="S10" t="inlineStr"/>
      <c r="T10" t="inlineStr">
        <is>
          <t>Level map (Melbourne): not computed per course in this report</t>
        </is>
      </c>
      <c r="U10" t="inlineStr"/>
      <c r="V10" t="inlineStr">
        <is>
          <t>Waiting for Layer 4 review</t>
        </is>
      </c>
      <c r="W10" t="inlineStr"/>
      <c r="X10" t="inlineStr"/>
      <c r="Y10" t="n">
        <v>2</v>
      </c>
      <c r="Z10" t="inlineStr">
        <is>
          <t>Yes</t>
        </is>
      </c>
      <c r="AA10" t="inlineStr">
        <is>
          <t>Filled</t>
        </is>
      </c>
      <c r="AB10" t="inlineStr">
        <is>
          <t>on campus</t>
        </is>
      </c>
      <c r="AC10" t="inlineStr"/>
      <c r="AD10" t="n">
        <v>0</v>
      </c>
      <c r="AE10" t="inlineStr"/>
      <c r="AF10" t="inlineStr">
        <is>
          <t>Yes</t>
        </is>
      </c>
      <c r="AG10" t="inlineStr"/>
      <c r="AH10" t="inlineStr">
        <is>
          <t>Yes</t>
        </is>
      </c>
      <c r="AI10" t="inlineStr"/>
      <c r="AJ10" t="inlineStr"/>
      <c r="AK10" t="inlineStr"/>
      <c r="AL10" t="inlineStr"/>
      <c r="AM10" t="inlineStr"/>
    </row>
    <row r="11">
      <c r="A11" t="inlineStr">
        <is>
          <t>037218K</t>
        </is>
      </c>
      <c r="B11" t="inlineStr">
        <is>
          <t>Bachelor of Dance (Degree with Honours)</t>
        </is>
      </c>
      <c r="C11" t="inlineStr">
        <is>
          <t>Bachelor Honours Degree</t>
        </is>
      </c>
      <c r="D11" t="inlineStr">
        <is>
          <t>Undergraduate</t>
        </is>
      </c>
      <c r="E11" t="inlineStr">
        <is>
          <t>Held: page found is for another course</t>
        </is>
      </c>
      <c r="F11" t="inlineStr"/>
      <c r="G11" t="inlineStr">
        <is>
          <t>https://archive.handbook.unimelb.edu.au/view/2010/084aa/</t>
        </is>
      </c>
      <c r="H11" t="inlineStr">
        <is>
          <t>Not the university site</t>
        </is>
      </c>
      <c r="I11" t="inlineStr"/>
      <c r="J11" t="inlineStr"/>
      <c r="K11" t="inlineStr">
        <is>
          <t>Not sent to re-link</t>
        </is>
      </c>
      <c r="L11" t="inlineStr">
        <is>
          <t>Not stated on course page</t>
        </is>
      </c>
      <c r="M11" t="inlineStr">
        <is>
          <t>Not stated on course page</t>
        </is>
      </c>
      <c r="N11" t="inlineStr"/>
      <c r="O11" t="n">
        <v>0</v>
      </c>
      <c r="P11" t="inlineStr"/>
      <c r="Q11" t="inlineStr">
        <is>
          <t>Not stated on course page</t>
        </is>
      </c>
      <c r="S11" t="inlineStr"/>
      <c r="T11" t="inlineStr">
        <is>
          <t>Level map (Melbourne): not computed per course in this report</t>
        </is>
      </c>
      <c r="U11" t="inlineStr"/>
      <c r="V11" t="inlineStr">
        <is>
          <t>Not stated on course page</t>
        </is>
      </c>
      <c r="W11" t="inlineStr"/>
      <c r="X11" t="inlineStr"/>
      <c r="Y11" t="n">
        <v>0</v>
      </c>
      <c r="Z11" t="inlineStr">
        <is>
          <t>Yes</t>
        </is>
      </c>
      <c r="AA11" t="inlineStr">
        <is>
          <t>Not stated on course page</t>
        </is>
      </c>
      <c r="AB11" t="inlineStr"/>
      <c r="AC11" t="inlineStr">
        <is>
          <t>Skipped: no allowed source had a value</t>
        </is>
      </c>
      <c r="AD11" t="n">
        <v>0</v>
      </c>
      <c r="AE11" t="inlineStr"/>
      <c r="AF11" t="inlineStr"/>
      <c r="AG11" t="inlineStr"/>
      <c r="AH11" t="inlineStr"/>
      <c r="AI11" t="inlineStr"/>
      <c r="AJ11" t="inlineStr"/>
      <c r="AK11" t="inlineStr"/>
      <c r="AL11" t="inlineStr"/>
      <c r="AM11" t="inlineStr"/>
    </row>
    <row r="12">
      <c r="A12" t="inlineStr">
        <is>
          <t>090744C</t>
        </is>
      </c>
      <c r="B12" t="inlineStr">
        <is>
          <t>Bachelor of Design</t>
        </is>
      </c>
      <c r="C12" t="inlineStr">
        <is>
          <t>Bachelor</t>
        </is>
      </c>
      <c r="D12" t="inlineStr">
        <is>
          <t>Undergraduate</t>
        </is>
      </c>
      <c r="E12" t="inlineStr">
        <is>
          <t>Advertised: official page in place</t>
        </is>
      </c>
      <c r="F12" t="inlineStr">
        <is>
          <t>https://handbook.unimelb.edu.au/2026/courses/b-des</t>
        </is>
      </c>
      <c r="G12" t="inlineStr">
        <is>
          <t>https://handbook.unimelb.edu.au/2026/courses/b-des</t>
        </is>
      </c>
      <c r="H12" t="inlineStr">
        <is>
          <t>Read</t>
        </is>
      </c>
      <c r="I12" t="inlineStr">
        <is>
          <t>CRICOS code on page</t>
        </is>
      </c>
      <c r="J12" t="inlineStr"/>
      <c r="K12" t="inlineStr">
        <is>
          <t>Not sent to re-link</t>
        </is>
      </c>
      <c r="L12" t="inlineStr">
        <is>
          <t>Filled</t>
        </is>
      </c>
      <c r="M12" t="inlineStr">
        <is>
          <t>Waiting for Layer 4 review</t>
        </is>
      </c>
      <c r="N12" t="inlineStr"/>
      <c r="O12" t="n">
        <v>0</v>
      </c>
      <c r="P12" t="inlineStr"/>
      <c r="Q12" t="inlineStr">
        <is>
          <t>Filled</t>
        </is>
      </c>
      <c r="R12" t="n">
        <v>6.5</v>
      </c>
      <c r="S12" t="inlineStr">
        <is>
          <t>Central English policy</t>
        </is>
      </c>
      <c r="T12" t="inlineStr">
        <is>
          <t>Level map (Melbourne): not computed per course in this report</t>
        </is>
      </c>
      <c r="U12" t="inlineStr"/>
      <c r="V12" t="inlineStr">
        <is>
          <t>Not stated on course page</t>
        </is>
      </c>
      <c r="W12" t="inlineStr"/>
      <c r="X12" t="inlineStr"/>
      <c r="Y12" t="n">
        <v>2</v>
      </c>
      <c r="Z12" t="inlineStr">
        <is>
          <t>Yes</t>
        </is>
      </c>
      <c r="AA12" t="inlineStr">
        <is>
          <t>Filled</t>
        </is>
      </c>
      <c r="AB12" t="inlineStr">
        <is>
          <t>on campus</t>
        </is>
      </c>
      <c r="AC12" t="inlineStr"/>
      <c r="AD12" t="n">
        <v>0</v>
      </c>
      <c r="AE12" t="inlineStr"/>
      <c r="AF12" t="inlineStr">
        <is>
          <t>Yes</t>
        </is>
      </c>
      <c r="AG12" t="inlineStr"/>
      <c r="AH12" t="inlineStr">
        <is>
          <t>Yes</t>
        </is>
      </c>
      <c r="AI12" t="inlineStr"/>
      <c r="AJ12" t="inlineStr"/>
      <c r="AK12" t="inlineStr"/>
      <c r="AL12" t="inlineStr"/>
      <c r="AM12" t="inlineStr"/>
    </row>
    <row r="13">
      <c r="A13" t="inlineStr">
        <is>
          <t>107132K</t>
        </is>
      </c>
      <c r="B13" t="inlineStr">
        <is>
          <t>Bachelor of Design (Degree with Honours)</t>
        </is>
      </c>
      <c r="C13" t="inlineStr">
        <is>
          <t>Bachelor Honours Degree</t>
        </is>
      </c>
      <c r="D13" t="inlineStr">
        <is>
          <t>Undergraduate</t>
        </is>
      </c>
      <c r="E13" t="inlineStr">
        <is>
          <t>Advertised: official page in place</t>
        </is>
      </c>
      <c r="F13" t="inlineStr">
        <is>
          <t>https://handbook.unimelb.edu.au/2026/courses/bh-des</t>
        </is>
      </c>
      <c r="G13" t="inlineStr">
        <is>
          <t>https://handbook.unimelb.edu.au/2026/courses/bh-des</t>
        </is>
      </c>
      <c r="H13" t="inlineStr">
        <is>
          <t>Read</t>
        </is>
      </c>
      <c r="I13" t="inlineStr">
        <is>
          <t>CRICOS code on page</t>
        </is>
      </c>
      <c r="J13" t="inlineStr"/>
      <c r="K13" t="inlineStr">
        <is>
          <t>Not sent to re-link</t>
        </is>
      </c>
      <c r="L13" t="inlineStr">
        <is>
          <t>Filled</t>
        </is>
      </c>
      <c r="M13" t="inlineStr">
        <is>
          <t>Waiting for Layer 4 review</t>
        </is>
      </c>
      <c r="N13" t="inlineStr"/>
      <c r="O13" t="n">
        <v>0</v>
      </c>
      <c r="P13" t="inlineStr"/>
      <c r="Q13" t="inlineStr">
        <is>
          <t>Filled</t>
        </is>
      </c>
      <c r="R13" t="n">
        <v>6.5</v>
      </c>
      <c r="S13" t="inlineStr">
        <is>
          <t>Central English policy</t>
        </is>
      </c>
      <c r="T13" t="inlineStr">
        <is>
          <t>Level map (Melbourne): not computed per course in this report</t>
        </is>
      </c>
      <c r="U13" t="inlineStr"/>
      <c r="V13" t="inlineStr">
        <is>
          <t>Not stated on course page</t>
        </is>
      </c>
      <c r="W13" t="inlineStr"/>
      <c r="X13" t="inlineStr"/>
      <c r="Y13" t="n">
        <v>2</v>
      </c>
      <c r="Z13" t="inlineStr">
        <is>
          <t>Yes</t>
        </is>
      </c>
      <c r="AA13" t="inlineStr">
        <is>
          <t>Filled</t>
        </is>
      </c>
      <c r="AB13" t="inlineStr">
        <is>
          <t>on campus</t>
        </is>
      </c>
      <c r="AC13" t="inlineStr"/>
      <c r="AD13" t="n">
        <v>0</v>
      </c>
      <c r="AE13" t="inlineStr"/>
      <c r="AF13" t="inlineStr">
        <is>
          <t>Yes</t>
        </is>
      </c>
      <c r="AG13" t="inlineStr"/>
      <c r="AH13" t="inlineStr">
        <is>
          <t>Yes</t>
        </is>
      </c>
      <c r="AI13" t="inlineStr"/>
      <c r="AJ13" t="inlineStr"/>
      <c r="AK13" t="inlineStr"/>
      <c r="AL13" t="inlineStr"/>
      <c r="AM13" t="inlineStr"/>
    </row>
    <row r="14">
      <c r="A14" t="inlineStr">
        <is>
          <t>003626G</t>
        </is>
      </c>
      <c r="B14" t="inlineStr">
        <is>
          <t>Bachelor of Engineering</t>
        </is>
      </c>
      <c r="C14" t="inlineStr">
        <is>
          <t>Bachelor</t>
        </is>
      </c>
      <c r="D14" t="inlineStr">
        <is>
          <t>Undergraduate</t>
        </is>
      </c>
      <c r="E14" t="inlineStr">
        <is>
          <t>Page found, needs a rendered read</t>
        </is>
      </c>
      <c r="F14" t="inlineStr"/>
      <c r="G14" t="inlineStr">
        <is>
          <t>https://handbook.unimelb.edu.au/2026/courses/b-eng</t>
        </is>
      </c>
      <c r="H14" t="inlineStr">
        <is>
          <t>Needs a rendered read</t>
        </is>
      </c>
      <c r="I14" t="inlineStr"/>
      <c r="J14" t="inlineStr"/>
      <c r="K14" t="inlineStr">
        <is>
          <t>Finished, no page: no address from the university's address forms or stored lis</t>
        </is>
      </c>
      <c r="L14" t="inlineStr">
        <is>
          <t>Not stated on course page</t>
        </is>
      </c>
      <c r="M14" t="inlineStr">
        <is>
          <t>Not stated on course page</t>
        </is>
      </c>
      <c r="N14" t="inlineStr"/>
      <c r="O14" t="n">
        <v>0</v>
      </c>
      <c r="P14" t="inlineStr"/>
      <c r="Q14" t="inlineStr">
        <is>
          <t>Not stated on course page</t>
        </is>
      </c>
      <c r="S14" t="inlineStr"/>
      <c r="T14" t="inlineStr">
        <is>
          <t>Level map (Melbourne): not computed per course in this report</t>
        </is>
      </c>
      <c r="U14" t="inlineStr"/>
      <c r="V14" t="inlineStr">
        <is>
          <t>Not stated on course page</t>
        </is>
      </c>
      <c r="W14" t="inlineStr"/>
      <c r="X14" t="inlineStr"/>
      <c r="Y14" t="n">
        <v>0</v>
      </c>
      <c r="Z14" t="inlineStr">
        <is>
          <t>Yes</t>
        </is>
      </c>
      <c r="AA14" t="inlineStr">
        <is>
          <t>Not stated on course page</t>
        </is>
      </c>
      <c r="AB14" t="inlineStr"/>
      <c r="AC14" t="inlineStr">
        <is>
          <t>Skipped: the page does not state it</t>
        </is>
      </c>
      <c r="AD14" t="n">
        <v>0</v>
      </c>
      <c r="AE14" t="inlineStr">
        <is>
          <t>Yes</t>
        </is>
      </c>
      <c r="AF14" t="inlineStr"/>
      <c r="AG14" t="inlineStr"/>
      <c r="AH14" t="inlineStr"/>
      <c r="AI14" t="inlineStr"/>
      <c r="AJ14" t="inlineStr"/>
      <c r="AK14" t="inlineStr"/>
      <c r="AL14" t="inlineStr"/>
      <c r="AM14" t="inlineStr"/>
    </row>
    <row r="15">
      <c r="A15" t="inlineStr">
        <is>
          <t>058839G</t>
        </is>
      </c>
      <c r="B15" t="inlineStr">
        <is>
          <t>Bachelor of Environments</t>
        </is>
      </c>
      <c r="C15" t="inlineStr">
        <is>
          <t>Bachelor</t>
        </is>
      </c>
      <c r="D15" t="inlineStr">
        <is>
          <t>Undergraduate</t>
        </is>
      </c>
      <c r="E15" t="inlineStr">
        <is>
          <t>Advertised: official page in place</t>
        </is>
      </c>
      <c r="F15" t="inlineStr">
        <is>
          <t>https://handbook.unimelb.edu.au/2018/courses/b-envs</t>
        </is>
      </c>
      <c r="G15" t="inlineStr">
        <is>
          <t>https://handbook.unimelb.edu.au/2026/courses/b-envs</t>
        </is>
      </c>
      <c r="H15" t="inlineStr">
        <is>
          <t>Needs a rendered read</t>
        </is>
      </c>
      <c r="I15" t="inlineStr"/>
      <c r="J15" t="inlineStr"/>
      <c r="K15" t="inlineStr">
        <is>
          <t>Finished, no page: no address from the university's address forms or stored lis</t>
        </is>
      </c>
      <c r="L15" t="inlineStr">
        <is>
          <t>Filled</t>
        </is>
      </c>
      <c r="M15" t="inlineStr">
        <is>
          <t>Not stated on course page</t>
        </is>
      </c>
      <c r="N15" t="inlineStr"/>
      <c r="O15" t="n">
        <v>0</v>
      </c>
      <c r="P15" t="inlineStr"/>
      <c r="Q15" t="inlineStr">
        <is>
          <t>Not stated on course page</t>
        </is>
      </c>
      <c r="S15" t="inlineStr"/>
      <c r="T15" t="inlineStr">
        <is>
          <t>Level map (Melbourne): not computed per course in this report</t>
        </is>
      </c>
      <c r="U15" t="inlineStr"/>
      <c r="V15" t="inlineStr">
        <is>
          <t>Not stated on course page</t>
        </is>
      </c>
      <c r="W15" t="inlineStr"/>
      <c r="X15" t="inlineStr"/>
      <c r="Y15" t="n">
        <v>2</v>
      </c>
      <c r="Z15" t="inlineStr">
        <is>
          <t>Yes</t>
        </is>
      </c>
      <c r="AA15" t="inlineStr">
        <is>
          <t>Filled</t>
        </is>
      </c>
      <c r="AB15" t="inlineStr">
        <is>
          <t>on campus</t>
        </is>
      </c>
      <c r="AC15" t="inlineStr"/>
      <c r="AD15" t="n">
        <v>0</v>
      </c>
      <c r="AE15" t="inlineStr">
        <is>
          <t>Yes</t>
        </is>
      </c>
      <c r="AF15" t="inlineStr"/>
      <c r="AG15" t="inlineStr"/>
      <c r="AH15" t="inlineStr">
        <is>
          <t>Yes</t>
        </is>
      </c>
      <c r="AI15" t="inlineStr"/>
      <c r="AJ15" t="inlineStr"/>
      <c r="AK15" t="inlineStr"/>
      <c r="AL15" t="inlineStr"/>
      <c r="AM15" t="inlineStr"/>
    </row>
    <row r="16">
      <c r="A16" t="inlineStr">
        <is>
          <t>073112K</t>
        </is>
      </c>
      <c r="B16" t="inlineStr">
        <is>
          <t>Bachelor of Environments (Honours)</t>
        </is>
      </c>
      <c r="C16" t="inlineStr">
        <is>
          <t>Bachelor Honours Degree</t>
        </is>
      </c>
      <c r="D16" t="inlineStr">
        <is>
          <t>Undergraduate</t>
        </is>
      </c>
      <c r="E16" t="inlineStr">
        <is>
          <t>Advertised: official page in place</t>
        </is>
      </c>
      <c r="F16" t="inlineStr">
        <is>
          <t>https://handbook.unimelb.edu.au/2023/courses/bh-envs</t>
        </is>
      </c>
      <c r="G16" t="inlineStr">
        <is>
          <t>https://handbook.unimelb.edu.au/2026/courses/bh-envs</t>
        </is>
      </c>
      <c r="H16" t="inlineStr">
        <is>
          <t>Needs a rendered read</t>
        </is>
      </c>
      <c r="I16" t="inlineStr"/>
      <c r="J16" t="inlineStr"/>
      <c r="K16" t="inlineStr">
        <is>
          <t>Finished, no page: no address from the university's address forms or stored lis</t>
        </is>
      </c>
      <c r="L16" t="inlineStr">
        <is>
          <t>Filled</t>
        </is>
      </c>
      <c r="M16" t="inlineStr">
        <is>
          <t>Not stated on course page</t>
        </is>
      </c>
      <c r="N16" t="inlineStr"/>
      <c r="O16" t="n">
        <v>0</v>
      </c>
      <c r="P16" t="inlineStr"/>
      <c r="Q16" t="inlineStr">
        <is>
          <t>Not stated on course page</t>
        </is>
      </c>
      <c r="S16" t="inlineStr"/>
      <c r="T16" t="inlineStr">
        <is>
          <t>Level map (Melbourne): not computed per course in this report</t>
        </is>
      </c>
      <c r="U16" t="inlineStr"/>
      <c r="V16" t="inlineStr">
        <is>
          <t>Not stated on course page</t>
        </is>
      </c>
      <c r="W16" t="inlineStr"/>
      <c r="X16" t="inlineStr"/>
      <c r="Y16" t="n">
        <v>2</v>
      </c>
      <c r="Z16" t="inlineStr">
        <is>
          <t>Yes</t>
        </is>
      </c>
      <c r="AA16" t="inlineStr">
        <is>
          <t>Filled</t>
        </is>
      </c>
      <c r="AB16" t="inlineStr">
        <is>
          <t>on campus</t>
        </is>
      </c>
      <c r="AC16" t="inlineStr"/>
      <c r="AD16" t="n">
        <v>0</v>
      </c>
      <c r="AE16" t="inlineStr">
        <is>
          <t>Yes</t>
        </is>
      </c>
      <c r="AF16" t="inlineStr"/>
      <c r="AG16" t="inlineStr"/>
      <c r="AH16" t="inlineStr">
        <is>
          <t>Yes</t>
        </is>
      </c>
      <c r="AI16" t="inlineStr"/>
      <c r="AJ16" t="inlineStr"/>
      <c r="AK16" t="inlineStr"/>
      <c r="AL16" t="inlineStr"/>
      <c r="AM16" t="inlineStr"/>
    </row>
    <row r="17">
      <c r="A17" t="inlineStr">
        <is>
          <t>049961B</t>
        </is>
      </c>
      <c r="B17" t="inlineStr">
        <is>
          <t>Bachelor of Film and Television (Degree with Honours)</t>
        </is>
      </c>
      <c r="C17" t="inlineStr">
        <is>
          <t>Bachelor Honours Degree</t>
        </is>
      </c>
      <c r="D17" t="inlineStr">
        <is>
          <t>Undergraduate</t>
        </is>
      </c>
      <c r="E17" t="inlineStr">
        <is>
          <t>Page found, needs a rendered read</t>
        </is>
      </c>
      <c r="F17" t="inlineStr"/>
      <c r="G17" t="inlineStr">
        <is>
          <t>https://handbook.unimelb.edu.au/2026/courses/919aa</t>
        </is>
      </c>
      <c r="H17" t="inlineStr">
        <is>
          <t>Needs a rendered read</t>
        </is>
      </c>
      <c r="I17" t="inlineStr"/>
      <c r="J17" t="inlineStr"/>
      <c r="K17" t="inlineStr">
        <is>
          <t>Finished, no page: no address from the university's address forms or stored lis</t>
        </is>
      </c>
      <c r="L17" t="inlineStr">
        <is>
          <t>Page found, being read</t>
        </is>
      </c>
      <c r="M17" t="inlineStr">
        <is>
          <t>Page found, being read</t>
        </is>
      </c>
      <c r="N17" t="inlineStr"/>
      <c r="O17" t="n">
        <v>0</v>
      </c>
      <c r="P17" t="inlineStr"/>
      <c r="Q17" t="inlineStr">
        <is>
          <t>Page found, being read</t>
        </is>
      </c>
      <c r="S17" t="inlineStr"/>
      <c r="T17" t="inlineStr">
        <is>
          <t>Level map (Melbourne): not computed per course in this report</t>
        </is>
      </c>
      <c r="U17" t="inlineStr"/>
      <c r="V17" t="inlineStr">
        <is>
          <t>Page found, being read</t>
        </is>
      </c>
      <c r="W17" t="inlineStr"/>
      <c r="X17" t="inlineStr"/>
      <c r="Y17" t="n">
        <v>0</v>
      </c>
      <c r="Z17" t="inlineStr">
        <is>
          <t>Yes</t>
        </is>
      </c>
      <c r="AA17" t="inlineStr">
        <is>
          <t>Not stated on course page</t>
        </is>
      </c>
      <c r="AB17" t="inlineStr"/>
      <c r="AC17" t="inlineStr">
        <is>
          <t>Skipped: the page does not state it</t>
        </is>
      </c>
      <c r="AD17" t="n">
        <v>0</v>
      </c>
      <c r="AE17" t="inlineStr">
        <is>
          <t>Yes</t>
        </is>
      </c>
      <c r="AF17" t="inlineStr"/>
      <c r="AG17" t="inlineStr"/>
      <c r="AH17" t="inlineStr"/>
      <c r="AI17" t="inlineStr"/>
      <c r="AJ17" t="inlineStr"/>
      <c r="AK17" t="inlineStr"/>
      <c r="AL17" t="inlineStr"/>
      <c r="AM17" t="inlineStr"/>
    </row>
    <row r="18">
      <c r="A18" t="inlineStr">
        <is>
          <t>075490A</t>
        </is>
      </c>
      <c r="B18" t="inlineStr">
        <is>
          <t>Bachelor of Fine Arts</t>
        </is>
      </c>
      <c r="C18" t="inlineStr">
        <is>
          <t>Bachelor</t>
        </is>
      </c>
      <c r="D18" t="inlineStr">
        <is>
          <t>Undergraduate</t>
        </is>
      </c>
      <c r="E18" t="inlineStr">
        <is>
          <t>Advertised: official page in place</t>
        </is>
      </c>
      <c r="F18" t="inlineStr">
        <is>
          <t>https://study.unimelb.edu.au/find/courses/honours/bachelor-of-fine-arts-degree-with-honours/</t>
        </is>
      </c>
      <c r="G18" t="inlineStr">
        <is>
          <t>https://study.unimelb.edu.au/find/courses/honours/bachelor-of-fine-arts-degree-with-honours/</t>
        </is>
      </c>
      <c r="H18" t="inlineStr">
        <is>
          <t>Read</t>
        </is>
      </c>
      <c r="I18" t="inlineStr">
        <is>
          <t>Exact title match</t>
        </is>
      </c>
      <c r="J18" t="inlineStr"/>
      <c r="K18" t="inlineStr">
        <is>
          <t>Not sent to re-link</t>
        </is>
      </c>
      <c r="L18" t="inlineStr">
        <is>
          <t>Filled</t>
        </is>
      </c>
      <c r="M18" t="inlineStr">
        <is>
          <t>Not stated on course page</t>
        </is>
      </c>
      <c r="N18" t="inlineStr"/>
      <c r="O18" t="n">
        <v>0</v>
      </c>
      <c r="P18" t="inlineStr"/>
      <c r="Q18" t="inlineStr">
        <is>
          <t>Filled</t>
        </is>
      </c>
      <c r="R18" t="n">
        <v>6.5</v>
      </c>
      <c r="S18" t="inlineStr">
        <is>
          <t>University adapter</t>
        </is>
      </c>
      <c r="T18" t="inlineStr">
        <is>
          <t>Level map (Melbourne): not computed per course in this report</t>
        </is>
      </c>
      <c r="U18" t="inlineStr"/>
      <c r="V18" t="inlineStr">
        <is>
          <t>Filled</t>
        </is>
      </c>
      <c r="W18" t="inlineStr">
        <is>
          <t>March</t>
        </is>
      </c>
      <c r="X18" t="inlineStr">
        <is>
          <t>Other</t>
        </is>
      </c>
      <c r="Y18" t="n">
        <v>0</v>
      </c>
      <c r="Z18" t="inlineStr">
        <is>
          <t>Yes</t>
        </is>
      </c>
      <c r="AA18" t="inlineStr">
        <is>
          <t>Filled</t>
        </is>
      </c>
      <c r="AB18" t="inlineStr">
        <is>
          <t>on campus</t>
        </is>
      </c>
      <c r="AC18" t="inlineStr"/>
      <c r="AD18" t="n">
        <v>0</v>
      </c>
      <c r="AE18" t="inlineStr"/>
      <c r="AF18" t="inlineStr"/>
      <c r="AG18" t="inlineStr"/>
      <c r="AH18" t="inlineStr"/>
      <c r="AI18" t="inlineStr"/>
      <c r="AJ18" t="inlineStr"/>
      <c r="AK18" t="inlineStr"/>
      <c r="AL18" t="inlineStr"/>
      <c r="AM18" t="inlineStr"/>
    </row>
    <row r="19">
      <c r="A19" t="inlineStr">
        <is>
          <t>094861K</t>
        </is>
      </c>
      <c r="B19" t="inlineStr">
        <is>
          <t>Bachelor of Fine Arts (Acting)</t>
        </is>
      </c>
      <c r="C19" t="inlineStr">
        <is>
          <t>Bachelor</t>
        </is>
      </c>
      <c r="D19" t="inlineStr">
        <is>
          <t>Undergraduate</t>
        </is>
      </c>
      <c r="E19" t="inlineStr">
        <is>
          <t>Advertised: official page in place</t>
        </is>
      </c>
      <c r="F19" t="inlineStr">
        <is>
          <t>https://handbook.unimelb.edu.au/2026/courses/b-faacting</t>
        </is>
      </c>
      <c r="G19" t="inlineStr">
        <is>
          <t>https://handbook.unimelb.edu.au/2026/courses/b-faacting</t>
        </is>
      </c>
      <c r="H19" t="inlineStr">
        <is>
          <t>Read</t>
        </is>
      </c>
      <c r="I19" t="inlineStr">
        <is>
          <t>CRICOS code on page</t>
        </is>
      </c>
      <c r="J19" t="inlineStr"/>
      <c r="K19" t="inlineStr">
        <is>
          <t>Not sent to re-link</t>
        </is>
      </c>
      <c r="L19" t="inlineStr">
        <is>
          <t>Filled</t>
        </is>
      </c>
      <c r="M19" t="inlineStr">
        <is>
          <t>Waiting for Layer 4 review</t>
        </is>
      </c>
      <c r="N19" t="inlineStr"/>
      <c r="O19" t="n">
        <v>0</v>
      </c>
      <c r="P19" t="inlineStr"/>
      <c r="Q19" t="inlineStr">
        <is>
          <t>Not stated on course page</t>
        </is>
      </c>
      <c r="S19" t="inlineStr"/>
      <c r="T19" t="inlineStr">
        <is>
          <t>Level map (Melbourne): not computed per course in this report</t>
        </is>
      </c>
      <c r="U19" t="inlineStr"/>
      <c r="V19" t="inlineStr">
        <is>
          <t>Not stated on course page</t>
        </is>
      </c>
      <c r="W19" t="inlineStr"/>
      <c r="X19" t="inlineStr"/>
      <c r="Y19" t="n">
        <v>2</v>
      </c>
      <c r="Z19" t="inlineStr">
        <is>
          <t>Yes</t>
        </is>
      </c>
      <c r="AA19" t="inlineStr">
        <is>
          <t>Filled</t>
        </is>
      </c>
      <c r="AB19" t="inlineStr">
        <is>
          <t>on campus</t>
        </is>
      </c>
      <c r="AC19" t="inlineStr"/>
      <c r="AD19" t="n">
        <v>0</v>
      </c>
      <c r="AE19" t="inlineStr"/>
      <c r="AF19" t="inlineStr">
        <is>
          <t>Yes</t>
        </is>
      </c>
      <c r="AG19" t="inlineStr"/>
      <c r="AH19" t="inlineStr">
        <is>
          <t>Yes</t>
        </is>
      </c>
      <c r="AI19" t="inlineStr"/>
      <c r="AJ19" t="inlineStr"/>
      <c r="AK19" t="inlineStr"/>
      <c r="AL19" t="inlineStr"/>
      <c r="AM19" t="inlineStr"/>
    </row>
    <row r="20">
      <c r="A20" t="inlineStr">
        <is>
          <t>093582C</t>
        </is>
      </c>
      <c r="B20" t="inlineStr">
        <is>
          <t>Bachelor of Fine Arts (Animation)</t>
        </is>
      </c>
      <c r="C20" t="inlineStr">
        <is>
          <t>Bachelor</t>
        </is>
      </c>
      <c r="D20" t="inlineStr">
        <is>
          <t>Undergraduate</t>
        </is>
      </c>
      <c r="E20" t="inlineStr">
        <is>
          <t>Advertised: official page in place</t>
        </is>
      </c>
      <c r="F20" t="inlineStr">
        <is>
          <t>https://handbook.unimelb.edu.au/2026/courses/b-faanim</t>
        </is>
      </c>
      <c r="G20" t="inlineStr">
        <is>
          <t>https://handbook.unimelb.edu.au/2026/courses/b-faanim</t>
        </is>
      </c>
      <c r="H20" t="inlineStr">
        <is>
          <t>Read</t>
        </is>
      </c>
      <c r="I20" t="inlineStr">
        <is>
          <t>CRICOS code on page</t>
        </is>
      </c>
      <c r="J20" t="inlineStr"/>
      <c r="K20" t="inlineStr">
        <is>
          <t>Not sent to re-link</t>
        </is>
      </c>
      <c r="L20" t="inlineStr">
        <is>
          <t>Filled</t>
        </is>
      </c>
      <c r="M20" t="inlineStr">
        <is>
          <t>Waiting for Layer 4 review</t>
        </is>
      </c>
      <c r="N20" t="inlineStr"/>
      <c r="O20" t="n">
        <v>0</v>
      </c>
      <c r="P20" t="inlineStr"/>
      <c r="Q20" t="inlineStr">
        <is>
          <t>Not stated on course page</t>
        </is>
      </c>
      <c r="S20" t="inlineStr"/>
      <c r="T20" t="inlineStr">
        <is>
          <t>Level map (Melbourne): not computed per course in this report</t>
        </is>
      </c>
      <c r="U20" t="inlineStr"/>
      <c r="V20" t="inlineStr">
        <is>
          <t>Not stated on course page</t>
        </is>
      </c>
      <c r="W20" t="inlineStr"/>
      <c r="X20" t="inlineStr"/>
      <c r="Y20" t="n">
        <v>2</v>
      </c>
      <c r="Z20" t="inlineStr">
        <is>
          <t>Yes</t>
        </is>
      </c>
      <c r="AA20" t="inlineStr">
        <is>
          <t>Filled</t>
        </is>
      </c>
      <c r="AB20" t="inlineStr">
        <is>
          <t>on campus</t>
        </is>
      </c>
      <c r="AC20" t="inlineStr"/>
      <c r="AD20" t="n">
        <v>0</v>
      </c>
      <c r="AE20" t="inlineStr"/>
      <c r="AF20" t="inlineStr">
        <is>
          <t>Yes</t>
        </is>
      </c>
      <c r="AG20" t="inlineStr"/>
      <c r="AH20" t="inlineStr">
        <is>
          <t>Yes</t>
        </is>
      </c>
      <c r="AI20" t="inlineStr"/>
      <c r="AJ20" t="inlineStr"/>
      <c r="AK20" t="inlineStr"/>
      <c r="AL20" t="inlineStr"/>
      <c r="AM20" t="inlineStr"/>
    </row>
    <row r="21">
      <c r="A21" t="inlineStr">
        <is>
          <t>093583B</t>
        </is>
      </c>
      <c r="B21" t="inlineStr">
        <is>
          <t>Bachelor of Fine Arts (Dance)</t>
        </is>
      </c>
      <c r="C21" t="inlineStr">
        <is>
          <t>Bachelor</t>
        </is>
      </c>
      <c r="D21" t="inlineStr">
        <is>
          <t>Undergraduate</t>
        </is>
      </c>
      <c r="E21" t="inlineStr">
        <is>
          <t>Advertised: official page in place</t>
        </is>
      </c>
      <c r="F21" t="inlineStr">
        <is>
          <t>https://handbook.unimelb.edu.au/2026/courses/b-fadance</t>
        </is>
      </c>
      <c r="G21" t="inlineStr">
        <is>
          <t>https://handbook.unimelb.edu.au/2026/courses/b-fadance</t>
        </is>
      </c>
      <c r="H21" t="inlineStr">
        <is>
          <t>Read</t>
        </is>
      </c>
      <c r="I21" t="inlineStr">
        <is>
          <t>CRICOS code on page</t>
        </is>
      </c>
      <c r="J21" t="inlineStr"/>
      <c r="K21" t="inlineStr">
        <is>
          <t>Not sent to re-link</t>
        </is>
      </c>
      <c r="L21" t="inlineStr">
        <is>
          <t>Filled</t>
        </is>
      </c>
      <c r="M21" t="inlineStr">
        <is>
          <t>Waiting for Layer 4 review</t>
        </is>
      </c>
      <c r="N21" t="inlineStr"/>
      <c r="O21" t="n">
        <v>0</v>
      </c>
      <c r="P21" t="inlineStr"/>
      <c r="Q21" t="inlineStr">
        <is>
          <t>Not stated on course page</t>
        </is>
      </c>
      <c r="S21" t="inlineStr"/>
      <c r="T21" t="inlineStr">
        <is>
          <t>Level map (Melbourne): not computed per course in this report</t>
        </is>
      </c>
      <c r="U21" t="inlineStr"/>
      <c r="V21" t="inlineStr">
        <is>
          <t>Not stated on course page</t>
        </is>
      </c>
      <c r="W21" t="inlineStr"/>
      <c r="X21" t="inlineStr"/>
      <c r="Y21" t="n">
        <v>2</v>
      </c>
      <c r="Z21" t="inlineStr">
        <is>
          <t>Yes</t>
        </is>
      </c>
      <c r="AA21" t="inlineStr">
        <is>
          <t>Filled</t>
        </is>
      </c>
      <c r="AB21" t="inlineStr">
        <is>
          <t>on campus</t>
        </is>
      </c>
      <c r="AC21" t="inlineStr"/>
      <c r="AD21" t="n">
        <v>0</v>
      </c>
      <c r="AE21" t="inlineStr"/>
      <c r="AF21" t="inlineStr">
        <is>
          <t>Yes</t>
        </is>
      </c>
      <c r="AG21" t="inlineStr"/>
      <c r="AH21" t="inlineStr">
        <is>
          <t>Yes</t>
        </is>
      </c>
      <c r="AI21" t="inlineStr"/>
      <c r="AJ21" t="inlineStr"/>
      <c r="AK21" t="inlineStr"/>
      <c r="AL21" t="inlineStr"/>
      <c r="AM21" t="inlineStr"/>
    </row>
    <row r="22">
      <c r="A22" t="inlineStr">
        <is>
          <t>093584A</t>
        </is>
      </c>
      <c r="B22" t="inlineStr">
        <is>
          <t>Bachelor of Fine Arts (Film and Television)</t>
        </is>
      </c>
      <c r="C22" t="inlineStr">
        <is>
          <t>Bachelor</t>
        </is>
      </c>
      <c r="D22" t="inlineStr">
        <is>
          <t>Undergraduate</t>
        </is>
      </c>
      <c r="E22" t="inlineStr">
        <is>
          <t>Advertised: official page in place</t>
        </is>
      </c>
      <c r="F22" t="inlineStr">
        <is>
          <t>https://study.unimelb.edu.au/find/courses/undergraduate/bachelor-of-fine-arts-film-and-television/</t>
        </is>
      </c>
      <c r="G22" t="inlineStr">
        <is>
          <t>https://study.unimelb.edu.au/find/courses/undergraduate/bachelor-of-fine-arts-film-and-television/</t>
        </is>
      </c>
      <c r="H22" t="inlineStr">
        <is>
          <t>Read</t>
        </is>
      </c>
      <c r="I22" t="inlineStr">
        <is>
          <t>CRICOS code on page</t>
        </is>
      </c>
      <c r="J22" t="inlineStr"/>
      <c r="K22" t="inlineStr">
        <is>
          <t>Not sent to re-link</t>
        </is>
      </c>
      <c r="L22" t="inlineStr">
        <is>
          <t>Filled</t>
        </is>
      </c>
      <c r="M22" t="inlineStr">
        <is>
          <t>Filled</t>
        </is>
      </c>
      <c r="N22" t="inlineStr">
        <is>
          <t>43904.00 2027</t>
        </is>
      </c>
      <c r="O22" t="n">
        <v>0</v>
      </c>
      <c r="P22" t="inlineStr">
        <is>
          <t>Other</t>
        </is>
      </c>
      <c r="Q22" t="inlineStr">
        <is>
          <t>Filled</t>
        </is>
      </c>
      <c r="R22" t="n">
        <v>6.5</v>
      </c>
      <c r="S22" t="inlineStr">
        <is>
          <t>University adapter</t>
        </is>
      </c>
      <c r="T22" t="inlineStr">
        <is>
          <t>Level map (Melbourne): not computed per course in this report</t>
        </is>
      </c>
      <c r="U22" t="inlineStr"/>
      <c r="V22" t="inlineStr">
        <is>
          <t>Filled</t>
        </is>
      </c>
      <c r="W22" t="inlineStr">
        <is>
          <t>February</t>
        </is>
      </c>
      <c r="X22" t="inlineStr">
        <is>
          <t>University adapter</t>
        </is>
      </c>
      <c r="Y22" t="n">
        <v>0</v>
      </c>
      <c r="Z22" t="inlineStr">
        <is>
          <t>Yes</t>
        </is>
      </c>
      <c r="AA22" t="inlineStr">
        <is>
          <t>Filled</t>
        </is>
      </c>
      <c r="AB22" t="inlineStr">
        <is>
          <t>on campus</t>
        </is>
      </c>
      <c r="AC22" t="inlineStr"/>
      <c r="AD22" t="n">
        <v>0</v>
      </c>
      <c r="AE22" t="inlineStr"/>
      <c r="AF22" t="inlineStr"/>
      <c r="AG22" t="inlineStr"/>
      <c r="AH22" t="inlineStr"/>
      <c r="AI22" t="inlineStr"/>
      <c r="AJ22" t="inlineStr"/>
      <c r="AK22" t="inlineStr"/>
      <c r="AL22" t="inlineStr"/>
      <c r="AM22" t="inlineStr"/>
    </row>
    <row r="23">
      <c r="A23" t="inlineStr">
        <is>
          <t>029294J</t>
        </is>
      </c>
      <c r="B23" t="inlineStr">
        <is>
          <t>Bachelor of Fine Arts (Honours)</t>
        </is>
      </c>
      <c r="C23" t="inlineStr">
        <is>
          <t>Bachelor Honours Degree</t>
        </is>
      </c>
      <c r="D23" t="inlineStr">
        <is>
          <t>Undergraduate</t>
        </is>
      </c>
      <c r="E23" t="inlineStr">
        <is>
          <t>Advertised: official page in place</t>
        </is>
      </c>
      <c r="F23" t="inlineStr">
        <is>
          <t>https://study.unimelb.edu.au/find/courses/honours/bachelor-of-fine-arts-degree-with-honours/</t>
        </is>
      </c>
      <c r="G23" t="inlineStr">
        <is>
          <t>https://study.unimelb.edu.au/find/courses/honours/bachelor-of-fine-arts-degree-with-honours/</t>
        </is>
      </c>
      <c r="H23" t="inlineStr">
        <is>
          <t>Read</t>
        </is>
      </c>
      <c r="I23" t="inlineStr">
        <is>
          <t>CRICOS code on page</t>
        </is>
      </c>
      <c r="J23" t="inlineStr"/>
      <c r="K23" t="inlineStr">
        <is>
          <t>Not sent to re-link</t>
        </is>
      </c>
      <c r="L23" t="inlineStr">
        <is>
          <t>Filled</t>
        </is>
      </c>
      <c r="M23" t="inlineStr">
        <is>
          <t>Not stated on course page</t>
        </is>
      </c>
      <c r="N23" t="inlineStr"/>
      <c r="O23" t="n">
        <v>0</v>
      </c>
      <c r="P23" t="inlineStr"/>
      <c r="Q23" t="inlineStr">
        <is>
          <t>Filled</t>
        </is>
      </c>
      <c r="R23" t="n">
        <v>6.5</v>
      </c>
      <c r="S23" t="inlineStr">
        <is>
          <t>University adapter</t>
        </is>
      </c>
      <c r="T23" t="inlineStr">
        <is>
          <t>Level map (Melbourne): not computed per course in this report</t>
        </is>
      </c>
      <c r="U23" t="inlineStr"/>
      <c r="V23" t="inlineStr">
        <is>
          <t>Filled</t>
        </is>
      </c>
      <c r="W23" t="inlineStr">
        <is>
          <t>March</t>
        </is>
      </c>
      <c r="X23" t="inlineStr">
        <is>
          <t>Other</t>
        </is>
      </c>
      <c r="Y23" t="n">
        <v>0</v>
      </c>
      <c r="Z23" t="inlineStr">
        <is>
          <t>Yes</t>
        </is>
      </c>
      <c r="AA23" t="inlineStr">
        <is>
          <t>Filled</t>
        </is>
      </c>
      <c r="AB23" t="inlineStr">
        <is>
          <t>on campus</t>
        </is>
      </c>
      <c r="AC23" t="inlineStr"/>
      <c r="AD23" t="n">
        <v>0</v>
      </c>
      <c r="AE23" t="inlineStr"/>
      <c r="AF23" t="inlineStr"/>
      <c r="AG23" t="inlineStr"/>
      <c r="AH23" t="inlineStr"/>
      <c r="AI23" t="inlineStr"/>
      <c r="AJ23" t="inlineStr"/>
      <c r="AK23" t="inlineStr"/>
      <c r="AL23" t="inlineStr"/>
      <c r="AM23" t="inlineStr"/>
    </row>
    <row r="24">
      <c r="A24" t="inlineStr">
        <is>
          <t>093585M</t>
        </is>
      </c>
      <c r="B24" t="inlineStr">
        <is>
          <t>Bachelor of Fine Arts (Music Theatre)</t>
        </is>
      </c>
      <c r="C24" t="inlineStr">
        <is>
          <t>Bachelor</t>
        </is>
      </c>
      <c r="D24" t="inlineStr">
        <is>
          <t>Undergraduate</t>
        </is>
      </c>
      <c r="E24" t="inlineStr">
        <is>
          <t>Advertised: official page in place</t>
        </is>
      </c>
      <c r="F24" t="inlineStr">
        <is>
          <t>https://study.unimelb.edu.au/find/courses/undergraduate/bachelor-of-fine-arts-music-theatre/</t>
        </is>
      </c>
      <c r="G24" t="inlineStr">
        <is>
          <t>https://study.unimelb.edu.au/find/courses/undergraduate/bachelor-of-fine-arts-music-theatre/</t>
        </is>
      </c>
      <c r="H24" t="inlineStr">
        <is>
          <t>Read</t>
        </is>
      </c>
      <c r="I24" t="inlineStr">
        <is>
          <t>Exact title match</t>
        </is>
      </c>
      <c r="J24" t="inlineStr"/>
      <c r="K24" t="inlineStr">
        <is>
          <t>Not sent to re-link</t>
        </is>
      </c>
      <c r="L24" t="inlineStr">
        <is>
          <t>Filled</t>
        </is>
      </c>
      <c r="M24" t="inlineStr">
        <is>
          <t>Filled</t>
        </is>
      </c>
      <c r="N24" t="inlineStr">
        <is>
          <t>39936.00 2026</t>
        </is>
      </c>
      <c r="O24" t="n">
        <v>0</v>
      </c>
      <c r="P24" t="inlineStr">
        <is>
          <t>University adapter</t>
        </is>
      </c>
      <c r="Q24" t="inlineStr">
        <is>
          <t>Filled</t>
        </is>
      </c>
      <c r="R24" t="n">
        <v>6.5</v>
      </c>
      <c r="S24" t="inlineStr">
        <is>
          <t>University adapter</t>
        </is>
      </c>
      <c r="T24" t="inlineStr">
        <is>
          <t>Level map (Melbourne): not computed per course in this report</t>
        </is>
      </c>
      <c r="U24" t="inlineStr"/>
      <c r="V24" t="inlineStr">
        <is>
          <t>Filled</t>
        </is>
      </c>
      <c r="W24" t="inlineStr">
        <is>
          <t>March</t>
        </is>
      </c>
      <c r="X24" t="inlineStr">
        <is>
          <t>Other</t>
        </is>
      </c>
      <c r="Y24" t="n">
        <v>0</v>
      </c>
      <c r="Z24" t="inlineStr">
        <is>
          <t>Yes</t>
        </is>
      </c>
      <c r="AA24" t="inlineStr">
        <is>
          <t>Filled</t>
        </is>
      </c>
      <c r="AB24" t="inlineStr">
        <is>
          <t>on campus</t>
        </is>
      </c>
      <c r="AC24" t="inlineStr"/>
      <c r="AD24" t="n">
        <v>0</v>
      </c>
      <c r="AE24" t="inlineStr"/>
      <c r="AF24" t="inlineStr"/>
      <c r="AG24" t="inlineStr"/>
      <c r="AH24" t="inlineStr"/>
      <c r="AI24" t="inlineStr"/>
      <c r="AJ24" t="inlineStr"/>
      <c r="AK24" t="inlineStr"/>
      <c r="AL24" t="inlineStr"/>
      <c r="AM24" t="inlineStr"/>
    </row>
    <row r="25">
      <c r="A25" t="inlineStr">
        <is>
          <t>093586K</t>
        </is>
      </c>
      <c r="B25" t="inlineStr">
        <is>
          <t>Bachelor of Fine Arts (Production)</t>
        </is>
      </c>
      <c r="C25" t="inlineStr">
        <is>
          <t>Bachelor</t>
        </is>
      </c>
      <c r="D25" t="inlineStr">
        <is>
          <t>Undergraduate</t>
        </is>
      </c>
      <c r="E25" t="inlineStr">
        <is>
          <t>Advertised: official page in place</t>
        </is>
      </c>
      <c r="F25" t="inlineStr">
        <is>
          <t>https://study.unimelb.edu.au/find/courses/undergraduate/bachelor-of-fine-arts-production/</t>
        </is>
      </c>
      <c r="G25" t="inlineStr">
        <is>
          <t>https://study.unimelb.edu.au/find/courses/undergraduate/bachelor-of-fine-arts-production/</t>
        </is>
      </c>
      <c r="H25" t="inlineStr">
        <is>
          <t>Read</t>
        </is>
      </c>
      <c r="I25" t="inlineStr">
        <is>
          <t>CRICOS code on page</t>
        </is>
      </c>
      <c r="J25" t="inlineStr"/>
      <c r="K25" t="inlineStr">
        <is>
          <t>Not sent to re-link</t>
        </is>
      </c>
      <c r="L25" t="inlineStr">
        <is>
          <t>Filled</t>
        </is>
      </c>
      <c r="M25" t="inlineStr">
        <is>
          <t>Filled</t>
        </is>
      </c>
      <c r="N25" t="inlineStr">
        <is>
          <t>39936.00 2026</t>
        </is>
      </c>
      <c r="O25" t="n">
        <v>0</v>
      </c>
      <c r="P25" t="inlineStr">
        <is>
          <t>Other</t>
        </is>
      </c>
      <c r="Q25" t="inlineStr">
        <is>
          <t>Filled</t>
        </is>
      </c>
      <c r="R25" t="n">
        <v>6.5</v>
      </c>
      <c r="S25" t="inlineStr">
        <is>
          <t>Other</t>
        </is>
      </c>
      <c r="T25" t="inlineStr">
        <is>
          <t>Level map (Melbourne): not computed per course in this report</t>
        </is>
      </c>
      <c r="U25" t="inlineStr"/>
      <c r="V25" t="inlineStr">
        <is>
          <t>Filled</t>
        </is>
      </c>
      <c r="W25" t="inlineStr">
        <is>
          <t>March</t>
        </is>
      </c>
      <c r="X25" t="inlineStr">
        <is>
          <t>Other</t>
        </is>
      </c>
      <c r="Y25" t="n">
        <v>0</v>
      </c>
      <c r="Z25" t="inlineStr">
        <is>
          <t>Yes</t>
        </is>
      </c>
      <c r="AA25" t="inlineStr">
        <is>
          <t>Filled</t>
        </is>
      </c>
      <c r="AB25" t="inlineStr">
        <is>
          <t>on campus</t>
        </is>
      </c>
      <c r="AC25" t="inlineStr"/>
      <c r="AD25" t="n">
        <v>0</v>
      </c>
      <c r="AE25" t="inlineStr"/>
      <c r="AF25" t="inlineStr"/>
      <c r="AG25" t="inlineStr"/>
      <c r="AH25" t="inlineStr"/>
      <c r="AI25" t="inlineStr"/>
      <c r="AJ25" t="inlineStr"/>
      <c r="AK25" t="inlineStr"/>
      <c r="AL25" t="inlineStr"/>
      <c r="AM25" t="inlineStr"/>
    </row>
    <row r="26">
      <c r="A26" t="inlineStr">
        <is>
          <t>093587J</t>
        </is>
      </c>
      <c r="B26" t="inlineStr">
        <is>
          <t>Bachelor of Fine Arts (Screenwriting)</t>
        </is>
      </c>
      <c r="C26" t="inlineStr">
        <is>
          <t>Bachelor</t>
        </is>
      </c>
      <c r="D26" t="inlineStr">
        <is>
          <t>Undergraduate</t>
        </is>
      </c>
      <c r="E26" t="inlineStr">
        <is>
          <t>Advertised: official page in place</t>
        </is>
      </c>
      <c r="F26" t="inlineStr">
        <is>
          <t>https://handbook.unimelb.edu.au/2026/courses/b-fascwri</t>
        </is>
      </c>
      <c r="G26" t="inlineStr">
        <is>
          <t>https://handbook.unimelb.edu.au/2026/courses/b-fascwri</t>
        </is>
      </c>
      <c r="H26" t="inlineStr">
        <is>
          <t>Read</t>
        </is>
      </c>
      <c r="I26" t="inlineStr">
        <is>
          <t>CRICOS code on page</t>
        </is>
      </c>
      <c r="J26" t="inlineStr"/>
      <c r="K26" t="inlineStr">
        <is>
          <t>Not sent to re-link</t>
        </is>
      </c>
      <c r="L26" t="inlineStr">
        <is>
          <t>Filled</t>
        </is>
      </c>
      <c r="M26" t="inlineStr">
        <is>
          <t>Waiting for Layer 4 review</t>
        </is>
      </c>
      <c r="N26" t="inlineStr"/>
      <c r="O26" t="n">
        <v>0</v>
      </c>
      <c r="P26" t="inlineStr"/>
      <c r="Q26" t="inlineStr">
        <is>
          <t>Not stated on course page</t>
        </is>
      </c>
      <c r="S26" t="inlineStr"/>
      <c r="T26" t="inlineStr">
        <is>
          <t>Level map (Melbourne): not computed per course in this report</t>
        </is>
      </c>
      <c r="U26" t="inlineStr"/>
      <c r="V26" t="inlineStr">
        <is>
          <t>Not stated on course page</t>
        </is>
      </c>
      <c r="W26" t="inlineStr"/>
      <c r="X26" t="inlineStr"/>
      <c r="Y26" t="n">
        <v>2</v>
      </c>
      <c r="Z26" t="inlineStr">
        <is>
          <t>Yes</t>
        </is>
      </c>
      <c r="AA26" t="inlineStr">
        <is>
          <t>Filled</t>
        </is>
      </c>
      <c r="AB26" t="inlineStr">
        <is>
          <t>on campus</t>
        </is>
      </c>
      <c r="AC26" t="inlineStr"/>
      <c r="AD26" t="n">
        <v>0</v>
      </c>
      <c r="AE26" t="inlineStr"/>
      <c r="AF26" t="inlineStr">
        <is>
          <t>Yes</t>
        </is>
      </c>
      <c r="AG26" t="inlineStr"/>
      <c r="AH26" t="inlineStr">
        <is>
          <t>Yes</t>
        </is>
      </c>
      <c r="AI26" t="inlineStr"/>
      <c r="AJ26" t="inlineStr"/>
      <c r="AK26" t="inlineStr"/>
      <c r="AL26" t="inlineStr"/>
      <c r="AM26" t="inlineStr"/>
    </row>
    <row r="27">
      <c r="A27" t="inlineStr">
        <is>
          <t>093588G</t>
        </is>
      </c>
      <c r="B27" t="inlineStr">
        <is>
          <t>Bachelor of Fine Arts (Theatre Practice)</t>
        </is>
      </c>
      <c r="C27" t="inlineStr">
        <is>
          <t>Bachelor</t>
        </is>
      </c>
      <c r="D27" t="inlineStr">
        <is>
          <t>Undergraduate</t>
        </is>
      </c>
      <c r="E27" t="inlineStr">
        <is>
          <t>Page found, needs a rendered read</t>
        </is>
      </c>
      <c r="F27" t="inlineStr"/>
      <c r="G27" t="inlineStr">
        <is>
          <t>https://handbook.unimelb.edu.au/2026/courses/b-fathprac</t>
        </is>
      </c>
      <c r="H27" t="inlineStr">
        <is>
          <t>Needs a rendered read</t>
        </is>
      </c>
      <c r="I27" t="inlineStr"/>
      <c r="J27" t="inlineStr"/>
      <c r="K27" t="inlineStr">
        <is>
          <t>Finished, no page: no address from the university's address forms or stored lis</t>
        </is>
      </c>
      <c r="L27" t="inlineStr">
        <is>
          <t>Page found, being read</t>
        </is>
      </c>
      <c r="M27" t="inlineStr">
        <is>
          <t>Page found, being read</t>
        </is>
      </c>
      <c r="N27" t="inlineStr"/>
      <c r="O27" t="n">
        <v>0</v>
      </c>
      <c r="P27" t="inlineStr"/>
      <c r="Q27" t="inlineStr">
        <is>
          <t>Page found, being read</t>
        </is>
      </c>
      <c r="S27" t="inlineStr"/>
      <c r="T27" t="inlineStr">
        <is>
          <t>Level map (Melbourne): not computed per course in this report</t>
        </is>
      </c>
      <c r="U27" t="inlineStr"/>
      <c r="V27" t="inlineStr">
        <is>
          <t>Page found, being read</t>
        </is>
      </c>
      <c r="W27" t="inlineStr"/>
      <c r="X27" t="inlineStr"/>
      <c r="Y27" t="n">
        <v>0</v>
      </c>
      <c r="Z27" t="inlineStr">
        <is>
          <t>Yes</t>
        </is>
      </c>
      <c r="AA27" t="inlineStr">
        <is>
          <t>Not stated on course page</t>
        </is>
      </c>
      <c r="AB27" t="inlineStr"/>
      <c r="AC27" t="inlineStr">
        <is>
          <t>Skipped: no allowed source had a value</t>
        </is>
      </c>
      <c r="AD27" t="n">
        <v>1</v>
      </c>
      <c r="AE27" t="inlineStr">
        <is>
          <t>Yes</t>
        </is>
      </c>
      <c r="AF27" t="inlineStr"/>
      <c r="AG27" t="inlineStr"/>
      <c r="AH27" t="inlineStr"/>
      <c r="AI27" t="inlineStr"/>
      <c r="AJ27" t="inlineStr"/>
      <c r="AK27" t="inlineStr"/>
      <c r="AL27" t="inlineStr"/>
      <c r="AM27" t="inlineStr"/>
    </row>
    <row r="28">
      <c r="A28" t="inlineStr">
        <is>
          <t>094860M</t>
        </is>
      </c>
      <c r="B28" t="inlineStr">
        <is>
          <t>Bachelor of Fine Arts (Theatre)</t>
        </is>
      </c>
      <c r="C28" t="inlineStr">
        <is>
          <t>Bachelor</t>
        </is>
      </c>
      <c r="D28" t="inlineStr">
        <is>
          <t>Undergraduate</t>
        </is>
      </c>
      <c r="E28" t="inlineStr">
        <is>
          <t>Advertised: official page in place</t>
        </is>
      </c>
      <c r="F28" t="inlineStr">
        <is>
          <t>https://study.unimelb.edu.au/find/courses/undergraduate/bachelor-of-fine-arts-theatre/</t>
        </is>
      </c>
      <c r="G28" t="inlineStr">
        <is>
          <t>https://study.unimelb.edu.au/find/courses/undergraduate/bachelor-of-fine-arts-theatre/</t>
        </is>
      </c>
      <c r="H28" t="inlineStr">
        <is>
          <t>Read</t>
        </is>
      </c>
      <c r="I28" t="inlineStr">
        <is>
          <t>CRICOS code on page</t>
        </is>
      </c>
      <c r="J28" t="inlineStr"/>
      <c r="K28" t="inlineStr">
        <is>
          <t>Not sent to re-link</t>
        </is>
      </c>
      <c r="L28" t="inlineStr">
        <is>
          <t>Filled</t>
        </is>
      </c>
      <c r="M28" t="inlineStr">
        <is>
          <t>Filled</t>
        </is>
      </c>
      <c r="N28" t="inlineStr">
        <is>
          <t>43904.00 2027</t>
        </is>
      </c>
      <c r="O28" t="n">
        <v>0</v>
      </c>
      <c r="P28" t="inlineStr">
        <is>
          <t>Other</t>
        </is>
      </c>
      <c r="Q28" t="inlineStr">
        <is>
          <t>Filled</t>
        </is>
      </c>
      <c r="R28" t="n">
        <v>6.5</v>
      </c>
      <c r="S28" t="inlineStr">
        <is>
          <t>University adapter</t>
        </is>
      </c>
      <c r="T28" t="inlineStr">
        <is>
          <t>Level map (Melbourne): not computed per course in this report</t>
        </is>
      </c>
      <c r="U28" t="inlineStr"/>
      <c r="V28" t="inlineStr">
        <is>
          <t>Filled</t>
        </is>
      </c>
      <c r="W28" t="inlineStr">
        <is>
          <t>March</t>
        </is>
      </c>
      <c r="X28" t="inlineStr">
        <is>
          <t>University adapter</t>
        </is>
      </c>
      <c r="Y28" t="n">
        <v>0</v>
      </c>
      <c r="Z28" t="inlineStr">
        <is>
          <t>Yes</t>
        </is>
      </c>
      <c r="AA28" t="inlineStr">
        <is>
          <t>Filled</t>
        </is>
      </c>
      <c r="AB28" t="inlineStr">
        <is>
          <t>on campus</t>
        </is>
      </c>
      <c r="AC28" t="inlineStr"/>
      <c r="AD28" t="n">
        <v>0</v>
      </c>
      <c r="AE28" t="inlineStr"/>
      <c r="AF28" t="inlineStr"/>
      <c r="AG28" t="inlineStr"/>
      <c r="AH28" t="inlineStr"/>
      <c r="AI28" t="inlineStr"/>
      <c r="AJ28" t="inlineStr"/>
      <c r="AK28" t="inlineStr"/>
      <c r="AL28" t="inlineStr"/>
      <c r="AM28" t="inlineStr"/>
    </row>
    <row r="29">
      <c r="A29" t="inlineStr">
        <is>
          <t>093589G</t>
        </is>
      </c>
      <c r="B29" t="inlineStr">
        <is>
          <t>Bachelor of Fine Arts (Visual Art)</t>
        </is>
      </c>
      <c r="C29" t="inlineStr">
        <is>
          <t>Bachelor</t>
        </is>
      </c>
      <c r="D29" t="inlineStr">
        <is>
          <t>Undergraduate</t>
        </is>
      </c>
      <c r="E29" t="inlineStr">
        <is>
          <t>Advertised: official page in place</t>
        </is>
      </c>
      <c r="F29" t="inlineStr">
        <is>
          <t>https://study.unimelb.edu.au/find/courses/undergraduate/bachelor-of-fine-arts-visual-art/</t>
        </is>
      </c>
      <c r="G29" t="inlineStr">
        <is>
          <t>https://study.unimelb.edu.au/find/courses/undergraduate/bachelor-of-fine-arts-visual-art/</t>
        </is>
      </c>
      <c r="H29" t="inlineStr">
        <is>
          <t>Read</t>
        </is>
      </c>
      <c r="I29" t="inlineStr">
        <is>
          <t>CRICOS code on page</t>
        </is>
      </c>
      <c r="J29" t="inlineStr"/>
      <c r="K29" t="inlineStr">
        <is>
          <t>Not sent to re-link</t>
        </is>
      </c>
      <c r="L29" t="inlineStr">
        <is>
          <t>Filled</t>
        </is>
      </c>
      <c r="M29" t="inlineStr">
        <is>
          <t>Not stated on course page</t>
        </is>
      </c>
      <c r="N29" t="inlineStr"/>
      <c r="O29" t="n">
        <v>0</v>
      </c>
      <c r="P29" t="inlineStr"/>
      <c r="Q29" t="inlineStr">
        <is>
          <t>Filled</t>
        </is>
      </c>
      <c r="R29" t="n">
        <v>6.5</v>
      </c>
      <c r="S29" t="inlineStr">
        <is>
          <t>University adapter</t>
        </is>
      </c>
      <c r="T29" t="inlineStr">
        <is>
          <t>Level map (Melbourne): not computed per course in this report</t>
        </is>
      </c>
      <c r="U29" t="inlineStr"/>
      <c r="V29" t="inlineStr">
        <is>
          <t>Filled</t>
        </is>
      </c>
      <c r="W29" t="inlineStr">
        <is>
          <t>March</t>
        </is>
      </c>
      <c r="X29" t="inlineStr">
        <is>
          <t>University adapter</t>
        </is>
      </c>
      <c r="Y29" t="n">
        <v>0</v>
      </c>
      <c r="Z29" t="inlineStr">
        <is>
          <t>Yes</t>
        </is>
      </c>
      <c r="AA29" t="inlineStr">
        <is>
          <t>Filled</t>
        </is>
      </c>
      <c r="AB29" t="inlineStr">
        <is>
          <t>on campus</t>
        </is>
      </c>
      <c r="AC29" t="inlineStr"/>
      <c r="AD29" t="n">
        <v>0</v>
      </c>
      <c r="AE29" t="inlineStr"/>
      <c r="AF29" t="inlineStr"/>
      <c r="AG29" t="inlineStr"/>
      <c r="AH29" t="inlineStr"/>
      <c r="AI29" t="inlineStr"/>
      <c r="AJ29" t="inlineStr"/>
      <c r="AK29" t="inlineStr"/>
      <c r="AL29" t="inlineStr"/>
      <c r="AM29" t="inlineStr"/>
    </row>
    <row r="30">
      <c r="A30" t="inlineStr">
        <is>
          <t>113001D</t>
        </is>
      </c>
      <c r="B30" t="inlineStr">
        <is>
          <t>Bachelor of Medical Science (Degree with Honours)</t>
        </is>
      </c>
      <c r="C30" t="inlineStr">
        <is>
          <t>Bachelor Honours Degree</t>
        </is>
      </c>
      <c r="D30" t="inlineStr">
        <is>
          <t>Undergraduate</t>
        </is>
      </c>
      <c r="E30" t="inlineStr">
        <is>
          <t>Advertised: official page in place</t>
        </is>
      </c>
      <c r="F30" t="inlineStr">
        <is>
          <t>https://study.unimelb.edu.au/find/courses/honours/bachelor-of-medical-science-degree-with-honours/</t>
        </is>
      </c>
      <c r="G30" t="inlineStr">
        <is>
          <t>https://study.unimelb.edu.au/find/courses/honours/bachelor-of-medical-science-degree-with-honours/</t>
        </is>
      </c>
      <c r="H30" t="inlineStr">
        <is>
          <t>Read</t>
        </is>
      </c>
      <c r="I30" t="inlineStr">
        <is>
          <t>CRICOS code on page</t>
        </is>
      </c>
      <c r="J30" t="inlineStr"/>
      <c r="K30" t="inlineStr">
        <is>
          <t>Not sent to re-link</t>
        </is>
      </c>
      <c r="L30" t="inlineStr">
        <is>
          <t>Filled</t>
        </is>
      </c>
      <c r="M30" t="inlineStr">
        <is>
          <t>Filled</t>
        </is>
      </c>
      <c r="N30" t="inlineStr">
        <is>
          <t>64032.00 2026</t>
        </is>
      </c>
      <c r="O30" t="n">
        <v>0</v>
      </c>
      <c r="P30" t="inlineStr">
        <is>
          <t>University adapter</t>
        </is>
      </c>
      <c r="Q30" t="inlineStr">
        <is>
          <t>Filled</t>
        </is>
      </c>
      <c r="R30" t="n">
        <v>7</v>
      </c>
      <c r="S30" t="inlineStr">
        <is>
          <t>University adapter</t>
        </is>
      </c>
      <c r="T30" t="inlineStr">
        <is>
          <t>Level map (Melbourne): not computed per course in this report</t>
        </is>
      </c>
      <c r="U30" t="inlineStr"/>
      <c r="V30" t="inlineStr">
        <is>
          <t>Filled</t>
        </is>
      </c>
      <c r="W30" t="inlineStr">
        <is>
          <t>January, July</t>
        </is>
      </c>
      <c r="X30" t="inlineStr">
        <is>
          <t>University adapter</t>
        </is>
      </c>
      <c r="Y30" t="n">
        <v>0</v>
      </c>
      <c r="Z30" t="inlineStr">
        <is>
          <t>Yes</t>
        </is>
      </c>
      <c r="AA30" t="inlineStr">
        <is>
          <t>Filled</t>
        </is>
      </c>
      <c r="AB30" t="inlineStr">
        <is>
          <t>on campus</t>
        </is>
      </c>
      <c r="AC30" t="inlineStr"/>
      <c r="AD30" t="n">
        <v>0</v>
      </c>
      <c r="AE30" t="inlineStr"/>
      <c r="AF30" t="inlineStr"/>
      <c r="AG30" t="inlineStr"/>
      <c r="AH30" t="inlineStr"/>
      <c r="AI30" t="inlineStr"/>
      <c r="AJ30" t="inlineStr"/>
      <c r="AK30" t="inlineStr"/>
      <c r="AL30" t="inlineStr"/>
      <c r="AM30" t="inlineStr"/>
    </row>
    <row r="31">
      <c r="A31" t="inlineStr">
        <is>
          <t>058837J</t>
        </is>
      </c>
      <c r="B31" t="inlineStr">
        <is>
          <t>Bachelor of Music</t>
        </is>
      </c>
      <c r="C31" t="inlineStr">
        <is>
          <t>Bachelor</t>
        </is>
      </c>
      <c r="D31" t="inlineStr">
        <is>
          <t>Undergraduate</t>
        </is>
      </c>
      <c r="E31" t="inlineStr">
        <is>
          <t>Advertised: official page in place</t>
        </is>
      </c>
      <c r="F31" t="inlineStr">
        <is>
          <t>https://handbook.unimelb.edu.au/2026/courses/b-mus</t>
        </is>
      </c>
      <c r="G31" t="inlineStr">
        <is>
          <t>https://handbook.unimelb.edu.au/2026/courses/b-mus</t>
        </is>
      </c>
      <c r="H31" t="inlineStr">
        <is>
          <t>Read</t>
        </is>
      </c>
      <c r="I31" t="inlineStr">
        <is>
          <t>CRICOS code on page</t>
        </is>
      </c>
      <c r="J31" t="inlineStr"/>
      <c r="K31" t="inlineStr">
        <is>
          <t>Not sent to re-link</t>
        </is>
      </c>
      <c r="L31" t="inlineStr">
        <is>
          <t>Filled</t>
        </is>
      </c>
      <c r="M31" t="inlineStr">
        <is>
          <t>Waiting for Layer 4 review</t>
        </is>
      </c>
      <c r="N31" t="inlineStr"/>
      <c r="O31" t="n">
        <v>0</v>
      </c>
      <c r="P31" t="inlineStr"/>
      <c r="Q31" t="inlineStr">
        <is>
          <t>Not stated on course page</t>
        </is>
      </c>
      <c r="S31" t="inlineStr"/>
      <c r="T31" t="inlineStr">
        <is>
          <t>Level map (Melbourne): not computed per course in this report</t>
        </is>
      </c>
      <c r="U31" t="inlineStr"/>
      <c r="V31" t="inlineStr">
        <is>
          <t>Waiting for Layer 4 review</t>
        </is>
      </c>
      <c r="W31" t="inlineStr"/>
      <c r="X31" t="inlineStr"/>
      <c r="Y31" t="n">
        <v>2</v>
      </c>
      <c r="Z31" t="inlineStr">
        <is>
          <t>Yes</t>
        </is>
      </c>
      <c r="AA31" t="inlineStr">
        <is>
          <t>Filled</t>
        </is>
      </c>
      <c r="AB31" t="inlineStr">
        <is>
          <t>on campus</t>
        </is>
      </c>
      <c r="AC31" t="inlineStr"/>
      <c r="AD31" t="n">
        <v>0</v>
      </c>
      <c r="AE31" t="inlineStr"/>
      <c r="AF31" t="inlineStr">
        <is>
          <t>Yes</t>
        </is>
      </c>
      <c r="AG31" t="inlineStr"/>
      <c r="AH31" t="inlineStr">
        <is>
          <t>Yes</t>
        </is>
      </c>
      <c r="AI31" t="inlineStr"/>
      <c r="AJ31" t="inlineStr"/>
      <c r="AK31" t="inlineStr"/>
      <c r="AL31" t="inlineStr"/>
      <c r="AM31" t="inlineStr"/>
    </row>
    <row r="32">
      <c r="A32" t="inlineStr">
        <is>
          <t>060219F</t>
        </is>
      </c>
      <c r="B32" t="inlineStr">
        <is>
          <t>Bachelor of Music (Honours)</t>
        </is>
      </c>
      <c r="C32" t="inlineStr">
        <is>
          <t>Bachelor Honours Degree</t>
        </is>
      </c>
      <c r="D32" t="inlineStr">
        <is>
          <t>Undergraduate</t>
        </is>
      </c>
      <c r="E32" t="inlineStr">
        <is>
          <t>Advertised: official page in place</t>
        </is>
      </c>
      <c r="F32" t="inlineStr">
        <is>
          <t>https://handbook.unimelb.edu.au/2026/courses/bh-mus</t>
        </is>
      </c>
      <c r="G32" t="inlineStr">
        <is>
          <t>https://handbook.unimelb.edu.au/2026/courses/bh-mus</t>
        </is>
      </c>
      <c r="H32" t="inlineStr">
        <is>
          <t>Read</t>
        </is>
      </c>
      <c r="I32" t="inlineStr">
        <is>
          <t>CRICOS code on page</t>
        </is>
      </c>
      <c r="J32" t="inlineStr"/>
      <c r="K32" t="inlineStr">
        <is>
          <t>Not sent to re-link</t>
        </is>
      </c>
      <c r="L32" t="inlineStr">
        <is>
          <t>Filled</t>
        </is>
      </c>
      <c r="M32" t="inlineStr">
        <is>
          <t>Waiting for Layer 4 review</t>
        </is>
      </c>
      <c r="N32" t="inlineStr"/>
      <c r="O32" t="n">
        <v>0</v>
      </c>
      <c r="P32" t="inlineStr"/>
      <c r="Q32" t="inlineStr">
        <is>
          <t>Not stated on course page</t>
        </is>
      </c>
      <c r="S32" t="inlineStr"/>
      <c r="T32" t="inlineStr">
        <is>
          <t>Level map (Melbourne): not computed per course in this report</t>
        </is>
      </c>
      <c r="U32" t="inlineStr"/>
      <c r="V32" t="inlineStr">
        <is>
          <t>Not stated on course page</t>
        </is>
      </c>
      <c r="W32" t="inlineStr"/>
      <c r="X32" t="inlineStr"/>
      <c r="Y32" t="n">
        <v>2</v>
      </c>
      <c r="Z32" t="inlineStr">
        <is>
          <t>Yes</t>
        </is>
      </c>
      <c r="AA32" t="inlineStr">
        <is>
          <t>Filled</t>
        </is>
      </c>
      <c r="AB32" t="inlineStr">
        <is>
          <t>on campus</t>
        </is>
      </c>
      <c r="AC32" t="inlineStr"/>
      <c r="AD32" t="n">
        <v>0</v>
      </c>
      <c r="AE32" t="inlineStr"/>
      <c r="AF32" t="inlineStr">
        <is>
          <t>Yes</t>
        </is>
      </c>
      <c r="AG32" t="inlineStr"/>
      <c r="AH32" t="inlineStr">
        <is>
          <t>Yes</t>
        </is>
      </c>
      <c r="AI32" t="inlineStr"/>
      <c r="AJ32" t="inlineStr"/>
      <c r="AK32" t="inlineStr"/>
      <c r="AL32" t="inlineStr"/>
      <c r="AM32" t="inlineStr"/>
    </row>
    <row r="33">
      <c r="A33" t="inlineStr">
        <is>
          <t>053176D</t>
        </is>
      </c>
      <c r="B33" t="inlineStr">
        <is>
          <t>Bachelor of Oral Health</t>
        </is>
      </c>
      <c r="C33" t="inlineStr">
        <is>
          <t>Bachelor</t>
        </is>
      </c>
      <c r="D33" t="inlineStr">
        <is>
          <t>Undergraduate</t>
        </is>
      </c>
      <c r="E33" t="inlineStr">
        <is>
          <t>Advertised: official page in place</t>
        </is>
      </c>
      <c r="F33" t="inlineStr">
        <is>
          <t>https://study.unimelb.edu.au/find/courses/undergraduate/bachelor-of-oral-health/</t>
        </is>
      </c>
      <c r="G33" t="inlineStr">
        <is>
          <t>https://study.unimelb.edu.au/find/courses/undergraduate/bachelor-of-oral-health/</t>
        </is>
      </c>
      <c r="H33" t="inlineStr">
        <is>
          <t>Read</t>
        </is>
      </c>
      <c r="I33" t="inlineStr">
        <is>
          <t>CRICOS code on page</t>
        </is>
      </c>
      <c r="J33" t="inlineStr"/>
      <c r="K33" t="inlineStr">
        <is>
          <t>Not sent to re-link</t>
        </is>
      </c>
      <c r="L33" t="inlineStr">
        <is>
          <t>Filled</t>
        </is>
      </c>
      <c r="M33" t="inlineStr">
        <is>
          <t>Filled</t>
        </is>
      </c>
      <c r="N33" t="inlineStr">
        <is>
          <t>85840.00 2027</t>
        </is>
      </c>
      <c r="O33" t="n">
        <v>0</v>
      </c>
      <c r="P33" t="inlineStr">
        <is>
          <t>Other</t>
        </is>
      </c>
      <c r="Q33" t="inlineStr">
        <is>
          <t>Filled</t>
        </is>
      </c>
      <c r="R33" t="n">
        <v>7</v>
      </c>
      <c r="S33" t="inlineStr">
        <is>
          <t>University adapter</t>
        </is>
      </c>
      <c r="T33" t="inlineStr">
        <is>
          <t>Level map (Melbourne): not computed per course in this report</t>
        </is>
      </c>
      <c r="U33" t="inlineStr"/>
      <c r="V33" t="inlineStr">
        <is>
          <t>Filled</t>
        </is>
      </c>
      <c r="W33" t="inlineStr">
        <is>
          <t>March</t>
        </is>
      </c>
      <c r="X33" t="inlineStr">
        <is>
          <t>University adapter</t>
        </is>
      </c>
      <c r="Y33" t="n">
        <v>0</v>
      </c>
      <c r="Z33" t="inlineStr">
        <is>
          <t>Yes</t>
        </is>
      </c>
      <c r="AA33" t="inlineStr">
        <is>
          <t>Filled</t>
        </is>
      </c>
      <c r="AB33" t="inlineStr">
        <is>
          <t>on campus</t>
        </is>
      </c>
      <c r="AC33" t="inlineStr"/>
      <c r="AD33" t="n">
        <v>0</v>
      </c>
      <c r="AE33" t="inlineStr"/>
      <c r="AF33" t="inlineStr"/>
      <c r="AG33" t="inlineStr"/>
      <c r="AH33" t="inlineStr"/>
      <c r="AI33" t="inlineStr"/>
      <c r="AJ33" t="inlineStr"/>
      <c r="AK33" t="inlineStr"/>
      <c r="AL33" t="inlineStr"/>
      <c r="AM33" t="inlineStr"/>
    </row>
    <row r="34">
      <c r="A34" t="inlineStr">
        <is>
          <t>097031B</t>
        </is>
      </c>
      <c r="B34" t="inlineStr">
        <is>
          <t>Bachelor of Oral Health (Degree with Honours)</t>
        </is>
      </c>
      <c r="C34" t="inlineStr">
        <is>
          <t>Bachelor Honours Degree</t>
        </is>
      </c>
      <c r="D34" t="inlineStr">
        <is>
          <t>Undergraduate</t>
        </is>
      </c>
      <c r="E34" t="inlineStr">
        <is>
          <t>Advertised: official page in place</t>
        </is>
      </c>
      <c r="F34" t="inlineStr">
        <is>
          <t>https://handbook.unimelb.edu.au/2017/courses/bh-orhlth</t>
        </is>
      </c>
      <c r="G34" t="inlineStr">
        <is>
          <t>https://handbook.unimelb.edu.au/2026/courses/bh-orhlth</t>
        </is>
      </c>
      <c r="H34" t="inlineStr">
        <is>
          <t>Needs a rendered read</t>
        </is>
      </c>
      <c r="I34" t="inlineStr"/>
      <c r="J34" t="inlineStr"/>
      <c r="K34" t="inlineStr">
        <is>
          <t>Finished, no page: no address from the university's address forms or stored lis</t>
        </is>
      </c>
      <c r="L34" t="inlineStr">
        <is>
          <t>Filled</t>
        </is>
      </c>
      <c r="M34" t="inlineStr">
        <is>
          <t>Not stated on course page</t>
        </is>
      </c>
      <c r="N34" t="inlineStr"/>
      <c r="O34" t="n">
        <v>0</v>
      </c>
      <c r="P34" t="inlineStr"/>
      <c r="Q34" t="inlineStr">
        <is>
          <t>Not stated on course page</t>
        </is>
      </c>
      <c r="S34" t="inlineStr"/>
      <c r="T34" t="inlineStr">
        <is>
          <t>Level map (Melbourne): not computed per course in this report</t>
        </is>
      </c>
      <c r="U34" t="inlineStr"/>
      <c r="V34" t="inlineStr">
        <is>
          <t>Not stated on course page</t>
        </is>
      </c>
      <c r="W34" t="inlineStr"/>
      <c r="X34" t="inlineStr"/>
      <c r="Y34" t="n">
        <v>2</v>
      </c>
      <c r="Z34" t="inlineStr">
        <is>
          <t>Yes</t>
        </is>
      </c>
      <c r="AA34" t="inlineStr">
        <is>
          <t>Filled</t>
        </is>
      </c>
      <c r="AB34" t="inlineStr">
        <is>
          <t>on campus</t>
        </is>
      </c>
      <c r="AC34" t="inlineStr"/>
      <c r="AD34" t="n">
        <v>0</v>
      </c>
      <c r="AE34" t="inlineStr">
        <is>
          <t>Yes</t>
        </is>
      </c>
      <c r="AF34" t="inlineStr"/>
      <c r="AG34" t="inlineStr"/>
      <c r="AH34" t="inlineStr">
        <is>
          <t>Yes</t>
        </is>
      </c>
      <c r="AI34" t="inlineStr"/>
      <c r="AJ34" t="inlineStr"/>
      <c r="AK34" t="inlineStr"/>
      <c r="AL34" t="inlineStr"/>
      <c r="AM34" t="inlineStr"/>
    </row>
    <row r="35">
      <c r="A35" t="inlineStr">
        <is>
          <t>002153M</t>
        </is>
      </c>
      <c r="B35" t="inlineStr">
        <is>
          <t>Bachelor of Science</t>
        </is>
      </c>
      <c r="C35" t="inlineStr">
        <is>
          <t>Bachelor</t>
        </is>
      </c>
      <c r="D35" t="inlineStr">
        <is>
          <t>Undergraduate</t>
        </is>
      </c>
      <c r="E35" t="inlineStr">
        <is>
          <t>Advertised: official page in place</t>
        </is>
      </c>
      <c r="F35" t="inlineStr">
        <is>
          <t>https://study.unimelb.edu.au/find/courses/undergraduate/bachelor-of-science</t>
        </is>
      </c>
      <c r="G35" t="inlineStr">
        <is>
          <t>https://study.unimelb.edu.au/find/courses/undergraduate/bachelor-of-science</t>
        </is>
      </c>
      <c r="H35" t="inlineStr">
        <is>
          <t>Read</t>
        </is>
      </c>
      <c r="I35" t="inlineStr">
        <is>
          <t>CRICOS code on page</t>
        </is>
      </c>
      <c r="J35" t="inlineStr"/>
      <c r="K35" t="inlineStr">
        <is>
          <t>Not sent to re-link</t>
        </is>
      </c>
      <c r="L35" t="inlineStr">
        <is>
          <t>Filled</t>
        </is>
      </c>
      <c r="M35" t="inlineStr">
        <is>
          <t>Waiting for Layer 4 review</t>
        </is>
      </c>
      <c r="N35" t="inlineStr"/>
      <c r="O35" t="n">
        <v>0</v>
      </c>
      <c r="P35" t="inlineStr"/>
      <c r="Q35" t="inlineStr">
        <is>
          <t>Filled</t>
        </is>
      </c>
      <c r="R35" t="n">
        <v>6.5</v>
      </c>
      <c r="S35" t="inlineStr">
        <is>
          <t>Other</t>
        </is>
      </c>
      <c r="T35" t="inlineStr">
        <is>
          <t>Level map (Melbourne): not computed per course in this report</t>
        </is>
      </c>
      <c r="U35" t="inlineStr"/>
      <c r="V35" t="inlineStr">
        <is>
          <t>Filled</t>
        </is>
      </c>
      <c r="W35" t="inlineStr">
        <is>
          <t>March, July</t>
        </is>
      </c>
      <c r="X35" t="inlineStr">
        <is>
          <t>Other</t>
        </is>
      </c>
      <c r="Y35" t="n">
        <v>1</v>
      </c>
      <c r="Z35" t="inlineStr">
        <is>
          <t>Yes</t>
        </is>
      </c>
      <c r="AA35" t="inlineStr">
        <is>
          <t>Filled</t>
        </is>
      </c>
      <c r="AB35" t="inlineStr">
        <is>
          <t>on campus</t>
        </is>
      </c>
      <c r="AC35" t="inlineStr"/>
      <c r="AD35" t="n">
        <v>0</v>
      </c>
      <c r="AE35" t="inlineStr"/>
      <c r="AF35" t="inlineStr">
        <is>
          <t>Yes</t>
        </is>
      </c>
      <c r="AG35" t="inlineStr"/>
      <c r="AH35" t="inlineStr"/>
      <c r="AI35" t="inlineStr"/>
      <c r="AJ35" t="inlineStr"/>
      <c r="AK35" t="inlineStr"/>
      <c r="AL35" t="inlineStr"/>
      <c r="AM35" t="inlineStr"/>
    </row>
    <row r="36">
      <c r="A36" t="inlineStr">
        <is>
          <t>014791D</t>
        </is>
      </c>
      <c r="B36" t="inlineStr">
        <is>
          <t>Bachelor of Science (Degree with Honours)</t>
        </is>
      </c>
      <c r="C36" t="inlineStr">
        <is>
          <t>Bachelor Honours Degree</t>
        </is>
      </c>
      <c r="D36" t="inlineStr">
        <is>
          <t>Undergraduate</t>
        </is>
      </c>
      <c r="E36" t="inlineStr">
        <is>
          <t>Advertised: official page in place</t>
        </is>
      </c>
      <c r="F36" t="inlineStr">
        <is>
          <t>https://study.unimelb.edu.au/find/courses/honours/bachelor-of-science-degree-with-honours/</t>
        </is>
      </c>
      <c r="G36" t="inlineStr">
        <is>
          <t>https://study.unimelb.edu.au/find/courses/honours/bachelor-of-science-degree-with-honours/</t>
        </is>
      </c>
      <c r="H36" t="inlineStr">
        <is>
          <t>Read</t>
        </is>
      </c>
      <c r="I36" t="inlineStr">
        <is>
          <t>CRICOS code on page</t>
        </is>
      </c>
      <c r="J36" t="inlineStr"/>
      <c r="K36" t="inlineStr">
        <is>
          <t>Not sent to re-link</t>
        </is>
      </c>
      <c r="L36" t="inlineStr">
        <is>
          <t>Filled</t>
        </is>
      </c>
      <c r="M36" t="inlineStr">
        <is>
          <t>Filled</t>
        </is>
      </c>
      <c r="N36" t="inlineStr">
        <is>
          <t>55916.00 2027</t>
        </is>
      </c>
      <c r="O36" t="n">
        <v>0</v>
      </c>
      <c r="P36" t="inlineStr">
        <is>
          <t>Other</t>
        </is>
      </c>
      <c r="Q36" t="inlineStr">
        <is>
          <t>Filled</t>
        </is>
      </c>
      <c r="R36" t="n">
        <v>6.5</v>
      </c>
      <c r="S36" t="inlineStr">
        <is>
          <t>University adapter</t>
        </is>
      </c>
      <c r="T36" t="inlineStr">
        <is>
          <t>Level map (Melbourne): not computed per course in this report</t>
        </is>
      </c>
      <c r="U36" t="inlineStr"/>
      <c r="V36" t="inlineStr">
        <is>
          <t>Filled</t>
        </is>
      </c>
      <c r="W36" t="inlineStr">
        <is>
          <t>February, July</t>
        </is>
      </c>
      <c r="X36" t="inlineStr">
        <is>
          <t>University adapter</t>
        </is>
      </c>
      <c r="Y36" t="n">
        <v>0</v>
      </c>
      <c r="Z36" t="inlineStr">
        <is>
          <t>Yes</t>
        </is>
      </c>
      <c r="AA36" t="inlineStr">
        <is>
          <t>Filled</t>
        </is>
      </c>
      <c r="AB36" t="inlineStr">
        <is>
          <t>on campus</t>
        </is>
      </c>
      <c r="AC36" t="inlineStr"/>
      <c r="AD36" t="n">
        <v>0</v>
      </c>
      <c r="AE36" t="inlineStr"/>
      <c r="AF36" t="inlineStr"/>
      <c r="AG36" t="inlineStr"/>
      <c r="AH36" t="inlineStr"/>
      <c r="AI36" t="inlineStr"/>
      <c r="AJ36" t="inlineStr"/>
      <c r="AK36" t="inlineStr"/>
      <c r="AL36" t="inlineStr"/>
      <c r="AM36" t="inlineStr"/>
    </row>
    <row r="37">
      <c r="A37" t="inlineStr">
        <is>
          <t>053177C</t>
        </is>
      </c>
      <c r="B37" t="inlineStr">
        <is>
          <t>Bachelor of Science (Honours) Psychology</t>
        </is>
      </c>
      <c r="C37" t="inlineStr">
        <is>
          <t>Bachelor Honours Degree</t>
        </is>
      </c>
      <c r="D37" t="inlineStr">
        <is>
          <t>Undergraduate</t>
        </is>
      </c>
      <c r="E37" t="inlineStr">
        <is>
          <t>Held: page found is for another course</t>
        </is>
      </c>
      <c r="F37" t="inlineStr"/>
      <c r="G37" t="inlineStr">
        <is>
          <t>https://study.unimelb.edu.au/find/courses/honours/bachelor-of-science-degree-with-honours/</t>
        </is>
      </c>
      <c r="H37" t="inlineStr">
        <is>
          <t>Page is for another course</t>
        </is>
      </c>
      <c r="I37" t="inlineStr"/>
      <c r="J37" t="inlineStr"/>
      <c r="K37" t="inlineStr">
        <is>
          <t>Finished, no page: no address from the university's address forms or stored lis</t>
        </is>
      </c>
      <c r="L37" t="inlineStr">
        <is>
          <t>Searching for course page</t>
        </is>
      </c>
      <c r="M37" t="inlineStr">
        <is>
          <t>Searching for course page</t>
        </is>
      </c>
      <c r="N37" t="inlineStr"/>
      <c r="O37" t="n">
        <v>0</v>
      </c>
      <c r="P37" t="inlineStr"/>
      <c r="Q37" t="inlineStr">
        <is>
          <t>Searching for course page</t>
        </is>
      </c>
      <c r="S37" t="inlineStr"/>
      <c r="T37" t="inlineStr">
        <is>
          <t>Level map (Melbourne): not computed per course in this report</t>
        </is>
      </c>
      <c r="U37" t="inlineStr"/>
      <c r="V37" t="inlineStr">
        <is>
          <t>Searching for course page</t>
        </is>
      </c>
      <c r="W37" t="inlineStr"/>
      <c r="X37" t="inlineStr"/>
      <c r="Y37" t="n">
        <v>0</v>
      </c>
      <c r="Z37" t="inlineStr">
        <is>
          <t>Yes</t>
        </is>
      </c>
      <c r="AA37" t="inlineStr">
        <is>
          <t>Not stated on course page</t>
        </is>
      </c>
      <c r="AB37" t="inlineStr"/>
      <c r="AC37" t="inlineStr">
        <is>
          <t>Skipped: no correct course page: the page found is for another course</t>
        </is>
      </c>
      <c r="AD37" t="n">
        <v>1</v>
      </c>
      <c r="AE37" t="inlineStr"/>
      <c r="AF37" t="inlineStr"/>
      <c r="AG37" t="inlineStr"/>
      <c r="AH37" t="inlineStr"/>
      <c r="AI37" t="inlineStr"/>
      <c r="AJ37" t="inlineStr"/>
      <c r="AK37" t="inlineStr"/>
      <c r="AL37" t="inlineStr"/>
      <c r="AM37" t="inlineStr"/>
    </row>
    <row r="38">
      <c r="A38" t="inlineStr">
        <is>
          <t>112780B</t>
        </is>
      </c>
      <c r="B38" t="inlineStr">
        <is>
          <t>Bachelor of Science Advanced (Honours)</t>
        </is>
      </c>
      <c r="C38" t="inlineStr">
        <is>
          <t>Bachelor Honours Degree</t>
        </is>
      </c>
      <c r="D38" t="inlineStr">
        <is>
          <t>Undergraduate</t>
        </is>
      </c>
      <c r="E38" t="inlineStr">
        <is>
          <t>Advertised: official page in place</t>
        </is>
      </c>
      <c r="F38" t="inlineStr">
        <is>
          <t>https://study.unimelb.edu.au/find/courses/honours/bachelor-of-science-advanced-honours/</t>
        </is>
      </c>
      <c r="G38" t="inlineStr">
        <is>
          <t>https://study.unimelb.edu.au/find/courses/honours/bachelor-of-science-advanced-honours/</t>
        </is>
      </c>
      <c r="H38" t="inlineStr">
        <is>
          <t>Read</t>
        </is>
      </c>
      <c r="I38" t="inlineStr">
        <is>
          <t>CRICOS code on page</t>
        </is>
      </c>
      <c r="J38" t="inlineStr"/>
      <c r="K38" t="inlineStr">
        <is>
          <t>Not sent to re-link</t>
        </is>
      </c>
      <c r="L38" t="inlineStr">
        <is>
          <t>Filled</t>
        </is>
      </c>
      <c r="M38" t="inlineStr">
        <is>
          <t>Filled</t>
        </is>
      </c>
      <c r="N38" t="inlineStr">
        <is>
          <t>54188.00 2027</t>
        </is>
      </c>
      <c r="O38" t="n">
        <v>0</v>
      </c>
      <c r="P38" t="inlineStr">
        <is>
          <t>Other</t>
        </is>
      </c>
      <c r="Q38" t="inlineStr">
        <is>
          <t>Filled</t>
        </is>
      </c>
      <c r="R38" t="n">
        <v>6.5</v>
      </c>
      <c r="S38" t="inlineStr">
        <is>
          <t>University adapter</t>
        </is>
      </c>
      <c r="T38" t="inlineStr">
        <is>
          <t>Level map (Melbourne): not computed per course in this report</t>
        </is>
      </c>
      <c r="U38" t="inlineStr"/>
      <c r="V38" t="inlineStr">
        <is>
          <t>Filled</t>
        </is>
      </c>
      <c r="W38" t="inlineStr">
        <is>
          <t>July</t>
        </is>
      </c>
      <c r="X38" t="inlineStr">
        <is>
          <t>University adapter</t>
        </is>
      </c>
      <c r="Y38" t="n">
        <v>0</v>
      </c>
      <c r="Z38" t="inlineStr">
        <is>
          <t>Yes</t>
        </is>
      </c>
      <c r="AA38" t="inlineStr">
        <is>
          <t>Filled</t>
        </is>
      </c>
      <c r="AB38" t="inlineStr">
        <is>
          <t>on campus</t>
        </is>
      </c>
      <c r="AC38" t="inlineStr"/>
      <c r="AD38" t="n">
        <v>0</v>
      </c>
      <c r="AE38" t="inlineStr"/>
      <c r="AF38" t="inlineStr"/>
      <c r="AG38" t="inlineStr"/>
      <c r="AH38" t="inlineStr"/>
      <c r="AI38" t="inlineStr"/>
      <c r="AJ38" t="inlineStr"/>
      <c r="AK38" t="inlineStr"/>
      <c r="AL38" t="inlineStr"/>
      <c r="AM38" t="inlineStr"/>
    </row>
    <row r="39">
      <c r="A39" t="inlineStr">
        <is>
          <t>121269J</t>
        </is>
      </c>
      <c r="B39" t="inlineStr">
        <is>
          <t>Bachelor of Science Integrated (Honours)</t>
        </is>
      </c>
      <c r="C39" t="inlineStr">
        <is>
          <t>Bachelor Honours Degree</t>
        </is>
      </c>
      <c r="D39" t="inlineStr">
        <is>
          <t>Undergraduate</t>
        </is>
      </c>
      <c r="E39" t="inlineStr">
        <is>
          <t>Advertised: official page in place</t>
        </is>
      </c>
      <c r="F39" t="inlineStr">
        <is>
          <t>https://study.unimelb.edu.au/find/courses/honours/bachelor-of-science-integrated-honours/</t>
        </is>
      </c>
      <c r="G39" t="inlineStr">
        <is>
          <t>https://study.unimelb.edu.au/find/courses/honours/bachelor-of-science-integrated-honours/</t>
        </is>
      </c>
      <c r="H39" t="inlineStr">
        <is>
          <t>Read</t>
        </is>
      </c>
      <c r="I39" t="inlineStr">
        <is>
          <t>CRICOS code on page</t>
        </is>
      </c>
      <c r="J39" t="inlineStr"/>
      <c r="K39" t="inlineStr">
        <is>
          <t>Finished, no page: no address from the university's address forms or stored lis</t>
        </is>
      </c>
      <c r="L39" t="inlineStr">
        <is>
          <t>Filled</t>
        </is>
      </c>
      <c r="M39" t="inlineStr">
        <is>
          <t>Not stated on course page</t>
        </is>
      </c>
      <c r="N39" t="inlineStr"/>
      <c r="O39" t="n">
        <v>0</v>
      </c>
      <c r="P39" t="inlineStr"/>
      <c r="Q39" t="inlineStr">
        <is>
          <t>Filled</t>
        </is>
      </c>
      <c r="R39" t="n">
        <v>6.5</v>
      </c>
      <c r="S39" t="inlineStr">
        <is>
          <t>University adapter</t>
        </is>
      </c>
      <c r="T39" t="inlineStr">
        <is>
          <t>Level map (Melbourne): not computed per course in this report</t>
        </is>
      </c>
      <c r="U39" t="inlineStr"/>
      <c r="V39" t="inlineStr">
        <is>
          <t>Filled</t>
        </is>
      </c>
      <c r="W39" t="inlineStr">
        <is>
          <t>July</t>
        </is>
      </c>
      <c r="X39" t="inlineStr">
        <is>
          <t>University adapter</t>
        </is>
      </c>
      <c r="Y39" t="n">
        <v>0</v>
      </c>
      <c r="Z39" t="inlineStr">
        <is>
          <t>Yes</t>
        </is>
      </c>
      <c r="AA39" t="inlineStr">
        <is>
          <t>Filled</t>
        </is>
      </c>
      <c r="AB39" t="inlineStr">
        <is>
          <t>on campus</t>
        </is>
      </c>
      <c r="AC39" t="inlineStr">
        <is>
          <t>Skipped: already filled</t>
        </is>
      </c>
      <c r="AD39" t="n">
        <v>1</v>
      </c>
      <c r="AE39" t="inlineStr"/>
      <c r="AF39" t="inlineStr"/>
      <c r="AG39" t="inlineStr"/>
      <c r="AH39" t="inlineStr"/>
      <c r="AI39" t="inlineStr"/>
      <c r="AJ39" t="inlineStr"/>
      <c r="AK39" t="inlineStr"/>
      <c r="AL39" t="inlineStr"/>
      <c r="AM39" t="inlineStr"/>
    </row>
    <row r="40">
      <c r="A40" t="inlineStr">
        <is>
          <t>115435F</t>
        </is>
      </c>
      <c r="B40" t="inlineStr">
        <is>
          <t>Diploma in Computing</t>
        </is>
      </c>
      <c r="C40" t="inlineStr">
        <is>
          <t>Diploma</t>
        </is>
      </c>
      <c r="D40" t="inlineStr">
        <is>
          <t>Diploma</t>
        </is>
      </c>
      <c r="E40" t="inlineStr">
        <is>
          <t>Advertised: official page in place</t>
        </is>
      </c>
      <c r="F40" t="inlineStr">
        <is>
          <t>https://study.unimelb.edu.au/find/courses/undergraduate/diploma-in-computing/</t>
        </is>
      </c>
      <c r="G40" t="inlineStr">
        <is>
          <t>https://study.unimelb.edu.au/find/courses/undergraduate/diploma-in-computing/</t>
        </is>
      </c>
      <c r="H40" t="inlineStr">
        <is>
          <t>Read</t>
        </is>
      </c>
      <c r="I40" t="inlineStr">
        <is>
          <t>Exact title match</t>
        </is>
      </c>
      <c r="J40" t="inlineStr"/>
      <c r="K40" t="inlineStr">
        <is>
          <t>Not sent to re-link</t>
        </is>
      </c>
      <c r="L40" t="inlineStr">
        <is>
          <t>Filled</t>
        </is>
      </c>
      <c r="M40" t="inlineStr">
        <is>
          <t>Not stated on course page</t>
        </is>
      </c>
      <c r="N40" t="inlineStr"/>
      <c r="O40" t="n">
        <v>0</v>
      </c>
      <c r="P40" t="inlineStr"/>
      <c r="Q40" t="inlineStr">
        <is>
          <t>Filled</t>
        </is>
      </c>
      <c r="R40" t="n">
        <v>6.5</v>
      </c>
      <c r="S40" t="inlineStr">
        <is>
          <t>University adapter</t>
        </is>
      </c>
      <c r="T40" t="inlineStr">
        <is>
          <t>Level map (Melbourne): not computed per course in this report</t>
        </is>
      </c>
      <c r="U40" t="inlineStr"/>
      <c r="V40" t="inlineStr">
        <is>
          <t>Filled</t>
        </is>
      </c>
      <c r="W40" t="inlineStr">
        <is>
          <t>February, July</t>
        </is>
      </c>
      <c r="X40" t="inlineStr">
        <is>
          <t>Other</t>
        </is>
      </c>
      <c r="Y40" t="n">
        <v>0</v>
      </c>
      <c r="Z40" t="inlineStr">
        <is>
          <t>Yes</t>
        </is>
      </c>
      <c r="AA40" t="inlineStr">
        <is>
          <t>Filled</t>
        </is>
      </c>
      <c r="AB40" t="inlineStr">
        <is>
          <t>on campus</t>
        </is>
      </c>
      <c r="AC40" t="inlineStr"/>
      <c r="AD40" t="n">
        <v>0</v>
      </c>
      <c r="AE40" t="inlineStr"/>
      <c r="AF40" t="inlineStr"/>
      <c r="AG40" t="inlineStr"/>
      <c r="AH40" t="inlineStr"/>
      <c r="AI40" t="inlineStr"/>
      <c r="AJ40" t="inlineStr"/>
      <c r="AK40" t="inlineStr"/>
      <c r="AL40" t="inlineStr"/>
      <c r="AM40" t="inlineStr"/>
    </row>
    <row r="41">
      <c r="A41" t="inlineStr">
        <is>
          <t>069831B</t>
        </is>
      </c>
      <c r="B41" t="inlineStr">
        <is>
          <t>Diploma in Informatics</t>
        </is>
      </c>
      <c r="C41" t="inlineStr">
        <is>
          <t>Diploma</t>
        </is>
      </c>
      <c r="D41" t="inlineStr">
        <is>
          <t>Diploma</t>
        </is>
      </c>
      <c r="E41" t="inlineStr">
        <is>
          <t>Advertised: official page in place</t>
        </is>
      </c>
      <c r="F41" t="inlineStr">
        <is>
          <t>https://handbook.unimelb.edu.au/2020/courses/d-info</t>
        </is>
      </c>
      <c r="G41" t="inlineStr">
        <is>
          <t>https://handbook.unimelb.edu.au/2026/courses/d-info</t>
        </is>
      </c>
      <c r="H41" t="inlineStr">
        <is>
          <t>Needs a rendered read</t>
        </is>
      </c>
      <c r="I41" t="inlineStr"/>
      <c r="J41" t="inlineStr"/>
      <c r="K41" t="inlineStr">
        <is>
          <t>Finished, no page: no address from the university's address forms or stored lis</t>
        </is>
      </c>
      <c r="L41" t="inlineStr">
        <is>
          <t>Filled</t>
        </is>
      </c>
      <c r="M41" t="inlineStr">
        <is>
          <t>Not stated on course page</t>
        </is>
      </c>
      <c r="N41" t="inlineStr"/>
      <c r="O41" t="n">
        <v>0</v>
      </c>
      <c r="P41" t="inlineStr"/>
      <c r="Q41" t="inlineStr">
        <is>
          <t>Not stated on course page</t>
        </is>
      </c>
      <c r="S41" t="inlineStr"/>
      <c r="T41" t="inlineStr">
        <is>
          <t>Level map (Melbourne): not computed per course in this report</t>
        </is>
      </c>
      <c r="U41" t="inlineStr"/>
      <c r="V41" t="inlineStr">
        <is>
          <t>Not stated on course page</t>
        </is>
      </c>
      <c r="W41" t="inlineStr"/>
      <c r="X41" t="inlineStr"/>
      <c r="Y41" t="n">
        <v>2</v>
      </c>
      <c r="Z41" t="inlineStr">
        <is>
          <t>Yes</t>
        </is>
      </c>
      <c r="AA41" t="inlineStr">
        <is>
          <t>Filled</t>
        </is>
      </c>
      <c r="AB41" t="inlineStr">
        <is>
          <t>on campus</t>
        </is>
      </c>
      <c r="AC41" t="inlineStr"/>
      <c r="AD41" t="n">
        <v>0</v>
      </c>
      <c r="AE41" t="inlineStr">
        <is>
          <t>Yes</t>
        </is>
      </c>
      <c r="AF41" t="inlineStr"/>
      <c r="AG41" t="inlineStr"/>
      <c r="AH41" t="inlineStr">
        <is>
          <t>Yes</t>
        </is>
      </c>
      <c r="AI41" t="inlineStr"/>
      <c r="AJ41" t="inlineStr"/>
      <c r="AK41" t="inlineStr"/>
      <c r="AL41" t="inlineStr"/>
      <c r="AM41" t="inlineStr"/>
    </row>
    <row r="42">
      <c r="A42" t="inlineStr">
        <is>
          <t>065143C</t>
        </is>
      </c>
      <c r="B42" t="inlineStr">
        <is>
          <t>Diploma in Languages</t>
        </is>
      </c>
      <c r="C42" t="inlineStr">
        <is>
          <t>Diploma</t>
        </is>
      </c>
      <c r="D42" t="inlineStr">
        <is>
          <t>Diploma</t>
        </is>
      </c>
      <c r="E42" t="inlineStr">
        <is>
          <t>Advertised: official page in place</t>
        </is>
      </c>
      <c r="F42" t="inlineStr">
        <is>
          <t>https://study.unimelb.edu.au/find/courses/undergraduate/diploma-in-languages/</t>
        </is>
      </c>
      <c r="G42" t="inlineStr">
        <is>
          <t>https://study.unimelb.edu.au/find/courses/undergraduate/diploma-in-languages/</t>
        </is>
      </c>
      <c r="H42" t="inlineStr">
        <is>
          <t>Read</t>
        </is>
      </c>
      <c r="I42" t="inlineStr">
        <is>
          <t>CRICOS code on page</t>
        </is>
      </c>
      <c r="J42" t="inlineStr"/>
      <c r="K42" t="inlineStr">
        <is>
          <t>Not sent to re-link</t>
        </is>
      </c>
      <c r="L42" t="inlineStr">
        <is>
          <t>Filled</t>
        </is>
      </c>
      <c r="M42" t="inlineStr">
        <is>
          <t>Filled</t>
        </is>
      </c>
      <c r="N42" t="inlineStr">
        <is>
          <t>44832.00 2026</t>
        </is>
      </c>
      <c r="O42" t="n">
        <v>0</v>
      </c>
      <c r="P42" t="inlineStr">
        <is>
          <t>University adapter</t>
        </is>
      </c>
      <c r="Q42" t="inlineStr">
        <is>
          <t>Filled</t>
        </is>
      </c>
      <c r="R42" t="n">
        <v>6.5</v>
      </c>
      <c r="S42" t="inlineStr">
        <is>
          <t>University adapter</t>
        </is>
      </c>
      <c r="T42" t="inlineStr">
        <is>
          <t>Level map (Melbourne): not computed per course in this report</t>
        </is>
      </c>
      <c r="U42" t="inlineStr"/>
      <c r="V42" t="inlineStr">
        <is>
          <t>Filled</t>
        </is>
      </c>
      <c r="W42" t="inlineStr">
        <is>
          <t>January, March, July</t>
        </is>
      </c>
      <c r="X42" t="inlineStr">
        <is>
          <t>University adapter</t>
        </is>
      </c>
      <c r="Y42" t="n">
        <v>0</v>
      </c>
      <c r="Z42" t="inlineStr">
        <is>
          <t>Yes</t>
        </is>
      </c>
      <c r="AA42" t="inlineStr">
        <is>
          <t>Filled</t>
        </is>
      </c>
      <c r="AB42" t="inlineStr">
        <is>
          <t>on campus</t>
        </is>
      </c>
      <c r="AC42" t="inlineStr"/>
      <c r="AD42" t="n">
        <v>0</v>
      </c>
      <c r="AE42" t="inlineStr"/>
      <c r="AF42" t="inlineStr"/>
      <c r="AG42" t="inlineStr"/>
      <c r="AH42" t="inlineStr"/>
      <c r="AI42" t="inlineStr"/>
      <c r="AJ42" t="inlineStr"/>
      <c r="AK42" t="inlineStr"/>
      <c r="AL42" t="inlineStr"/>
      <c r="AM42" t="inlineStr"/>
    </row>
    <row r="43">
      <c r="A43" t="inlineStr">
        <is>
          <t>069829G</t>
        </is>
      </c>
      <c r="B43" t="inlineStr">
        <is>
          <t>Diploma in Mathematical Sciences</t>
        </is>
      </c>
      <c r="C43" t="inlineStr">
        <is>
          <t>Diploma</t>
        </is>
      </c>
      <c r="D43" t="inlineStr">
        <is>
          <t>Diploma</t>
        </is>
      </c>
      <c r="E43" t="inlineStr">
        <is>
          <t>Advertised: official page in place</t>
        </is>
      </c>
      <c r="F43" t="inlineStr">
        <is>
          <t>https://study.unimelb.edu.au/find/courses/undergraduate/diploma-in-mathematical-sciences/</t>
        </is>
      </c>
      <c r="G43" t="inlineStr">
        <is>
          <t>https://study.unimelb.edu.au/find/courses/undergraduate/diploma-in-mathematical-sciences/</t>
        </is>
      </c>
      <c r="H43" t="inlineStr">
        <is>
          <t>Read</t>
        </is>
      </c>
      <c r="I43" t="inlineStr">
        <is>
          <t>Exact title match</t>
        </is>
      </c>
      <c r="J43" t="inlineStr"/>
      <c r="K43" t="inlineStr">
        <is>
          <t>Not sent to re-link</t>
        </is>
      </c>
      <c r="L43" t="inlineStr">
        <is>
          <t>Filled</t>
        </is>
      </c>
      <c r="M43" t="inlineStr">
        <is>
          <t>Filled</t>
        </is>
      </c>
      <c r="N43" t="inlineStr">
        <is>
          <t>59808.00 2026</t>
        </is>
      </c>
      <c r="O43" t="n">
        <v>0</v>
      </c>
      <c r="P43" t="inlineStr">
        <is>
          <t>Other</t>
        </is>
      </c>
      <c r="Q43" t="inlineStr">
        <is>
          <t>Filled</t>
        </is>
      </c>
      <c r="R43" t="n">
        <v>6.5</v>
      </c>
      <c r="S43" t="inlineStr">
        <is>
          <t>Other</t>
        </is>
      </c>
      <c r="T43" t="inlineStr">
        <is>
          <t>Level map (Melbourne): not computed per course in this report</t>
        </is>
      </c>
      <c r="U43" t="inlineStr"/>
      <c r="V43" t="inlineStr">
        <is>
          <t>Filled</t>
        </is>
      </c>
      <c r="W43" t="inlineStr">
        <is>
          <t>January, March, July</t>
        </is>
      </c>
      <c r="X43" t="inlineStr">
        <is>
          <t>Other</t>
        </is>
      </c>
      <c r="Y43" t="n">
        <v>1</v>
      </c>
      <c r="Z43" t="inlineStr">
        <is>
          <t>Yes</t>
        </is>
      </c>
      <c r="AA43" t="inlineStr">
        <is>
          <t>Filled</t>
        </is>
      </c>
      <c r="AB43" t="inlineStr">
        <is>
          <t>on campus</t>
        </is>
      </c>
      <c r="AC43" t="inlineStr"/>
      <c r="AD43" t="n">
        <v>0</v>
      </c>
      <c r="AE43" t="inlineStr"/>
      <c r="AF43" t="inlineStr"/>
      <c r="AG43" t="inlineStr"/>
      <c r="AH43" t="inlineStr"/>
      <c r="AI43" t="inlineStr"/>
      <c r="AJ43" t="inlineStr"/>
      <c r="AK43" t="inlineStr"/>
      <c r="AL43" t="inlineStr"/>
      <c r="AM43" t="inlineStr"/>
    </row>
    <row r="44">
      <c r="A44" t="inlineStr">
        <is>
          <t>022054D</t>
        </is>
      </c>
      <c r="B44" t="inlineStr">
        <is>
          <t>Diploma in Music (Practical)</t>
        </is>
      </c>
      <c r="C44" t="inlineStr">
        <is>
          <t>Diploma</t>
        </is>
      </c>
      <c r="D44" t="inlineStr">
        <is>
          <t>Diploma</t>
        </is>
      </c>
      <c r="E44" t="inlineStr">
        <is>
          <t>Page found, needs a rendered read</t>
        </is>
      </c>
      <c r="F44" t="inlineStr"/>
      <c r="G44" t="inlineStr">
        <is>
          <t>https://handbook.unimelb.edu.au/2026/courses/m01pm</t>
        </is>
      </c>
      <c r="H44" t="inlineStr">
        <is>
          <t>Needs a rendered read</t>
        </is>
      </c>
      <c r="I44" t="inlineStr"/>
      <c r="J44" t="inlineStr"/>
      <c r="K44" t="inlineStr">
        <is>
          <t>Finished, no page: no address from the university's address forms or stored lis</t>
        </is>
      </c>
      <c r="L44" t="inlineStr">
        <is>
          <t>Page found, being read</t>
        </is>
      </c>
      <c r="M44" t="inlineStr">
        <is>
          <t>Page found, being read</t>
        </is>
      </c>
      <c r="N44" t="inlineStr"/>
      <c r="O44" t="n">
        <v>0</v>
      </c>
      <c r="P44" t="inlineStr"/>
      <c r="Q44" t="inlineStr">
        <is>
          <t>Page found, being read</t>
        </is>
      </c>
      <c r="S44" t="inlineStr"/>
      <c r="T44" t="inlineStr">
        <is>
          <t>Level map (Melbourne): not computed per course in this report</t>
        </is>
      </c>
      <c r="U44" t="inlineStr"/>
      <c r="V44" t="inlineStr">
        <is>
          <t>Page found, being read</t>
        </is>
      </c>
      <c r="W44" t="inlineStr"/>
      <c r="X44" t="inlineStr"/>
      <c r="Y44" t="n">
        <v>0</v>
      </c>
      <c r="Z44" t="inlineStr">
        <is>
          <t>Yes</t>
        </is>
      </c>
      <c r="AA44" t="inlineStr">
        <is>
          <t>Not stated on course page</t>
        </is>
      </c>
      <c r="AB44" t="inlineStr"/>
      <c r="AC44" t="inlineStr">
        <is>
          <t>Skipped: the page does not state it</t>
        </is>
      </c>
      <c r="AD44" t="n">
        <v>0</v>
      </c>
      <c r="AE44" t="inlineStr">
        <is>
          <t>Yes</t>
        </is>
      </c>
      <c r="AF44" t="inlineStr"/>
      <c r="AG44" t="inlineStr"/>
      <c r="AH44" t="inlineStr"/>
      <c r="AI44" t="inlineStr"/>
      <c r="AJ44" t="inlineStr"/>
      <c r="AK44" t="inlineStr"/>
      <c r="AL44" t="inlineStr"/>
      <c r="AM44" t="inlineStr"/>
    </row>
    <row r="45">
      <c r="A45" t="inlineStr">
        <is>
          <t>076196K</t>
        </is>
      </c>
      <c r="B45" t="inlineStr">
        <is>
          <t>Doctor of Clinical Dentistry</t>
        </is>
      </c>
      <c r="C45" t="inlineStr">
        <is>
          <t>Masters Degree (Extended)</t>
        </is>
      </c>
      <c r="D45" t="inlineStr">
        <is>
          <t>Postgraduate coursework</t>
        </is>
      </c>
      <c r="E45" t="inlineStr">
        <is>
          <t>Advertised: official page in place</t>
        </is>
      </c>
      <c r="F45" t="inlineStr">
        <is>
          <t>https://handbook.unimelb.edu.au/2026/courses/661aa</t>
        </is>
      </c>
      <c r="G45" t="inlineStr">
        <is>
          <t>https://handbook.unimelb.edu.au/2026/courses/661aa</t>
        </is>
      </c>
      <c r="H45" t="inlineStr">
        <is>
          <t>Read</t>
        </is>
      </c>
      <c r="I45" t="inlineStr">
        <is>
          <t>CRICOS code on page</t>
        </is>
      </c>
      <c r="J45" t="inlineStr"/>
      <c r="K45" t="inlineStr">
        <is>
          <t>Not sent to re-link</t>
        </is>
      </c>
      <c r="L45" t="inlineStr">
        <is>
          <t>Filled</t>
        </is>
      </c>
      <c r="M45" t="inlineStr">
        <is>
          <t>Filled</t>
        </is>
      </c>
      <c r="N45" t="inlineStr">
        <is>
          <t>94304.00 2027</t>
        </is>
      </c>
      <c r="O45" t="n">
        <v>2</v>
      </c>
      <c r="P45" t="inlineStr">
        <is>
          <t>Other</t>
        </is>
      </c>
      <c r="Q45" t="inlineStr">
        <is>
          <t>Filled</t>
        </is>
      </c>
      <c r="R45" t="n">
        <v>7</v>
      </c>
      <c r="S45" t="inlineStr">
        <is>
          <t>Central English policy</t>
        </is>
      </c>
      <c r="T45" t="inlineStr">
        <is>
          <t>Level map (Melbourne): not computed per course in this report</t>
        </is>
      </c>
      <c r="U45" t="inlineStr"/>
      <c r="V45" t="inlineStr">
        <is>
          <t>Not stated on course page</t>
        </is>
      </c>
      <c r="W45" t="inlineStr"/>
      <c r="X45" t="inlineStr"/>
      <c r="Y45" t="n">
        <v>0</v>
      </c>
      <c r="Z45" t="inlineStr">
        <is>
          <t>No</t>
        </is>
      </c>
      <c r="AA45" t="inlineStr">
        <is>
          <t>Filled</t>
        </is>
      </c>
      <c r="AB45" t="inlineStr">
        <is>
          <t>on campus</t>
        </is>
      </c>
      <c r="AC45" t="inlineStr"/>
      <c r="AD45" t="n">
        <v>0</v>
      </c>
      <c r="AE45" t="inlineStr"/>
      <c r="AF45" t="inlineStr"/>
      <c r="AG45" t="inlineStr"/>
      <c r="AH45" t="inlineStr"/>
      <c r="AI45" t="inlineStr">
        <is>
          <t>Yes</t>
        </is>
      </c>
      <c r="AJ45" t="inlineStr"/>
      <c r="AK45" t="inlineStr"/>
      <c r="AL45" t="inlineStr"/>
      <c r="AM45" t="inlineStr"/>
    </row>
    <row r="46">
      <c r="A46" t="inlineStr">
        <is>
          <t>071303G</t>
        </is>
      </c>
      <c r="B46" t="inlineStr">
        <is>
          <t>Doctor of Dental Surgery</t>
        </is>
      </c>
      <c r="C46" t="inlineStr">
        <is>
          <t>Masters Degree (Coursework)</t>
        </is>
      </c>
      <c r="D46" t="inlineStr">
        <is>
          <t>Postgraduate coursework</t>
        </is>
      </c>
      <c r="E46" t="inlineStr">
        <is>
          <t>Advertised: official page in place</t>
        </is>
      </c>
      <c r="F46" t="inlineStr">
        <is>
          <t>https://handbook.unimelb.edu.au/2026/courses/mc-ddensur</t>
        </is>
      </c>
      <c r="G46" t="inlineStr">
        <is>
          <t>https://handbook.unimelb.edu.au/2026/courses/mc-ddensur</t>
        </is>
      </c>
      <c r="H46" t="inlineStr">
        <is>
          <t>Read</t>
        </is>
      </c>
      <c r="I46" t="inlineStr">
        <is>
          <t>CRICOS code on page</t>
        </is>
      </c>
      <c r="J46" t="inlineStr"/>
      <c r="K46" t="inlineStr">
        <is>
          <t>Not sent to re-link</t>
        </is>
      </c>
      <c r="L46" t="inlineStr">
        <is>
          <t>Filled</t>
        </is>
      </c>
      <c r="M46" t="inlineStr">
        <is>
          <t>Filled</t>
        </is>
      </c>
      <c r="N46" t="inlineStr">
        <is>
          <t>119840.00 2027</t>
        </is>
      </c>
      <c r="O46" t="n">
        <v>2</v>
      </c>
      <c r="P46" t="inlineStr">
        <is>
          <t>Other</t>
        </is>
      </c>
      <c r="Q46" t="inlineStr">
        <is>
          <t>Filled</t>
        </is>
      </c>
      <c r="R46" t="n">
        <v>7</v>
      </c>
      <c r="S46" t="inlineStr">
        <is>
          <t>Central English policy</t>
        </is>
      </c>
      <c r="T46" t="inlineStr">
        <is>
          <t>Level map (Melbourne): not computed per course in this report</t>
        </is>
      </c>
      <c r="U46" t="inlineStr"/>
      <c r="V46" t="inlineStr">
        <is>
          <t>Not stated on course page</t>
        </is>
      </c>
      <c r="W46" t="inlineStr"/>
      <c r="X46" t="inlineStr"/>
      <c r="Y46" t="n">
        <v>0</v>
      </c>
      <c r="Z46" t="inlineStr">
        <is>
          <t>No</t>
        </is>
      </c>
      <c r="AA46" t="inlineStr">
        <is>
          <t>Filled</t>
        </is>
      </c>
      <c r="AB46" t="inlineStr">
        <is>
          <t>on campus</t>
        </is>
      </c>
      <c r="AC46" t="inlineStr"/>
      <c r="AD46" t="n">
        <v>0</v>
      </c>
      <c r="AE46" t="inlineStr"/>
      <c r="AF46" t="inlineStr"/>
      <c r="AG46" t="inlineStr"/>
      <c r="AH46" t="inlineStr"/>
      <c r="AI46" t="inlineStr">
        <is>
          <t>Yes</t>
        </is>
      </c>
      <c r="AJ46" t="inlineStr"/>
      <c r="AK46" t="inlineStr"/>
      <c r="AL46" t="inlineStr"/>
      <c r="AM46" t="inlineStr"/>
    </row>
    <row r="47">
      <c r="A47" t="inlineStr">
        <is>
          <t>051658B</t>
        </is>
      </c>
      <c r="B47" t="inlineStr">
        <is>
          <t>Doctor of Education</t>
        </is>
      </c>
      <c r="C47" t="inlineStr">
        <is>
          <t>Doctorate / PhD</t>
        </is>
      </c>
      <c r="D47" t="inlineStr">
        <is>
          <t>Research degree</t>
        </is>
      </c>
      <c r="E47" t="inlineStr">
        <is>
          <t>Advertised: official page in place</t>
        </is>
      </c>
      <c r="F47" t="inlineStr">
        <is>
          <t>https://handbook.unimelb.edu.au/2026/courses/300bb</t>
        </is>
      </c>
      <c r="G47" t="inlineStr">
        <is>
          <t>https://handbook.unimelb.edu.au/2026/courses/300bb</t>
        </is>
      </c>
      <c r="H47" t="inlineStr">
        <is>
          <t>Read</t>
        </is>
      </c>
      <c r="I47" t="inlineStr">
        <is>
          <t>CRICOS code on page</t>
        </is>
      </c>
      <c r="J47" t="inlineStr"/>
      <c r="K47" t="inlineStr">
        <is>
          <t>Not sent to re-link</t>
        </is>
      </c>
      <c r="L47" t="inlineStr">
        <is>
          <t>Filled</t>
        </is>
      </c>
      <c r="M47" t="inlineStr">
        <is>
          <t>Filled</t>
        </is>
      </c>
      <c r="N47" t="inlineStr">
        <is>
          <t>55104.00 2027</t>
        </is>
      </c>
      <c r="O47" t="n">
        <v>2</v>
      </c>
      <c r="P47" t="inlineStr">
        <is>
          <t>Other</t>
        </is>
      </c>
      <c r="Q47" t="inlineStr">
        <is>
          <t>Not stated on course page</t>
        </is>
      </c>
      <c r="S47" t="inlineStr"/>
      <c r="T47" t="inlineStr">
        <is>
          <t>Level map (Melbourne): not computed per course in this report</t>
        </is>
      </c>
      <c r="U47" t="inlineStr"/>
      <c r="V47" t="inlineStr">
        <is>
          <t>Not stated on course page</t>
        </is>
      </c>
      <c r="W47" t="inlineStr"/>
      <c r="X47" t="inlineStr"/>
      <c r="Y47" t="n">
        <v>0</v>
      </c>
      <c r="Z47" t="inlineStr">
        <is>
          <t>No</t>
        </is>
      </c>
      <c r="AA47" t="inlineStr">
        <is>
          <t>Filled</t>
        </is>
      </c>
      <c r="AB47" t="inlineStr">
        <is>
          <t>on campus</t>
        </is>
      </c>
      <c r="AC47" t="inlineStr"/>
      <c r="AD47" t="n">
        <v>0</v>
      </c>
      <c r="AE47" t="inlineStr"/>
      <c r="AF47" t="inlineStr"/>
      <c r="AG47" t="inlineStr"/>
      <c r="AH47" t="inlineStr"/>
      <c r="AI47" t="inlineStr">
        <is>
          <t>Yes</t>
        </is>
      </c>
      <c r="AJ47" t="inlineStr"/>
      <c r="AK47" t="inlineStr"/>
      <c r="AL47" t="inlineStr"/>
      <c r="AM47" t="inlineStr"/>
    </row>
    <row r="48">
      <c r="A48" t="inlineStr">
        <is>
          <t>066156A</t>
        </is>
      </c>
      <c r="B48" t="inlineStr">
        <is>
          <t>Doctor of Medical Science</t>
        </is>
      </c>
      <c r="C48" t="inlineStr">
        <is>
          <t>Doctorate / PhD</t>
        </is>
      </c>
      <c r="D48" t="inlineStr">
        <is>
          <t>Research degree</t>
        </is>
      </c>
      <c r="E48" t="inlineStr">
        <is>
          <t>Advertised: official page in place</t>
        </is>
      </c>
      <c r="F48" t="inlineStr">
        <is>
          <t>https://handbook.unimelb.edu.au/2026/courses/j15aa</t>
        </is>
      </c>
      <c r="G48" t="inlineStr">
        <is>
          <t>https://handbook.unimelb.edu.au/2026/courses/j15aa</t>
        </is>
      </c>
      <c r="H48" t="inlineStr">
        <is>
          <t>Read</t>
        </is>
      </c>
      <c r="I48" t="inlineStr">
        <is>
          <t>CRICOS code on page</t>
        </is>
      </c>
      <c r="J48" t="inlineStr"/>
      <c r="K48" t="inlineStr">
        <is>
          <t>Not sent to re-link</t>
        </is>
      </c>
      <c r="L48" t="inlineStr">
        <is>
          <t>Filled</t>
        </is>
      </c>
      <c r="M48" t="inlineStr">
        <is>
          <t>Filled</t>
        </is>
      </c>
      <c r="N48" t="inlineStr">
        <is>
          <t>64640.00 2027</t>
        </is>
      </c>
      <c r="O48" t="n">
        <v>2</v>
      </c>
      <c r="P48" t="inlineStr">
        <is>
          <t>Other</t>
        </is>
      </c>
      <c r="Q48" t="inlineStr">
        <is>
          <t>Not stated on course page</t>
        </is>
      </c>
      <c r="S48" t="inlineStr"/>
      <c r="T48" t="inlineStr">
        <is>
          <t>Level map (Melbourne): not computed per course in this report</t>
        </is>
      </c>
      <c r="U48" t="inlineStr"/>
      <c r="V48" t="inlineStr">
        <is>
          <t>Filled</t>
        </is>
      </c>
      <c r="W48" t="inlineStr">
        <is>
          <t>March, May, October</t>
        </is>
      </c>
      <c r="X48" t="inlineStr">
        <is>
          <t>Page reader</t>
        </is>
      </c>
      <c r="Y48" t="n">
        <v>0</v>
      </c>
      <c r="Z48" t="inlineStr">
        <is>
          <t>No</t>
        </is>
      </c>
      <c r="AA48" t="inlineStr">
        <is>
          <t>Filled</t>
        </is>
      </c>
      <c r="AB48" t="inlineStr">
        <is>
          <t>on campus</t>
        </is>
      </c>
      <c r="AC48" t="inlineStr"/>
      <c r="AD48" t="n">
        <v>0</v>
      </c>
      <c r="AE48" t="inlineStr"/>
      <c r="AF48" t="inlineStr"/>
      <c r="AG48" t="inlineStr"/>
      <c r="AH48" t="inlineStr"/>
      <c r="AI48" t="inlineStr"/>
      <c r="AJ48" t="inlineStr"/>
      <c r="AK48" t="inlineStr"/>
      <c r="AL48" t="inlineStr"/>
      <c r="AM48" t="inlineStr"/>
    </row>
    <row r="49">
      <c r="A49" t="inlineStr">
        <is>
          <t>066157M</t>
        </is>
      </c>
      <c r="B49" t="inlineStr">
        <is>
          <t>Doctor of Medical Science (Thesis by Compilation)</t>
        </is>
      </c>
      <c r="C49" t="inlineStr">
        <is>
          <t>Doctorate / PhD</t>
        </is>
      </c>
      <c r="D49" t="inlineStr">
        <is>
          <t>Research degree</t>
        </is>
      </c>
      <c r="E49" t="inlineStr">
        <is>
          <t>Page found, needs a rendered read</t>
        </is>
      </c>
      <c r="F49" t="inlineStr"/>
      <c r="G49" t="inlineStr">
        <is>
          <t>https://handbook.unimelb.edu.au/2026/courses/j15tc</t>
        </is>
      </c>
      <c r="H49" t="inlineStr">
        <is>
          <t>Needs a rendered read</t>
        </is>
      </c>
      <c r="I49" t="inlineStr"/>
      <c r="J49" t="inlineStr"/>
      <c r="K49" t="inlineStr">
        <is>
          <t>Finished, no page: no address from the university's address forms or stored lis</t>
        </is>
      </c>
      <c r="L49" t="inlineStr">
        <is>
          <t>Not stated on course page</t>
        </is>
      </c>
      <c r="M49" t="inlineStr">
        <is>
          <t>Not stated on course page</t>
        </is>
      </c>
      <c r="N49" t="inlineStr"/>
      <c r="O49" t="n">
        <v>0</v>
      </c>
      <c r="P49" t="inlineStr"/>
      <c r="Q49" t="inlineStr">
        <is>
          <t>Not stated on course page</t>
        </is>
      </c>
      <c r="S49" t="inlineStr"/>
      <c r="T49" t="inlineStr">
        <is>
          <t>Level map (Melbourne): not computed per course in this report</t>
        </is>
      </c>
      <c r="U49" t="inlineStr"/>
      <c r="V49" t="inlineStr">
        <is>
          <t>Not stated on course page</t>
        </is>
      </c>
      <c r="W49" t="inlineStr"/>
      <c r="X49" t="inlineStr"/>
      <c r="Y49" t="n">
        <v>0</v>
      </c>
      <c r="Z49" t="inlineStr">
        <is>
          <t>No</t>
        </is>
      </c>
      <c r="AA49" t="inlineStr">
        <is>
          <t>Not stated on course page</t>
        </is>
      </c>
      <c r="AB49" t="inlineStr"/>
      <c r="AC49" t="inlineStr">
        <is>
          <t>Skipped: the page does not state it</t>
        </is>
      </c>
      <c r="AD49" t="n">
        <v>0</v>
      </c>
      <c r="AE49" t="inlineStr">
        <is>
          <t>Yes</t>
        </is>
      </c>
      <c r="AF49" t="inlineStr"/>
      <c r="AG49" t="inlineStr"/>
      <c r="AH49" t="inlineStr"/>
      <c r="AI49" t="inlineStr"/>
      <c r="AJ49" t="inlineStr"/>
      <c r="AK49" t="inlineStr"/>
      <c r="AL49" t="inlineStr"/>
      <c r="AM49" t="inlineStr"/>
    </row>
    <row r="50">
      <c r="A50" t="inlineStr">
        <is>
          <t>071304G</t>
        </is>
      </c>
      <c r="B50" t="inlineStr">
        <is>
          <t>Doctor of Medicine</t>
        </is>
      </c>
      <c r="C50" t="inlineStr">
        <is>
          <t>Masters Degree (Coursework)</t>
        </is>
      </c>
      <c r="D50" t="inlineStr">
        <is>
          <t>Postgraduate coursework</t>
        </is>
      </c>
      <c r="E50" t="inlineStr">
        <is>
          <t>Advertised: official page in place</t>
        </is>
      </c>
      <c r="F50" t="inlineStr">
        <is>
          <t>https://handbook.unimelb.edu.au/2026/courses/mc-dmed</t>
        </is>
      </c>
      <c r="G50" t="inlineStr">
        <is>
          <t>https://handbook.unimelb.edu.au/2026/courses/mc-dmed</t>
        </is>
      </c>
      <c r="H50" t="inlineStr">
        <is>
          <t>Read</t>
        </is>
      </c>
      <c r="I50" t="inlineStr">
        <is>
          <t>CRICOS code on page</t>
        </is>
      </c>
      <c r="J50" t="inlineStr"/>
      <c r="K50" t="inlineStr">
        <is>
          <t>Not sent to re-link</t>
        </is>
      </c>
      <c r="L50" t="inlineStr">
        <is>
          <t>Filled</t>
        </is>
      </c>
      <c r="M50" t="inlineStr">
        <is>
          <t>Filled</t>
        </is>
      </c>
      <c r="N50" t="inlineStr">
        <is>
          <t>130336.00 2027</t>
        </is>
      </c>
      <c r="O50" t="n">
        <v>2</v>
      </c>
      <c r="P50" t="inlineStr">
        <is>
          <t>Other</t>
        </is>
      </c>
      <c r="Q50" t="inlineStr">
        <is>
          <t>Filled</t>
        </is>
      </c>
      <c r="R50" t="n">
        <v>7</v>
      </c>
      <c r="S50" t="inlineStr">
        <is>
          <t>Central English policy</t>
        </is>
      </c>
      <c r="T50" t="inlineStr">
        <is>
          <t>Level map (Melbourne): not computed per course in this report</t>
        </is>
      </c>
      <c r="U50" t="inlineStr"/>
      <c r="V50" t="inlineStr">
        <is>
          <t>Not stated on course page</t>
        </is>
      </c>
      <c r="W50" t="inlineStr"/>
      <c r="X50" t="inlineStr"/>
      <c r="Y50" t="n">
        <v>0</v>
      </c>
      <c r="Z50" t="inlineStr">
        <is>
          <t>No</t>
        </is>
      </c>
      <c r="AA50" t="inlineStr">
        <is>
          <t>Filled</t>
        </is>
      </c>
      <c r="AB50" t="inlineStr">
        <is>
          <t>on campus</t>
        </is>
      </c>
      <c r="AC50" t="inlineStr"/>
      <c r="AD50" t="n">
        <v>0</v>
      </c>
      <c r="AE50" t="inlineStr"/>
      <c r="AF50" t="inlineStr"/>
      <c r="AG50" t="inlineStr"/>
      <c r="AH50" t="inlineStr"/>
      <c r="AI50" t="inlineStr">
        <is>
          <t>Yes</t>
        </is>
      </c>
      <c r="AJ50" t="inlineStr"/>
      <c r="AK50" t="inlineStr"/>
      <c r="AL50" t="inlineStr"/>
      <c r="AM50" t="inlineStr"/>
    </row>
    <row r="51">
      <c r="A51" t="inlineStr">
        <is>
          <t>072811B</t>
        </is>
      </c>
      <c r="B51" t="inlineStr">
        <is>
          <t>Doctor of Optometry</t>
        </is>
      </c>
      <c r="C51" t="inlineStr">
        <is>
          <t>Masters Degree (Coursework)</t>
        </is>
      </c>
      <c r="D51" t="inlineStr">
        <is>
          <t>Postgraduate coursework</t>
        </is>
      </c>
      <c r="E51" t="inlineStr">
        <is>
          <t>Advertised: official page in place</t>
        </is>
      </c>
      <c r="F51" t="inlineStr">
        <is>
          <t>https://study.unimelb.edu.au/find/courses/graduate/doctor-of-optometry/</t>
        </is>
      </c>
      <c r="G51" t="inlineStr">
        <is>
          <t>https://study.unimelb.edu.au/find/courses/graduate/doctor-of-optometry/</t>
        </is>
      </c>
      <c r="H51" t="inlineStr">
        <is>
          <t>Read</t>
        </is>
      </c>
      <c r="I51" t="inlineStr">
        <is>
          <t>CRICOS code on page</t>
        </is>
      </c>
      <c r="J51" t="inlineStr"/>
      <c r="K51" t="inlineStr">
        <is>
          <t>Not sent to re-link</t>
        </is>
      </c>
      <c r="L51" t="inlineStr">
        <is>
          <t>Filled</t>
        </is>
      </c>
      <c r="M51" t="inlineStr">
        <is>
          <t>Filled</t>
        </is>
      </c>
      <c r="N51" t="inlineStr">
        <is>
          <t>73120.00 2027</t>
        </is>
      </c>
      <c r="O51" t="n">
        <v>2</v>
      </c>
      <c r="P51" t="inlineStr">
        <is>
          <t>Other</t>
        </is>
      </c>
      <c r="Q51" t="inlineStr">
        <is>
          <t>Filled</t>
        </is>
      </c>
      <c r="R51" t="n">
        <v>6.5</v>
      </c>
      <c r="S51" t="inlineStr">
        <is>
          <t>University adapter</t>
        </is>
      </c>
      <c r="T51" t="inlineStr">
        <is>
          <t>Level map (Melbourne): not computed per course in this report</t>
        </is>
      </c>
      <c r="U51" t="inlineStr"/>
      <c r="V51" t="inlineStr">
        <is>
          <t>Filled</t>
        </is>
      </c>
      <c r="W51" t="inlineStr">
        <is>
          <t>March</t>
        </is>
      </c>
      <c r="X51" t="inlineStr">
        <is>
          <t>Other</t>
        </is>
      </c>
      <c r="Y51" t="n">
        <v>0</v>
      </c>
      <c r="Z51" t="inlineStr">
        <is>
          <t>No</t>
        </is>
      </c>
      <c r="AA51" t="inlineStr">
        <is>
          <t>Filled</t>
        </is>
      </c>
      <c r="AB51" t="inlineStr">
        <is>
          <t>on campus</t>
        </is>
      </c>
      <c r="AC51" t="inlineStr"/>
      <c r="AD51" t="n">
        <v>0</v>
      </c>
      <c r="AE51" t="inlineStr"/>
      <c r="AF51" t="inlineStr"/>
      <c r="AG51" t="inlineStr"/>
      <c r="AH51" t="inlineStr"/>
      <c r="AI51" t="inlineStr"/>
      <c r="AJ51" t="inlineStr"/>
      <c r="AK51" t="inlineStr"/>
      <c r="AL51" t="inlineStr"/>
      <c r="AM51" t="inlineStr"/>
    </row>
    <row r="52">
      <c r="A52" t="inlineStr">
        <is>
          <t>056964G</t>
        </is>
      </c>
      <c r="B52" t="inlineStr">
        <is>
          <t>Doctor of Philosophy - Agricultural Sciences</t>
        </is>
      </c>
      <c r="C52" t="inlineStr">
        <is>
          <t>Doctorate / PhD</t>
        </is>
      </c>
      <c r="D52" t="inlineStr">
        <is>
          <t>Research degree</t>
        </is>
      </c>
      <c r="E52" t="inlineStr">
        <is>
          <t>Advertised: official page in place</t>
        </is>
      </c>
      <c r="F52" t="inlineStr">
        <is>
          <t>https://handbook.unimelb.edu.au/2026/courses/dr-philagr</t>
        </is>
      </c>
      <c r="G52" t="inlineStr">
        <is>
          <t>https://handbook.unimelb.edu.au/2026/courses/dr-philagr</t>
        </is>
      </c>
      <c r="H52" t="inlineStr">
        <is>
          <t>Read</t>
        </is>
      </c>
      <c r="I52" t="inlineStr">
        <is>
          <t>CRICOS code on page</t>
        </is>
      </c>
      <c r="J52" t="inlineStr"/>
      <c r="K52" t="inlineStr">
        <is>
          <t>Not sent to re-link</t>
        </is>
      </c>
      <c r="L52" t="inlineStr">
        <is>
          <t>Filled</t>
        </is>
      </c>
      <c r="M52" t="inlineStr">
        <is>
          <t>Filled</t>
        </is>
      </c>
      <c r="N52" t="inlineStr">
        <is>
          <t>62496.00 2027</t>
        </is>
      </c>
      <c r="O52" t="n">
        <v>2</v>
      </c>
      <c r="P52" t="inlineStr">
        <is>
          <t>Other</t>
        </is>
      </c>
      <c r="Q52" t="inlineStr">
        <is>
          <t>Not stated on course page</t>
        </is>
      </c>
      <c r="S52" t="inlineStr"/>
      <c r="T52" t="inlineStr">
        <is>
          <t>Level map (Melbourne): not computed per course in this report</t>
        </is>
      </c>
      <c r="U52" t="inlineStr"/>
      <c r="V52" t="inlineStr">
        <is>
          <t>Not stated on course page</t>
        </is>
      </c>
      <c r="W52" t="inlineStr"/>
      <c r="X52" t="inlineStr"/>
      <c r="Y52" t="n">
        <v>0</v>
      </c>
      <c r="Z52" t="inlineStr">
        <is>
          <t>No</t>
        </is>
      </c>
      <c r="AA52" t="inlineStr">
        <is>
          <t>Filled</t>
        </is>
      </c>
      <c r="AB52" t="inlineStr">
        <is>
          <t>on campus</t>
        </is>
      </c>
      <c r="AC52" t="inlineStr"/>
      <c r="AD52" t="n">
        <v>0</v>
      </c>
      <c r="AE52" t="inlineStr"/>
      <c r="AF52" t="inlineStr"/>
      <c r="AG52" t="inlineStr"/>
      <c r="AH52" t="inlineStr"/>
      <c r="AI52" t="inlineStr">
        <is>
          <t>Yes</t>
        </is>
      </c>
      <c r="AJ52" t="inlineStr"/>
      <c r="AK52" t="inlineStr"/>
      <c r="AL52" t="inlineStr"/>
      <c r="AM52" t="inlineStr"/>
    </row>
    <row r="53">
      <c r="A53" t="inlineStr">
        <is>
          <t>056961K</t>
        </is>
      </c>
      <c r="B53" t="inlineStr">
        <is>
          <t>Doctor of Philosophy - Architecture, Building and Planning</t>
        </is>
      </c>
      <c r="C53" t="inlineStr">
        <is>
          <t>Doctorate / PhD</t>
        </is>
      </c>
      <c r="D53" t="inlineStr">
        <is>
          <t>Research degree</t>
        </is>
      </c>
      <c r="E53" t="inlineStr">
        <is>
          <t>Advertised: official page in place</t>
        </is>
      </c>
      <c r="F53" t="inlineStr">
        <is>
          <t>https://handbook.unimelb.edu.au/2026/courses/dr-philabp</t>
        </is>
      </c>
      <c r="G53" t="inlineStr">
        <is>
          <t>https://handbook.unimelb.edu.au/2026/courses/dr-philabp</t>
        </is>
      </c>
      <c r="H53" t="inlineStr">
        <is>
          <t>Read</t>
        </is>
      </c>
      <c r="I53" t="inlineStr">
        <is>
          <t>CRICOS code on page</t>
        </is>
      </c>
      <c r="J53" t="inlineStr"/>
      <c r="K53" t="inlineStr">
        <is>
          <t>Not sent to re-link</t>
        </is>
      </c>
      <c r="L53" t="inlineStr">
        <is>
          <t>Filled</t>
        </is>
      </c>
      <c r="M53" t="inlineStr">
        <is>
          <t>Not stated on course page</t>
        </is>
      </c>
      <c r="N53" t="inlineStr"/>
      <c r="O53" t="n">
        <v>4</v>
      </c>
      <c r="P53" t="inlineStr"/>
      <c r="Q53" t="inlineStr">
        <is>
          <t>Not stated on course page</t>
        </is>
      </c>
      <c r="S53" t="inlineStr"/>
      <c r="T53" t="inlineStr">
        <is>
          <t>Level map (Melbourne): not computed per course in this report</t>
        </is>
      </c>
      <c r="U53" t="inlineStr"/>
      <c r="V53" t="inlineStr">
        <is>
          <t>Not stated on course page</t>
        </is>
      </c>
      <c r="W53" t="inlineStr"/>
      <c r="X53" t="inlineStr"/>
      <c r="Y53" t="n">
        <v>0</v>
      </c>
      <c r="Z53" t="inlineStr">
        <is>
          <t>No</t>
        </is>
      </c>
      <c r="AA53" t="inlineStr">
        <is>
          <t>Filled</t>
        </is>
      </c>
      <c r="AB53" t="inlineStr">
        <is>
          <t>on campus</t>
        </is>
      </c>
      <c r="AC53" t="inlineStr"/>
      <c r="AD53" t="n">
        <v>0</v>
      </c>
      <c r="AE53" t="inlineStr"/>
      <c r="AF53" t="inlineStr"/>
      <c r="AG53" t="inlineStr"/>
      <c r="AH53" t="inlineStr"/>
      <c r="AI53" t="inlineStr">
        <is>
          <t>Yes</t>
        </is>
      </c>
      <c r="AJ53" t="inlineStr"/>
      <c r="AK53" t="inlineStr"/>
      <c r="AL53" t="inlineStr">
        <is>
          <t>Yes</t>
        </is>
      </c>
      <c r="AM53" t="inlineStr"/>
    </row>
    <row r="54">
      <c r="A54" t="inlineStr">
        <is>
          <t>056954J</t>
        </is>
      </c>
      <c r="B54" t="inlineStr">
        <is>
          <t>Doctor of Philosophy - Arts</t>
        </is>
      </c>
      <c r="C54" t="inlineStr">
        <is>
          <t>Doctorate / PhD</t>
        </is>
      </c>
      <c r="D54" t="inlineStr">
        <is>
          <t>Research degree</t>
        </is>
      </c>
      <c r="E54" t="inlineStr">
        <is>
          <t>Advertised: official page in place</t>
        </is>
      </c>
      <c r="F54" t="inlineStr">
        <is>
          <t>https://study.unimelb.edu.au/find/courses/graduate/doctor-of-philosophy-arts/</t>
        </is>
      </c>
      <c r="G54" t="inlineStr">
        <is>
          <t>https://study.unimelb.edu.au/find/courses/graduate/doctor-of-philosophy-arts/</t>
        </is>
      </c>
      <c r="H54" t="inlineStr">
        <is>
          <t>Read</t>
        </is>
      </c>
      <c r="I54" t="inlineStr">
        <is>
          <t>CRICOS code on page</t>
        </is>
      </c>
      <c r="J54" t="inlineStr"/>
      <c r="K54" t="inlineStr">
        <is>
          <t>Not sent to re-link</t>
        </is>
      </c>
      <c r="L54" t="inlineStr">
        <is>
          <t>Filled</t>
        </is>
      </c>
      <c r="M54" t="inlineStr">
        <is>
          <t>Filled</t>
        </is>
      </c>
      <c r="N54" t="inlineStr">
        <is>
          <t>54016.00 2027</t>
        </is>
      </c>
      <c r="O54" t="n">
        <v>2</v>
      </c>
      <c r="P54" t="inlineStr">
        <is>
          <t>Other</t>
        </is>
      </c>
      <c r="Q54" t="inlineStr">
        <is>
          <t>Not stated on course page</t>
        </is>
      </c>
      <c r="S54" t="inlineStr"/>
      <c r="T54" t="inlineStr">
        <is>
          <t>Level map (Melbourne): not computed per course in this report</t>
        </is>
      </c>
      <c r="U54" t="inlineStr"/>
      <c r="V54" t="inlineStr">
        <is>
          <t>Filled</t>
        </is>
      </c>
      <c r="W54" t="inlineStr">
        <is>
          <t>March</t>
        </is>
      </c>
      <c r="X54" t="inlineStr">
        <is>
          <t>University adapter</t>
        </is>
      </c>
      <c r="Y54" t="n">
        <v>0</v>
      </c>
      <c r="Z54" t="inlineStr">
        <is>
          <t>No</t>
        </is>
      </c>
      <c r="AA54" t="inlineStr">
        <is>
          <t>Filled</t>
        </is>
      </c>
      <c r="AB54" t="inlineStr">
        <is>
          <t>on campus</t>
        </is>
      </c>
      <c r="AC54" t="inlineStr"/>
      <c r="AD54" t="n">
        <v>0</v>
      </c>
      <c r="AE54" t="inlineStr"/>
      <c r="AF54" t="inlineStr"/>
      <c r="AG54" t="inlineStr"/>
      <c r="AH54" t="inlineStr"/>
      <c r="AI54" t="inlineStr"/>
      <c r="AJ54" t="inlineStr"/>
      <c r="AK54" t="inlineStr"/>
      <c r="AL54" t="inlineStr"/>
      <c r="AM54" t="inlineStr"/>
    </row>
    <row r="55">
      <c r="A55" t="inlineStr">
        <is>
          <t>056955G</t>
        </is>
      </c>
      <c r="B55" t="inlineStr">
        <is>
          <t>Doctor of Philosophy - Business and Economics</t>
        </is>
      </c>
      <c r="C55" t="inlineStr">
        <is>
          <t>Doctorate / PhD</t>
        </is>
      </c>
      <c r="D55" t="inlineStr">
        <is>
          <t>Research degree</t>
        </is>
      </c>
      <c r="E55" t="inlineStr">
        <is>
          <t>Advertised: official page in place</t>
        </is>
      </c>
      <c r="F55" t="inlineStr">
        <is>
          <t>https://handbook.unimelb.edu.au/2026/courses/dr-philbe</t>
        </is>
      </c>
      <c r="G55" t="inlineStr">
        <is>
          <t>https://handbook.unimelb.edu.au/2026/courses/dr-philbe</t>
        </is>
      </c>
      <c r="H55" t="inlineStr">
        <is>
          <t>Read</t>
        </is>
      </c>
      <c r="I55" t="inlineStr">
        <is>
          <t>CRICOS code on page</t>
        </is>
      </c>
      <c r="J55" t="inlineStr"/>
      <c r="K55" t="inlineStr">
        <is>
          <t>Not sent to re-link</t>
        </is>
      </c>
      <c r="L55" t="inlineStr">
        <is>
          <t>Filled</t>
        </is>
      </c>
      <c r="M55" t="inlineStr">
        <is>
          <t>Filled</t>
        </is>
      </c>
      <c r="N55" t="inlineStr">
        <is>
          <t>64640.00 2027</t>
        </is>
      </c>
      <c r="O55" t="n">
        <v>2</v>
      </c>
      <c r="P55" t="inlineStr">
        <is>
          <t>Other</t>
        </is>
      </c>
      <c r="Q55" t="inlineStr">
        <is>
          <t>Not stated on course page</t>
        </is>
      </c>
      <c r="S55" t="inlineStr"/>
      <c r="T55" t="inlineStr">
        <is>
          <t>Level map (Melbourne): not computed per course in this report</t>
        </is>
      </c>
      <c r="U55" t="inlineStr"/>
      <c r="V55" t="inlineStr">
        <is>
          <t>Not stated on course page</t>
        </is>
      </c>
      <c r="W55" t="inlineStr"/>
      <c r="X55" t="inlineStr"/>
      <c r="Y55" t="n">
        <v>0</v>
      </c>
      <c r="Z55" t="inlineStr">
        <is>
          <t>No</t>
        </is>
      </c>
      <c r="AA55" t="inlineStr">
        <is>
          <t>Filled</t>
        </is>
      </c>
      <c r="AB55" t="inlineStr">
        <is>
          <t>on campus</t>
        </is>
      </c>
      <c r="AC55" t="inlineStr"/>
      <c r="AD55" t="n">
        <v>0</v>
      </c>
      <c r="AE55" t="inlineStr"/>
      <c r="AF55" t="inlineStr"/>
      <c r="AG55" t="inlineStr"/>
      <c r="AH55" t="inlineStr"/>
      <c r="AI55" t="inlineStr">
        <is>
          <t>Yes</t>
        </is>
      </c>
      <c r="AJ55" t="inlineStr"/>
      <c r="AK55" t="inlineStr"/>
      <c r="AL55" t="inlineStr"/>
      <c r="AM55" t="inlineStr"/>
    </row>
    <row r="56">
      <c r="A56" t="inlineStr">
        <is>
          <t>056968C</t>
        </is>
      </c>
      <c r="B56" t="inlineStr">
        <is>
          <t>Doctor of Philosophy - Education</t>
        </is>
      </c>
      <c r="C56" t="inlineStr">
        <is>
          <t>Doctorate / PhD</t>
        </is>
      </c>
      <c r="D56" t="inlineStr">
        <is>
          <t>Research degree</t>
        </is>
      </c>
      <c r="E56" t="inlineStr">
        <is>
          <t>Advertised: official page in place</t>
        </is>
      </c>
      <c r="F56" t="inlineStr">
        <is>
          <t>https://handbook.unimelb.edu.au/2026/courses/dr-philedu</t>
        </is>
      </c>
      <c r="G56" t="inlineStr">
        <is>
          <t>https://handbook.unimelb.edu.au/2026/courses/dr-philedu</t>
        </is>
      </c>
      <c r="H56" t="inlineStr">
        <is>
          <t>Read</t>
        </is>
      </c>
      <c r="I56" t="inlineStr">
        <is>
          <t>CRICOS code on page</t>
        </is>
      </c>
      <c r="J56" t="inlineStr"/>
      <c r="K56" t="inlineStr">
        <is>
          <t>Not sent to re-link</t>
        </is>
      </c>
      <c r="L56" t="inlineStr">
        <is>
          <t>Filled</t>
        </is>
      </c>
      <c r="M56" t="inlineStr">
        <is>
          <t>Filled</t>
        </is>
      </c>
      <c r="N56" t="inlineStr">
        <is>
          <t>55104.00 2027</t>
        </is>
      </c>
      <c r="O56" t="n">
        <v>2</v>
      </c>
      <c r="P56" t="inlineStr">
        <is>
          <t>Other</t>
        </is>
      </c>
      <c r="Q56" t="inlineStr">
        <is>
          <t>Not stated on course page</t>
        </is>
      </c>
      <c r="S56" t="inlineStr"/>
      <c r="T56" t="inlineStr">
        <is>
          <t>Level map (Melbourne): not computed per course in this report</t>
        </is>
      </c>
      <c r="U56" t="inlineStr"/>
      <c r="V56" t="inlineStr">
        <is>
          <t>Not stated on course page</t>
        </is>
      </c>
      <c r="W56" t="inlineStr"/>
      <c r="X56" t="inlineStr"/>
      <c r="Y56" t="n">
        <v>0</v>
      </c>
      <c r="Z56" t="inlineStr">
        <is>
          <t>No</t>
        </is>
      </c>
      <c r="AA56" t="inlineStr">
        <is>
          <t>Filled</t>
        </is>
      </c>
      <c r="AB56" t="inlineStr">
        <is>
          <t>on campus</t>
        </is>
      </c>
      <c r="AC56" t="inlineStr"/>
      <c r="AD56" t="n">
        <v>0</v>
      </c>
      <c r="AE56" t="inlineStr"/>
      <c r="AF56" t="inlineStr"/>
      <c r="AG56" t="inlineStr"/>
      <c r="AH56" t="inlineStr"/>
      <c r="AI56" t="inlineStr">
        <is>
          <t>Yes</t>
        </is>
      </c>
      <c r="AJ56" t="inlineStr"/>
      <c r="AK56" t="inlineStr"/>
      <c r="AL56" t="inlineStr"/>
      <c r="AM56" t="inlineStr"/>
    </row>
    <row r="57">
      <c r="A57" t="inlineStr">
        <is>
          <t>056957F</t>
        </is>
      </c>
      <c r="B57" t="inlineStr">
        <is>
          <t>Doctor of Philosophy - Engineering and IT</t>
        </is>
      </c>
      <c r="C57" t="inlineStr">
        <is>
          <t>Doctorate / PhD</t>
        </is>
      </c>
      <c r="D57" t="inlineStr">
        <is>
          <t>Research degree</t>
        </is>
      </c>
      <c r="E57" t="inlineStr">
        <is>
          <t>Advertised: official page in place</t>
        </is>
      </c>
      <c r="F57" t="inlineStr">
        <is>
          <t>https://study.unimelb.edu.au/find/courses/graduate/doctor-of-philosophy-engineering-and-it</t>
        </is>
      </c>
      <c r="G57" t="inlineStr">
        <is>
          <t>https://study.unimelb.edu.au/find/courses/graduate/doctor-of-philosophy-engineering-and-it</t>
        </is>
      </c>
      <c r="H57" t="inlineStr">
        <is>
          <t>Read</t>
        </is>
      </c>
      <c r="I57" t="inlineStr">
        <is>
          <t>CRICOS code on page</t>
        </is>
      </c>
      <c r="J57" t="inlineStr"/>
      <c r="K57" t="inlineStr">
        <is>
          <t>Not sent to re-link</t>
        </is>
      </c>
      <c r="L57" t="inlineStr">
        <is>
          <t>Filled</t>
        </is>
      </c>
      <c r="M57" t="inlineStr">
        <is>
          <t>Filled</t>
        </is>
      </c>
      <c r="N57" t="inlineStr">
        <is>
          <t>67840.00 2027</t>
        </is>
      </c>
      <c r="O57" t="n">
        <v>2</v>
      </c>
      <c r="P57" t="inlineStr">
        <is>
          <t>Other</t>
        </is>
      </c>
      <c r="Q57" t="inlineStr">
        <is>
          <t>Not stated on course page</t>
        </is>
      </c>
      <c r="S57" t="inlineStr"/>
      <c r="T57" t="inlineStr">
        <is>
          <t>Level map (Melbourne): not computed per course in this report</t>
        </is>
      </c>
      <c r="U57" t="inlineStr"/>
      <c r="V57" t="inlineStr">
        <is>
          <t>Not stated on course page</t>
        </is>
      </c>
      <c r="W57" t="inlineStr"/>
      <c r="X57" t="inlineStr"/>
      <c r="Y57" t="n">
        <v>0</v>
      </c>
      <c r="Z57" t="inlineStr">
        <is>
          <t>No</t>
        </is>
      </c>
      <c r="AA57" t="inlineStr">
        <is>
          <t>Filled</t>
        </is>
      </c>
      <c r="AB57" t="inlineStr">
        <is>
          <t>on campus</t>
        </is>
      </c>
      <c r="AC57" t="inlineStr"/>
      <c r="AD57" t="n">
        <v>0</v>
      </c>
      <c r="AE57" t="inlineStr"/>
      <c r="AF57" t="inlineStr"/>
      <c r="AG57" t="inlineStr"/>
      <c r="AH57" t="inlineStr"/>
      <c r="AI57" t="inlineStr">
        <is>
          <t>Yes</t>
        </is>
      </c>
      <c r="AJ57" t="inlineStr"/>
      <c r="AK57" t="inlineStr"/>
      <c r="AL57" t="inlineStr"/>
      <c r="AM57" t="inlineStr"/>
    </row>
    <row r="58">
      <c r="A58" t="inlineStr">
        <is>
          <t>099323G</t>
        </is>
      </c>
      <c r="B58" t="inlineStr">
        <is>
          <t>Doctor of Philosophy - Fine Arts and Music</t>
        </is>
      </c>
      <c r="C58" t="inlineStr">
        <is>
          <t>Doctorate / PhD</t>
        </is>
      </c>
      <c r="D58" t="inlineStr">
        <is>
          <t>Research degree</t>
        </is>
      </c>
      <c r="E58" t="inlineStr">
        <is>
          <t>Advertised: official page in place</t>
        </is>
      </c>
      <c r="F58" t="inlineStr">
        <is>
          <t>https://study.unimelb.edu.au/find/courses/graduate/doctor-of-philosophy-fine-arts-and-music/</t>
        </is>
      </c>
      <c r="G58" t="inlineStr">
        <is>
          <t>https://study.unimelb.edu.au/find/courses/graduate/doctor-of-philosophy-fine-arts-and-music/</t>
        </is>
      </c>
      <c r="H58" t="inlineStr">
        <is>
          <t>Read</t>
        </is>
      </c>
      <c r="I58" t="inlineStr">
        <is>
          <t>CRICOS code on page</t>
        </is>
      </c>
      <c r="J58" t="inlineStr"/>
      <c r="K58" t="inlineStr">
        <is>
          <t>Not sent to re-link</t>
        </is>
      </c>
      <c r="L58" t="inlineStr">
        <is>
          <t>Filled</t>
        </is>
      </c>
      <c r="M58" t="inlineStr">
        <is>
          <t>Filled</t>
        </is>
      </c>
      <c r="N58" t="inlineStr">
        <is>
          <t>50720.00 2027</t>
        </is>
      </c>
      <c r="O58" t="n">
        <v>2</v>
      </c>
      <c r="P58" t="inlineStr">
        <is>
          <t>Other</t>
        </is>
      </c>
      <c r="Q58" t="inlineStr">
        <is>
          <t>Not stated on course page</t>
        </is>
      </c>
      <c r="S58" t="inlineStr"/>
      <c r="T58" t="inlineStr">
        <is>
          <t>Level map (Melbourne): not computed per course in this report</t>
        </is>
      </c>
      <c r="U58" t="inlineStr"/>
      <c r="V58" t="inlineStr">
        <is>
          <t>Not stated on course page</t>
        </is>
      </c>
      <c r="W58" t="inlineStr"/>
      <c r="X58" t="inlineStr"/>
      <c r="Y58" t="n">
        <v>0</v>
      </c>
      <c r="Z58" t="inlineStr">
        <is>
          <t>No</t>
        </is>
      </c>
      <c r="AA58" t="inlineStr">
        <is>
          <t>Filled</t>
        </is>
      </c>
      <c r="AB58" t="inlineStr">
        <is>
          <t>on campus</t>
        </is>
      </c>
      <c r="AC58" t="inlineStr"/>
      <c r="AD58" t="n">
        <v>0</v>
      </c>
      <c r="AE58" t="inlineStr"/>
      <c r="AF58" t="inlineStr"/>
      <c r="AG58" t="inlineStr"/>
      <c r="AH58" t="inlineStr"/>
      <c r="AI58" t="inlineStr">
        <is>
          <t>Yes</t>
        </is>
      </c>
      <c r="AJ58" t="inlineStr"/>
      <c r="AK58" t="inlineStr"/>
      <c r="AL58" t="inlineStr"/>
      <c r="AM58" t="inlineStr"/>
    </row>
    <row r="59">
      <c r="A59" t="inlineStr">
        <is>
          <t>111523E</t>
        </is>
      </c>
      <c r="B59" t="inlineStr">
        <is>
          <t>Doctor of Philosophy - Indigenous Knowledge</t>
        </is>
      </c>
      <c r="C59" t="inlineStr">
        <is>
          <t>Doctorate / PhD</t>
        </is>
      </c>
      <c r="D59" t="inlineStr">
        <is>
          <t>Research degree</t>
        </is>
      </c>
      <c r="E59" t="inlineStr">
        <is>
          <t>Advertised: official page in place</t>
        </is>
      </c>
      <c r="F59" t="inlineStr">
        <is>
          <t>https://handbook.unimelb.edu.au/2026/courses/dr-philik</t>
        </is>
      </c>
      <c r="G59" t="inlineStr">
        <is>
          <t>https://handbook.unimelb.edu.au/2026/courses/dr-philik</t>
        </is>
      </c>
      <c r="H59" t="inlineStr">
        <is>
          <t>Read</t>
        </is>
      </c>
      <c r="I59" t="inlineStr">
        <is>
          <t>CRICOS code on page</t>
        </is>
      </c>
      <c r="J59" t="inlineStr"/>
      <c r="K59" t="inlineStr">
        <is>
          <t>Not sent to re-link</t>
        </is>
      </c>
      <c r="L59" t="inlineStr">
        <is>
          <t>Filled</t>
        </is>
      </c>
      <c r="M59" t="inlineStr">
        <is>
          <t>Filled</t>
        </is>
      </c>
      <c r="N59" t="inlineStr">
        <is>
          <t>62496.00 2027</t>
        </is>
      </c>
      <c r="O59" t="n">
        <v>2</v>
      </c>
      <c r="P59" t="inlineStr">
        <is>
          <t>Other</t>
        </is>
      </c>
      <c r="Q59" t="inlineStr">
        <is>
          <t>Not stated on course page</t>
        </is>
      </c>
      <c r="S59" t="inlineStr"/>
      <c r="T59" t="inlineStr">
        <is>
          <t>Level map (Melbourne): not computed per course in this report</t>
        </is>
      </c>
      <c r="U59" t="inlineStr"/>
      <c r="V59" t="inlineStr">
        <is>
          <t>Not stated on course page</t>
        </is>
      </c>
      <c r="W59" t="inlineStr"/>
      <c r="X59" t="inlineStr"/>
      <c r="Y59" t="n">
        <v>0</v>
      </c>
      <c r="Z59" t="inlineStr">
        <is>
          <t>No</t>
        </is>
      </c>
      <c r="AA59" t="inlineStr">
        <is>
          <t>Filled</t>
        </is>
      </c>
      <c r="AB59" t="inlineStr">
        <is>
          <t>on campus</t>
        </is>
      </c>
      <c r="AC59" t="inlineStr"/>
      <c r="AD59" t="n">
        <v>0</v>
      </c>
      <c r="AE59" t="inlineStr"/>
      <c r="AF59" t="inlineStr"/>
      <c r="AG59" t="inlineStr"/>
      <c r="AH59" t="inlineStr"/>
      <c r="AI59" t="inlineStr">
        <is>
          <t>Yes</t>
        </is>
      </c>
      <c r="AJ59" t="inlineStr"/>
      <c r="AK59" t="inlineStr"/>
      <c r="AL59" t="inlineStr"/>
      <c r="AM59" t="inlineStr"/>
    </row>
    <row r="60">
      <c r="A60" t="inlineStr">
        <is>
          <t>056956G</t>
        </is>
      </c>
      <c r="B60" t="inlineStr">
        <is>
          <t>Doctor of Philosophy - Law</t>
        </is>
      </c>
      <c r="C60" t="inlineStr">
        <is>
          <t>Doctorate / PhD</t>
        </is>
      </c>
      <c r="D60" t="inlineStr">
        <is>
          <t>Research degree</t>
        </is>
      </c>
      <c r="E60" t="inlineStr">
        <is>
          <t>Advertised: official page in place</t>
        </is>
      </c>
      <c r="F60" t="inlineStr">
        <is>
          <t>https://handbook.unimelb.edu.au/2026/courses/dr-phillaw</t>
        </is>
      </c>
      <c r="G60" t="inlineStr">
        <is>
          <t>https://handbook.unimelb.edu.au/2026/courses/dr-phillaw</t>
        </is>
      </c>
      <c r="H60" t="inlineStr">
        <is>
          <t>Read</t>
        </is>
      </c>
      <c r="I60" t="inlineStr">
        <is>
          <t>CRICOS code on page</t>
        </is>
      </c>
      <c r="J60" t="inlineStr"/>
      <c r="K60" t="inlineStr">
        <is>
          <t>Not sent to re-link</t>
        </is>
      </c>
      <c r="L60" t="inlineStr">
        <is>
          <t>Filled</t>
        </is>
      </c>
      <c r="M60" t="inlineStr">
        <is>
          <t>Filled</t>
        </is>
      </c>
      <c r="N60" t="inlineStr">
        <is>
          <t>56064.00 2027</t>
        </is>
      </c>
      <c r="O60" t="n">
        <v>2</v>
      </c>
      <c r="P60" t="inlineStr">
        <is>
          <t>Other</t>
        </is>
      </c>
      <c r="Q60" t="inlineStr">
        <is>
          <t>Not stated on course page</t>
        </is>
      </c>
      <c r="S60" t="inlineStr"/>
      <c r="T60" t="inlineStr">
        <is>
          <t>Level map (Melbourne): not computed per course in this report</t>
        </is>
      </c>
      <c r="U60" t="inlineStr"/>
      <c r="V60" t="inlineStr">
        <is>
          <t>Filled</t>
        </is>
      </c>
      <c r="W60" t="inlineStr">
        <is>
          <t>February</t>
        </is>
      </c>
      <c r="X60" t="inlineStr">
        <is>
          <t>Other</t>
        </is>
      </c>
      <c r="Y60" t="n">
        <v>0</v>
      </c>
      <c r="Z60" t="inlineStr">
        <is>
          <t>No</t>
        </is>
      </c>
      <c r="AA60" t="inlineStr">
        <is>
          <t>Filled</t>
        </is>
      </c>
      <c r="AB60" t="inlineStr">
        <is>
          <t>on campus</t>
        </is>
      </c>
      <c r="AC60" t="inlineStr"/>
      <c r="AD60" t="n">
        <v>0</v>
      </c>
      <c r="AE60" t="inlineStr"/>
      <c r="AF60" t="inlineStr"/>
      <c r="AG60" t="inlineStr"/>
      <c r="AH60" t="inlineStr"/>
      <c r="AI60" t="inlineStr"/>
      <c r="AJ60" t="inlineStr"/>
      <c r="AK60" t="inlineStr"/>
      <c r="AL60" t="inlineStr"/>
      <c r="AM60" t="inlineStr"/>
    </row>
    <row r="61">
      <c r="A61" t="inlineStr">
        <is>
          <t>056959D</t>
        </is>
      </c>
      <c r="B61" t="inlineStr">
        <is>
          <t>Doctor of Philosophy - Medicine, Health Sciences</t>
        </is>
      </c>
      <c r="C61" t="inlineStr">
        <is>
          <t>Doctorate / PhD</t>
        </is>
      </c>
      <c r="D61" t="inlineStr">
        <is>
          <t>Research degree</t>
        </is>
      </c>
      <c r="E61" t="inlineStr">
        <is>
          <t>Advertised: official page in place</t>
        </is>
      </c>
      <c r="F61" t="inlineStr">
        <is>
          <t>https://handbook.unimelb.edu.au/2026/courses/551aa</t>
        </is>
      </c>
      <c r="G61" t="inlineStr">
        <is>
          <t>https://handbook.unimelb.edu.au/2026/courses/551aa</t>
        </is>
      </c>
      <c r="H61" t="inlineStr">
        <is>
          <t>Read</t>
        </is>
      </c>
      <c r="I61" t="inlineStr">
        <is>
          <t>CRICOS code on page</t>
        </is>
      </c>
      <c r="J61" t="inlineStr"/>
      <c r="K61" t="inlineStr">
        <is>
          <t>Not sent to re-link</t>
        </is>
      </c>
      <c r="L61" t="inlineStr">
        <is>
          <t>Filled</t>
        </is>
      </c>
      <c r="M61" t="inlineStr">
        <is>
          <t>Filled</t>
        </is>
      </c>
      <c r="N61" t="inlineStr">
        <is>
          <t>62976.00 2027</t>
        </is>
      </c>
      <c r="O61" t="n">
        <v>2</v>
      </c>
      <c r="P61" t="inlineStr">
        <is>
          <t>Other</t>
        </is>
      </c>
      <c r="Q61" t="inlineStr">
        <is>
          <t>Not stated on course page</t>
        </is>
      </c>
      <c r="S61" t="inlineStr"/>
      <c r="T61" t="inlineStr">
        <is>
          <t>Level map (Melbourne): not computed per course in this report</t>
        </is>
      </c>
      <c r="U61" t="inlineStr"/>
      <c r="V61" t="inlineStr">
        <is>
          <t>Filled</t>
        </is>
      </c>
      <c r="W61" t="inlineStr">
        <is>
          <t>February, December</t>
        </is>
      </c>
      <c r="X61" t="inlineStr">
        <is>
          <t>Page reader</t>
        </is>
      </c>
      <c r="Y61" t="n">
        <v>0</v>
      </c>
      <c r="Z61" t="inlineStr">
        <is>
          <t>No</t>
        </is>
      </c>
      <c r="AA61" t="inlineStr">
        <is>
          <t>Filled</t>
        </is>
      </c>
      <c r="AB61" t="inlineStr">
        <is>
          <t>on campus</t>
        </is>
      </c>
      <c r="AC61" t="inlineStr"/>
      <c r="AD61" t="n">
        <v>0</v>
      </c>
      <c r="AE61" t="inlineStr"/>
      <c r="AF61" t="inlineStr"/>
      <c r="AG61" t="inlineStr"/>
      <c r="AH61" t="inlineStr"/>
      <c r="AI61" t="inlineStr"/>
      <c r="AJ61" t="inlineStr"/>
      <c r="AK61" t="inlineStr"/>
      <c r="AL61" t="inlineStr"/>
      <c r="AM61" t="inlineStr"/>
    </row>
    <row r="62">
      <c r="A62" t="inlineStr">
        <is>
          <t>056966E</t>
        </is>
      </c>
      <c r="B62" t="inlineStr">
        <is>
          <t>Doctor of Philosophy - Melbourne Business School</t>
        </is>
      </c>
      <c r="C62" t="inlineStr">
        <is>
          <t>Doctorate / PhD</t>
        </is>
      </c>
      <c r="D62" t="inlineStr">
        <is>
          <t>Research degree</t>
        </is>
      </c>
      <c r="E62" t="inlineStr">
        <is>
          <t>Held: page found is for another course</t>
        </is>
      </c>
      <c r="F62" t="inlineStr"/>
      <c r="G62" t="inlineStr">
        <is>
          <t>https://handbook.unimelb.edu.au/2026/courses/dr-philbe</t>
        </is>
      </c>
      <c r="H62" t="inlineStr">
        <is>
          <t>Page is for another course</t>
        </is>
      </c>
      <c r="I62" t="inlineStr"/>
      <c r="J62" t="inlineStr"/>
      <c r="K62" t="inlineStr">
        <is>
          <t>Finished, no page: no address from the university's address forms or stored lis</t>
        </is>
      </c>
      <c r="L62" t="inlineStr">
        <is>
          <t>Searching for course page</t>
        </is>
      </c>
      <c r="M62" t="inlineStr">
        <is>
          <t>Searching for course page</t>
        </is>
      </c>
      <c r="N62" t="inlineStr"/>
      <c r="O62" t="n">
        <v>0</v>
      </c>
      <c r="P62" t="inlineStr"/>
      <c r="Q62" t="inlineStr">
        <is>
          <t>Searching for course page</t>
        </is>
      </c>
      <c r="S62" t="inlineStr"/>
      <c r="T62" t="inlineStr">
        <is>
          <t>Level map (Melbourne): not computed per course in this report</t>
        </is>
      </c>
      <c r="U62" t="inlineStr"/>
      <c r="V62" t="inlineStr">
        <is>
          <t>Searching for course page</t>
        </is>
      </c>
      <c r="W62" t="inlineStr"/>
      <c r="X62" t="inlineStr"/>
      <c r="Y62" t="n">
        <v>0</v>
      </c>
      <c r="Z62" t="inlineStr">
        <is>
          <t>No</t>
        </is>
      </c>
      <c r="AA62" t="inlineStr">
        <is>
          <t>Not stated on course page</t>
        </is>
      </c>
      <c r="AB62" t="inlineStr"/>
      <c r="AC62" t="inlineStr">
        <is>
          <t>Skipped: no correct course page: the page found is for another course</t>
        </is>
      </c>
      <c r="AD62" t="n">
        <v>1</v>
      </c>
      <c r="AE62" t="inlineStr"/>
      <c r="AF62" t="inlineStr"/>
      <c r="AG62" t="inlineStr"/>
      <c r="AH62" t="inlineStr"/>
      <c r="AI62" t="inlineStr"/>
      <c r="AJ62" t="inlineStr"/>
      <c r="AK62" t="inlineStr"/>
      <c r="AL62" t="inlineStr"/>
      <c r="AM62" t="inlineStr"/>
    </row>
    <row r="63">
      <c r="A63" t="inlineStr">
        <is>
          <t>056960M</t>
        </is>
      </c>
      <c r="B63" t="inlineStr">
        <is>
          <t>Doctor of Philosophy - Music</t>
        </is>
      </c>
      <c r="C63" t="inlineStr">
        <is>
          <t>Doctorate / PhD</t>
        </is>
      </c>
      <c r="D63" t="inlineStr">
        <is>
          <t>Research degree</t>
        </is>
      </c>
      <c r="E63" t="inlineStr">
        <is>
          <t>Advertised: official page in place</t>
        </is>
      </c>
      <c r="F63" t="inlineStr">
        <is>
          <t>https://handbook.unimelb.edu.au/2026/courses/dr-philmus</t>
        </is>
      </c>
      <c r="G63" t="inlineStr">
        <is>
          <t>https://handbook.unimelb.edu.au/2026/courses/dr-philmus</t>
        </is>
      </c>
      <c r="H63" t="inlineStr">
        <is>
          <t>Read</t>
        </is>
      </c>
      <c r="I63" t="inlineStr">
        <is>
          <t>CRICOS code on page</t>
        </is>
      </c>
      <c r="J63" t="inlineStr"/>
      <c r="K63" t="inlineStr">
        <is>
          <t>Not sent to re-link</t>
        </is>
      </c>
      <c r="L63" t="inlineStr">
        <is>
          <t>Filled</t>
        </is>
      </c>
      <c r="M63" t="inlineStr">
        <is>
          <t>Filled</t>
        </is>
      </c>
      <c r="N63" t="inlineStr">
        <is>
          <t>50720.00 2027</t>
        </is>
      </c>
      <c r="O63" t="n">
        <v>2</v>
      </c>
      <c r="P63" t="inlineStr">
        <is>
          <t>Other</t>
        </is>
      </c>
      <c r="Q63" t="inlineStr">
        <is>
          <t>Not stated on course page</t>
        </is>
      </c>
      <c r="S63" t="inlineStr"/>
      <c r="T63" t="inlineStr">
        <is>
          <t>Level map (Melbourne): not computed per course in this report</t>
        </is>
      </c>
      <c r="U63" t="inlineStr"/>
      <c r="V63" t="inlineStr">
        <is>
          <t>Not stated on course page</t>
        </is>
      </c>
      <c r="W63" t="inlineStr"/>
      <c r="X63" t="inlineStr"/>
      <c r="Y63" t="n">
        <v>0</v>
      </c>
      <c r="Z63" t="inlineStr">
        <is>
          <t>No</t>
        </is>
      </c>
      <c r="AA63" t="inlineStr">
        <is>
          <t>Filled</t>
        </is>
      </c>
      <c r="AB63" t="inlineStr">
        <is>
          <t>on campus</t>
        </is>
      </c>
      <c r="AC63" t="inlineStr"/>
      <c r="AD63" t="n">
        <v>0</v>
      </c>
      <c r="AE63" t="inlineStr"/>
      <c r="AF63" t="inlineStr"/>
      <c r="AG63" t="inlineStr"/>
      <c r="AH63" t="inlineStr"/>
      <c r="AI63" t="inlineStr">
        <is>
          <t>Yes</t>
        </is>
      </c>
      <c r="AJ63" t="inlineStr"/>
      <c r="AK63" t="inlineStr"/>
      <c r="AL63" t="inlineStr"/>
      <c r="AM63" t="inlineStr"/>
    </row>
    <row r="64">
      <c r="A64" t="inlineStr">
        <is>
          <t>056958E</t>
        </is>
      </c>
      <c r="B64" t="inlineStr">
        <is>
          <t>Doctor of Philosophy - Science</t>
        </is>
      </c>
      <c r="C64" t="inlineStr">
        <is>
          <t>Doctorate / PhD</t>
        </is>
      </c>
      <c r="D64" t="inlineStr">
        <is>
          <t>Research degree</t>
        </is>
      </c>
      <c r="E64" t="inlineStr">
        <is>
          <t>Advertised: official page in place</t>
        </is>
      </c>
      <c r="F64" t="inlineStr">
        <is>
          <t>https://study.unimelb.edu.au/find/courses/graduate/doctor-of-philosophy-science/</t>
        </is>
      </c>
      <c r="G64" t="inlineStr">
        <is>
          <t>https://study.unimelb.edu.au/find/courses/graduate/doctor-of-philosophy-science/</t>
        </is>
      </c>
      <c r="H64" t="inlineStr">
        <is>
          <t>Read</t>
        </is>
      </c>
      <c r="I64" t="inlineStr">
        <is>
          <t>CRICOS code on page</t>
        </is>
      </c>
      <c r="J64" t="inlineStr"/>
      <c r="K64" t="inlineStr">
        <is>
          <t>Not sent to re-link</t>
        </is>
      </c>
      <c r="L64" t="inlineStr">
        <is>
          <t>Filled</t>
        </is>
      </c>
      <c r="M64" t="inlineStr">
        <is>
          <t>Filled</t>
        </is>
      </c>
      <c r="N64" t="inlineStr">
        <is>
          <t>58272.00 2027</t>
        </is>
      </c>
      <c r="O64" t="n">
        <v>2</v>
      </c>
      <c r="P64" t="inlineStr">
        <is>
          <t>Other</t>
        </is>
      </c>
      <c r="Q64" t="inlineStr">
        <is>
          <t>Not stated on course page</t>
        </is>
      </c>
      <c r="S64" t="inlineStr"/>
      <c r="T64" t="inlineStr">
        <is>
          <t>Level map (Melbourne): not computed per course in this report</t>
        </is>
      </c>
      <c r="U64" t="inlineStr"/>
      <c r="V64" t="inlineStr">
        <is>
          <t>Not stated on course page</t>
        </is>
      </c>
      <c r="W64" t="inlineStr"/>
      <c r="X64" t="inlineStr"/>
      <c r="Y64" t="n">
        <v>0</v>
      </c>
      <c r="Z64" t="inlineStr">
        <is>
          <t>No</t>
        </is>
      </c>
      <c r="AA64" t="inlineStr">
        <is>
          <t>Filled</t>
        </is>
      </c>
      <c r="AB64" t="inlineStr">
        <is>
          <t>on campus</t>
        </is>
      </c>
      <c r="AC64" t="inlineStr"/>
      <c r="AD64" t="n">
        <v>0</v>
      </c>
      <c r="AE64" t="inlineStr"/>
      <c r="AF64" t="inlineStr"/>
      <c r="AG64" t="inlineStr"/>
      <c r="AH64" t="inlineStr"/>
      <c r="AI64" t="inlineStr">
        <is>
          <t>Yes</t>
        </is>
      </c>
      <c r="AJ64" t="inlineStr"/>
      <c r="AK64" t="inlineStr"/>
      <c r="AL64" t="inlineStr"/>
      <c r="AM64" t="inlineStr"/>
    </row>
    <row r="65">
      <c r="A65" t="inlineStr">
        <is>
          <t>056965F</t>
        </is>
      </c>
      <c r="B65" t="inlineStr">
        <is>
          <t>Doctor of Philosophy - Veterinary Science</t>
        </is>
      </c>
      <c r="C65" t="inlineStr">
        <is>
          <t>Doctorate / PhD</t>
        </is>
      </c>
      <c r="D65" t="inlineStr">
        <is>
          <t>Research degree</t>
        </is>
      </c>
      <c r="E65" t="inlineStr">
        <is>
          <t>Advertised: official page in place</t>
        </is>
      </c>
      <c r="F65" t="inlineStr">
        <is>
          <t>https://handbook.unimelb.edu.au/2026/courses/871aa</t>
        </is>
      </c>
      <c r="G65" t="inlineStr">
        <is>
          <t>https://handbook.unimelb.edu.au/2026/courses/871aa</t>
        </is>
      </c>
      <c r="H65" t="inlineStr">
        <is>
          <t>Read</t>
        </is>
      </c>
      <c r="I65" t="inlineStr">
        <is>
          <t>CRICOS code on page</t>
        </is>
      </c>
      <c r="J65" t="inlineStr"/>
      <c r="K65" t="inlineStr">
        <is>
          <t>Not sent to re-link</t>
        </is>
      </c>
      <c r="L65" t="inlineStr">
        <is>
          <t>Filled</t>
        </is>
      </c>
      <c r="M65" t="inlineStr">
        <is>
          <t>Filled</t>
        </is>
      </c>
      <c r="N65" t="inlineStr">
        <is>
          <t>62496.00 2027</t>
        </is>
      </c>
      <c r="O65" t="n">
        <v>2</v>
      </c>
      <c r="P65" t="inlineStr">
        <is>
          <t>Other</t>
        </is>
      </c>
      <c r="Q65" t="inlineStr">
        <is>
          <t>Not stated on course page</t>
        </is>
      </c>
      <c r="S65" t="inlineStr"/>
      <c r="T65" t="inlineStr">
        <is>
          <t>Level map (Melbourne): not computed per course in this report</t>
        </is>
      </c>
      <c r="U65" t="inlineStr"/>
      <c r="V65" t="inlineStr">
        <is>
          <t>Not stated on course page</t>
        </is>
      </c>
      <c r="W65" t="inlineStr"/>
      <c r="X65" t="inlineStr"/>
      <c r="Y65" t="n">
        <v>0</v>
      </c>
      <c r="Z65" t="inlineStr">
        <is>
          <t>No</t>
        </is>
      </c>
      <c r="AA65" t="inlineStr">
        <is>
          <t>Filled</t>
        </is>
      </c>
      <c r="AB65" t="inlineStr">
        <is>
          <t>on campus</t>
        </is>
      </c>
      <c r="AC65" t="inlineStr"/>
      <c r="AD65" t="n">
        <v>0</v>
      </c>
      <c r="AE65" t="inlineStr"/>
      <c r="AF65" t="inlineStr"/>
      <c r="AG65" t="inlineStr"/>
      <c r="AH65" t="inlineStr"/>
      <c r="AI65" t="inlineStr">
        <is>
          <t>Yes</t>
        </is>
      </c>
      <c r="AJ65" t="inlineStr"/>
      <c r="AK65" t="inlineStr"/>
      <c r="AL65" t="inlineStr"/>
      <c r="AM65" t="inlineStr"/>
    </row>
    <row r="66">
      <c r="A66" t="inlineStr">
        <is>
          <t>059249K</t>
        </is>
      </c>
      <c r="B66" t="inlineStr">
        <is>
          <t>Doctor of Philosophy - Victorian College of the Arts</t>
        </is>
      </c>
      <c r="C66" t="inlineStr">
        <is>
          <t>Doctorate / PhD</t>
        </is>
      </c>
      <c r="D66" t="inlineStr">
        <is>
          <t>Research degree</t>
        </is>
      </c>
      <c r="E66" t="inlineStr">
        <is>
          <t>Advertised: official page in place</t>
        </is>
      </c>
      <c r="F66" t="inlineStr">
        <is>
          <t>https://handbook.unimelb.edu.au/2026/courses/475aa</t>
        </is>
      </c>
      <c r="G66" t="inlineStr">
        <is>
          <t>https://handbook.unimelb.edu.au/2026/courses/475aa</t>
        </is>
      </c>
      <c r="H66" t="inlineStr">
        <is>
          <t>Read</t>
        </is>
      </c>
      <c r="I66" t="inlineStr">
        <is>
          <t>CRICOS code on page</t>
        </is>
      </c>
      <c r="J66" t="inlineStr"/>
      <c r="K66" t="inlineStr">
        <is>
          <t>Not sent to re-link</t>
        </is>
      </c>
      <c r="L66" t="inlineStr">
        <is>
          <t>Filled</t>
        </is>
      </c>
      <c r="M66" t="inlineStr">
        <is>
          <t>Filled</t>
        </is>
      </c>
      <c r="N66" t="inlineStr">
        <is>
          <t>50720.00 2027</t>
        </is>
      </c>
      <c r="O66" t="n">
        <v>2</v>
      </c>
      <c r="P66" t="inlineStr">
        <is>
          <t>Other</t>
        </is>
      </c>
      <c r="Q66" t="inlineStr">
        <is>
          <t>Not stated on course page</t>
        </is>
      </c>
      <c r="S66" t="inlineStr"/>
      <c r="T66" t="inlineStr">
        <is>
          <t>Level map (Melbourne): not computed per course in this report</t>
        </is>
      </c>
      <c r="U66" t="inlineStr"/>
      <c r="V66" t="inlineStr">
        <is>
          <t>Not stated on course page</t>
        </is>
      </c>
      <c r="W66" t="inlineStr"/>
      <c r="X66" t="inlineStr"/>
      <c r="Y66" t="n">
        <v>0</v>
      </c>
      <c r="Z66" t="inlineStr">
        <is>
          <t>No</t>
        </is>
      </c>
      <c r="AA66" t="inlineStr">
        <is>
          <t>Filled</t>
        </is>
      </c>
      <c r="AB66" t="inlineStr">
        <is>
          <t>on campus</t>
        </is>
      </c>
      <c r="AC66" t="inlineStr"/>
      <c r="AD66" t="n">
        <v>0</v>
      </c>
      <c r="AE66" t="inlineStr"/>
      <c r="AF66" t="inlineStr"/>
      <c r="AG66" t="inlineStr"/>
      <c r="AH66" t="inlineStr"/>
      <c r="AI66" t="inlineStr">
        <is>
          <t>Yes</t>
        </is>
      </c>
      <c r="AJ66" t="inlineStr"/>
      <c r="AK66" t="inlineStr"/>
      <c r="AL66" t="inlineStr"/>
      <c r="AM66" t="inlineStr"/>
    </row>
    <row r="67">
      <c r="A67" t="inlineStr">
        <is>
          <t>006670B</t>
        </is>
      </c>
      <c r="B67" t="inlineStr">
        <is>
          <t>Doctor of Philosophy (Medicine, Dentistry &amp; Health Sciences)</t>
        </is>
      </c>
      <c r="C67" t="inlineStr">
        <is>
          <t>Doctorate / PhD</t>
        </is>
      </c>
      <c r="D67" t="inlineStr">
        <is>
          <t>Research degree</t>
        </is>
      </c>
      <c r="E67" t="inlineStr">
        <is>
          <t>Advertised: official page in place</t>
        </is>
      </c>
      <c r="F67" t="inlineStr">
        <is>
          <t>https://study.unimelb.edu.au/find/courses/graduate/doctor-of-philosophy-medicine-dentistry-and-health-sciences</t>
        </is>
      </c>
      <c r="G67" t="inlineStr">
        <is>
          <t>https://study.unimelb.edu.au/find/courses/graduate/doctor-of-philosophy-medicine-dentistry-and-health-sciences</t>
        </is>
      </c>
      <c r="H67" t="inlineStr">
        <is>
          <t>Read</t>
        </is>
      </c>
      <c r="I67" t="inlineStr">
        <is>
          <t>CRICOS code on page</t>
        </is>
      </c>
      <c r="J67" t="inlineStr"/>
      <c r="K67" t="inlineStr">
        <is>
          <t>Not sent to re-link</t>
        </is>
      </c>
      <c r="L67" t="inlineStr">
        <is>
          <t>Filled</t>
        </is>
      </c>
      <c r="M67" t="inlineStr">
        <is>
          <t>Filled</t>
        </is>
      </c>
      <c r="N67" t="inlineStr">
        <is>
          <t>64640.00 2027</t>
        </is>
      </c>
      <c r="O67" t="n">
        <v>2</v>
      </c>
      <c r="P67" t="inlineStr">
        <is>
          <t>Other</t>
        </is>
      </c>
      <c r="Q67" t="inlineStr">
        <is>
          <t>Not stated on course page</t>
        </is>
      </c>
      <c r="S67" t="inlineStr"/>
      <c r="T67" t="inlineStr">
        <is>
          <t>Level map (Melbourne): not computed per course in this report</t>
        </is>
      </c>
      <c r="U67" t="inlineStr"/>
      <c r="V67" t="inlineStr">
        <is>
          <t>Filled</t>
        </is>
      </c>
      <c r="W67" t="inlineStr">
        <is>
          <t>February, May, October</t>
        </is>
      </c>
      <c r="X67" t="inlineStr">
        <is>
          <t>Page reader</t>
        </is>
      </c>
      <c r="Y67" t="n">
        <v>0</v>
      </c>
      <c r="Z67" t="inlineStr">
        <is>
          <t>No</t>
        </is>
      </c>
      <c r="AA67" t="inlineStr">
        <is>
          <t>Filled</t>
        </is>
      </c>
      <c r="AB67" t="inlineStr">
        <is>
          <t>on campus</t>
        </is>
      </c>
      <c r="AC67" t="inlineStr"/>
      <c r="AD67" t="n">
        <v>0</v>
      </c>
      <c r="AE67" t="inlineStr"/>
      <c r="AF67" t="inlineStr"/>
      <c r="AG67" t="inlineStr"/>
      <c r="AH67" t="inlineStr"/>
      <c r="AI67" t="inlineStr"/>
      <c r="AJ67" t="inlineStr"/>
      <c r="AK67" t="inlineStr"/>
      <c r="AL67" t="inlineStr"/>
      <c r="AM67" t="inlineStr"/>
    </row>
    <row r="68">
      <c r="A68" t="inlineStr">
        <is>
          <t>071302J</t>
        </is>
      </c>
      <c r="B68" t="inlineStr">
        <is>
          <t>Doctor of Physiotherapy</t>
        </is>
      </c>
      <c r="C68" t="inlineStr">
        <is>
          <t>Masters Degree (Coursework)</t>
        </is>
      </c>
      <c r="D68" t="inlineStr">
        <is>
          <t>Postgraduate coursework</t>
        </is>
      </c>
      <c r="E68" t="inlineStr">
        <is>
          <t>Advertised: official page in place</t>
        </is>
      </c>
      <c r="F68" t="inlineStr">
        <is>
          <t>https://handbook.unimelb.edu.au/2026/courses/mc-dphysio</t>
        </is>
      </c>
      <c r="G68" t="inlineStr">
        <is>
          <t>https://handbook.unimelb.edu.au/2026/courses/mc-dphysio</t>
        </is>
      </c>
      <c r="H68" t="inlineStr">
        <is>
          <t>Read</t>
        </is>
      </c>
      <c r="I68" t="inlineStr">
        <is>
          <t>CRICOS code on page</t>
        </is>
      </c>
      <c r="J68" t="inlineStr"/>
      <c r="K68" t="inlineStr">
        <is>
          <t>Not sent to re-link</t>
        </is>
      </c>
      <c r="L68" t="inlineStr">
        <is>
          <t>Filled</t>
        </is>
      </c>
      <c r="M68" t="inlineStr">
        <is>
          <t>Filled</t>
        </is>
      </c>
      <c r="N68" t="inlineStr">
        <is>
          <t>74176.00 2027</t>
        </is>
      </c>
      <c r="O68" t="n">
        <v>2</v>
      </c>
      <c r="P68" t="inlineStr">
        <is>
          <t>Other</t>
        </is>
      </c>
      <c r="Q68" t="inlineStr">
        <is>
          <t>Filled</t>
        </is>
      </c>
      <c r="R68" t="n">
        <v>7</v>
      </c>
      <c r="S68" t="inlineStr">
        <is>
          <t>Central English policy</t>
        </is>
      </c>
      <c r="T68" t="inlineStr">
        <is>
          <t>Level map (Melbourne): not computed per course in this report</t>
        </is>
      </c>
      <c r="U68" t="inlineStr"/>
      <c r="V68" t="inlineStr">
        <is>
          <t>Not stated on course page</t>
        </is>
      </c>
      <c r="W68" t="inlineStr"/>
      <c r="X68" t="inlineStr"/>
      <c r="Y68" t="n">
        <v>0</v>
      </c>
      <c r="Z68" t="inlineStr">
        <is>
          <t>No</t>
        </is>
      </c>
      <c r="AA68" t="inlineStr">
        <is>
          <t>Filled</t>
        </is>
      </c>
      <c r="AB68" t="inlineStr">
        <is>
          <t>on campus</t>
        </is>
      </c>
      <c r="AC68" t="inlineStr"/>
      <c r="AD68" t="n">
        <v>0</v>
      </c>
      <c r="AE68" t="inlineStr"/>
      <c r="AF68" t="inlineStr"/>
      <c r="AG68" t="inlineStr"/>
      <c r="AH68" t="inlineStr"/>
      <c r="AI68" t="inlineStr">
        <is>
          <t>Yes</t>
        </is>
      </c>
      <c r="AJ68" t="inlineStr"/>
      <c r="AK68" t="inlineStr"/>
      <c r="AL68" t="inlineStr"/>
      <c r="AM68" t="inlineStr"/>
    </row>
    <row r="69">
      <c r="A69" t="inlineStr">
        <is>
          <t>071999D</t>
        </is>
      </c>
      <c r="B69" t="inlineStr">
        <is>
          <t>Doctor of Veterinary Medicine</t>
        </is>
      </c>
      <c r="C69" t="inlineStr">
        <is>
          <t>Masters Degree (Coursework)</t>
        </is>
      </c>
      <c r="D69" t="inlineStr">
        <is>
          <t>Postgraduate coursework</t>
        </is>
      </c>
      <c r="E69" t="inlineStr">
        <is>
          <t>Advertised: official page in place</t>
        </is>
      </c>
      <c r="F69" t="inlineStr">
        <is>
          <t>https://study.unimelb.edu.au/find/courses/graduate/doctor-of-veterinary-medicine</t>
        </is>
      </c>
      <c r="G69" t="inlineStr">
        <is>
          <t>https://study.unimelb.edu.au/find/courses/graduate/doctor-of-veterinary-medicine</t>
        </is>
      </c>
      <c r="H69" t="inlineStr">
        <is>
          <t>Read</t>
        </is>
      </c>
      <c r="I69" t="inlineStr">
        <is>
          <t>CRICOS code on page</t>
        </is>
      </c>
      <c r="J69" t="inlineStr"/>
      <c r="K69" t="inlineStr">
        <is>
          <t>Not sent to re-link</t>
        </is>
      </c>
      <c r="L69" t="inlineStr">
        <is>
          <t>Filled</t>
        </is>
      </c>
      <c r="M69" t="inlineStr">
        <is>
          <t>Filled</t>
        </is>
      </c>
      <c r="N69" t="inlineStr">
        <is>
          <t>89408.00 2027</t>
        </is>
      </c>
      <c r="O69" t="n">
        <v>2</v>
      </c>
      <c r="P69" t="inlineStr">
        <is>
          <t>Other</t>
        </is>
      </c>
      <c r="Q69" t="inlineStr">
        <is>
          <t>Filled</t>
        </is>
      </c>
      <c r="R69" t="n">
        <v>7</v>
      </c>
      <c r="S69" t="inlineStr">
        <is>
          <t>University adapter</t>
        </is>
      </c>
      <c r="T69" t="inlineStr">
        <is>
          <t>Level map (Melbourne): not computed per course in this report</t>
        </is>
      </c>
      <c r="U69" t="inlineStr"/>
      <c r="V69" t="inlineStr">
        <is>
          <t>Filled</t>
        </is>
      </c>
      <c r="W69" t="inlineStr">
        <is>
          <t>March</t>
        </is>
      </c>
      <c r="X69" t="inlineStr">
        <is>
          <t>Other</t>
        </is>
      </c>
      <c r="Y69" t="n">
        <v>0</v>
      </c>
      <c r="Z69" t="inlineStr">
        <is>
          <t>No</t>
        </is>
      </c>
      <c r="AA69" t="inlineStr">
        <is>
          <t>Filled</t>
        </is>
      </c>
      <c r="AB69" t="inlineStr">
        <is>
          <t>on campus</t>
        </is>
      </c>
      <c r="AC69" t="inlineStr"/>
      <c r="AD69" t="n">
        <v>0</v>
      </c>
      <c r="AE69" t="inlineStr"/>
      <c r="AF69" t="inlineStr"/>
      <c r="AG69" t="inlineStr"/>
      <c r="AH69" t="inlineStr"/>
      <c r="AI69" t="inlineStr"/>
      <c r="AJ69" t="inlineStr"/>
      <c r="AK69" t="inlineStr"/>
      <c r="AL69" t="inlineStr"/>
      <c r="AM69" t="inlineStr"/>
    </row>
    <row r="70">
      <c r="A70" t="inlineStr">
        <is>
          <t>094127G</t>
        </is>
      </c>
      <c r="B70" t="inlineStr">
        <is>
          <t>Exchange - Research</t>
        </is>
      </c>
      <c r="C70" t="inlineStr">
        <is>
          <t>Non AQF Award</t>
        </is>
      </c>
      <c r="D70" t="inlineStr">
        <is>
          <t>Non-award</t>
        </is>
      </c>
      <c r="E70" t="inlineStr">
        <is>
          <t>Held: page found is for another course</t>
        </is>
      </c>
      <c r="F70" t="inlineStr"/>
      <c r="G70" t="inlineStr">
        <is>
          <t>https://study.unimelb.edu.au/how-to-apply/international-exchange-and-study-abroad/research-program</t>
        </is>
      </c>
      <c r="H70" t="inlineStr">
        <is>
          <t>Page is for another course</t>
        </is>
      </c>
      <c r="I70" t="inlineStr"/>
      <c r="J70" t="inlineStr"/>
      <c r="K70" t="inlineStr">
        <is>
          <t>Finished, no page: no address from the university's address forms or stored lis</t>
        </is>
      </c>
      <c r="L70" t="inlineStr">
        <is>
          <t>Searching for course page</t>
        </is>
      </c>
      <c r="M70" t="inlineStr">
        <is>
          <t>Searching for course page</t>
        </is>
      </c>
      <c r="N70" t="inlineStr"/>
      <c r="O70" t="n">
        <v>0</v>
      </c>
      <c r="P70" t="inlineStr"/>
      <c r="Q70" t="inlineStr">
        <is>
          <t>Searching for course page</t>
        </is>
      </c>
      <c r="S70" t="inlineStr"/>
      <c r="T70" t="inlineStr">
        <is>
          <t>Level map (Melbourne): not computed per course in this report</t>
        </is>
      </c>
      <c r="U70" t="inlineStr"/>
      <c r="V70" t="inlineStr">
        <is>
          <t>Searching for course page</t>
        </is>
      </c>
      <c r="W70" t="inlineStr"/>
      <c r="X70" t="inlineStr"/>
      <c r="Y70" t="n">
        <v>0</v>
      </c>
      <c r="Z70" t="inlineStr">
        <is>
          <t>No</t>
        </is>
      </c>
      <c r="AA70" t="inlineStr">
        <is>
          <t>Not stated on course page</t>
        </is>
      </c>
      <c r="AB70" t="inlineStr"/>
      <c r="AC70" t="inlineStr">
        <is>
          <t>Skipped: no correct course page: the page found is for another course</t>
        </is>
      </c>
      <c r="AD70" t="n">
        <v>1</v>
      </c>
      <c r="AE70" t="inlineStr"/>
      <c r="AF70" t="inlineStr"/>
      <c r="AG70" t="inlineStr"/>
      <c r="AH70" t="inlineStr"/>
      <c r="AI70" t="inlineStr"/>
      <c r="AJ70" t="inlineStr"/>
      <c r="AK70" t="inlineStr"/>
      <c r="AL70" t="inlineStr"/>
      <c r="AM70" t="inlineStr"/>
    </row>
    <row r="71">
      <c r="A71" t="inlineStr">
        <is>
          <t>112851C</t>
        </is>
      </c>
      <c r="B71" t="inlineStr">
        <is>
          <t>Exchange CASA</t>
        </is>
      </c>
      <c r="C71" t="inlineStr">
        <is>
          <t>Non AQF Award</t>
        </is>
      </c>
      <c r="D71" t="inlineStr">
        <is>
          <t>Non-award</t>
        </is>
      </c>
      <c r="E71" t="inlineStr">
        <is>
          <t>No-page record (no page), awaiting review</t>
        </is>
      </c>
      <c r="F71" t="inlineStr"/>
      <c r="G71" t="inlineStr"/>
      <c r="H71" t="inlineStr"/>
      <c r="I71" t="inlineStr"/>
      <c r="J71" t="inlineStr">
        <is>
          <t>No page (proposed)</t>
        </is>
      </c>
      <c r="K71" t="inlineStr">
        <is>
          <t>Not sent to re-link</t>
        </is>
      </c>
      <c r="L71" t="inlineStr">
        <is>
          <t>Searching for course page</t>
        </is>
      </c>
      <c r="M71" t="inlineStr">
        <is>
          <t>Searching for course page</t>
        </is>
      </c>
      <c r="N71" t="inlineStr"/>
      <c r="O71" t="n">
        <v>0</v>
      </c>
      <c r="P71" t="inlineStr"/>
      <c r="Q71" t="inlineStr">
        <is>
          <t>Searching for course page</t>
        </is>
      </c>
      <c r="S71" t="inlineStr"/>
      <c r="T71" t="inlineStr">
        <is>
          <t>Level map (Melbourne): not computed per course in this report</t>
        </is>
      </c>
      <c r="U71" t="inlineStr"/>
      <c r="V71" t="inlineStr">
        <is>
          <t>Searching for course page</t>
        </is>
      </c>
      <c r="W71" t="inlineStr"/>
      <c r="X71" t="inlineStr"/>
      <c r="Y71" t="n">
        <v>0</v>
      </c>
      <c r="Z71" t="inlineStr">
        <is>
          <t>No</t>
        </is>
      </c>
      <c r="AA71" t="inlineStr">
        <is>
          <t>Not stated on course page</t>
        </is>
      </c>
      <c r="AB71" t="inlineStr"/>
      <c r="AC71" t="inlineStr">
        <is>
          <t>Skipped: no allowed source had a value</t>
        </is>
      </c>
      <c r="AD71" t="n">
        <v>0</v>
      </c>
      <c r="AE71" t="inlineStr"/>
      <c r="AF71" t="inlineStr"/>
      <c r="AG71" t="inlineStr"/>
      <c r="AH71" t="inlineStr"/>
      <c r="AI71" t="inlineStr"/>
      <c r="AJ71" t="inlineStr"/>
      <c r="AK71" t="inlineStr"/>
      <c r="AL71" t="inlineStr"/>
      <c r="AM71" t="inlineStr">
        <is>
          <t>Yes</t>
        </is>
      </c>
    </row>
    <row r="72">
      <c r="A72" t="inlineStr">
        <is>
          <t>041630G</t>
        </is>
      </c>
      <c r="B72" t="inlineStr">
        <is>
          <t>Exchange program (Postgraduate)</t>
        </is>
      </c>
      <c r="C72" t="inlineStr">
        <is>
          <t>Non AQF Award</t>
        </is>
      </c>
      <c r="D72" t="inlineStr">
        <is>
          <t>Non-award</t>
        </is>
      </c>
      <c r="E72" t="inlineStr">
        <is>
          <t>Held: page found is for another course</t>
        </is>
      </c>
      <c r="F72" t="inlineStr"/>
      <c r="G72" t="inlineStr">
        <is>
          <t>https://study.unimelb.edu.au/how-to-apply/international-exchange-and-study-abroad/research-program</t>
        </is>
      </c>
      <c r="H72" t="inlineStr">
        <is>
          <t>Page is for another course</t>
        </is>
      </c>
      <c r="I72" t="inlineStr"/>
      <c r="J72" t="inlineStr"/>
      <c r="K72" t="inlineStr">
        <is>
          <t>Finished, no page: no address from the university's address forms or stored lis</t>
        </is>
      </c>
      <c r="L72" t="inlineStr">
        <is>
          <t>Searching for course page</t>
        </is>
      </c>
      <c r="M72" t="inlineStr">
        <is>
          <t>Searching for course page</t>
        </is>
      </c>
      <c r="N72" t="inlineStr"/>
      <c r="O72" t="n">
        <v>0</v>
      </c>
      <c r="P72" t="inlineStr"/>
      <c r="Q72" t="inlineStr">
        <is>
          <t>Searching for course page</t>
        </is>
      </c>
      <c r="S72" t="inlineStr"/>
      <c r="T72" t="inlineStr">
        <is>
          <t>Level map (Melbourne): not computed per course in this report</t>
        </is>
      </c>
      <c r="U72" t="inlineStr"/>
      <c r="V72" t="inlineStr">
        <is>
          <t>Searching for course page</t>
        </is>
      </c>
      <c r="W72" t="inlineStr"/>
      <c r="X72" t="inlineStr"/>
      <c r="Y72" t="n">
        <v>0</v>
      </c>
      <c r="Z72" t="inlineStr">
        <is>
          <t>No</t>
        </is>
      </c>
      <c r="AA72" t="inlineStr">
        <is>
          <t>Not stated on course page</t>
        </is>
      </c>
      <c r="AB72" t="inlineStr"/>
      <c r="AC72" t="inlineStr">
        <is>
          <t>Skipped: no correct course page: the page found is for another course</t>
        </is>
      </c>
      <c r="AD72" t="n">
        <v>1</v>
      </c>
      <c r="AE72" t="inlineStr"/>
      <c r="AF72" t="inlineStr"/>
      <c r="AG72" t="inlineStr"/>
      <c r="AH72" t="inlineStr"/>
      <c r="AI72" t="inlineStr"/>
      <c r="AJ72" t="inlineStr"/>
      <c r="AK72" t="inlineStr"/>
      <c r="AL72" t="inlineStr"/>
      <c r="AM72" t="inlineStr"/>
    </row>
    <row r="73">
      <c r="A73" t="inlineStr">
        <is>
          <t>041631G</t>
        </is>
      </c>
      <c r="B73" t="inlineStr">
        <is>
          <t>Exchange Program (Undergraduate)</t>
        </is>
      </c>
      <c r="C73" t="inlineStr">
        <is>
          <t>Non AQF Award</t>
        </is>
      </c>
      <c r="D73" t="inlineStr">
        <is>
          <t>Non-award</t>
        </is>
      </c>
      <c r="E73" t="inlineStr">
        <is>
          <t>Held: page found is for another course</t>
        </is>
      </c>
      <c r="F73" t="inlineStr"/>
      <c r="G73" t="inlineStr">
        <is>
          <t>https://study.unimelb.edu.au/how-to-apply/international-exchange-and-study-abroad/research-program</t>
        </is>
      </c>
      <c r="H73" t="inlineStr">
        <is>
          <t>Page is for another course</t>
        </is>
      </c>
      <c r="I73" t="inlineStr"/>
      <c r="J73" t="inlineStr"/>
      <c r="K73" t="inlineStr">
        <is>
          <t>Finished, no page: no address from the university's address forms or stored lis</t>
        </is>
      </c>
      <c r="L73" t="inlineStr">
        <is>
          <t>Searching for course page</t>
        </is>
      </c>
      <c r="M73" t="inlineStr">
        <is>
          <t>Searching for course page</t>
        </is>
      </c>
      <c r="N73" t="inlineStr"/>
      <c r="O73" t="n">
        <v>0</v>
      </c>
      <c r="P73" t="inlineStr"/>
      <c r="Q73" t="inlineStr">
        <is>
          <t>Searching for course page</t>
        </is>
      </c>
      <c r="S73" t="inlineStr"/>
      <c r="T73" t="inlineStr">
        <is>
          <t>Level map (Melbourne): not computed per course in this report</t>
        </is>
      </c>
      <c r="U73" t="inlineStr"/>
      <c r="V73" t="inlineStr">
        <is>
          <t>Searching for course page</t>
        </is>
      </c>
      <c r="W73" t="inlineStr"/>
      <c r="X73" t="inlineStr"/>
      <c r="Y73" t="n">
        <v>0</v>
      </c>
      <c r="Z73" t="inlineStr">
        <is>
          <t>No</t>
        </is>
      </c>
      <c r="AA73" t="inlineStr">
        <is>
          <t>Not stated on course page</t>
        </is>
      </c>
      <c r="AB73" t="inlineStr"/>
      <c r="AC73" t="inlineStr">
        <is>
          <t>Skipped: no correct course page: the page found is for another course</t>
        </is>
      </c>
      <c r="AD73" t="n">
        <v>1</v>
      </c>
      <c r="AE73" t="inlineStr"/>
      <c r="AF73" t="inlineStr"/>
      <c r="AG73" t="inlineStr"/>
      <c r="AH73" t="inlineStr"/>
      <c r="AI73" t="inlineStr"/>
      <c r="AJ73" t="inlineStr"/>
      <c r="AK73" t="inlineStr"/>
      <c r="AL73" t="inlineStr"/>
      <c r="AM73" t="inlineStr"/>
    </row>
    <row r="74">
      <c r="A74" t="inlineStr">
        <is>
          <t>068099M</t>
        </is>
      </c>
      <c r="B74" t="inlineStr">
        <is>
          <t>Executive Master of Arts</t>
        </is>
      </c>
      <c r="C74" t="inlineStr">
        <is>
          <t>Masters Degree (Coursework)</t>
        </is>
      </c>
      <c r="D74" t="inlineStr">
        <is>
          <t>Postgraduate coursework</t>
        </is>
      </c>
      <c r="E74" t="inlineStr">
        <is>
          <t>Advertised: official page in place</t>
        </is>
      </c>
      <c r="F74" t="inlineStr">
        <is>
          <t>https://study.unimelb.edu.au/find/courses/graduate/executive-master-of-arts/</t>
        </is>
      </c>
      <c r="G74" t="inlineStr">
        <is>
          <t>https://study.unimelb.edu.au/find/courses/graduate/executive-master-of-arts/</t>
        </is>
      </c>
      <c r="H74" t="inlineStr">
        <is>
          <t>Read</t>
        </is>
      </c>
      <c r="I74" t="inlineStr">
        <is>
          <t>CRICOS code on page</t>
        </is>
      </c>
      <c r="J74" t="inlineStr"/>
      <c r="K74" t="inlineStr">
        <is>
          <t>Not sent to re-link</t>
        </is>
      </c>
      <c r="L74" t="inlineStr">
        <is>
          <t>Filled</t>
        </is>
      </c>
      <c r="M74" t="inlineStr">
        <is>
          <t>Filled</t>
        </is>
      </c>
      <c r="N74" t="inlineStr">
        <is>
          <t>52416.00 2027</t>
        </is>
      </c>
      <c r="O74" t="n">
        <v>3</v>
      </c>
      <c r="P74" t="inlineStr">
        <is>
          <t>Other</t>
        </is>
      </c>
      <c r="Q74" t="inlineStr">
        <is>
          <t>Filled</t>
        </is>
      </c>
      <c r="R74" t="n">
        <v>6.5</v>
      </c>
      <c r="S74" t="inlineStr">
        <is>
          <t>University adapter</t>
        </is>
      </c>
      <c r="T74" t="inlineStr">
        <is>
          <t>Level map (Melbourne): not computed per course in this report</t>
        </is>
      </c>
      <c r="U74" t="inlineStr"/>
      <c r="V74" t="inlineStr">
        <is>
          <t>Filled</t>
        </is>
      </c>
      <c r="W74" t="inlineStr">
        <is>
          <t>March, July</t>
        </is>
      </c>
      <c r="X74" t="inlineStr">
        <is>
          <t>University adapter</t>
        </is>
      </c>
      <c r="Y74" t="n">
        <v>0</v>
      </c>
      <c r="Z74" t="inlineStr">
        <is>
          <t>No</t>
        </is>
      </c>
      <c r="AA74" t="inlineStr">
        <is>
          <t>Filled</t>
        </is>
      </c>
      <c r="AB74" t="inlineStr">
        <is>
          <t>on campus</t>
        </is>
      </c>
      <c r="AC74" t="inlineStr"/>
      <c r="AD74" t="n">
        <v>0</v>
      </c>
      <c r="AE74" t="inlineStr"/>
      <c r="AF74" t="inlineStr"/>
      <c r="AG74" t="inlineStr"/>
      <c r="AH74" t="inlineStr"/>
      <c r="AI74" t="inlineStr"/>
      <c r="AJ74" t="inlineStr"/>
      <c r="AK74" t="inlineStr"/>
      <c r="AL74" t="inlineStr"/>
      <c r="AM74" t="inlineStr"/>
    </row>
    <row r="75">
      <c r="A75" t="inlineStr">
        <is>
          <t>085101C</t>
        </is>
      </c>
      <c r="B75" t="inlineStr">
        <is>
          <t>Graduate Certificate in Agricultural Sciences</t>
        </is>
      </c>
      <c r="C75" t="inlineStr">
        <is>
          <t>Graduate Certificate</t>
        </is>
      </c>
      <c r="D75" t="inlineStr">
        <is>
          <t>Postgraduate coursework</t>
        </is>
      </c>
      <c r="E75" t="inlineStr">
        <is>
          <t>Advertised: official page in place</t>
        </is>
      </c>
      <c r="F75" t="inlineStr">
        <is>
          <t>https://handbook.unimelb.edu.au/2026/courses/gc-agsc</t>
        </is>
      </c>
      <c r="G75" t="inlineStr">
        <is>
          <t>https://handbook.unimelb.edu.au/2026/courses/gc-agsc</t>
        </is>
      </c>
      <c r="H75" t="inlineStr">
        <is>
          <t>Read</t>
        </is>
      </c>
      <c r="I75" t="inlineStr">
        <is>
          <t>CRICOS code on page</t>
        </is>
      </c>
      <c r="J75" t="inlineStr"/>
      <c r="K75" t="inlineStr">
        <is>
          <t>Not sent to re-link</t>
        </is>
      </c>
      <c r="L75" t="inlineStr">
        <is>
          <t>Filled</t>
        </is>
      </c>
      <c r="M75" t="inlineStr">
        <is>
          <t>Filled</t>
        </is>
      </c>
      <c r="N75" t="inlineStr">
        <is>
          <t>59424.00 2027</t>
        </is>
      </c>
      <c r="O75" t="n">
        <v>3</v>
      </c>
      <c r="P75" t="inlineStr">
        <is>
          <t>Other</t>
        </is>
      </c>
      <c r="Q75" t="inlineStr">
        <is>
          <t>Filled</t>
        </is>
      </c>
      <c r="R75" t="n">
        <v>6.5</v>
      </c>
      <c r="S75" t="inlineStr">
        <is>
          <t>Central English policy</t>
        </is>
      </c>
      <c r="T75" t="inlineStr">
        <is>
          <t>Level map (Melbourne): not computed per course in this report</t>
        </is>
      </c>
      <c r="U75" t="inlineStr"/>
      <c r="V75" t="inlineStr">
        <is>
          <t>Not stated on course page</t>
        </is>
      </c>
      <c r="W75" t="inlineStr"/>
      <c r="X75" t="inlineStr"/>
      <c r="Y75" t="n">
        <v>0</v>
      </c>
      <c r="Z75" t="inlineStr">
        <is>
          <t>No</t>
        </is>
      </c>
      <c r="AA75" t="inlineStr">
        <is>
          <t>Filled</t>
        </is>
      </c>
      <c r="AB75" t="inlineStr">
        <is>
          <t>on campus</t>
        </is>
      </c>
      <c r="AC75" t="inlineStr"/>
      <c r="AD75" t="n">
        <v>0</v>
      </c>
      <c r="AE75" t="inlineStr"/>
      <c r="AF75" t="inlineStr"/>
      <c r="AG75" t="inlineStr"/>
      <c r="AH75" t="inlineStr"/>
      <c r="AI75" t="inlineStr">
        <is>
          <t>Yes</t>
        </is>
      </c>
      <c r="AJ75" t="inlineStr"/>
      <c r="AK75" t="inlineStr"/>
      <c r="AL75" t="inlineStr"/>
      <c r="AM75" t="inlineStr"/>
    </row>
    <row r="76">
      <c r="A76" t="inlineStr">
        <is>
          <t>031944F</t>
        </is>
      </c>
      <c r="B76" t="inlineStr">
        <is>
          <t>Graduate Certificate in Arts</t>
        </is>
      </c>
      <c r="C76" t="inlineStr">
        <is>
          <t>Graduate Certificate</t>
        </is>
      </c>
      <c r="D76" t="inlineStr">
        <is>
          <t>Postgraduate coursework</t>
        </is>
      </c>
      <c r="E76" t="inlineStr">
        <is>
          <t>Advertised: official page in place</t>
        </is>
      </c>
      <c r="F76" t="inlineStr">
        <is>
          <t>https://handbook.unimelb.edu.au/2026/courses/gc-arts</t>
        </is>
      </c>
      <c r="G76" t="inlineStr">
        <is>
          <t>https://handbook.unimelb.edu.au/2026/courses/gc-arts</t>
        </is>
      </c>
      <c r="H76" t="inlineStr">
        <is>
          <t>Read</t>
        </is>
      </c>
      <c r="I76" t="inlineStr">
        <is>
          <t>CRICOS code on page</t>
        </is>
      </c>
      <c r="J76" t="inlineStr"/>
      <c r="K76" t="inlineStr">
        <is>
          <t>Not sent to re-link</t>
        </is>
      </c>
      <c r="L76" t="inlineStr">
        <is>
          <t>Filled</t>
        </is>
      </c>
      <c r="M76" t="inlineStr">
        <is>
          <t>Filled</t>
        </is>
      </c>
      <c r="N76" t="inlineStr">
        <is>
          <t>50560.00 2027</t>
        </is>
      </c>
      <c r="O76" t="n">
        <v>3</v>
      </c>
      <c r="P76" t="inlineStr">
        <is>
          <t>Other</t>
        </is>
      </c>
      <c r="Q76" t="inlineStr">
        <is>
          <t>Filled</t>
        </is>
      </c>
      <c r="R76" t="n">
        <v>6.5</v>
      </c>
      <c r="S76" t="inlineStr">
        <is>
          <t>Central English policy</t>
        </is>
      </c>
      <c r="T76" t="inlineStr">
        <is>
          <t>Level map (Melbourne): not computed per course in this report</t>
        </is>
      </c>
      <c r="U76" t="inlineStr"/>
      <c r="V76" t="inlineStr">
        <is>
          <t>Filled</t>
        </is>
      </c>
      <c r="W76" t="inlineStr">
        <is>
          <t>March</t>
        </is>
      </c>
      <c r="X76" t="inlineStr">
        <is>
          <t>Other</t>
        </is>
      </c>
      <c r="Y76" t="n">
        <v>0</v>
      </c>
      <c r="Z76" t="inlineStr">
        <is>
          <t>No</t>
        </is>
      </c>
      <c r="AA76" t="inlineStr">
        <is>
          <t>Filled</t>
        </is>
      </c>
      <c r="AB76" t="inlineStr">
        <is>
          <t>on campus</t>
        </is>
      </c>
      <c r="AC76" t="inlineStr"/>
      <c r="AD76" t="n">
        <v>0</v>
      </c>
      <c r="AE76" t="inlineStr"/>
      <c r="AF76" t="inlineStr"/>
      <c r="AG76" t="inlineStr"/>
      <c r="AH76" t="inlineStr"/>
      <c r="AI76" t="inlineStr"/>
      <c r="AJ76" t="inlineStr"/>
      <c r="AK76" t="inlineStr"/>
      <c r="AL76" t="inlineStr"/>
      <c r="AM76" t="inlineStr"/>
    </row>
    <row r="77">
      <c r="A77" t="inlineStr">
        <is>
          <t>031945E</t>
        </is>
      </c>
      <c r="B77" t="inlineStr">
        <is>
          <t>Graduate Certificate in Arts (Advanced)</t>
        </is>
      </c>
      <c r="C77" t="inlineStr">
        <is>
          <t>Graduate Certificate</t>
        </is>
      </c>
      <c r="D77" t="inlineStr">
        <is>
          <t>Postgraduate coursework</t>
        </is>
      </c>
      <c r="E77" t="inlineStr">
        <is>
          <t>Advertised: official page in place</t>
        </is>
      </c>
      <c r="F77" t="inlineStr">
        <is>
          <t>https://handbook.unimelb.edu.au/2026/courses/gca-arts</t>
        </is>
      </c>
      <c r="G77" t="inlineStr">
        <is>
          <t>https://handbook.unimelb.edu.au/2026/courses/gca-arts</t>
        </is>
      </c>
      <c r="H77" t="inlineStr">
        <is>
          <t>Read</t>
        </is>
      </c>
      <c r="I77" t="inlineStr">
        <is>
          <t>CRICOS code on page</t>
        </is>
      </c>
      <c r="J77" t="inlineStr"/>
      <c r="K77" t="inlineStr">
        <is>
          <t>Not sent to re-link</t>
        </is>
      </c>
      <c r="L77" t="inlineStr">
        <is>
          <t>Filled</t>
        </is>
      </c>
      <c r="M77" t="inlineStr">
        <is>
          <t>Filled</t>
        </is>
      </c>
      <c r="N77" t="inlineStr">
        <is>
          <t>52416.00 2027</t>
        </is>
      </c>
      <c r="O77" t="n">
        <v>3</v>
      </c>
      <c r="P77" t="inlineStr">
        <is>
          <t>Other</t>
        </is>
      </c>
      <c r="Q77" t="inlineStr">
        <is>
          <t>Filled</t>
        </is>
      </c>
      <c r="R77" t="n">
        <v>6.5</v>
      </c>
      <c r="S77" t="inlineStr">
        <is>
          <t>Central English policy</t>
        </is>
      </c>
      <c r="T77" t="inlineStr">
        <is>
          <t>Level map (Melbourne): not computed per course in this report</t>
        </is>
      </c>
      <c r="U77" t="inlineStr"/>
      <c r="V77" t="inlineStr">
        <is>
          <t>Not stated on course page</t>
        </is>
      </c>
      <c r="W77" t="inlineStr"/>
      <c r="X77" t="inlineStr"/>
      <c r="Y77" t="n">
        <v>0</v>
      </c>
      <c r="Z77" t="inlineStr">
        <is>
          <t>No</t>
        </is>
      </c>
      <c r="AA77" t="inlineStr">
        <is>
          <t>Filled</t>
        </is>
      </c>
      <c r="AB77" t="inlineStr">
        <is>
          <t>on campus</t>
        </is>
      </c>
      <c r="AC77" t="inlineStr"/>
      <c r="AD77" t="n">
        <v>0</v>
      </c>
      <c r="AE77" t="inlineStr"/>
      <c r="AF77" t="inlineStr"/>
      <c r="AG77" t="inlineStr"/>
      <c r="AH77" t="inlineStr"/>
      <c r="AI77" t="inlineStr">
        <is>
          <t>Yes</t>
        </is>
      </c>
      <c r="AJ77" t="inlineStr"/>
      <c r="AK77" t="inlineStr"/>
      <c r="AL77" t="inlineStr"/>
      <c r="AM77" t="inlineStr"/>
    </row>
    <row r="78">
      <c r="A78" t="inlineStr">
        <is>
          <t>073114G</t>
        </is>
      </c>
      <c r="B78" t="inlineStr">
        <is>
          <t>Graduate Certificate in Bushfire Planning and Management</t>
        </is>
      </c>
      <c r="C78" t="inlineStr">
        <is>
          <t>Graduate Certificate</t>
        </is>
      </c>
      <c r="D78" t="inlineStr">
        <is>
          <t>Postgraduate coursework</t>
        </is>
      </c>
      <c r="E78" t="inlineStr">
        <is>
          <t>Advertised: official page in place</t>
        </is>
      </c>
      <c r="F78" t="inlineStr">
        <is>
          <t>https://study.unimelb.edu.au/find/courses/graduate/graduate-certificate-in-bushfire-planning-and-management/</t>
        </is>
      </c>
      <c r="G78" t="inlineStr">
        <is>
          <t>https://study.unimelb.edu.au/find/courses/graduate/graduate-certificate-in-bushfire-planning-and-management/</t>
        </is>
      </c>
      <c r="H78" t="inlineStr">
        <is>
          <t>Read</t>
        </is>
      </c>
      <c r="I78" t="inlineStr">
        <is>
          <t>Exact title match</t>
        </is>
      </c>
      <c r="J78" t="inlineStr"/>
      <c r="K78" t="inlineStr">
        <is>
          <t>Not sent to re-link</t>
        </is>
      </c>
      <c r="L78" t="inlineStr">
        <is>
          <t>Filled</t>
        </is>
      </c>
      <c r="M78" t="inlineStr">
        <is>
          <t>Not stated on course page</t>
        </is>
      </c>
      <c r="N78" t="inlineStr"/>
      <c r="O78" t="n">
        <v>0</v>
      </c>
      <c r="P78" t="inlineStr"/>
      <c r="Q78" t="inlineStr">
        <is>
          <t>Filled</t>
        </is>
      </c>
      <c r="R78" t="n">
        <v>6.5</v>
      </c>
      <c r="S78" t="inlineStr">
        <is>
          <t>University adapter</t>
        </is>
      </c>
      <c r="T78" t="inlineStr">
        <is>
          <t>Level map (Melbourne): not computed per course in this report</t>
        </is>
      </c>
      <c r="U78" t="inlineStr"/>
      <c r="V78" t="inlineStr">
        <is>
          <t>Filled</t>
        </is>
      </c>
      <c r="W78" t="inlineStr">
        <is>
          <t>February</t>
        </is>
      </c>
      <c r="X78" t="inlineStr">
        <is>
          <t>Other</t>
        </is>
      </c>
      <c r="Y78" t="n">
        <v>0</v>
      </c>
      <c r="Z78" t="inlineStr">
        <is>
          <t>No</t>
        </is>
      </c>
      <c r="AA78" t="inlineStr">
        <is>
          <t>Filled</t>
        </is>
      </c>
      <c r="AB78" t="inlineStr">
        <is>
          <t>blended</t>
        </is>
      </c>
      <c r="AC78" t="inlineStr"/>
      <c r="AD78" t="n">
        <v>0</v>
      </c>
      <c r="AE78" t="inlineStr"/>
      <c r="AF78" t="inlineStr"/>
      <c r="AG78" t="inlineStr"/>
      <c r="AH78" t="inlineStr"/>
      <c r="AI78" t="inlineStr"/>
      <c r="AJ78" t="inlineStr"/>
      <c r="AK78" t="inlineStr"/>
      <c r="AL78" t="inlineStr"/>
      <c r="AM78" t="inlineStr"/>
    </row>
    <row r="79">
      <c r="A79" t="inlineStr">
        <is>
          <t>099422D</t>
        </is>
      </c>
      <c r="B79" t="inlineStr">
        <is>
          <t>Graduate Certificate in Computer Science</t>
        </is>
      </c>
      <c r="C79" t="inlineStr">
        <is>
          <t>Graduate Certificate</t>
        </is>
      </c>
      <c r="D79" t="inlineStr">
        <is>
          <t>Postgraduate coursework</t>
        </is>
      </c>
      <c r="E79" t="inlineStr">
        <is>
          <t>Advertised: official page in place</t>
        </is>
      </c>
      <c r="F79" t="inlineStr">
        <is>
          <t>https://handbook.unimelb.edu.au/2023/courses/gc-cs</t>
        </is>
      </c>
      <c r="G79" t="inlineStr">
        <is>
          <t>https://handbook.unimelb.edu.au/2026/courses/gc-cs</t>
        </is>
      </c>
      <c r="H79" t="inlineStr">
        <is>
          <t>Needs a rendered read</t>
        </is>
      </c>
      <c r="I79" t="inlineStr"/>
      <c r="J79" t="inlineStr"/>
      <c r="K79" t="inlineStr">
        <is>
          <t>Finished, no page: no address from the university's address forms or stored lis</t>
        </is>
      </c>
      <c r="L79" t="inlineStr">
        <is>
          <t>Filled</t>
        </is>
      </c>
      <c r="M79" t="inlineStr">
        <is>
          <t>Not stated on course page</t>
        </is>
      </c>
      <c r="N79" t="inlineStr"/>
      <c r="O79" t="n">
        <v>0</v>
      </c>
      <c r="P79" t="inlineStr"/>
      <c r="Q79" t="inlineStr">
        <is>
          <t>Not stated on course page</t>
        </is>
      </c>
      <c r="S79" t="inlineStr"/>
      <c r="T79" t="inlineStr">
        <is>
          <t>Level map (Melbourne): not computed per course in this report</t>
        </is>
      </c>
      <c r="U79" t="inlineStr"/>
      <c r="V79" t="inlineStr">
        <is>
          <t>Not stated on course page</t>
        </is>
      </c>
      <c r="W79" t="inlineStr"/>
      <c r="X79" t="inlineStr"/>
      <c r="Y79" t="n">
        <v>0</v>
      </c>
      <c r="Z79" t="inlineStr">
        <is>
          <t>No</t>
        </is>
      </c>
      <c r="AA79" t="inlineStr">
        <is>
          <t>Filled</t>
        </is>
      </c>
      <c r="AB79" t="inlineStr">
        <is>
          <t>on campus</t>
        </is>
      </c>
      <c r="AC79" t="inlineStr"/>
      <c r="AD79" t="n">
        <v>0</v>
      </c>
      <c r="AE79" t="inlineStr">
        <is>
          <t>Yes</t>
        </is>
      </c>
      <c r="AF79" t="inlineStr"/>
      <c r="AG79" t="inlineStr"/>
      <c r="AH79" t="inlineStr"/>
      <c r="AI79" t="inlineStr">
        <is>
          <t>Yes</t>
        </is>
      </c>
      <c r="AJ79" t="inlineStr"/>
      <c r="AK79" t="inlineStr"/>
      <c r="AL79" t="inlineStr"/>
      <c r="AM79" t="inlineStr"/>
    </row>
    <row r="80">
      <c r="A80" t="inlineStr">
        <is>
          <t>075300A</t>
        </is>
      </c>
      <c r="B80" t="inlineStr">
        <is>
          <t>Graduate Certificate in Education</t>
        </is>
      </c>
      <c r="C80" t="inlineStr">
        <is>
          <t>Graduate Certificate</t>
        </is>
      </c>
      <c r="D80" t="inlineStr">
        <is>
          <t>Postgraduate coursework</t>
        </is>
      </c>
      <c r="E80" t="inlineStr">
        <is>
          <t>Advertised: official page in place</t>
        </is>
      </c>
      <c r="F80" t="inlineStr">
        <is>
          <t>https://handbook.unimelb.edu.au/2026/courses/gc-edld</t>
        </is>
      </c>
      <c r="G80" t="inlineStr">
        <is>
          <t>https://handbook.unimelb.edu.au/2026/courses/gc-edld</t>
        </is>
      </c>
      <c r="H80" t="inlineStr">
        <is>
          <t>Read</t>
        </is>
      </c>
      <c r="I80" t="inlineStr">
        <is>
          <t>Exact title match</t>
        </is>
      </c>
      <c r="J80" t="inlineStr"/>
      <c r="K80" t="inlineStr">
        <is>
          <t>Not sent to re-link</t>
        </is>
      </c>
      <c r="L80" t="inlineStr">
        <is>
          <t>Filled</t>
        </is>
      </c>
      <c r="M80" t="inlineStr">
        <is>
          <t>Filled</t>
        </is>
      </c>
      <c r="N80" t="inlineStr">
        <is>
          <t>52960.00 2027</t>
        </is>
      </c>
      <c r="O80" t="n">
        <v>3</v>
      </c>
      <c r="P80" t="inlineStr">
        <is>
          <t>Other</t>
        </is>
      </c>
      <c r="Q80" t="inlineStr">
        <is>
          <t>Filled</t>
        </is>
      </c>
      <c r="R80" t="n">
        <v>7</v>
      </c>
      <c r="S80" t="inlineStr">
        <is>
          <t>Central English policy</t>
        </is>
      </c>
      <c r="T80" t="inlineStr">
        <is>
          <t>Level map (Melbourne): not computed per course in this report</t>
        </is>
      </c>
      <c r="U80" t="inlineStr"/>
      <c r="V80" t="inlineStr">
        <is>
          <t>Not stated on course page</t>
        </is>
      </c>
      <c r="W80" t="inlineStr"/>
      <c r="X80" t="inlineStr"/>
      <c r="Y80" t="n">
        <v>0</v>
      </c>
      <c r="Z80" t="inlineStr">
        <is>
          <t>No</t>
        </is>
      </c>
      <c r="AA80" t="inlineStr">
        <is>
          <t>Filled</t>
        </is>
      </c>
      <c r="AB80" t="inlineStr">
        <is>
          <t>online</t>
        </is>
      </c>
      <c r="AC80" t="inlineStr"/>
      <c r="AD80" t="n">
        <v>0</v>
      </c>
      <c r="AE80" t="inlineStr"/>
      <c r="AF80" t="inlineStr"/>
      <c r="AG80" t="inlineStr"/>
      <c r="AH80" t="inlineStr"/>
      <c r="AI80" t="inlineStr">
        <is>
          <t>Yes</t>
        </is>
      </c>
      <c r="AJ80" t="inlineStr"/>
      <c r="AK80" t="inlineStr"/>
      <c r="AL80" t="inlineStr"/>
      <c r="AM80" t="inlineStr"/>
    </row>
    <row r="81">
      <c r="A81" t="inlineStr">
        <is>
          <t>070381B</t>
        </is>
      </c>
      <c r="B81" t="inlineStr">
        <is>
          <t>Graduate Certificate in Educational Research</t>
        </is>
      </c>
      <c r="C81" t="inlineStr">
        <is>
          <t>Graduate Certificate</t>
        </is>
      </c>
      <c r="D81" t="inlineStr">
        <is>
          <t>Postgraduate coursework</t>
        </is>
      </c>
      <c r="E81" t="inlineStr">
        <is>
          <t>Advertised: official page in place</t>
        </is>
      </c>
      <c r="F81" t="inlineStr">
        <is>
          <t>https://handbook.unimelb.edu.au/2026/courses/gc-edres</t>
        </is>
      </c>
      <c r="G81" t="inlineStr">
        <is>
          <t>https://handbook.unimelb.edu.au/2026/courses/gc-edres</t>
        </is>
      </c>
      <c r="H81" t="inlineStr">
        <is>
          <t>Read</t>
        </is>
      </c>
      <c r="I81" t="inlineStr">
        <is>
          <t>CRICOS code on page</t>
        </is>
      </c>
      <c r="J81" t="inlineStr"/>
      <c r="K81" t="inlineStr">
        <is>
          <t>Not sent to re-link</t>
        </is>
      </c>
      <c r="L81" t="inlineStr">
        <is>
          <t>Filled</t>
        </is>
      </c>
      <c r="M81" t="inlineStr">
        <is>
          <t>Filled</t>
        </is>
      </c>
      <c r="N81" t="inlineStr">
        <is>
          <t>52960.00 2027</t>
        </is>
      </c>
      <c r="O81" t="n">
        <v>3</v>
      </c>
      <c r="P81" t="inlineStr">
        <is>
          <t>Other</t>
        </is>
      </c>
      <c r="Q81" t="inlineStr">
        <is>
          <t>Filled</t>
        </is>
      </c>
      <c r="R81" t="n">
        <v>7</v>
      </c>
      <c r="S81" t="inlineStr">
        <is>
          <t>Central English policy</t>
        </is>
      </c>
      <c r="T81" t="inlineStr">
        <is>
          <t>Level map (Melbourne): not computed per course in this report</t>
        </is>
      </c>
      <c r="U81" t="inlineStr"/>
      <c r="V81" t="inlineStr">
        <is>
          <t>Not stated on course page</t>
        </is>
      </c>
      <c r="W81" t="inlineStr"/>
      <c r="X81" t="inlineStr"/>
      <c r="Y81" t="n">
        <v>0</v>
      </c>
      <c r="Z81" t="inlineStr">
        <is>
          <t>No</t>
        </is>
      </c>
      <c r="AA81" t="inlineStr">
        <is>
          <t>Filled</t>
        </is>
      </c>
      <c r="AB81" t="inlineStr">
        <is>
          <t>on campus and online</t>
        </is>
      </c>
      <c r="AC81" t="inlineStr"/>
      <c r="AD81" t="n">
        <v>0</v>
      </c>
      <c r="AE81" t="inlineStr"/>
      <c r="AF81" t="inlineStr"/>
      <c r="AG81" t="inlineStr"/>
      <c r="AH81" t="inlineStr"/>
      <c r="AI81" t="inlineStr">
        <is>
          <t>Yes</t>
        </is>
      </c>
      <c r="AJ81" t="inlineStr"/>
      <c r="AK81" t="inlineStr"/>
      <c r="AL81" t="inlineStr"/>
      <c r="AM81" t="inlineStr"/>
    </row>
    <row r="82">
      <c r="A82" t="inlineStr">
        <is>
          <t>045960B</t>
        </is>
      </c>
      <c r="B82" t="inlineStr">
        <is>
          <t>Graduate Certificate in Engineering</t>
        </is>
      </c>
      <c r="C82" t="inlineStr">
        <is>
          <t>Graduate Certificate</t>
        </is>
      </c>
      <c r="D82" t="inlineStr">
        <is>
          <t>Postgraduate coursework</t>
        </is>
      </c>
      <c r="E82" t="inlineStr">
        <is>
          <t>No-page record (no page), awaiting review</t>
        </is>
      </c>
      <c r="F82" t="inlineStr"/>
      <c r="G82" t="inlineStr">
        <is>
          <t>https://handbook.unimelb.edu.au/2026/courses/gc-porteng</t>
        </is>
      </c>
      <c r="H82" t="inlineStr">
        <is>
          <t>Page is for another course</t>
        </is>
      </c>
      <c r="I82" t="inlineStr"/>
      <c r="J82" t="inlineStr">
        <is>
          <t>No page (proposed)</t>
        </is>
      </c>
      <c r="K82" t="inlineStr">
        <is>
          <t>Finished, no page: no address from the university's address forms or stored lis</t>
        </is>
      </c>
      <c r="L82" t="inlineStr">
        <is>
          <t>Not stated on course page</t>
        </is>
      </c>
      <c r="M82" t="inlineStr">
        <is>
          <t>Filled</t>
        </is>
      </c>
      <c r="N82" t="inlineStr">
        <is>
          <t>66752.00 2027</t>
        </is>
      </c>
      <c r="O82" t="n">
        <v>3</v>
      </c>
      <c r="P82" t="inlineStr">
        <is>
          <t>Other</t>
        </is>
      </c>
      <c r="Q82" t="inlineStr">
        <is>
          <t>Waiting for Layer 4 review</t>
        </is>
      </c>
      <c r="S82" t="inlineStr"/>
      <c r="T82" t="inlineStr">
        <is>
          <t>Level map (Melbourne): not computed per course in this report</t>
        </is>
      </c>
      <c r="U82" t="inlineStr"/>
      <c r="V82" t="inlineStr">
        <is>
          <t>Not stated on course page</t>
        </is>
      </c>
      <c r="W82" t="inlineStr"/>
      <c r="X82" t="inlineStr"/>
      <c r="Y82" t="n">
        <v>0</v>
      </c>
      <c r="Z82" t="inlineStr">
        <is>
          <t>No</t>
        </is>
      </c>
      <c r="AA82" t="inlineStr">
        <is>
          <t>Not stated on course page</t>
        </is>
      </c>
      <c r="AB82" t="inlineStr"/>
      <c r="AC82" t="inlineStr">
        <is>
          <t>Skipped: no correct course page: the page found is for another course</t>
        </is>
      </c>
      <c r="AD82" t="n">
        <v>1</v>
      </c>
      <c r="AE82" t="inlineStr"/>
      <c r="AF82" t="inlineStr">
        <is>
          <t>Yes</t>
        </is>
      </c>
      <c r="AG82" t="inlineStr"/>
      <c r="AH82" t="inlineStr"/>
      <c r="AI82" t="inlineStr"/>
      <c r="AJ82" t="inlineStr"/>
      <c r="AK82" t="inlineStr"/>
      <c r="AL82" t="inlineStr"/>
      <c r="AM82" t="inlineStr">
        <is>
          <t>Yes</t>
        </is>
      </c>
    </row>
    <row r="83">
      <c r="A83" t="inlineStr">
        <is>
          <t>107113B</t>
        </is>
      </c>
      <c r="B83" t="inlineStr">
        <is>
          <t>Graduate Certificate in Entrepreneurship</t>
        </is>
      </c>
      <c r="C83" t="inlineStr">
        <is>
          <t>Graduate Certificate</t>
        </is>
      </c>
      <c r="D83" t="inlineStr">
        <is>
          <t>Postgraduate coursework</t>
        </is>
      </c>
      <c r="E83" t="inlineStr">
        <is>
          <t>Advertised: official page in place</t>
        </is>
      </c>
      <c r="F83" t="inlineStr">
        <is>
          <t>https://study.unimelb.edu.au/find/courses/graduate/graduate-certificate-in-entrepreneurship/</t>
        </is>
      </c>
      <c r="G83" t="inlineStr">
        <is>
          <t>https://study.unimelb.edu.au/find/courses/graduate/graduate-certificate-in-entrepreneurship/</t>
        </is>
      </c>
      <c r="H83" t="inlineStr">
        <is>
          <t>Read</t>
        </is>
      </c>
      <c r="I83" t="inlineStr">
        <is>
          <t>CRICOS code on page</t>
        </is>
      </c>
      <c r="J83" t="inlineStr"/>
      <c r="K83" t="inlineStr">
        <is>
          <t>Not sent to re-link</t>
        </is>
      </c>
      <c r="L83" t="inlineStr">
        <is>
          <t>Filled</t>
        </is>
      </c>
      <c r="M83" t="inlineStr">
        <is>
          <t>Filled</t>
        </is>
      </c>
      <c r="N83" t="inlineStr">
        <is>
          <t>64640.00 2027</t>
        </is>
      </c>
      <c r="O83" t="n">
        <v>3</v>
      </c>
      <c r="P83" t="inlineStr">
        <is>
          <t>Other</t>
        </is>
      </c>
      <c r="Q83" t="inlineStr">
        <is>
          <t>Filled</t>
        </is>
      </c>
      <c r="R83" t="n">
        <v>6.5</v>
      </c>
      <c r="S83" t="inlineStr">
        <is>
          <t>University adapter</t>
        </is>
      </c>
      <c r="T83" t="inlineStr">
        <is>
          <t>Level map (Melbourne): not computed per course in this report</t>
        </is>
      </c>
      <c r="U83" t="inlineStr"/>
      <c r="V83" t="inlineStr">
        <is>
          <t>Filled</t>
        </is>
      </c>
      <c r="W83" t="inlineStr">
        <is>
          <t>July</t>
        </is>
      </c>
      <c r="X83" t="inlineStr">
        <is>
          <t>University adapter</t>
        </is>
      </c>
      <c r="Y83" t="n">
        <v>0</v>
      </c>
      <c r="Z83" t="inlineStr">
        <is>
          <t>No</t>
        </is>
      </c>
      <c r="AA83" t="inlineStr">
        <is>
          <t>Filled</t>
        </is>
      </c>
      <c r="AB83" t="inlineStr">
        <is>
          <t>on campus</t>
        </is>
      </c>
      <c r="AC83" t="inlineStr"/>
      <c r="AD83" t="n">
        <v>0</v>
      </c>
      <c r="AE83" t="inlineStr"/>
      <c r="AF83" t="inlineStr"/>
      <c r="AG83" t="inlineStr"/>
      <c r="AH83" t="inlineStr"/>
      <c r="AI83" t="inlineStr"/>
      <c r="AJ83" t="inlineStr"/>
      <c r="AK83" t="inlineStr"/>
      <c r="AL83" t="inlineStr"/>
      <c r="AM83" t="inlineStr"/>
    </row>
    <row r="84">
      <c r="A84" t="inlineStr">
        <is>
          <t>089647C</t>
        </is>
      </c>
      <c r="B84" t="inlineStr">
        <is>
          <t>Graduate Certificate in Entrepreneurship</t>
        </is>
      </c>
      <c r="C84" t="inlineStr">
        <is>
          <t>Graduate Certificate</t>
        </is>
      </c>
      <c r="D84" t="inlineStr">
        <is>
          <t>Postgraduate coursework</t>
        </is>
      </c>
      <c r="E84" t="inlineStr">
        <is>
          <t>Advertised: official page in place</t>
        </is>
      </c>
      <c r="F84" t="inlineStr">
        <is>
          <t>https://study.unimelb.edu.au/find/courses/graduate/graduate-certificate-in-entrepreneurship/</t>
        </is>
      </c>
      <c r="G84" t="inlineStr">
        <is>
          <t>https://study.unimelb.edu.au/find/courses/graduate/graduate-certificate-in-entrepreneurship/</t>
        </is>
      </c>
      <c r="H84" t="inlineStr">
        <is>
          <t>Read</t>
        </is>
      </c>
      <c r="I84" t="inlineStr">
        <is>
          <t>Exact title match</t>
        </is>
      </c>
      <c r="J84" t="inlineStr"/>
      <c r="K84" t="inlineStr">
        <is>
          <t>Not sent to re-link</t>
        </is>
      </c>
      <c r="L84" t="inlineStr">
        <is>
          <t>Filled</t>
        </is>
      </c>
      <c r="M84" t="inlineStr">
        <is>
          <t>Not stated on course page</t>
        </is>
      </c>
      <c r="N84" t="inlineStr"/>
      <c r="O84" t="n">
        <v>0</v>
      </c>
      <c r="P84" t="inlineStr"/>
      <c r="Q84" t="inlineStr">
        <is>
          <t>Filled</t>
        </is>
      </c>
      <c r="R84" t="n">
        <v>6.5</v>
      </c>
      <c r="S84" t="inlineStr">
        <is>
          <t>University adapter</t>
        </is>
      </c>
      <c r="T84" t="inlineStr">
        <is>
          <t>Level map (Melbourne): not computed per course in this report</t>
        </is>
      </c>
      <c r="U84" t="inlineStr"/>
      <c r="V84" t="inlineStr">
        <is>
          <t>Filled</t>
        </is>
      </c>
      <c r="W84" t="inlineStr">
        <is>
          <t>July</t>
        </is>
      </c>
      <c r="X84" t="inlineStr">
        <is>
          <t>Other</t>
        </is>
      </c>
      <c r="Y84" t="n">
        <v>0</v>
      </c>
      <c r="Z84" t="inlineStr">
        <is>
          <t>No</t>
        </is>
      </c>
      <c r="AA84" t="inlineStr">
        <is>
          <t>Filled</t>
        </is>
      </c>
      <c r="AB84" t="inlineStr">
        <is>
          <t>on campus</t>
        </is>
      </c>
      <c r="AC84" t="inlineStr"/>
      <c r="AD84" t="n">
        <v>0</v>
      </c>
      <c r="AE84" t="inlineStr"/>
      <c r="AF84" t="inlineStr"/>
      <c r="AG84" t="inlineStr"/>
      <c r="AH84" t="inlineStr"/>
      <c r="AI84" t="inlineStr"/>
      <c r="AJ84" t="inlineStr"/>
      <c r="AK84" t="inlineStr"/>
      <c r="AL84" t="inlineStr"/>
      <c r="AM84" t="inlineStr"/>
    </row>
    <row r="85">
      <c r="A85" t="inlineStr">
        <is>
          <t>040953G</t>
        </is>
      </c>
      <c r="B85" t="inlineStr">
        <is>
          <t>Graduate Certificate in Environment</t>
        </is>
      </c>
      <c r="C85" t="inlineStr">
        <is>
          <t>Graduate Certificate</t>
        </is>
      </c>
      <c r="D85" t="inlineStr">
        <is>
          <t>Postgraduate coursework</t>
        </is>
      </c>
      <c r="E85" t="inlineStr">
        <is>
          <t>Advertised: official page in place</t>
        </is>
      </c>
      <c r="F85" t="inlineStr">
        <is>
          <t>https://study.unimelb.edu.au/find/courses/graduate/graduate-certificate-in-environment/</t>
        </is>
      </c>
      <c r="G85" t="inlineStr">
        <is>
          <t>https://study.unimelb.edu.au/find/courses/graduate/graduate-certificate-in-environment/</t>
        </is>
      </c>
      <c r="H85" t="inlineStr">
        <is>
          <t>Read</t>
        </is>
      </c>
      <c r="I85" t="inlineStr">
        <is>
          <t>CRICOS code on page</t>
        </is>
      </c>
      <c r="J85" t="inlineStr"/>
      <c r="K85" t="inlineStr">
        <is>
          <t>Not sent to re-link</t>
        </is>
      </c>
      <c r="L85" t="inlineStr">
        <is>
          <t>Filled</t>
        </is>
      </c>
      <c r="M85" t="inlineStr">
        <is>
          <t>Filled</t>
        </is>
      </c>
      <c r="N85" t="inlineStr">
        <is>
          <t>62496.00 2027</t>
        </is>
      </c>
      <c r="O85" t="n">
        <v>3</v>
      </c>
      <c r="P85" t="inlineStr">
        <is>
          <t>Other</t>
        </is>
      </c>
      <c r="Q85" t="inlineStr">
        <is>
          <t>Filled</t>
        </is>
      </c>
      <c r="R85" t="n">
        <v>6.5</v>
      </c>
      <c r="S85" t="inlineStr">
        <is>
          <t>University adapter</t>
        </is>
      </c>
      <c r="T85" t="inlineStr">
        <is>
          <t>Level map (Melbourne): not computed per course in this report</t>
        </is>
      </c>
      <c r="U85" t="inlineStr"/>
      <c r="V85" t="inlineStr">
        <is>
          <t>Filled</t>
        </is>
      </c>
      <c r="W85" t="inlineStr">
        <is>
          <t>March, July</t>
        </is>
      </c>
      <c r="X85" t="inlineStr">
        <is>
          <t>Other</t>
        </is>
      </c>
      <c r="Y85" t="n">
        <v>0</v>
      </c>
      <c r="Z85" t="inlineStr">
        <is>
          <t>No</t>
        </is>
      </c>
      <c r="AA85" t="inlineStr">
        <is>
          <t>Filled</t>
        </is>
      </c>
      <c r="AB85" t="inlineStr">
        <is>
          <t>on campus</t>
        </is>
      </c>
      <c r="AC85" t="inlineStr"/>
      <c r="AD85" t="n">
        <v>0</v>
      </c>
      <c r="AE85" t="inlineStr"/>
      <c r="AF85" t="inlineStr"/>
      <c r="AG85" t="inlineStr"/>
      <c r="AH85" t="inlineStr"/>
      <c r="AI85" t="inlineStr"/>
      <c r="AJ85" t="inlineStr"/>
      <c r="AK85" t="inlineStr"/>
      <c r="AL85" t="inlineStr"/>
      <c r="AM85" t="inlineStr"/>
    </row>
    <row r="86">
      <c r="A86" t="inlineStr">
        <is>
          <t>073591A</t>
        </is>
      </c>
      <c r="B86" t="inlineStr">
        <is>
          <t>Graduate Certificate in Evaluation</t>
        </is>
      </c>
      <c r="C86" t="inlineStr">
        <is>
          <t>Graduate Certificate</t>
        </is>
      </c>
      <c r="D86" t="inlineStr">
        <is>
          <t>Postgraduate coursework</t>
        </is>
      </c>
      <c r="E86" t="inlineStr">
        <is>
          <t>Advertised: official page in place</t>
        </is>
      </c>
      <c r="F86" t="inlineStr">
        <is>
          <t>https://study.unimelb.edu.au/find/courses/graduate/graduate-certificate-in-evaluation/</t>
        </is>
      </c>
      <c r="G86" t="inlineStr">
        <is>
          <t>https://study.unimelb.edu.au/find/courses/graduate/graduate-certificate-in-evaluation/</t>
        </is>
      </c>
      <c r="H86" t="inlineStr">
        <is>
          <t>Read</t>
        </is>
      </c>
      <c r="I86" t="inlineStr">
        <is>
          <t>Exact title match</t>
        </is>
      </c>
      <c r="J86" t="inlineStr"/>
      <c r="K86" t="inlineStr">
        <is>
          <t>Not sent to re-link</t>
        </is>
      </c>
      <c r="L86" t="inlineStr">
        <is>
          <t>Filled</t>
        </is>
      </c>
      <c r="M86" t="inlineStr">
        <is>
          <t>Not stated on course page</t>
        </is>
      </c>
      <c r="N86" t="inlineStr"/>
      <c r="O86" t="n">
        <v>0</v>
      </c>
      <c r="P86" t="inlineStr"/>
      <c r="Q86" t="inlineStr">
        <is>
          <t>Filled</t>
        </is>
      </c>
      <c r="R86" t="n">
        <v>6.5</v>
      </c>
      <c r="S86" t="inlineStr">
        <is>
          <t>University adapter</t>
        </is>
      </c>
      <c r="T86" t="inlineStr">
        <is>
          <t>Level map (Melbourne): not computed per course in this report</t>
        </is>
      </c>
      <c r="U86" t="inlineStr"/>
      <c r="V86" t="inlineStr">
        <is>
          <t>Filled</t>
        </is>
      </c>
      <c r="W86" t="inlineStr">
        <is>
          <t>January, April, July, October</t>
        </is>
      </c>
      <c r="X86" t="inlineStr">
        <is>
          <t>Other</t>
        </is>
      </c>
      <c r="Y86" t="n">
        <v>0</v>
      </c>
      <c r="Z86" t="inlineStr">
        <is>
          <t>No</t>
        </is>
      </c>
      <c r="AA86" t="inlineStr">
        <is>
          <t>Filled</t>
        </is>
      </c>
      <c r="AB86" t="inlineStr">
        <is>
          <t>online</t>
        </is>
      </c>
      <c r="AC86" t="inlineStr"/>
      <c r="AD86" t="n">
        <v>0</v>
      </c>
      <c r="AE86" t="inlineStr"/>
      <c r="AF86" t="inlineStr"/>
      <c r="AG86" t="inlineStr"/>
      <c r="AH86" t="inlineStr"/>
      <c r="AI86" t="inlineStr"/>
      <c r="AJ86" t="inlineStr"/>
      <c r="AK86" t="inlineStr"/>
      <c r="AL86" t="inlineStr"/>
      <c r="AM86" t="inlineStr"/>
    </row>
    <row r="87">
      <c r="A87" t="inlineStr">
        <is>
          <t>042903B</t>
        </is>
      </c>
      <c r="B87" t="inlineStr">
        <is>
          <t>Graduate Certificate in Food Science</t>
        </is>
      </c>
      <c r="C87" t="inlineStr">
        <is>
          <t>Graduate Certificate</t>
        </is>
      </c>
      <c r="D87" t="inlineStr">
        <is>
          <t>Postgraduate coursework</t>
        </is>
      </c>
      <c r="E87" t="inlineStr">
        <is>
          <t>Advertised: official page in place</t>
        </is>
      </c>
      <c r="F87" t="inlineStr">
        <is>
          <t>https://handbook.unimelb.edu.au/2026/courses/gc-foodsc</t>
        </is>
      </c>
      <c r="G87" t="inlineStr">
        <is>
          <t>https://handbook.unimelb.edu.au/2026/courses/gc-foodsc</t>
        </is>
      </c>
      <c r="H87" t="inlineStr">
        <is>
          <t>Read</t>
        </is>
      </c>
      <c r="I87" t="inlineStr">
        <is>
          <t>CRICOS code on page</t>
        </is>
      </c>
      <c r="J87" t="inlineStr"/>
      <c r="K87" t="inlineStr">
        <is>
          <t>Not sent to re-link</t>
        </is>
      </c>
      <c r="L87" t="inlineStr">
        <is>
          <t>Filled</t>
        </is>
      </c>
      <c r="M87" t="inlineStr">
        <is>
          <t>Filled</t>
        </is>
      </c>
      <c r="N87" t="inlineStr">
        <is>
          <t>59360.00 2027</t>
        </is>
      </c>
      <c r="O87" t="n">
        <v>3</v>
      </c>
      <c r="P87" t="inlineStr">
        <is>
          <t>Other</t>
        </is>
      </c>
      <c r="Q87" t="inlineStr">
        <is>
          <t>Filled</t>
        </is>
      </c>
      <c r="R87" t="n">
        <v>6.5</v>
      </c>
      <c r="S87" t="inlineStr">
        <is>
          <t>Central English policy</t>
        </is>
      </c>
      <c r="T87" t="inlineStr">
        <is>
          <t>Level map (Melbourne): not computed per course in this report</t>
        </is>
      </c>
      <c r="U87" t="inlineStr"/>
      <c r="V87" t="inlineStr">
        <is>
          <t>Not stated on course page</t>
        </is>
      </c>
      <c r="W87" t="inlineStr"/>
      <c r="X87" t="inlineStr"/>
      <c r="Y87" t="n">
        <v>0</v>
      </c>
      <c r="Z87" t="inlineStr">
        <is>
          <t>No</t>
        </is>
      </c>
      <c r="AA87" t="inlineStr">
        <is>
          <t>Filled</t>
        </is>
      </c>
      <c r="AB87" t="inlineStr">
        <is>
          <t>on campus</t>
        </is>
      </c>
      <c r="AC87" t="inlineStr"/>
      <c r="AD87" t="n">
        <v>0</v>
      </c>
      <c r="AE87" t="inlineStr"/>
      <c r="AF87" t="inlineStr"/>
      <c r="AG87" t="inlineStr"/>
      <c r="AH87" t="inlineStr"/>
      <c r="AI87" t="inlineStr">
        <is>
          <t>Yes</t>
        </is>
      </c>
      <c r="AJ87" t="inlineStr"/>
      <c r="AK87" t="inlineStr"/>
      <c r="AL87" t="inlineStr"/>
      <c r="AM87" t="inlineStr"/>
    </row>
    <row r="88">
      <c r="A88" t="inlineStr">
        <is>
          <t>096347A</t>
        </is>
      </c>
      <c r="B88" t="inlineStr">
        <is>
          <t>Graduate Certificate in Genomics and Health</t>
        </is>
      </c>
      <c r="C88" t="inlineStr">
        <is>
          <t>Graduate Certificate</t>
        </is>
      </c>
      <c r="D88" t="inlineStr">
        <is>
          <t>Postgraduate coursework</t>
        </is>
      </c>
      <c r="E88" t="inlineStr">
        <is>
          <t>Advertised: official page in place</t>
        </is>
      </c>
      <c r="F88" t="inlineStr">
        <is>
          <t>https://handbook.unimelb.edu.au/2026/courses/gc-genohlt</t>
        </is>
      </c>
      <c r="G88" t="inlineStr">
        <is>
          <t>https://handbook.unimelb.edu.au/2026/courses/gc-genohlt</t>
        </is>
      </c>
      <c r="H88" t="inlineStr">
        <is>
          <t>Read</t>
        </is>
      </c>
      <c r="I88" t="inlineStr">
        <is>
          <t>CRICOS code on page</t>
        </is>
      </c>
      <c r="J88" t="inlineStr"/>
      <c r="K88" t="inlineStr">
        <is>
          <t>Not sent to re-link</t>
        </is>
      </c>
      <c r="L88" t="inlineStr">
        <is>
          <t>Filled</t>
        </is>
      </c>
      <c r="M88" t="inlineStr">
        <is>
          <t>Filled</t>
        </is>
      </c>
      <c r="N88" t="inlineStr">
        <is>
          <t>72064.00 2027</t>
        </is>
      </c>
      <c r="O88" t="n">
        <v>3</v>
      </c>
      <c r="P88" t="inlineStr">
        <is>
          <t>Other</t>
        </is>
      </c>
      <c r="Q88" t="inlineStr">
        <is>
          <t>Filled</t>
        </is>
      </c>
      <c r="R88" t="n">
        <v>7</v>
      </c>
      <c r="S88" t="inlineStr">
        <is>
          <t>Central English policy</t>
        </is>
      </c>
      <c r="T88" t="inlineStr">
        <is>
          <t>Level map (Melbourne): not computed per course in this report</t>
        </is>
      </c>
      <c r="U88" t="inlineStr"/>
      <c r="V88" t="inlineStr">
        <is>
          <t>Filled</t>
        </is>
      </c>
      <c r="W88" t="inlineStr">
        <is>
          <t>March</t>
        </is>
      </c>
      <c r="X88" t="inlineStr">
        <is>
          <t>Other</t>
        </is>
      </c>
      <c r="Y88" t="n">
        <v>0</v>
      </c>
      <c r="Z88" t="inlineStr">
        <is>
          <t>No</t>
        </is>
      </c>
      <c r="AA88" t="inlineStr">
        <is>
          <t>Filled</t>
        </is>
      </c>
      <c r="AB88" t="inlineStr">
        <is>
          <t>on campus</t>
        </is>
      </c>
      <c r="AC88" t="inlineStr"/>
      <c r="AD88" t="n">
        <v>0</v>
      </c>
      <c r="AE88" t="inlineStr"/>
      <c r="AF88" t="inlineStr"/>
      <c r="AG88" t="inlineStr"/>
      <c r="AH88" t="inlineStr"/>
      <c r="AI88" t="inlineStr"/>
      <c r="AJ88" t="inlineStr"/>
      <c r="AK88" t="inlineStr"/>
      <c r="AL88" t="inlineStr"/>
      <c r="AM88" t="inlineStr"/>
    </row>
    <row r="89">
      <c r="A89" t="inlineStr">
        <is>
          <t>078389G</t>
        </is>
      </c>
      <c r="B89" t="inlineStr">
        <is>
          <t>Graduate Certificate in Information Systems</t>
        </is>
      </c>
      <c r="C89" t="inlineStr">
        <is>
          <t>Graduate Certificate</t>
        </is>
      </c>
      <c r="D89" t="inlineStr">
        <is>
          <t>Postgraduate coursework</t>
        </is>
      </c>
      <c r="E89" t="inlineStr">
        <is>
          <t>Held: page found is for another course</t>
        </is>
      </c>
      <c r="F89" t="inlineStr"/>
      <c r="G89" t="inlineStr">
        <is>
          <t>https://archive.handbook.unimelb.edu.au/view/2013/491aa/</t>
        </is>
      </c>
      <c r="H89" t="inlineStr">
        <is>
          <t>Not the university site</t>
        </is>
      </c>
      <c r="I89" t="inlineStr"/>
      <c r="J89" t="inlineStr"/>
      <c r="K89" t="inlineStr">
        <is>
          <t>Not sent to re-link</t>
        </is>
      </c>
      <c r="L89" t="inlineStr">
        <is>
          <t>Not stated on course page</t>
        </is>
      </c>
      <c r="M89" t="inlineStr">
        <is>
          <t>Filled</t>
        </is>
      </c>
      <c r="N89" t="inlineStr">
        <is>
          <t>68480.00 2027</t>
        </is>
      </c>
      <c r="O89" t="n">
        <v>3</v>
      </c>
      <c r="P89" t="inlineStr">
        <is>
          <t>Other</t>
        </is>
      </c>
      <c r="Q89" t="inlineStr">
        <is>
          <t>Not stated on course page</t>
        </is>
      </c>
      <c r="S89" t="inlineStr"/>
      <c r="T89" t="inlineStr">
        <is>
          <t>Level map (Melbourne): not computed per course in this report</t>
        </is>
      </c>
      <c r="U89" t="inlineStr"/>
      <c r="V89" t="inlineStr">
        <is>
          <t>Not stated on course page</t>
        </is>
      </c>
      <c r="W89" t="inlineStr"/>
      <c r="X89" t="inlineStr"/>
      <c r="Y89" t="n">
        <v>0</v>
      </c>
      <c r="Z89" t="inlineStr">
        <is>
          <t>No</t>
        </is>
      </c>
      <c r="AA89" t="inlineStr">
        <is>
          <t>Not stated on course page</t>
        </is>
      </c>
      <c r="AB89" t="inlineStr"/>
      <c r="AC89" t="inlineStr">
        <is>
          <t>Skipped: no allowed source had a value</t>
        </is>
      </c>
      <c r="AD89" t="n">
        <v>0</v>
      </c>
      <c r="AE89" t="inlineStr"/>
      <c r="AF89" t="inlineStr"/>
      <c r="AG89" t="inlineStr"/>
      <c r="AH89" t="inlineStr"/>
      <c r="AI89" t="inlineStr"/>
      <c r="AJ89" t="inlineStr"/>
      <c r="AK89" t="inlineStr"/>
      <c r="AL89" t="inlineStr"/>
      <c r="AM89" t="inlineStr"/>
    </row>
    <row r="90">
      <c r="A90" t="inlineStr">
        <is>
          <t>035407K</t>
        </is>
      </c>
      <c r="B90" t="inlineStr">
        <is>
          <t>Graduate Certificate in Information Systems (Advanced)</t>
        </is>
      </c>
      <c r="C90" t="inlineStr">
        <is>
          <t>Graduate Certificate</t>
        </is>
      </c>
      <c r="D90" t="inlineStr">
        <is>
          <t>Postgraduate coursework</t>
        </is>
      </c>
      <c r="E90" t="inlineStr">
        <is>
          <t>Held: page found is for another course</t>
        </is>
      </c>
      <c r="F90" t="inlineStr"/>
      <c r="G90" t="inlineStr">
        <is>
          <t>https://archive.handbook.unimelb.edu.au/view/2008/r02-aa/</t>
        </is>
      </c>
      <c r="H90" t="inlineStr">
        <is>
          <t>Not the university site</t>
        </is>
      </c>
      <c r="I90" t="inlineStr"/>
      <c r="J90" t="inlineStr"/>
      <c r="K90" t="inlineStr">
        <is>
          <t>Not sent to re-link</t>
        </is>
      </c>
      <c r="L90" t="inlineStr">
        <is>
          <t>Not stated on course page</t>
        </is>
      </c>
      <c r="M90" t="inlineStr">
        <is>
          <t>Filled</t>
        </is>
      </c>
      <c r="N90" t="inlineStr">
        <is>
          <t>68480.00 2027</t>
        </is>
      </c>
      <c r="O90" t="n">
        <v>3</v>
      </c>
      <c r="P90" t="inlineStr">
        <is>
          <t>Other</t>
        </is>
      </c>
      <c r="Q90" t="inlineStr">
        <is>
          <t>Not stated on course page</t>
        </is>
      </c>
      <c r="S90" t="inlineStr"/>
      <c r="T90" t="inlineStr">
        <is>
          <t>Level map (Melbourne): not computed per course in this report</t>
        </is>
      </c>
      <c r="U90" t="inlineStr"/>
      <c r="V90" t="inlineStr">
        <is>
          <t>Not stated on course page</t>
        </is>
      </c>
      <c r="W90" t="inlineStr"/>
      <c r="X90" t="inlineStr"/>
      <c r="Y90" t="n">
        <v>0</v>
      </c>
      <c r="Z90" t="inlineStr">
        <is>
          <t>No</t>
        </is>
      </c>
      <c r="AA90" t="inlineStr">
        <is>
          <t>Not stated on course page</t>
        </is>
      </c>
      <c r="AB90" t="inlineStr"/>
      <c r="AC90" t="inlineStr">
        <is>
          <t>Skipped: no allowed source had a value</t>
        </is>
      </c>
      <c r="AD90" t="n">
        <v>0</v>
      </c>
      <c r="AE90" t="inlineStr"/>
      <c r="AF90" t="inlineStr"/>
      <c r="AG90" t="inlineStr"/>
      <c r="AH90" t="inlineStr"/>
      <c r="AI90" t="inlineStr"/>
      <c r="AJ90" t="inlineStr"/>
      <c r="AK90" t="inlineStr"/>
      <c r="AL90" t="inlineStr"/>
      <c r="AM90" t="inlineStr"/>
    </row>
    <row r="91">
      <c r="A91" t="inlineStr">
        <is>
          <t>085948M</t>
        </is>
      </c>
      <c r="B91" t="inlineStr">
        <is>
          <t>Graduate Certificate in Journalism (Advanced)</t>
        </is>
      </c>
      <c r="C91" t="inlineStr">
        <is>
          <t>Graduate Certificate</t>
        </is>
      </c>
      <c r="D91" t="inlineStr">
        <is>
          <t>Postgraduate coursework</t>
        </is>
      </c>
      <c r="E91" t="inlineStr">
        <is>
          <t>Advertised: official page in place</t>
        </is>
      </c>
      <c r="F91" t="inlineStr">
        <is>
          <t>https://study.unimelb.edu.au/find/courses/graduate/graduate-certificate-in-journalism-advanced/</t>
        </is>
      </c>
      <c r="G91" t="inlineStr">
        <is>
          <t>https://study.unimelb.edu.au/find/courses/graduate/graduate-certificate-in-journalism-advanced/</t>
        </is>
      </c>
      <c r="H91" t="inlineStr">
        <is>
          <t>Read</t>
        </is>
      </c>
      <c r="I91" t="inlineStr">
        <is>
          <t>CRICOS code on page</t>
        </is>
      </c>
      <c r="J91" t="inlineStr"/>
      <c r="K91" t="inlineStr">
        <is>
          <t>Not sent to re-link</t>
        </is>
      </c>
      <c r="L91" t="inlineStr">
        <is>
          <t>Filled</t>
        </is>
      </c>
      <c r="M91" t="inlineStr">
        <is>
          <t>Filled</t>
        </is>
      </c>
      <c r="N91" t="inlineStr">
        <is>
          <t>52416.00 2027</t>
        </is>
      </c>
      <c r="O91" t="n">
        <v>3</v>
      </c>
      <c r="P91" t="inlineStr">
        <is>
          <t>Other</t>
        </is>
      </c>
      <c r="Q91" t="inlineStr">
        <is>
          <t>Filled</t>
        </is>
      </c>
      <c r="R91" t="n">
        <v>7</v>
      </c>
      <c r="S91" t="inlineStr">
        <is>
          <t>University adapter</t>
        </is>
      </c>
      <c r="T91" t="inlineStr">
        <is>
          <t>Level map (Melbourne): not computed per course in this report</t>
        </is>
      </c>
      <c r="U91" t="inlineStr"/>
      <c r="V91" t="inlineStr">
        <is>
          <t>Filled</t>
        </is>
      </c>
      <c r="W91" t="inlineStr">
        <is>
          <t>March, July</t>
        </is>
      </c>
      <c r="X91" t="inlineStr">
        <is>
          <t>Other</t>
        </is>
      </c>
      <c r="Y91" t="n">
        <v>0</v>
      </c>
      <c r="Z91" t="inlineStr">
        <is>
          <t>No</t>
        </is>
      </c>
      <c r="AA91" t="inlineStr">
        <is>
          <t>Filled</t>
        </is>
      </c>
      <c r="AB91" t="inlineStr">
        <is>
          <t>on campus</t>
        </is>
      </c>
      <c r="AC91" t="inlineStr"/>
      <c r="AD91" t="n">
        <v>0</v>
      </c>
      <c r="AE91" t="inlineStr"/>
      <c r="AF91" t="inlineStr"/>
      <c r="AG91" t="inlineStr"/>
      <c r="AH91" t="inlineStr"/>
      <c r="AI91" t="inlineStr"/>
      <c r="AJ91" t="inlineStr"/>
      <c r="AK91" t="inlineStr"/>
      <c r="AL91" t="inlineStr"/>
      <c r="AM91" t="inlineStr"/>
    </row>
    <row r="92">
      <c r="A92" t="inlineStr">
        <is>
          <t>104600M</t>
        </is>
      </c>
      <c r="B92" t="inlineStr">
        <is>
          <t>Graduate Certificate in Language and Cultural Literacy</t>
        </is>
      </c>
      <c r="C92" t="inlineStr">
        <is>
          <t>Graduate Certificate</t>
        </is>
      </c>
      <c r="D92" t="inlineStr">
        <is>
          <t>Postgraduate coursework</t>
        </is>
      </c>
      <c r="E92" t="inlineStr">
        <is>
          <t>Advertised: official page in place</t>
        </is>
      </c>
      <c r="F92" t="inlineStr">
        <is>
          <t>https://study.unimelb.edu.au/find/courses/graduate/graduate-certificate-in-language-and-cultural-literacy/</t>
        </is>
      </c>
      <c r="G92" t="inlineStr">
        <is>
          <t>https://study.unimelb.edu.au/find/courses/graduate/graduate-certificate-in-language-and-cultural-literacy/</t>
        </is>
      </c>
      <c r="H92" t="inlineStr">
        <is>
          <t>Read</t>
        </is>
      </c>
      <c r="I92" t="inlineStr">
        <is>
          <t>CRICOS code on page</t>
        </is>
      </c>
      <c r="J92" t="inlineStr"/>
      <c r="K92" t="inlineStr">
        <is>
          <t>Not sent to re-link</t>
        </is>
      </c>
      <c r="L92" t="inlineStr">
        <is>
          <t>Filled</t>
        </is>
      </c>
      <c r="M92" t="inlineStr">
        <is>
          <t>Filled</t>
        </is>
      </c>
      <c r="N92" t="inlineStr">
        <is>
          <t>50560.00 2027</t>
        </is>
      </c>
      <c r="O92" t="n">
        <v>3</v>
      </c>
      <c r="P92" t="inlineStr">
        <is>
          <t>Other</t>
        </is>
      </c>
      <c r="Q92" t="inlineStr">
        <is>
          <t>Filled</t>
        </is>
      </c>
      <c r="R92" t="n">
        <v>6.5</v>
      </c>
      <c r="S92" t="inlineStr">
        <is>
          <t>University adapter</t>
        </is>
      </c>
      <c r="T92" t="inlineStr">
        <is>
          <t>Level map (Melbourne): not computed per course in this report</t>
        </is>
      </c>
      <c r="U92" t="inlineStr"/>
      <c r="V92" t="inlineStr">
        <is>
          <t>Filled</t>
        </is>
      </c>
      <c r="W92" t="inlineStr">
        <is>
          <t>March, July</t>
        </is>
      </c>
      <c r="X92" t="inlineStr">
        <is>
          <t>Other</t>
        </is>
      </c>
      <c r="Y92" t="n">
        <v>0</v>
      </c>
      <c r="Z92" t="inlineStr">
        <is>
          <t>No</t>
        </is>
      </c>
      <c r="AA92" t="inlineStr">
        <is>
          <t>Filled</t>
        </is>
      </c>
      <c r="AB92" t="inlineStr">
        <is>
          <t>on campus</t>
        </is>
      </c>
      <c r="AC92" t="inlineStr"/>
      <c r="AD92" t="n">
        <v>0</v>
      </c>
      <c r="AE92" t="inlineStr"/>
      <c r="AF92" t="inlineStr"/>
      <c r="AG92" t="inlineStr"/>
      <c r="AH92" t="inlineStr"/>
      <c r="AI92" t="inlineStr"/>
      <c r="AJ92" t="inlineStr"/>
      <c r="AK92" t="inlineStr"/>
      <c r="AL92" t="inlineStr"/>
      <c r="AM92" t="inlineStr"/>
    </row>
    <row r="93">
      <c r="A93" t="inlineStr">
        <is>
          <t>085105K</t>
        </is>
      </c>
      <c r="B93" t="inlineStr">
        <is>
          <t>Graduate Certificate in Learning Intervention</t>
        </is>
      </c>
      <c r="C93" t="inlineStr">
        <is>
          <t>Graduate Certificate</t>
        </is>
      </c>
      <c r="D93" t="inlineStr">
        <is>
          <t>Postgraduate coursework</t>
        </is>
      </c>
      <c r="E93" t="inlineStr">
        <is>
          <t>Advertised: official page in place</t>
        </is>
      </c>
      <c r="F93" t="inlineStr">
        <is>
          <t>https://handbook.unimelb.edu.au/2022/courses/gc-li</t>
        </is>
      </c>
      <c r="G93" t="inlineStr">
        <is>
          <t>https://handbook.unimelb.edu.au/2026/courses/gc-li</t>
        </is>
      </c>
      <c r="H93" t="inlineStr">
        <is>
          <t>Needs a rendered read</t>
        </is>
      </c>
      <c r="I93" t="inlineStr"/>
      <c r="J93" t="inlineStr"/>
      <c r="K93" t="inlineStr">
        <is>
          <t>Finished, no page: no address from the university's address forms or stored lis</t>
        </is>
      </c>
      <c r="L93" t="inlineStr">
        <is>
          <t>Filled</t>
        </is>
      </c>
      <c r="M93" t="inlineStr">
        <is>
          <t>Not stated on course page</t>
        </is>
      </c>
      <c r="N93" t="inlineStr"/>
      <c r="O93" t="n">
        <v>0</v>
      </c>
      <c r="P93" t="inlineStr"/>
      <c r="Q93" t="inlineStr">
        <is>
          <t>Not stated on course page</t>
        </is>
      </c>
      <c r="S93" t="inlineStr"/>
      <c r="T93" t="inlineStr">
        <is>
          <t>Level map (Melbourne): not computed per course in this report</t>
        </is>
      </c>
      <c r="U93" t="inlineStr"/>
      <c r="V93" t="inlineStr">
        <is>
          <t>Waiting for Layer 4 review</t>
        </is>
      </c>
      <c r="W93" t="inlineStr"/>
      <c r="X93" t="inlineStr"/>
      <c r="Y93" t="n">
        <v>0</v>
      </c>
      <c r="Z93" t="inlineStr">
        <is>
          <t>No</t>
        </is>
      </c>
      <c r="AA93" t="inlineStr">
        <is>
          <t>Filled</t>
        </is>
      </c>
      <c r="AB93" t="inlineStr">
        <is>
          <t>on campus</t>
        </is>
      </c>
      <c r="AC93" t="inlineStr"/>
      <c r="AD93" t="n">
        <v>0</v>
      </c>
      <c r="AE93" t="inlineStr">
        <is>
          <t>Yes</t>
        </is>
      </c>
      <c r="AF93" t="inlineStr">
        <is>
          <t>Yes</t>
        </is>
      </c>
      <c r="AG93" t="inlineStr"/>
      <c r="AH93" t="inlineStr"/>
      <c r="AI93" t="inlineStr">
        <is>
          <t>Yes</t>
        </is>
      </c>
      <c r="AJ93" t="inlineStr"/>
      <c r="AK93" t="inlineStr"/>
      <c r="AL93" t="inlineStr"/>
      <c r="AM93" t="inlineStr"/>
    </row>
    <row r="94">
      <c r="A94" t="inlineStr">
        <is>
          <t>064486K</t>
        </is>
      </c>
      <c r="B94" t="inlineStr">
        <is>
          <t>Graduate Certificate in Management</t>
        </is>
      </c>
      <c r="C94" t="inlineStr">
        <is>
          <t>Graduate Certificate</t>
        </is>
      </c>
      <c r="D94" t="inlineStr">
        <is>
          <t>Postgraduate coursework</t>
        </is>
      </c>
      <c r="E94" t="inlineStr">
        <is>
          <t>Held: page found is for another course</t>
        </is>
      </c>
      <c r="F94" t="inlineStr"/>
      <c r="G94" t="inlineStr">
        <is>
          <t>https://handbook.unimelb.edu.au/2026/courses/gc-tedmgt</t>
        </is>
      </c>
      <c r="H94" t="inlineStr">
        <is>
          <t>Page is for another course</t>
        </is>
      </c>
      <c r="I94" t="inlineStr"/>
      <c r="J94" t="inlineStr"/>
      <c r="K94" t="inlineStr">
        <is>
          <t>Finished, no page: no address from the university's address forms or stored lis</t>
        </is>
      </c>
      <c r="L94" t="inlineStr">
        <is>
          <t>Searching for course page</t>
        </is>
      </c>
      <c r="M94" t="inlineStr">
        <is>
          <t>Filled</t>
        </is>
      </c>
      <c r="N94" t="inlineStr">
        <is>
          <t>65248.00 2027</t>
        </is>
      </c>
      <c r="O94" t="n">
        <v>3</v>
      </c>
      <c r="P94" t="inlineStr">
        <is>
          <t>Other</t>
        </is>
      </c>
      <c r="Q94" t="inlineStr">
        <is>
          <t>Searching for course page</t>
        </is>
      </c>
      <c r="S94" t="inlineStr"/>
      <c r="T94" t="inlineStr">
        <is>
          <t>Level map (Melbourne): not computed per course in this report</t>
        </is>
      </c>
      <c r="U94" t="inlineStr"/>
      <c r="V94" t="inlineStr">
        <is>
          <t>Searching for course page</t>
        </is>
      </c>
      <c r="W94" t="inlineStr"/>
      <c r="X94" t="inlineStr"/>
      <c r="Y94" t="n">
        <v>0</v>
      </c>
      <c r="Z94" t="inlineStr">
        <is>
          <t>No</t>
        </is>
      </c>
      <c r="AA94" t="inlineStr">
        <is>
          <t>Not stated on course page</t>
        </is>
      </c>
      <c r="AB94" t="inlineStr"/>
      <c r="AC94" t="inlineStr">
        <is>
          <t>Skipped: no correct course page: the page found is for another course</t>
        </is>
      </c>
      <c r="AD94" t="n">
        <v>1</v>
      </c>
      <c r="AE94" t="inlineStr"/>
      <c r="AF94" t="inlineStr"/>
      <c r="AG94" t="inlineStr"/>
      <c r="AH94" t="inlineStr"/>
      <c r="AI94" t="inlineStr"/>
      <c r="AJ94" t="inlineStr"/>
      <c r="AK94" t="inlineStr"/>
      <c r="AL94" t="inlineStr"/>
      <c r="AM94" t="inlineStr"/>
    </row>
    <row r="95">
      <c r="A95" t="inlineStr">
        <is>
          <t>095991C</t>
        </is>
      </c>
      <c r="B95" t="inlineStr">
        <is>
          <t>Graduate Certificate in Modern Languages Education</t>
        </is>
      </c>
      <c r="C95" t="inlineStr">
        <is>
          <t>Graduate Certificate</t>
        </is>
      </c>
      <c r="D95" t="inlineStr">
        <is>
          <t>Postgraduate coursework</t>
        </is>
      </c>
      <c r="E95" t="inlineStr">
        <is>
          <t>Advertised: official page in place</t>
        </is>
      </c>
      <c r="F95" t="inlineStr">
        <is>
          <t>https://handbook.unimelb.edu.au/2026/courses/gc-mled</t>
        </is>
      </c>
      <c r="G95" t="inlineStr">
        <is>
          <t>https://handbook.unimelb.edu.au/2026/courses/gc-mled</t>
        </is>
      </c>
      <c r="H95" t="inlineStr">
        <is>
          <t>Read</t>
        </is>
      </c>
      <c r="I95" t="inlineStr">
        <is>
          <t>CRICOS code on page</t>
        </is>
      </c>
      <c r="J95" t="inlineStr"/>
      <c r="K95" t="inlineStr">
        <is>
          <t>Not sent to re-link</t>
        </is>
      </c>
      <c r="L95" t="inlineStr">
        <is>
          <t>Filled</t>
        </is>
      </c>
      <c r="M95" t="inlineStr">
        <is>
          <t>Filled</t>
        </is>
      </c>
      <c r="N95" t="inlineStr">
        <is>
          <t>52960.00 2027</t>
        </is>
      </c>
      <c r="O95" t="n">
        <v>3</v>
      </c>
      <c r="P95" t="inlineStr">
        <is>
          <t>Other</t>
        </is>
      </c>
      <c r="Q95" t="inlineStr">
        <is>
          <t>Filled</t>
        </is>
      </c>
      <c r="R95" t="n">
        <v>7</v>
      </c>
      <c r="S95" t="inlineStr">
        <is>
          <t>Central English policy</t>
        </is>
      </c>
      <c r="T95" t="inlineStr">
        <is>
          <t>Level map (Melbourne): not computed per course in this report</t>
        </is>
      </c>
      <c r="U95" t="inlineStr"/>
      <c r="V95" t="inlineStr">
        <is>
          <t>Not stated on course page</t>
        </is>
      </c>
      <c r="W95" t="inlineStr"/>
      <c r="X95" t="inlineStr"/>
      <c r="Y95" t="n">
        <v>0</v>
      </c>
      <c r="Z95" t="inlineStr">
        <is>
          <t>No</t>
        </is>
      </c>
      <c r="AA95" t="inlineStr">
        <is>
          <t>Filled</t>
        </is>
      </c>
      <c r="AB95" t="inlineStr">
        <is>
          <t>on campus</t>
        </is>
      </c>
      <c r="AC95" t="inlineStr"/>
      <c r="AD95" t="n">
        <v>0</v>
      </c>
      <c r="AE95" t="inlineStr"/>
      <c r="AF95" t="inlineStr"/>
      <c r="AG95" t="inlineStr"/>
      <c r="AH95" t="inlineStr"/>
      <c r="AI95" t="inlineStr">
        <is>
          <t>Yes</t>
        </is>
      </c>
      <c r="AJ95" t="inlineStr"/>
      <c r="AK95" t="inlineStr"/>
      <c r="AL95" t="inlineStr"/>
      <c r="AM95" t="inlineStr"/>
    </row>
    <row r="96">
      <c r="A96" t="inlineStr">
        <is>
          <t>056280B</t>
        </is>
      </c>
      <c r="B96" t="inlineStr">
        <is>
          <t>Graduate Certificate in Music</t>
        </is>
      </c>
      <c r="C96" t="inlineStr">
        <is>
          <t>Graduate Certificate</t>
        </is>
      </c>
      <c r="D96" t="inlineStr">
        <is>
          <t>Postgraduate coursework</t>
        </is>
      </c>
      <c r="E96" t="inlineStr">
        <is>
          <t>Held: page found is for another course</t>
        </is>
      </c>
      <c r="F96" t="inlineStr"/>
      <c r="G96" t="inlineStr">
        <is>
          <t>https://study.unimelb.edu.au/find/courses/graduate/graduate-diploma-in-music-tailored-program/</t>
        </is>
      </c>
      <c r="H96" t="inlineStr">
        <is>
          <t>Page is for another course</t>
        </is>
      </c>
      <c r="I96" t="inlineStr"/>
      <c r="J96" t="inlineStr"/>
      <c r="K96" t="inlineStr">
        <is>
          <t>Finished, no page: no address from the university's address forms or stored lis</t>
        </is>
      </c>
      <c r="L96" t="inlineStr">
        <is>
          <t>Not stated on course page</t>
        </is>
      </c>
      <c r="M96" t="inlineStr">
        <is>
          <t>Filled</t>
        </is>
      </c>
      <c r="N96" t="inlineStr">
        <is>
          <t>50720.00 2027</t>
        </is>
      </c>
      <c r="O96" t="n">
        <v>3</v>
      </c>
      <c r="P96" t="inlineStr">
        <is>
          <t>Other</t>
        </is>
      </c>
      <c r="Q96" t="inlineStr">
        <is>
          <t>Not stated on course page</t>
        </is>
      </c>
      <c r="S96" t="inlineStr"/>
      <c r="T96" t="inlineStr">
        <is>
          <t>Level map (Melbourne): not computed per course in this report</t>
        </is>
      </c>
      <c r="U96" t="inlineStr"/>
      <c r="V96" t="inlineStr">
        <is>
          <t>Not stated on course page</t>
        </is>
      </c>
      <c r="W96" t="inlineStr"/>
      <c r="X96" t="inlineStr"/>
      <c r="Y96" t="n">
        <v>0</v>
      </c>
      <c r="Z96" t="inlineStr">
        <is>
          <t>No</t>
        </is>
      </c>
      <c r="AA96" t="inlineStr">
        <is>
          <t>Not stated on course page</t>
        </is>
      </c>
      <c r="AB96" t="inlineStr"/>
      <c r="AC96" t="inlineStr">
        <is>
          <t>Skipped: no correct course page: the page found is for another course</t>
        </is>
      </c>
      <c r="AD96" t="n">
        <v>1</v>
      </c>
      <c r="AE96" t="inlineStr"/>
      <c r="AF96" t="inlineStr"/>
      <c r="AG96" t="inlineStr"/>
      <c r="AH96" t="inlineStr"/>
      <c r="AI96" t="inlineStr"/>
      <c r="AJ96" t="inlineStr"/>
      <c r="AK96" t="inlineStr"/>
      <c r="AL96" t="inlineStr"/>
      <c r="AM96" t="inlineStr"/>
    </row>
    <row r="97">
      <c r="A97" t="inlineStr">
        <is>
          <t>096346B</t>
        </is>
      </c>
      <c r="B97" t="inlineStr">
        <is>
          <t>Graduate Certificate in Port Engineering</t>
        </is>
      </c>
      <c r="C97" t="inlineStr">
        <is>
          <t>Graduate Certificate</t>
        </is>
      </c>
      <c r="D97" t="inlineStr">
        <is>
          <t>Postgraduate coursework</t>
        </is>
      </c>
      <c r="E97" t="inlineStr">
        <is>
          <t>Advertised: official page in place</t>
        </is>
      </c>
      <c r="F97" t="inlineStr">
        <is>
          <t>https://handbook.unimelb.edu.au/2021/courses/gc-porteng</t>
        </is>
      </c>
      <c r="G97" t="inlineStr">
        <is>
          <t>https://handbook.unimelb.edu.au/2026/courses/gc-porteng</t>
        </is>
      </c>
      <c r="H97" t="inlineStr">
        <is>
          <t>Needs a rendered read</t>
        </is>
      </c>
      <c r="I97" t="inlineStr"/>
      <c r="J97" t="inlineStr"/>
      <c r="K97" t="inlineStr">
        <is>
          <t>Finished, no page: no address from the university's address forms or stored lis</t>
        </is>
      </c>
      <c r="L97" t="inlineStr">
        <is>
          <t>Filled</t>
        </is>
      </c>
      <c r="M97" t="inlineStr">
        <is>
          <t>Not stated on course page</t>
        </is>
      </c>
      <c r="N97" t="inlineStr"/>
      <c r="O97" t="n">
        <v>0</v>
      </c>
      <c r="P97" t="inlineStr"/>
      <c r="Q97" t="inlineStr">
        <is>
          <t>Not stated on course page</t>
        </is>
      </c>
      <c r="S97" t="inlineStr"/>
      <c r="T97" t="inlineStr">
        <is>
          <t>Level map (Melbourne): not computed per course in this report</t>
        </is>
      </c>
      <c r="U97" t="inlineStr"/>
      <c r="V97" t="inlineStr">
        <is>
          <t>Not stated on course page</t>
        </is>
      </c>
      <c r="W97" t="inlineStr"/>
      <c r="X97" t="inlineStr"/>
      <c r="Y97" t="n">
        <v>0</v>
      </c>
      <c r="Z97" t="inlineStr">
        <is>
          <t>No</t>
        </is>
      </c>
      <c r="AA97" t="inlineStr">
        <is>
          <t>Filled</t>
        </is>
      </c>
      <c r="AB97" t="inlineStr">
        <is>
          <t>on campus</t>
        </is>
      </c>
      <c r="AC97" t="inlineStr"/>
      <c r="AD97" t="n">
        <v>0</v>
      </c>
      <c r="AE97" t="inlineStr">
        <is>
          <t>Yes</t>
        </is>
      </c>
      <c r="AF97" t="inlineStr"/>
      <c r="AG97" t="inlineStr"/>
      <c r="AH97" t="inlineStr"/>
      <c r="AI97" t="inlineStr">
        <is>
          <t>Yes</t>
        </is>
      </c>
      <c r="AJ97" t="inlineStr"/>
      <c r="AK97" t="inlineStr"/>
      <c r="AL97" t="inlineStr"/>
      <c r="AM97" t="inlineStr"/>
    </row>
    <row r="98">
      <c r="A98" t="inlineStr">
        <is>
          <t>093590C</t>
        </is>
      </c>
      <c r="B98" t="inlineStr">
        <is>
          <t>Graduate Certificate in Professional Skills for Scientists</t>
        </is>
      </c>
      <c r="C98" t="inlineStr">
        <is>
          <t>Graduate Certificate</t>
        </is>
      </c>
      <c r="D98" t="inlineStr">
        <is>
          <t>Postgraduate coursework</t>
        </is>
      </c>
      <c r="E98" t="inlineStr">
        <is>
          <t>Advertised: official page in place</t>
        </is>
      </c>
      <c r="F98" t="inlineStr">
        <is>
          <t>https://handbook.unimelb.edu.au/2026/courses/gc-profsc</t>
        </is>
      </c>
      <c r="G98" t="inlineStr">
        <is>
          <t>https://handbook.unimelb.edu.au/2026/courses/gc-profsc</t>
        </is>
      </c>
      <c r="H98" t="inlineStr">
        <is>
          <t>Read</t>
        </is>
      </c>
      <c r="I98" t="inlineStr">
        <is>
          <t>CRICOS code on page</t>
        </is>
      </c>
      <c r="J98" t="inlineStr"/>
      <c r="K98" t="inlineStr">
        <is>
          <t>Not sent to re-link</t>
        </is>
      </c>
      <c r="L98" t="inlineStr">
        <is>
          <t>Filled</t>
        </is>
      </c>
      <c r="M98" t="inlineStr">
        <is>
          <t>Filled</t>
        </is>
      </c>
      <c r="N98" t="inlineStr">
        <is>
          <t>62496.00 2027</t>
        </is>
      </c>
      <c r="O98" t="n">
        <v>3</v>
      </c>
      <c r="P98" t="inlineStr">
        <is>
          <t>Other</t>
        </is>
      </c>
      <c r="Q98" t="inlineStr">
        <is>
          <t>Filled</t>
        </is>
      </c>
      <c r="R98" t="n">
        <v>6.5</v>
      </c>
      <c r="S98" t="inlineStr">
        <is>
          <t>Central English policy</t>
        </is>
      </c>
      <c r="T98" t="inlineStr">
        <is>
          <t>Level map (Melbourne): not computed per course in this report</t>
        </is>
      </c>
      <c r="U98" t="inlineStr"/>
      <c r="V98" t="inlineStr">
        <is>
          <t>Not stated on course page</t>
        </is>
      </c>
      <c r="W98" t="inlineStr"/>
      <c r="X98" t="inlineStr"/>
      <c r="Y98" t="n">
        <v>0</v>
      </c>
      <c r="Z98" t="inlineStr">
        <is>
          <t>No</t>
        </is>
      </c>
      <c r="AA98" t="inlineStr">
        <is>
          <t>Filled</t>
        </is>
      </c>
      <c r="AB98" t="inlineStr">
        <is>
          <t>on campus</t>
        </is>
      </c>
      <c r="AC98" t="inlineStr"/>
      <c r="AD98" t="n">
        <v>0</v>
      </c>
      <c r="AE98" t="inlineStr"/>
      <c r="AF98" t="inlineStr"/>
      <c r="AG98" t="inlineStr"/>
      <c r="AH98" t="inlineStr"/>
      <c r="AI98" t="inlineStr">
        <is>
          <t>Yes</t>
        </is>
      </c>
      <c r="AJ98" t="inlineStr"/>
      <c r="AK98" t="inlineStr"/>
      <c r="AL98" t="inlineStr"/>
      <c r="AM98" t="inlineStr"/>
    </row>
    <row r="99">
      <c r="A99" t="inlineStr">
        <is>
          <t>120129G</t>
        </is>
      </c>
      <c r="B99" t="inlineStr">
        <is>
          <t>Graduate Certificate in Public Health</t>
        </is>
      </c>
      <c r="C99" t="inlineStr">
        <is>
          <t>Graduate Certificate</t>
        </is>
      </c>
      <c r="D99" t="inlineStr">
        <is>
          <t>Postgraduate coursework</t>
        </is>
      </c>
      <c r="E99" t="inlineStr">
        <is>
          <t>Advertised: official page in place</t>
        </is>
      </c>
      <c r="F99" t="inlineStr">
        <is>
          <t>https://handbook.unimelb.edu.au/2026/courses/gc-pubhlth</t>
        </is>
      </c>
      <c r="G99" t="inlineStr">
        <is>
          <t>https://handbook.unimelb.edu.au/2026/courses/gc-pubhlth</t>
        </is>
      </c>
      <c r="H99" t="inlineStr">
        <is>
          <t>Read</t>
        </is>
      </c>
      <c r="I99" t="inlineStr">
        <is>
          <t>CRICOS code on page</t>
        </is>
      </c>
      <c r="J99" t="inlineStr"/>
      <c r="K99" t="inlineStr">
        <is>
          <t>Not sent to re-link</t>
        </is>
      </c>
      <c r="L99" t="inlineStr">
        <is>
          <t>Filled</t>
        </is>
      </c>
      <c r="M99" t="inlineStr">
        <is>
          <t>Filled</t>
        </is>
      </c>
      <c r="N99" t="inlineStr">
        <is>
          <t>70976.00 2027</t>
        </is>
      </c>
      <c r="O99" t="n">
        <v>3</v>
      </c>
      <c r="P99" t="inlineStr">
        <is>
          <t>Other</t>
        </is>
      </c>
      <c r="Q99" t="inlineStr">
        <is>
          <t>Filled</t>
        </is>
      </c>
      <c r="R99" t="n">
        <v>6.5</v>
      </c>
      <c r="S99" t="inlineStr">
        <is>
          <t>Central English policy</t>
        </is>
      </c>
      <c r="T99" t="inlineStr">
        <is>
          <t>Level map (Melbourne): not computed per course in this report</t>
        </is>
      </c>
      <c r="U99" t="inlineStr"/>
      <c r="V99" t="inlineStr">
        <is>
          <t>Not stated on course page</t>
        </is>
      </c>
      <c r="W99" t="inlineStr"/>
      <c r="X99" t="inlineStr"/>
      <c r="Y99" t="n">
        <v>0</v>
      </c>
      <c r="Z99" t="inlineStr">
        <is>
          <t>No</t>
        </is>
      </c>
      <c r="AA99" t="inlineStr">
        <is>
          <t>Filled</t>
        </is>
      </c>
      <c r="AB99" t="inlineStr">
        <is>
          <t>blended</t>
        </is>
      </c>
      <c r="AC99" t="inlineStr"/>
      <c r="AD99" t="n">
        <v>0</v>
      </c>
      <c r="AE99" t="inlineStr"/>
      <c r="AF99" t="inlineStr"/>
      <c r="AG99" t="inlineStr"/>
      <c r="AH99" t="inlineStr"/>
      <c r="AI99" t="inlineStr">
        <is>
          <t>Yes</t>
        </is>
      </c>
      <c r="AJ99" t="inlineStr"/>
      <c r="AK99" t="inlineStr"/>
      <c r="AL99" t="inlineStr"/>
      <c r="AM99" t="inlineStr"/>
    </row>
    <row r="100">
      <c r="A100" t="inlineStr">
        <is>
          <t>085949K</t>
        </is>
      </c>
      <c r="B100" t="inlineStr">
        <is>
          <t>Graduate Certificate in Publishing and Communications (Advanced)</t>
        </is>
      </c>
      <c r="C100" t="inlineStr">
        <is>
          <t>Graduate Certificate</t>
        </is>
      </c>
      <c r="D100" t="inlineStr">
        <is>
          <t>Postgraduate coursework</t>
        </is>
      </c>
      <c r="E100" t="inlineStr">
        <is>
          <t>Advertised: official page in place</t>
        </is>
      </c>
      <c r="F100" t="inlineStr">
        <is>
          <t>https://handbook.unimelb.edu.au/2026/courses/gca-pubcom</t>
        </is>
      </c>
      <c r="G100" t="inlineStr">
        <is>
          <t>https://handbook.unimelb.edu.au/2026/courses/gca-pubcom</t>
        </is>
      </c>
      <c r="H100" t="inlineStr">
        <is>
          <t>Read</t>
        </is>
      </c>
      <c r="I100" t="inlineStr">
        <is>
          <t>CRICOS code on page</t>
        </is>
      </c>
      <c r="J100" t="inlineStr"/>
      <c r="K100" t="inlineStr">
        <is>
          <t>Not sent to re-link</t>
        </is>
      </c>
      <c r="L100" t="inlineStr">
        <is>
          <t>Filled</t>
        </is>
      </c>
      <c r="M100" t="inlineStr">
        <is>
          <t>Filled</t>
        </is>
      </c>
      <c r="N100" t="inlineStr">
        <is>
          <t>52416.00 2027</t>
        </is>
      </c>
      <c r="O100" t="n">
        <v>3</v>
      </c>
      <c r="P100" t="inlineStr">
        <is>
          <t>Other</t>
        </is>
      </c>
      <c r="Q100" t="inlineStr">
        <is>
          <t>Filled</t>
        </is>
      </c>
      <c r="R100" t="n">
        <v>7</v>
      </c>
      <c r="S100" t="inlineStr">
        <is>
          <t>Central English policy</t>
        </is>
      </c>
      <c r="T100" t="inlineStr">
        <is>
          <t>Level map (Melbourne): not computed per course in this report</t>
        </is>
      </c>
      <c r="U100" t="inlineStr"/>
      <c r="V100" t="inlineStr">
        <is>
          <t>Not stated on course page</t>
        </is>
      </c>
      <c r="W100" t="inlineStr"/>
      <c r="X100" t="inlineStr"/>
      <c r="Y100" t="n">
        <v>0</v>
      </c>
      <c r="Z100" t="inlineStr">
        <is>
          <t>No</t>
        </is>
      </c>
      <c r="AA100" t="inlineStr">
        <is>
          <t>Filled</t>
        </is>
      </c>
      <c r="AB100" t="inlineStr">
        <is>
          <t>on campus</t>
        </is>
      </c>
      <c r="AC100" t="inlineStr"/>
      <c r="AD100" t="n">
        <v>0</v>
      </c>
      <c r="AE100" t="inlineStr"/>
      <c r="AF100" t="inlineStr"/>
      <c r="AG100" t="inlineStr"/>
      <c r="AH100" t="inlineStr"/>
      <c r="AI100" t="inlineStr">
        <is>
          <t>Yes</t>
        </is>
      </c>
      <c r="AJ100" t="inlineStr"/>
      <c r="AK100" t="inlineStr"/>
      <c r="AL100" t="inlineStr"/>
      <c r="AM100" t="inlineStr"/>
    </row>
    <row r="101">
      <c r="A101" t="inlineStr">
        <is>
          <t>085109F</t>
        </is>
      </c>
      <c r="B101" t="inlineStr">
        <is>
          <t>Graduate Certificate in Science</t>
        </is>
      </c>
      <c r="C101" t="inlineStr">
        <is>
          <t>Graduate Certificate</t>
        </is>
      </c>
      <c r="D101" t="inlineStr">
        <is>
          <t>Postgraduate coursework</t>
        </is>
      </c>
      <c r="E101" t="inlineStr">
        <is>
          <t>Advertised: official page in place</t>
        </is>
      </c>
      <c r="F101" t="inlineStr">
        <is>
          <t>https://study.unimelb.edu.au/find/courses/graduate/graduate-certificate-in-science/</t>
        </is>
      </c>
      <c r="G101" t="inlineStr">
        <is>
          <t>https://study.unimelb.edu.au/find/courses/graduate/graduate-certificate-in-science/</t>
        </is>
      </c>
      <c r="H101" t="inlineStr">
        <is>
          <t>Read</t>
        </is>
      </c>
      <c r="I101" t="inlineStr">
        <is>
          <t>Exact title match</t>
        </is>
      </c>
      <c r="J101" t="inlineStr"/>
      <c r="K101" t="inlineStr">
        <is>
          <t>Not sent to re-link</t>
        </is>
      </c>
      <c r="L101" t="inlineStr">
        <is>
          <t>Filled</t>
        </is>
      </c>
      <c r="M101" t="inlineStr">
        <is>
          <t>Not stated on course page</t>
        </is>
      </c>
      <c r="N101" t="inlineStr"/>
      <c r="O101" t="n">
        <v>0</v>
      </c>
      <c r="P101" t="inlineStr"/>
      <c r="Q101" t="inlineStr">
        <is>
          <t>Filled</t>
        </is>
      </c>
      <c r="R101" t="n">
        <v>6.5</v>
      </c>
      <c r="S101" t="inlineStr">
        <is>
          <t>University adapter</t>
        </is>
      </c>
      <c r="T101" t="inlineStr">
        <is>
          <t>Level map (Melbourne): not computed per course in this report</t>
        </is>
      </c>
      <c r="U101" t="inlineStr"/>
      <c r="V101" t="inlineStr">
        <is>
          <t>Not stated on course page</t>
        </is>
      </c>
      <c r="W101" t="inlineStr"/>
      <c r="X101" t="inlineStr"/>
      <c r="Y101" t="n">
        <v>0</v>
      </c>
      <c r="Z101" t="inlineStr">
        <is>
          <t>No</t>
        </is>
      </c>
      <c r="AA101" t="inlineStr">
        <is>
          <t>Filled</t>
        </is>
      </c>
      <c r="AB101" t="inlineStr">
        <is>
          <t>on campus</t>
        </is>
      </c>
      <c r="AC101" t="inlineStr"/>
      <c r="AD101" t="n">
        <v>0</v>
      </c>
      <c r="AE101" t="inlineStr"/>
      <c r="AF101" t="inlineStr"/>
      <c r="AG101" t="inlineStr"/>
      <c r="AH101" t="inlineStr"/>
      <c r="AI101" t="inlineStr">
        <is>
          <t>Yes</t>
        </is>
      </c>
      <c r="AJ101" t="inlineStr"/>
      <c r="AK101" t="inlineStr"/>
      <c r="AL101" t="inlineStr"/>
      <c r="AM101" t="inlineStr"/>
    </row>
    <row r="102">
      <c r="A102" t="inlineStr">
        <is>
          <t>085950F</t>
        </is>
      </c>
      <c r="B102" t="inlineStr">
        <is>
          <t>Graduate Certificate in Science (Advanced)</t>
        </is>
      </c>
      <c r="C102" t="inlineStr">
        <is>
          <t>Graduate Certificate</t>
        </is>
      </c>
      <c r="D102" t="inlineStr">
        <is>
          <t>Postgraduate coursework</t>
        </is>
      </c>
      <c r="E102" t="inlineStr">
        <is>
          <t>Advertised: official page in place</t>
        </is>
      </c>
      <c r="F102" t="inlineStr">
        <is>
          <t>https://handbook.unimelb.edu.au/2026/courses/gca-sci</t>
        </is>
      </c>
      <c r="G102" t="inlineStr">
        <is>
          <t>https://handbook.unimelb.edu.au/2026/courses/gca-sci</t>
        </is>
      </c>
      <c r="H102" t="inlineStr">
        <is>
          <t>Read</t>
        </is>
      </c>
      <c r="I102" t="inlineStr">
        <is>
          <t>CRICOS code on page</t>
        </is>
      </c>
      <c r="J102" t="inlineStr"/>
      <c r="K102" t="inlineStr">
        <is>
          <t>Not sent to re-link</t>
        </is>
      </c>
      <c r="L102" t="inlineStr">
        <is>
          <t>Filled</t>
        </is>
      </c>
      <c r="M102" t="inlineStr">
        <is>
          <t>Filled</t>
        </is>
      </c>
      <c r="N102" t="inlineStr">
        <is>
          <t>64640.00 2027</t>
        </is>
      </c>
      <c r="O102" t="n">
        <v>3</v>
      </c>
      <c r="P102" t="inlineStr">
        <is>
          <t>Other</t>
        </is>
      </c>
      <c r="Q102" t="inlineStr">
        <is>
          <t>Not stated on course page</t>
        </is>
      </c>
      <c r="S102" t="inlineStr"/>
      <c r="T102" t="inlineStr">
        <is>
          <t>Level map (Melbourne): not computed per course in this report</t>
        </is>
      </c>
      <c r="U102" t="inlineStr"/>
      <c r="V102" t="inlineStr">
        <is>
          <t>Filled</t>
        </is>
      </c>
      <c r="W102" t="inlineStr">
        <is>
          <t>March, July</t>
        </is>
      </c>
      <c r="X102" t="inlineStr">
        <is>
          <t>Other</t>
        </is>
      </c>
      <c r="Y102" t="n">
        <v>0</v>
      </c>
      <c r="Z102" t="inlineStr">
        <is>
          <t>No</t>
        </is>
      </c>
      <c r="AA102" t="inlineStr">
        <is>
          <t>Filled</t>
        </is>
      </c>
      <c r="AB102" t="inlineStr">
        <is>
          <t>on campus</t>
        </is>
      </c>
      <c r="AC102" t="inlineStr"/>
      <c r="AD102" t="n">
        <v>0</v>
      </c>
      <c r="AE102" t="inlineStr"/>
      <c r="AF102" t="inlineStr"/>
      <c r="AG102" t="inlineStr"/>
      <c r="AH102" t="inlineStr"/>
      <c r="AI102" t="inlineStr"/>
      <c r="AJ102" t="inlineStr"/>
      <c r="AK102" t="inlineStr"/>
      <c r="AL102" t="inlineStr"/>
      <c r="AM102" t="inlineStr"/>
    </row>
    <row r="103">
      <c r="A103" t="inlineStr">
        <is>
          <t>098271M</t>
        </is>
      </c>
      <c r="B103" t="inlineStr">
        <is>
          <t>Graduate Certificate in Supply Chain Management (Exit Award)</t>
        </is>
      </c>
      <c r="C103" t="inlineStr">
        <is>
          <t>Graduate Certificate</t>
        </is>
      </c>
      <c r="D103" t="inlineStr">
        <is>
          <t>Postgraduate coursework</t>
        </is>
      </c>
      <c r="E103" t="inlineStr">
        <is>
          <t>No page found</t>
        </is>
      </c>
      <c r="F103" t="inlineStr"/>
      <c r="G103" t="inlineStr"/>
      <c r="H103" t="inlineStr"/>
      <c r="I103" t="inlineStr"/>
      <c r="J103" t="inlineStr"/>
      <c r="K103" t="inlineStr">
        <is>
          <t>Not sent to re-link</t>
        </is>
      </c>
      <c r="L103" t="inlineStr">
        <is>
          <t>Searching for course page</t>
        </is>
      </c>
      <c r="M103" t="inlineStr">
        <is>
          <t>Searching for course page</t>
        </is>
      </c>
      <c r="N103" t="inlineStr"/>
      <c r="O103" t="n">
        <v>0</v>
      </c>
      <c r="P103" t="inlineStr"/>
      <c r="Q103" t="inlineStr">
        <is>
          <t>Searching for course page</t>
        </is>
      </c>
      <c r="S103" t="inlineStr"/>
      <c r="T103" t="inlineStr">
        <is>
          <t>Level map (Melbourne): not computed per course in this report</t>
        </is>
      </c>
      <c r="U103" t="inlineStr"/>
      <c r="V103" t="inlineStr">
        <is>
          <t>Searching for course page</t>
        </is>
      </c>
      <c r="W103" t="inlineStr"/>
      <c r="X103" t="inlineStr"/>
      <c r="Y103" t="n">
        <v>0</v>
      </c>
      <c r="Z103" t="inlineStr">
        <is>
          <t>No</t>
        </is>
      </c>
      <c r="AA103" t="inlineStr">
        <is>
          <t>Not stated on course page</t>
        </is>
      </c>
      <c r="AB103" t="inlineStr"/>
      <c r="AC103" t="inlineStr">
        <is>
          <t>Skipped: no allowed source had a value</t>
        </is>
      </c>
      <c r="AD103" t="n">
        <v>0</v>
      </c>
      <c r="AE103" t="inlineStr"/>
      <c r="AF103" t="inlineStr"/>
      <c r="AG103" t="inlineStr"/>
      <c r="AH103" t="inlineStr"/>
      <c r="AI103" t="inlineStr"/>
      <c r="AJ103" t="inlineStr"/>
      <c r="AK103" t="inlineStr"/>
      <c r="AL103" t="inlineStr"/>
      <c r="AM103" t="inlineStr"/>
    </row>
    <row r="104">
      <c r="A104" t="inlineStr">
        <is>
          <t>095993A</t>
        </is>
      </c>
      <c r="B104" t="inlineStr">
        <is>
          <t>Graduate Certificate in TESOL</t>
        </is>
      </c>
      <c r="C104" t="inlineStr">
        <is>
          <t>Graduate Certificate</t>
        </is>
      </c>
      <c r="D104" t="inlineStr">
        <is>
          <t>Postgraduate coursework</t>
        </is>
      </c>
      <c r="E104" t="inlineStr">
        <is>
          <t>Advertised: official page in place</t>
        </is>
      </c>
      <c r="F104" t="inlineStr">
        <is>
          <t>https://handbook.unimelb.edu.au/2026/courses/gc-tesol</t>
        </is>
      </c>
      <c r="G104" t="inlineStr">
        <is>
          <t>https://handbook.unimelb.edu.au/2026/courses/gc-tesol</t>
        </is>
      </c>
      <c r="H104" t="inlineStr">
        <is>
          <t>Read</t>
        </is>
      </c>
      <c r="I104" t="inlineStr">
        <is>
          <t>CRICOS code on page</t>
        </is>
      </c>
      <c r="J104" t="inlineStr"/>
      <c r="K104" t="inlineStr">
        <is>
          <t>Not sent to re-link</t>
        </is>
      </c>
      <c r="L104" t="inlineStr">
        <is>
          <t>Filled</t>
        </is>
      </c>
      <c r="M104" t="inlineStr">
        <is>
          <t>Filled</t>
        </is>
      </c>
      <c r="N104" t="inlineStr">
        <is>
          <t>52960.00 2027</t>
        </is>
      </c>
      <c r="O104" t="n">
        <v>3</v>
      </c>
      <c r="P104" t="inlineStr">
        <is>
          <t>Other</t>
        </is>
      </c>
      <c r="Q104" t="inlineStr">
        <is>
          <t>Filled</t>
        </is>
      </c>
      <c r="R104" t="n">
        <v>7</v>
      </c>
      <c r="S104" t="inlineStr">
        <is>
          <t>Central English policy</t>
        </is>
      </c>
      <c r="T104" t="inlineStr">
        <is>
          <t>Level map (Melbourne): not computed per course in this report</t>
        </is>
      </c>
      <c r="U104" t="inlineStr"/>
      <c r="V104" t="inlineStr">
        <is>
          <t>Not stated on course page</t>
        </is>
      </c>
      <c r="W104" t="inlineStr"/>
      <c r="X104" t="inlineStr"/>
      <c r="Y104" t="n">
        <v>0</v>
      </c>
      <c r="Z104" t="inlineStr">
        <is>
          <t>No</t>
        </is>
      </c>
      <c r="AA104" t="inlineStr">
        <is>
          <t>Filled</t>
        </is>
      </c>
      <c r="AB104" t="inlineStr">
        <is>
          <t>on campus</t>
        </is>
      </c>
      <c r="AC104" t="inlineStr"/>
      <c r="AD104" t="n">
        <v>0</v>
      </c>
      <c r="AE104" t="inlineStr"/>
      <c r="AF104" t="inlineStr"/>
      <c r="AG104" t="inlineStr"/>
      <c r="AH104" t="inlineStr"/>
      <c r="AI104" t="inlineStr">
        <is>
          <t>Yes</t>
        </is>
      </c>
      <c r="AJ104" t="inlineStr"/>
      <c r="AK104" t="inlineStr"/>
      <c r="AL104" t="inlineStr"/>
      <c r="AM104" t="inlineStr"/>
    </row>
    <row r="105">
      <c r="A105" t="inlineStr">
        <is>
          <t>114388E</t>
        </is>
      </c>
      <c r="B105" t="inlineStr">
        <is>
          <t>Graduate Certificate in Translation</t>
        </is>
      </c>
      <c r="C105" t="inlineStr">
        <is>
          <t>Graduate Certificate</t>
        </is>
      </c>
      <c r="D105" t="inlineStr">
        <is>
          <t>Postgraduate coursework</t>
        </is>
      </c>
      <c r="E105" t="inlineStr">
        <is>
          <t>Advertised: official page in place</t>
        </is>
      </c>
      <c r="F105" t="inlineStr">
        <is>
          <t>https://handbook.unimelb.edu.au/2026/courses/gc-trans</t>
        </is>
      </c>
      <c r="G105" t="inlineStr">
        <is>
          <t>https://handbook.unimelb.edu.au/2026/courses/gc-trans</t>
        </is>
      </c>
      <c r="H105" t="inlineStr">
        <is>
          <t>Read</t>
        </is>
      </c>
      <c r="I105" t="inlineStr">
        <is>
          <t>CRICOS code on page</t>
        </is>
      </c>
      <c r="J105" t="inlineStr"/>
      <c r="K105" t="inlineStr">
        <is>
          <t>Not sent to re-link</t>
        </is>
      </c>
      <c r="L105" t="inlineStr">
        <is>
          <t>Filled</t>
        </is>
      </c>
      <c r="M105" t="inlineStr">
        <is>
          <t>Filled</t>
        </is>
      </c>
      <c r="N105" t="inlineStr">
        <is>
          <t>52416.00 2027</t>
        </is>
      </c>
      <c r="O105" t="n">
        <v>3</v>
      </c>
      <c r="P105" t="inlineStr">
        <is>
          <t>Other</t>
        </is>
      </c>
      <c r="Q105" t="inlineStr">
        <is>
          <t>Filled</t>
        </is>
      </c>
      <c r="R105" t="n">
        <v>6.5</v>
      </c>
      <c r="S105" t="inlineStr">
        <is>
          <t>Central English policy</t>
        </is>
      </c>
      <c r="T105" t="inlineStr">
        <is>
          <t>Level map (Melbourne): not computed per course in this report</t>
        </is>
      </c>
      <c r="U105" t="inlineStr"/>
      <c r="V105" t="inlineStr">
        <is>
          <t>Not stated on course page</t>
        </is>
      </c>
      <c r="W105" t="inlineStr"/>
      <c r="X105" t="inlineStr"/>
      <c r="Y105" t="n">
        <v>0</v>
      </c>
      <c r="Z105" t="inlineStr">
        <is>
          <t>No</t>
        </is>
      </c>
      <c r="AA105" t="inlineStr">
        <is>
          <t>Filled</t>
        </is>
      </c>
      <c r="AB105" t="inlineStr">
        <is>
          <t>on campus</t>
        </is>
      </c>
      <c r="AC105" t="inlineStr"/>
      <c r="AD105" t="n">
        <v>0</v>
      </c>
      <c r="AE105" t="inlineStr"/>
      <c r="AF105" t="inlineStr"/>
      <c r="AG105" t="inlineStr"/>
      <c r="AH105" t="inlineStr"/>
      <c r="AI105" t="inlineStr">
        <is>
          <t>Yes</t>
        </is>
      </c>
      <c r="AJ105" t="inlineStr"/>
      <c r="AK105" t="inlineStr"/>
      <c r="AL105" t="inlineStr"/>
      <c r="AM105" t="inlineStr"/>
    </row>
    <row r="106">
      <c r="A106" t="inlineStr">
        <is>
          <t>082254K</t>
        </is>
      </c>
      <c r="B106" t="inlineStr">
        <is>
          <t>Graduate Certificate in Urban and Cultural Heritage</t>
        </is>
      </c>
      <c r="C106" t="inlineStr">
        <is>
          <t>Graduate Certificate</t>
        </is>
      </c>
      <c r="D106" t="inlineStr">
        <is>
          <t>Postgraduate coursework</t>
        </is>
      </c>
      <c r="E106" t="inlineStr">
        <is>
          <t>Advertised: official page in place</t>
        </is>
      </c>
      <c r="F106" t="inlineStr">
        <is>
          <t>https://handbook.unimelb.edu.au/2026/courses/gc-uch</t>
        </is>
      </c>
      <c r="G106" t="inlineStr">
        <is>
          <t>https://handbook.unimelb.edu.au/2026/courses/gc-uch</t>
        </is>
      </c>
      <c r="H106" t="inlineStr">
        <is>
          <t>Read</t>
        </is>
      </c>
      <c r="I106" t="inlineStr">
        <is>
          <t>Exact title match</t>
        </is>
      </c>
      <c r="J106" t="inlineStr"/>
      <c r="K106" t="inlineStr">
        <is>
          <t>Not sent to re-link</t>
        </is>
      </c>
      <c r="L106" t="inlineStr">
        <is>
          <t>Filled</t>
        </is>
      </c>
      <c r="M106" t="inlineStr">
        <is>
          <t>Filled</t>
        </is>
      </c>
      <c r="N106" t="inlineStr">
        <is>
          <t>59840.00 2027</t>
        </is>
      </c>
      <c r="O106" t="n">
        <v>3</v>
      </c>
      <c r="P106" t="inlineStr">
        <is>
          <t>Other</t>
        </is>
      </c>
      <c r="Q106" t="inlineStr">
        <is>
          <t>Not stated on course page</t>
        </is>
      </c>
      <c r="S106" t="inlineStr"/>
      <c r="T106" t="inlineStr">
        <is>
          <t>Level map (Melbourne): not computed per course in this report</t>
        </is>
      </c>
      <c r="U106" t="inlineStr"/>
      <c r="V106" t="inlineStr">
        <is>
          <t>Filled</t>
        </is>
      </c>
      <c r="W106" t="inlineStr">
        <is>
          <t>March, July</t>
        </is>
      </c>
      <c r="X106" t="inlineStr">
        <is>
          <t>Other</t>
        </is>
      </c>
      <c r="Y106" t="n">
        <v>0</v>
      </c>
      <c r="Z106" t="inlineStr">
        <is>
          <t>No</t>
        </is>
      </c>
      <c r="AA106" t="inlineStr">
        <is>
          <t>Filled</t>
        </is>
      </c>
      <c r="AB106" t="inlineStr">
        <is>
          <t>on campus</t>
        </is>
      </c>
      <c r="AC106" t="inlineStr"/>
      <c r="AD106" t="n">
        <v>0</v>
      </c>
      <c r="AE106" t="inlineStr"/>
      <c r="AF106" t="inlineStr"/>
      <c r="AG106" t="inlineStr"/>
      <c r="AH106" t="inlineStr"/>
      <c r="AI106" t="inlineStr"/>
      <c r="AJ106" t="inlineStr"/>
      <c r="AK106" t="inlineStr"/>
      <c r="AL106" t="inlineStr"/>
      <c r="AM106" t="inlineStr"/>
    </row>
    <row r="107">
      <c r="A107" t="inlineStr">
        <is>
          <t>081745K</t>
        </is>
      </c>
      <c r="B107" t="inlineStr">
        <is>
          <t>Graduate Diploma in Actuarial Science</t>
        </is>
      </c>
      <c r="C107" t="inlineStr">
        <is>
          <t>Graduate Diploma</t>
        </is>
      </c>
      <c r="D107" t="inlineStr">
        <is>
          <t>Postgraduate coursework</t>
        </is>
      </c>
      <c r="E107" t="inlineStr">
        <is>
          <t>Advertised: official page in place</t>
        </is>
      </c>
      <c r="F107" t="inlineStr">
        <is>
          <t>https://study.unimelb.edu.au/find/courses/graduate/graduate-diploma-in-actuarial-science/</t>
        </is>
      </c>
      <c r="G107" t="inlineStr">
        <is>
          <t>https://study.unimelb.edu.au/find/courses/graduate/graduate-diploma-in-actuarial-science/</t>
        </is>
      </c>
      <c r="H107" t="inlineStr">
        <is>
          <t>Read</t>
        </is>
      </c>
      <c r="I107" t="inlineStr">
        <is>
          <t>CRICOS code on page</t>
        </is>
      </c>
      <c r="J107" t="inlineStr"/>
      <c r="K107" t="inlineStr">
        <is>
          <t>Not sent to re-link</t>
        </is>
      </c>
      <c r="L107" t="inlineStr">
        <is>
          <t>Filled</t>
        </is>
      </c>
      <c r="M107" t="inlineStr">
        <is>
          <t>Filled</t>
        </is>
      </c>
      <c r="N107" t="inlineStr">
        <is>
          <t>64640.00 2027</t>
        </is>
      </c>
      <c r="O107" t="n">
        <v>3</v>
      </c>
      <c r="P107" t="inlineStr">
        <is>
          <t>Other</t>
        </is>
      </c>
      <c r="Q107" t="inlineStr">
        <is>
          <t>Filled</t>
        </is>
      </c>
      <c r="R107" t="n">
        <v>6.5</v>
      </c>
      <c r="S107" t="inlineStr">
        <is>
          <t>University adapter</t>
        </is>
      </c>
      <c r="T107" t="inlineStr">
        <is>
          <t>Level map (Melbourne): not computed per course in this report</t>
        </is>
      </c>
      <c r="U107" t="inlineStr"/>
      <c r="V107" t="inlineStr">
        <is>
          <t>Filled</t>
        </is>
      </c>
      <c r="W107" t="inlineStr">
        <is>
          <t>March</t>
        </is>
      </c>
      <c r="X107" t="inlineStr">
        <is>
          <t>University adapter</t>
        </is>
      </c>
      <c r="Y107" t="n">
        <v>0</v>
      </c>
      <c r="Z107" t="inlineStr">
        <is>
          <t>No</t>
        </is>
      </c>
      <c r="AA107" t="inlineStr">
        <is>
          <t>Filled</t>
        </is>
      </c>
      <c r="AB107" t="inlineStr">
        <is>
          <t>on campus</t>
        </is>
      </c>
      <c r="AC107" t="inlineStr"/>
      <c r="AD107" t="n">
        <v>0</v>
      </c>
      <c r="AE107" t="inlineStr"/>
      <c r="AF107" t="inlineStr"/>
      <c r="AG107" t="inlineStr"/>
      <c r="AH107" t="inlineStr"/>
      <c r="AI107" t="inlineStr"/>
      <c r="AJ107" t="inlineStr"/>
      <c r="AK107" t="inlineStr"/>
      <c r="AL107" t="inlineStr"/>
      <c r="AM107" t="inlineStr"/>
    </row>
    <row r="108">
      <c r="A108" t="inlineStr">
        <is>
          <t>085100D</t>
        </is>
      </c>
      <c r="B108" t="inlineStr">
        <is>
          <t>Graduate Diploma in Agricultural Sciences</t>
        </is>
      </c>
      <c r="C108" t="inlineStr">
        <is>
          <t>Graduate Diploma</t>
        </is>
      </c>
      <c r="D108" t="inlineStr">
        <is>
          <t>Postgraduate coursework</t>
        </is>
      </c>
      <c r="E108" t="inlineStr">
        <is>
          <t>Advertised: official page in place</t>
        </is>
      </c>
      <c r="F108" t="inlineStr">
        <is>
          <t>https://handbook.unimelb.edu.au/2026/courses/gd-agsc</t>
        </is>
      </c>
      <c r="G108" t="inlineStr">
        <is>
          <t>https://handbook.unimelb.edu.au/2026/courses/gd-agsc</t>
        </is>
      </c>
      <c r="H108" t="inlineStr">
        <is>
          <t>Read</t>
        </is>
      </c>
      <c r="I108" t="inlineStr">
        <is>
          <t>CRICOS code on page</t>
        </is>
      </c>
      <c r="J108" t="inlineStr"/>
      <c r="K108" t="inlineStr">
        <is>
          <t>Not sent to re-link</t>
        </is>
      </c>
      <c r="L108" t="inlineStr">
        <is>
          <t>Filled</t>
        </is>
      </c>
      <c r="M108" t="inlineStr">
        <is>
          <t>Filled</t>
        </is>
      </c>
      <c r="N108" t="inlineStr">
        <is>
          <t>59424.00 2027</t>
        </is>
      </c>
      <c r="O108" t="n">
        <v>3</v>
      </c>
      <c r="P108" t="inlineStr">
        <is>
          <t>Other</t>
        </is>
      </c>
      <c r="Q108" t="inlineStr">
        <is>
          <t>Filled</t>
        </is>
      </c>
      <c r="R108" t="n">
        <v>6.5</v>
      </c>
      <c r="S108" t="inlineStr">
        <is>
          <t>Central English policy</t>
        </is>
      </c>
      <c r="T108" t="inlineStr">
        <is>
          <t>Level map (Melbourne): not computed per course in this report</t>
        </is>
      </c>
      <c r="U108" t="inlineStr"/>
      <c r="V108" t="inlineStr">
        <is>
          <t>Not stated on course page</t>
        </is>
      </c>
      <c r="W108" t="inlineStr"/>
      <c r="X108" t="inlineStr"/>
      <c r="Y108" t="n">
        <v>0</v>
      </c>
      <c r="Z108" t="inlineStr">
        <is>
          <t>No</t>
        </is>
      </c>
      <c r="AA108" t="inlineStr">
        <is>
          <t>Filled</t>
        </is>
      </c>
      <c r="AB108" t="inlineStr">
        <is>
          <t>on campus</t>
        </is>
      </c>
      <c r="AC108" t="inlineStr"/>
      <c r="AD108" t="n">
        <v>0</v>
      </c>
      <c r="AE108" t="inlineStr"/>
      <c r="AF108" t="inlineStr"/>
      <c r="AG108" t="inlineStr"/>
      <c r="AH108" t="inlineStr"/>
      <c r="AI108" t="inlineStr">
        <is>
          <t>Yes</t>
        </is>
      </c>
      <c r="AJ108" t="inlineStr"/>
      <c r="AK108" t="inlineStr"/>
      <c r="AL108" t="inlineStr"/>
      <c r="AM108" t="inlineStr"/>
    </row>
    <row r="109">
      <c r="A109" t="inlineStr">
        <is>
          <t>092760J</t>
        </is>
      </c>
      <c r="B109" t="inlineStr">
        <is>
          <t>Graduate Diploma in Applied Econometrics</t>
        </is>
      </c>
      <c r="C109" t="inlineStr">
        <is>
          <t>Graduate Diploma</t>
        </is>
      </c>
      <c r="D109" t="inlineStr">
        <is>
          <t>Postgraduate coursework</t>
        </is>
      </c>
      <c r="E109" t="inlineStr">
        <is>
          <t>Held: page found is for another course</t>
        </is>
      </c>
      <c r="F109" t="inlineStr"/>
      <c r="G109" t="inlineStr">
        <is>
          <t>https://handbook.unimelb.edu.au/2026/courses/gd-apbusa</t>
        </is>
      </c>
      <c r="H109" t="inlineStr">
        <is>
          <t>Page is for another course</t>
        </is>
      </c>
      <c r="I109" t="inlineStr"/>
      <c r="J109" t="inlineStr"/>
      <c r="K109" t="inlineStr">
        <is>
          <t>Finished, no page: no address from the university's address forms or stored lis</t>
        </is>
      </c>
      <c r="L109" t="inlineStr">
        <is>
          <t>Searching for course page</t>
        </is>
      </c>
      <c r="M109" t="inlineStr">
        <is>
          <t>Filled</t>
        </is>
      </c>
      <c r="N109" t="inlineStr">
        <is>
          <t>64640.00 2027</t>
        </is>
      </c>
      <c r="O109" t="n">
        <v>3</v>
      </c>
      <c r="P109" t="inlineStr">
        <is>
          <t>Other</t>
        </is>
      </c>
      <c r="Q109" t="inlineStr">
        <is>
          <t>Searching for course page</t>
        </is>
      </c>
      <c r="S109" t="inlineStr"/>
      <c r="T109" t="inlineStr">
        <is>
          <t>Level map (Melbourne): not computed per course in this report</t>
        </is>
      </c>
      <c r="U109" t="inlineStr"/>
      <c r="V109" t="inlineStr">
        <is>
          <t>Searching for course page</t>
        </is>
      </c>
      <c r="W109" t="inlineStr"/>
      <c r="X109" t="inlineStr"/>
      <c r="Y109" t="n">
        <v>0</v>
      </c>
      <c r="Z109" t="inlineStr">
        <is>
          <t>No</t>
        </is>
      </c>
      <c r="AA109" t="inlineStr">
        <is>
          <t>Not stated on course page</t>
        </is>
      </c>
      <c r="AB109" t="inlineStr"/>
      <c r="AC109" t="inlineStr">
        <is>
          <t>Skipped: no correct course page: the page found is for another course</t>
        </is>
      </c>
      <c r="AD109" t="n">
        <v>1</v>
      </c>
      <c r="AE109" t="inlineStr"/>
      <c r="AF109" t="inlineStr"/>
      <c r="AG109" t="inlineStr"/>
      <c r="AH109" t="inlineStr"/>
      <c r="AI109" t="inlineStr"/>
      <c r="AJ109" t="inlineStr"/>
      <c r="AK109" t="inlineStr"/>
      <c r="AL109" t="inlineStr"/>
      <c r="AM109" t="inlineStr"/>
    </row>
    <row r="110">
      <c r="A110" t="inlineStr">
        <is>
          <t>107110E</t>
        </is>
      </c>
      <c r="B110" t="inlineStr">
        <is>
          <t>Graduate Diploma in Applied Econometrics</t>
        </is>
      </c>
      <c r="C110" t="inlineStr">
        <is>
          <t>Graduate Diploma</t>
        </is>
      </c>
      <c r="D110" t="inlineStr">
        <is>
          <t>Postgraduate coursework</t>
        </is>
      </c>
      <c r="E110" t="inlineStr">
        <is>
          <t>Held: page found is for another course</t>
        </is>
      </c>
      <c r="F110" t="inlineStr"/>
      <c r="G110" t="inlineStr">
        <is>
          <t>https://handbook.unimelb.edu.au/2026/courses/gd-apbusa</t>
        </is>
      </c>
      <c r="H110" t="inlineStr">
        <is>
          <t>Page is for another course</t>
        </is>
      </c>
      <c r="I110" t="inlineStr"/>
      <c r="J110" t="inlineStr"/>
      <c r="K110" t="inlineStr">
        <is>
          <t>Finished, no page: no address from the university's address forms or stored lis</t>
        </is>
      </c>
      <c r="L110" t="inlineStr">
        <is>
          <t>Searching for course page</t>
        </is>
      </c>
      <c r="M110" t="inlineStr">
        <is>
          <t>Searching for course page</t>
        </is>
      </c>
      <c r="N110" t="inlineStr"/>
      <c r="O110" t="n">
        <v>0</v>
      </c>
      <c r="P110" t="inlineStr"/>
      <c r="Q110" t="inlineStr">
        <is>
          <t>Searching for course page</t>
        </is>
      </c>
      <c r="S110" t="inlineStr"/>
      <c r="T110" t="inlineStr">
        <is>
          <t>Level map (Melbourne): not computed per course in this report</t>
        </is>
      </c>
      <c r="U110" t="inlineStr"/>
      <c r="V110" t="inlineStr">
        <is>
          <t>Searching for course page</t>
        </is>
      </c>
      <c r="W110" t="inlineStr"/>
      <c r="X110" t="inlineStr"/>
      <c r="Y110" t="n">
        <v>0</v>
      </c>
      <c r="Z110" t="inlineStr">
        <is>
          <t>No</t>
        </is>
      </c>
      <c r="AA110" t="inlineStr">
        <is>
          <t>Not stated on course page</t>
        </is>
      </c>
      <c r="AB110" t="inlineStr"/>
      <c r="AC110" t="inlineStr">
        <is>
          <t>Skipped: no correct course page: the page found is for another course</t>
        </is>
      </c>
      <c r="AD110" t="n">
        <v>1</v>
      </c>
      <c r="AE110" t="inlineStr"/>
      <c r="AF110" t="inlineStr"/>
      <c r="AG110" t="inlineStr"/>
      <c r="AH110" t="inlineStr"/>
      <c r="AI110" t="inlineStr"/>
      <c r="AJ110" t="inlineStr"/>
      <c r="AK110" t="inlineStr"/>
      <c r="AL110" t="inlineStr"/>
      <c r="AM110" t="inlineStr"/>
    </row>
    <row r="111">
      <c r="A111" t="inlineStr">
        <is>
          <t>023190K</t>
        </is>
      </c>
      <c r="B111" t="inlineStr">
        <is>
          <t>Graduate Diploma in Arts</t>
        </is>
      </c>
      <c r="C111" t="inlineStr">
        <is>
          <t>Graduate Diploma</t>
        </is>
      </c>
      <c r="D111" t="inlineStr">
        <is>
          <t>Postgraduate coursework</t>
        </is>
      </c>
      <c r="E111" t="inlineStr">
        <is>
          <t>Advertised: official page in place</t>
        </is>
      </c>
      <c r="F111" t="inlineStr">
        <is>
          <t>https://study.unimelb.edu.au/find/courses/graduate/graduate-diploma-in-arts/</t>
        </is>
      </c>
      <c r="G111" t="inlineStr">
        <is>
          <t>https://study.unimelb.edu.au/find/courses/graduate/graduate-diploma-in-arts/</t>
        </is>
      </c>
      <c r="H111" t="inlineStr">
        <is>
          <t>Read</t>
        </is>
      </c>
      <c r="I111" t="inlineStr">
        <is>
          <t>CRICOS code on page</t>
        </is>
      </c>
      <c r="J111" t="inlineStr"/>
      <c r="K111" t="inlineStr">
        <is>
          <t>Not sent to re-link</t>
        </is>
      </c>
      <c r="L111" t="inlineStr">
        <is>
          <t>Filled</t>
        </is>
      </c>
      <c r="M111" t="inlineStr">
        <is>
          <t>Filled</t>
        </is>
      </c>
      <c r="N111" t="inlineStr">
        <is>
          <t>50560.00 2027</t>
        </is>
      </c>
      <c r="O111" t="n">
        <v>3</v>
      </c>
      <c r="P111" t="inlineStr">
        <is>
          <t>Other</t>
        </is>
      </c>
      <c r="Q111" t="inlineStr">
        <is>
          <t>Filled</t>
        </is>
      </c>
      <c r="R111" t="n">
        <v>6.5</v>
      </c>
      <c r="S111" t="inlineStr">
        <is>
          <t>University adapter</t>
        </is>
      </c>
      <c r="T111" t="inlineStr">
        <is>
          <t>Level map (Melbourne): not computed per course in this report</t>
        </is>
      </c>
      <c r="U111" t="inlineStr"/>
      <c r="V111" t="inlineStr">
        <is>
          <t>Filled</t>
        </is>
      </c>
      <c r="W111" t="inlineStr">
        <is>
          <t>March, July</t>
        </is>
      </c>
      <c r="X111" t="inlineStr">
        <is>
          <t>University adapter</t>
        </is>
      </c>
      <c r="Y111" t="n">
        <v>0</v>
      </c>
      <c r="Z111" t="inlineStr">
        <is>
          <t>No</t>
        </is>
      </c>
      <c r="AA111" t="inlineStr">
        <is>
          <t>Filled</t>
        </is>
      </c>
      <c r="AB111" t="inlineStr">
        <is>
          <t>on campus</t>
        </is>
      </c>
      <c r="AC111" t="inlineStr"/>
      <c r="AD111" t="n">
        <v>0</v>
      </c>
      <c r="AE111" t="inlineStr"/>
      <c r="AF111" t="inlineStr"/>
      <c r="AG111" t="inlineStr"/>
      <c r="AH111" t="inlineStr"/>
      <c r="AI111" t="inlineStr"/>
      <c r="AJ111" t="inlineStr"/>
      <c r="AK111" t="inlineStr"/>
      <c r="AL111" t="inlineStr"/>
      <c r="AM111" t="inlineStr"/>
    </row>
    <row r="112">
      <c r="A112" t="inlineStr">
        <is>
          <t>023185G</t>
        </is>
      </c>
      <c r="B112" t="inlineStr">
        <is>
          <t>Graduate Diploma in Arts (Advanced)</t>
        </is>
      </c>
      <c r="C112" t="inlineStr">
        <is>
          <t>Graduate Diploma</t>
        </is>
      </c>
      <c r="D112" t="inlineStr">
        <is>
          <t>Postgraduate coursework</t>
        </is>
      </c>
      <c r="E112" t="inlineStr">
        <is>
          <t>Advertised: official page in place</t>
        </is>
      </c>
      <c r="F112" t="inlineStr">
        <is>
          <t>https://study.unimelb.edu.au/find/courses/graduate/graduate-diploma-in-arts-advanced/</t>
        </is>
      </c>
      <c r="G112" t="inlineStr">
        <is>
          <t>https://study.unimelb.edu.au/find/courses/graduate/graduate-diploma-in-arts-advanced/</t>
        </is>
      </c>
      <c r="H112" t="inlineStr">
        <is>
          <t>Read</t>
        </is>
      </c>
      <c r="I112" t="inlineStr">
        <is>
          <t>CRICOS code on page</t>
        </is>
      </c>
      <c r="J112" t="inlineStr"/>
      <c r="K112" t="inlineStr">
        <is>
          <t>Not sent to re-link</t>
        </is>
      </c>
      <c r="L112" t="inlineStr">
        <is>
          <t>Filled</t>
        </is>
      </c>
      <c r="M112" t="inlineStr">
        <is>
          <t>Filled</t>
        </is>
      </c>
      <c r="N112" t="inlineStr">
        <is>
          <t>52416.00 2027</t>
        </is>
      </c>
      <c r="O112" t="n">
        <v>3</v>
      </c>
      <c r="P112" t="inlineStr">
        <is>
          <t>Other</t>
        </is>
      </c>
      <c r="Q112" t="inlineStr">
        <is>
          <t>Filled</t>
        </is>
      </c>
      <c r="R112" t="n">
        <v>6.5</v>
      </c>
      <c r="S112" t="inlineStr">
        <is>
          <t>University adapter</t>
        </is>
      </c>
      <c r="T112" t="inlineStr">
        <is>
          <t>Level map (Melbourne): not computed per course in this report</t>
        </is>
      </c>
      <c r="U112" t="inlineStr"/>
      <c r="V112" t="inlineStr">
        <is>
          <t>Filled</t>
        </is>
      </c>
      <c r="W112" t="inlineStr">
        <is>
          <t>February, July</t>
        </is>
      </c>
      <c r="X112" t="inlineStr">
        <is>
          <t>University adapter</t>
        </is>
      </c>
      <c r="Y112" t="n">
        <v>0</v>
      </c>
      <c r="Z112" t="inlineStr">
        <is>
          <t>No</t>
        </is>
      </c>
      <c r="AA112" t="inlineStr">
        <is>
          <t>Filled</t>
        </is>
      </c>
      <c r="AB112" t="inlineStr">
        <is>
          <t>on campus</t>
        </is>
      </c>
      <c r="AC112" t="inlineStr"/>
      <c r="AD112" t="n">
        <v>0</v>
      </c>
      <c r="AE112" t="inlineStr"/>
      <c r="AF112" t="inlineStr"/>
      <c r="AG112" t="inlineStr"/>
      <c r="AH112" t="inlineStr"/>
      <c r="AI112" t="inlineStr"/>
      <c r="AJ112" t="inlineStr"/>
      <c r="AK112" t="inlineStr"/>
      <c r="AL112" t="inlineStr"/>
      <c r="AM112" t="inlineStr"/>
    </row>
    <row r="113">
      <c r="A113" t="inlineStr">
        <is>
          <t>075491M</t>
        </is>
      </c>
      <c r="B113" t="inlineStr">
        <is>
          <t>Graduate Diploma in Arts and Community Practice</t>
        </is>
      </c>
      <c r="C113" t="inlineStr">
        <is>
          <t>Graduate Diploma</t>
        </is>
      </c>
      <c r="D113" t="inlineStr">
        <is>
          <t>Postgraduate coursework</t>
        </is>
      </c>
      <c r="E113" t="inlineStr">
        <is>
          <t>No-page record (no page), awaiting review</t>
        </is>
      </c>
      <c r="F113" t="inlineStr"/>
      <c r="G113" t="inlineStr">
        <is>
          <t>https://archive.handbook.unimelb.edu.au/view/2008/682-aa/</t>
        </is>
      </c>
      <c r="H113" t="inlineStr">
        <is>
          <t>Not the university site</t>
        </is>
      </c>
      <c r="I113" t="inlineStr"/>
      <c r="J113" t="inlineStr">
        <is>
          <t>No page (proposed)</t>
        </is>
      </c>
      <c r="K113" t="inlineStr">
        <is>
          <t>Not sent to re-link</t>
        </is>
      </c>
      <c r="L113" t="inlineStr">
        <is>
          <t>Searching for course page</t>
        </is>
      </c>
      <c r="M113" t="inlineStr">
        <is>
          <t>Searching for course page</t>
        </is>
      </c>
      <c r="N113" t="inlineStr"/>
      <c r="O113" t="n">
        <v>0</v>
      </c>
      <c r="P113" t="inlineStr"/>
      <c r="Q113" t="inlineStr">
        <is>
          <t>Searching for course page</t>
        </is>
      </c>
      <c r="S113" t="inlineStr"/>
      <c r="T113" t="inlineStr">
        <is>
          <t>Level map (Melbourne): not computed per course in this report</t>
        </is>
      </c>
      <c r="U113" t="inlineStr"/>
      <c r="V113" t="inlineStr">
        <is>
          <t>Searching for course page</t>
        </is>
      </c>
      <c r="W113" t="inlineStr"/>
      <c r="X113" t="inlineStr"/>
      <c r="Y113" t="n">
        <v>0</v>
      </c>
      <c r="Z113" t="inlineStr">
        <is>
          <t>No</t>
        </is>
      </c>
      <c r="AA113" t="inlineStr">
        <is>
          <t>Not stated on course page</t>
        </is>
      </c>
      <c r="AB113" t="inlineStr"/>
      <c r="AC113" t="inlineStr">
        <is>
          <t>Skipped: no allowed source had a value</t>
        </is>
      </c>
      <c r="AD113" t="n">
        <v>0</v>
      </c>
      <c r="AE113" t="inlineStr"/>
      <c r="AF113" t="inlineStr"/>
      <c r="AG113" t="inlineStr"/>
      <c r="AH113" t="inlineStr"/>
      <c r="AI113" t="inlineStr"/>
      <c r="AJ113" t="inlineStr"/>
      <c r="AK113" t="inlineStr"/>
      <c r="AL113" t="inlineStr"/>
      <c r="AM113" t="inlineStr">
        <is>
          <t>Yes</t>
        </is>
      </c>
    </row>
    <row r="114">
      <c r="A114" t="inlineStr">
        <is>
          <t>075125M</t>
        </is>
      </c>
      <c r="B114" t="inlineStr">
        <is>
          <t>Graduate Diploma in Arts and Cultural Management (Advanced)</t>
        </is>
      </c>
      <c r="C114" t="inlineStr">
        <is>
          <t>Graduate Diploma</t>
        </is>
      </c>
      <c r="D114" t="inlineStr">
        <is>
          <t>Postgraduate coursework</t>
        </is>
      </c>
      <c r="E114" t="inlineStr">
        <is>
          <t>Advertised: official page in place</t>
        </is>
      </c>
      <c r="F114" t="inlineStr">
        <is>
          <t>https://handbook.unimelb.edu.au/2026/courses/gda-acm</t>
        </is>
      </c>
      <c r="G114" t="inlineStr">
        <is>
          <t>https://handbook.unimelb.edu.au/2026/courses/gda-acm</t>
        </is>
      </c>
      <c r="H114" t="inlineStr">
        <is>
          <t>Read</t>
        </is>
      </c>
      <c r="I114" t="inlineStr">
        <is>
          <t>CRICOS code on page</t>
        </is>
      </c>
      <c r="J114" t="inlineStr"/>
      <c r="K114" t="inlineStr">
        <is>
          <t>Not sent to re-link</t>
        </is>
      </c>
      <c r="L114" t="inlineStr">
        <is>
          <t>Filled</t>
        </is>
      </c>
      <c r="M114" t="inlineStr">
        <is>
          <t>Filled</t>
        </is>
      </c>
      <c r="N114" t="inlineStr">
        <is>
          <t>52416.00 2027</t>
        </is>
      </c>
      <c r="O114" t="n">
        <v>3</v>
      </c>
      <c r="P114" t="inlineStr">
        <is>
          <t>Other</t>
        </is>
      </c>
      <c r="Q114" t="inlineStr">
        <is>
          <t>Filled</t>
        </is>
      </c>
      <c r="R114" t="n">
        <v>6.5</v>
      </c>
      <c r="S114" t="inlineStr">
        <is>
          <t>Central English policy</t>
        </is>
      </c>
      <c r="T114" t="inlineStr">
        <is>
          <t>Level map (Melbourne): not computed per course in this report</t>
        </is>
      </c>
      <c r="U114" t="inlineStr"/>
      <c r="V114" t="inlineStr">
        <is>
          <t>Not stated on course page</t>
        </is>
      </c>
      <c r="W114" t="inlineStr"/>
      <c r="X114" t="inlineStr"/>
      <c r="Y114" t="n">
        <v>0</v>
      </c>
      <c r="Z114" t="inlineStr">
        <is>
          <t>No</t>
        </is>
      </c>
      <c r="AA114" t="inlineStr">
        <is>
          <t>Filled</t>
        </is>
      </c>
      <c r="AB114" t="inlineStr">
        <is>
          <t>on campus</t>
        </is>
      </c>
      <c r="AC114" t="inlineStr"/>
      <c r="AD114" t="n">
        <v>0</v>
      </c>
      <c r="AE114" t="inlineStr"/>
      <c r="AF114" t="inlineStr"/>
      <c r="AG114" t="inlineStr"/>
      <c r="AH114" t="inlineStr"/>
      <c r="AI114" t="inlineStr">
        <is>
          <t>Yes</t>
        </is>
      </c>
      <c r="AJ114" t="inlineStr"/>
      <c r="AK114" t="inlineStr"/>
      <c r="AL114" t="inlineStr"/>
      <c r="AM114" t="inlineStr"/>
    </row>
    <row r="115">
      <c r="A115" t="inlineStr">
        <is>
          <t>075335A</t>
        </is>
      </c>
      <c r="B115" t="inlineStr">
        <is>
          <t>Graduate Diploma in Asian Law</t>
        </is>
      </c>
      <c r="C115" t="inlineStr">
        <is>
          <t>Graduate Diploma</t>
        </is>
      </c>
      <c r="D115" t="inlineStr">
        <is>
          <t>Postgraduate coursework</t>
        </is>
      </c>
      <c r="E115" t="inlineStr">
        <is>
          <t>Advertised: official page in place</t>
        </is>
      </c>
      <c r="F115" t="inlineStr">
        <is>
          <t>https://handbook.unimelb.edu.au/2026/courses/726aa</t>
        </is>
      </c>
      <c r="G115" t="inlineStr">
        <is>
          <t>https://handbook.unimelb.edu.au/2026/courses/726aa</t>
        </is>
      </c>
      <c r="H115" t="inlineStr">
        <is>
          <t>Read</t>
        </is>
      </c>
      <c r="I115" t="inlineStr">
        <is>
          <t>CRICOS code on page</t>
        </is>
      </c>
      <c r="J115" t="inlineStr"/>
      <c r="K115" t="inlineStr">
        <is>
          <t>Not sent to re-link</t>
        </is>
      </c>
      <c r="L115" t="inlineStr">
        <is>
          <t>Filled</t>
        </is>
      </c>
      <c r="M115" t="inlineStr">
        <is>
          <t>Filled</t>
        </is>
      </c>
      <c r="N115" t="inlineStr">
        <is>
          <t>67072.00 2027</t>
        </is>
      </c>
      <c r="O115" t="n">
        <v>3</v>
      </c>
      <c r="P115" t="inlineStr">
        <is>
          <t>Other</t>
        </is>
      </c>
      <c r="Q115" t="inlineStr">
        <is>
          <t>Filled</t>
        </is>
      </c>
      <c r="R115" t="n">
        <v>7</v>
      </c>
      <c r="S115" t="inlineStr">
        <is>
          <t>Central English policy</t>
        </is>
      </c>
      <c r="T115" t="inlineStr">
        <is>
          <t>Level map (Melbourne): not computed per course in this report</t>
        </is>
      </c>
      <c r="U115" t="inlineStr"/>
      <c r="V115" t="inlineStr">
        <is>
          <t>Waiting for Layer 4 review</t>
        </is>
      </c>
      <c r="W115" t="inlineStr"/>
      <c r="X115" t="inlineStr"/>
      <c r="Y115" t="n">
        <v>0</v>
      </c>
      <c r="Z115" t="inlineStr">
        <is>
          <t>No</t>
        </is>
      </c>
      <c r="AA115" t="inlineStr">
        <is>
          <t>Filled</t>
        </is>
      </c>
      <c r="AB115" t="inlineStr">
        <is>
          <t>on campus</t>
        </is>
      </c>
      <c r="AC115" t="inlineStr"/>
      <c r="AD115" t="n">
        <v>0</v>
      </c>
      <c r="AE115" t="inlineStr"/>
      <c r="AF115" t="inlineStr">
        <is>
          <t>Yes</t>
        </is>
      </c>
      <c r="AG115" t="inlineStr"/>
      <c r="AH115" t="inlineStr"/>
      <c r="AI115" t="inlineStr">
        <is>
          <t>Yes</t>
        </is>
      </c>
      <c r="AJ115" t="inlineStr"/>
      <c r="AK115" t="inlineStr"/>
      <c r="AL115" t="inlineStr"/>
      <c r="AM115" t="inlineStr"/>
    </row>
    <row r="116">
      <c r="A116" t="inlineStr">
        <is>
          <t>075334B</t>
        </is>
      </c>
      <c r="B116" t="inlineStr">
        <is>
          <t>Graduate Diploma in Banking and Finance Law</t>
        </is>
      </c>
      <c r="C116" t="inlineStr">
        <is>
          <t>Graduate Diploma</t>
        </is>
      </c>
      <c r="D116" t="inlineStr">
        <is>
          <t>Postgraduate coursework</t>
        </is>
      </c>
      <c r="E116" t="inlineStr">
        <is>
          <t>Advertised: official page in place</t>
        </is>
      </c>
      <c r="F116" t="inlineStr">
        <is>
          <t>https://study.unimelb.edu.au/find/courses/graduate/graduate-diploma-in-banking-and-finance-law/</t>
        </is>
      </c>
      <c r="G116" t="inlineStr">
        <is>
          <t>https://study.unimelb.edu.au/find/courses/graduate/graduate-diploma-in-banking-and-finance-law/</t>
        </is>
      </c>
      <c r="H116" t="inlineStr">
        <is>
          <t>Read</t>
        </is>
      </c>
      <c r="I116" t="inlineStr">
        <is>
          <t>CRICOS code on page</t>
        </is>
      </c>
      <c r="J116" t="inlineStr"/>
      <c r="K116" t="inlineStr">
        <is>
          <t>Not sent to re-link</t>
        </is>
      </c>
      <c r="L116" t="inlineStr">
        <is>
          <t>Filled</t>
        </is>
      </c>
      <c r="M116" t="inlineStr">
        <is>
          <t>Filled</t>
        </is>
      </c>
      <c r="N116" t="inlineStr">
        <is>
          <t>67072.00 2027</t>
        </is>
      </c>
      <c r="O116" t="n">
        <v>3</v>
      </c>
      <c r="P116" t="inlineStr">
        <is>
          <t>Other</t>
        </is>
      </c>
      <c r="Q116" t="inlineStr">
        <is>
          <t>Filled</t>
        </is>
      </c>
      <c r="R116" t="n">
        <v>6.5</v>
      </c>
      <c r="S116" t="inlineStr">
        <is>
          <t>University adapter</t>
        </is>
      </c>
      <c r="T116" t="inlineStr">
        <is>
          <t>Level map (Melbourne): not computed per course in this report</t>
        </is>
      </c>
      <c r="U116" t="inlineStr"/>
      <c r="V116" t="inlineStr">
        <is>
          <t>Filled</t>
        </is>
      </c>
      <c r="W116" t="inlineStr">
        <is>
          <t>March, July</t>
        </is>
      </c>
      <c r="X116" t="inlineStr">
        <is>
          <t>University adapter</t>
        </is>
      </c>
      <c r="Y116" t="n">
        <v>0</v>
      </c>
      <c r="Z116" t="inlineStr">
        <is>
          <t>No</t>
        </is>
      </c>
      <c r="AA116" t="inlineStr">
        <is>
          <t>Filled</t>
        </is>
      </c>
      <c r="AB116" t="inlineStr">
        <is>
          <t>on campus</t>
        </is>
      </c>
      <c r="AC116" t="inlineStr"/>
      <c r="AD116" t="n">
        <v>0</v>
      </c>
      <c r="AE116" t="inlineStr"/>
      <c r="AF116" t="inlineStr"/>
      <c r="AG116" t="inlineStr"/>
      <c r="AH116" t="inlineStr"/>
      <c r="AI116" t="inlineStr"/>
      <c r="AJ116" t="inlineStr"/>
      <c r="AK116" t="inlineStr"/>
      <c r="AL116" t="inlineStr"/>
      <c r="AM116" t="inlineStr"/>
    </row>
    <row r="117">
      <c r="A117" t="inlineStr">
        <is>
          <t>088479M</t>
        </is>
      </c>
      <c r="B117" t="inlineStr">
        <is>
          <t>Graduate Diploma in Biostatistics</t>
        </is>
      </c>
      <c r="C117" t="inlineStr">
        <is>
          <t>Graduate Diploma</t>
        </is>
      </c>
      <c r="D117" t="inlineStr">
        <is>
          <t>Postgraduate coursework</t>
        </is>
      </c>
      <c r="E117" t="inlineStr">
        <is>
          <t>Advertised: official page in place</t>
        </is>
      </c>
      <c r="F117" t="inlineStr">
        <is>
          <t>https://study.unimelb.edu.au/find/courses/graduate/graduate-diploma-in-biostatistics/</t>
        </is>
      </c>
      <c r="G117" t="inlineStr">
        <is>
          <t>https://study.unimelb.edu.au/find/courses/graduate/graduate-diploma-in-biostatistics/</t>
        </is>
      </c>
      <c r="H117" t="inlineStr">
        <is>
          <t>Read</t>
        </is>
      </c>
      <c r="I117" t="inlineStr">
        <is>
          <t>CRICOS code on page</t>
        </is>
      </c>
      <c r="J117" t="inlineStr"/>
      <c r="K117" t="inlineStr">
        <is>
          <t>Not sent to re-link</t>
        </is>
      </c>
      <c r="L117" t="inlineStr">
        <is>
          <t>Filled</t>
        </is>
      </c>
      <c r="M117" t="inlineStr">
        <is>
          <t>Filled</t>
        </is>
      </c>
      <c r="N117" t="inlineStr">
        <is>
          <t>66752.00 2027</t>
        </is>
      </c>
      <c r="O117" t="n">
        <v>3</v>
      </c>
      <c r="P117" t="inlineStr">
        <is>
          <t>Other</t>
        </is>
      </c>
      <c r="Q117" t="inlineStr">
        <is>
          <t>Filled</t>
        </is>
      </c>
      <c r="R117" t="n">
        <v>6.5</v>
      </c>
      <c r="S117" t="inlineStr">
        <is>
          <t>University adapter</t>
        </is>
      </c>
      <c r="T117" t="inlineStr">
        <is>
          <t>Level map (Melbourne): not computed per course in this report</t>
        </is>
      </c>
      <c r="U117" t="inlineStr"/>
      <c r="V117" t="inlineStr">
        <is>
          <t>Filled</t>
        </is>
      </c>
      <c r="W117" t="inlineStr">
        <is>
          <t>March</t>
        </is>
      </c>
      <c r="X117" t="inlineStr">
        <is>
          <t>University adapter</t>
        </is>
      </c>
      <c r="Y117" t="n">
        <v>0</v>
      </c>
      <c r="Z117" t="inlineStr">
        <is>
          <t>No</t>
        </is>
      </c>
      <c r="AA117" t="inlineStr">
        <is>
          <t>Filled</t>
        </is>
      </c>
      <c r="AB117" t="inlineStr">
        <is>
          <t>on campus</t>
        </is>
      </c>
      <c r="AC117" t="inlineStr"/>
      <c r="AD117" t="n">
        <v>0</v>
      </c>
      <c r="AE117" t="inlineStr"/>
      <c r="AF117" t="inlineStr"/>
      <c r="AG117" t="inlineStr"/>
      <c r="AH117" t="inlineStr"/>
      <c r="AI117" t="inlineStr"/>
      <c r="AJ117" t="inlineStr"/>
      <c r="AK117" t="inlineStr"/>
      <c r="AL117" t="inlineStr"/>
      <c r="AM117" t="inlineStr"/>
    </row>
    <row r="118">
      <c r="A118" t="inlineStr">
        <is>
          <t>080611K</t>
        </is>
      </c>
      <c r="B118" t="inlineStr">
        <is>
          <t>Graduate Diploma in Built Environments</t>
        </is>
      </c>
      <c r="C118" t="inlineStr">
        <is>
          <t>Graduate Diploma</t>
        </is>
      </c>
      <c r="D118" t="inlineStr">
        <is>
          <t>Postgraduate coursework</t>
        </is>
      </c>
      <c r="E118" t="inlineStr">
        <is>
          <t>Advertised: official page in place</t>
        </is>
      </c>
      <c r="F118" t="inlineStr">
        <is>
          <t>https://study.unimelb.edu.au/find/courses/graduate/graduate-diploma-in-built-environments/</t>
        </is>
      </c>
      <c r="G118" t="inlineStr">
        <is>
          <t>https://study.unimelb.edu.au/find/courses/graduate/graduate-diploma-in-built-environments/</t>
        </is>
      </c>
      <c r="H118" t="inlineStr">
        <is>
          <t>Read</t>
        </is>
      </c>
      <c r="I118" t="inlineStr">
        <is>
          <t>CRICOS code on page</t>
        </is>
      </c>
      <c r="J118" t="inlineStr"/>
      <c r="K118" t="inlineStr">
        <is>
          <t>Not sent to re-link</t>
        </is>
      </c>
      <c r="L118" t="inlineStr">
        <is>
          <t>Filled</t>
        </is>
      </c>
      <c r="M118" t="inlineStr">
        <is>
          <t>Filled</t>
        </is>
      </c>
      <c r="N118" t="inlineStr">
        <is>
          <t>59840.00 2027</t>
        </is>
      </c>
      <c r="O118" t="n">
        <v>3</v>
      </c>
      <c r="P118" t="inlineStr">
        <is>
          <t>Other</t>
        </is>
      </c>
      <c r="Q118" t="inlineStr">
        <is>
          <t>Filled</t>
        </is>
      </c>
      <c r="R118" t="n">
        <v>6.5</v>
      </c>
      <c r="S118" t="inlineStr">
        <is>
          <t>University adapter</t>
        </is>
      </c>
      <c r="T118" t="inlineStr">
        <is>
          <t>Level map (Melbourne): not computed per course in this report</t>
        </is>
      </c>
      <c r="U118" t="inlineStr"/>
      <c r="V118" t="inlineStr">
        <is>
          <t>Filled</t>
        </is>
      </c>
      <c r="W118" t="inlineStr">
        <is>
          <t>March, July</t>
        </is>
      </c>
      <c r="X118" t="inlineStr">
        <is>
          <t>Other</t>
        </is>
      </c>
      <c r="Y118" t="n">
        <v>0</v>
      </c>
      <c r="Z118" t="inlineStr">
        <is>
          <t>No</t>
        </is>
      </c>
      <c r="AA118" t="inlineStr">
        <is>
          <t>Filled</t>
        </is>
      </c>
      <c r="AB118" t="inlineStr">
        <is>
          <t>on campus</t>
        </is>
      </c>
      <c r="AC118" t="inlineStr"/>
      <c r="AD118" t="n">
        <v>0</v>
      </c>
      <c r="AE118" t="inlineStr"/>
      <c r="AF118" t="inlineStr"/>
      <c r="AG118" t="inlineStr"/>
      <c r="AH118" t="inlineStr"/>
      <c r="AI118" t="inlineStr"/>
      <c r="AJ118" t="inlineStr"/>
      <c r="AK118" t="inlineStr"/>
      <c r="AL118" t="inlineStr"/>
      <c r="AM118" t="inlineStr"/>
    </row>
    <row r="119">
      <c r="A119" t="inlineStr">
        <is>
          <t>080610M</t>
        </is>
      </c>
      <c r="B119" t="inlineStr">
        <is>
          <t>Graduate Diploma in Built Environments (Advanced)</t>
        </is>
      </c>
      <c r="C119" t="inlineStr">
        <is>
          <t>Graduate Diploma</t>
        </is>
      </c>
      <c r="D119" t="inlineStr">
        <is>
          <t>Postgraduate coursework</t>
        </is>
      </c>
      <c r="E119" t="inlineStr">
        <is>
          <t>Advertised: official page in place</t>
        </is>
      </c>
      <c r="F119" t="inlineStr">
        <is>
          <t>https://study.unimelb.edu.au/find/courses/graduate/graduate-diploma-in-built-environments-advanced/</t>
        </is>
      </c>
      <c r="G119" t="inlineStr">
        <is>
          <t>https://study.unimelb.edu.au/find/courses/graduate/graduate-diploma-in-built-environments-advanced/</t>
        </is>
      </c>
      <c r="H119" t="inlineStr">
        <is>
          <t>Read</t>
        </is>
      </c>
      <c r="I119" t="inlineStr">
        <is>
          <t>CRICOS code on page</t>
        </is>
      </c>
      <c r="J119" t="inlineStr"/>
      <c r="K119" t="inlineStr">
        <is>
          <t>Not sent to re-link</t>
        </is>
      </c>
      <c r="L119" t="inlineStr">
        <is>
          <t>Filled</t>
        </is>
      </c>
      <c r="M119" t="inlineStr">
        <is>
          <t>Filled</t>
        </is>
      </c>
      <c r="N119" t="inlineStr">
        <is>
          <t>59840.00 2027</t>
        </is>
      </c>
      <c r="O119" t="n">
        <v>3</v>
      </c>
      <c r="P119" t="inlineStr">
        <is>
          <t>Other</t>
        </is>
      </c>
      <c r="Q119" t="inlineStr">
        <is>
          <t>Filled</t>
        </is>
      </c>
      <c r="R119" t="n">
        <v>6.5</v>
      </c>
      <c r="S119" t="inlineStr">
        <is>
          <t>University adapter</t>
        </is>
      </c>
      <c r="T119" t="inlineStr">
        <is>
          <t>Level map (Melbourne): not computed per course in this report</t>
        </is>
      </c>
      <c r="U119" t="inlineStr"/>
      <c r="V119" t="inlineStr">
        <is>
          <t>Filled</t>
        </is>
      </c>
      <c r="W119" t="inlineStr">
        <is>
          <t>March, July</t>
        </is>
      </c>
      <c r="X119" t="inlineStr">
        <is>
          <t>University adapter</t>
        </is>
      </c>
      <c r="Y119" t="n">
        <v>0</v>
      </c>
      <c r="Z119" t="inlineStr">
        <is>
          <t>No</t>
        </is>
      </c>
      <c r="AA119" t="inlineStr">
        <is>
          <t>Filled</t>
        </is>
      </c>
      <c r="AB119" t="inlineStr">
        <is>
          <t>on campus</t>
        </is>
      </c>
      <c r="AC119" t="inlineStr"/>
      <c r="AD119" t="n">
        <v>0</v>
      </c>
      <c r="AE119" t="inlineStr"/>
      <c r="AF119" t="inlineStr"/>
      <c r="AG119" t="inlineStr"/>
      <c r="AH119" t="inlineStr"/>
      <c r="AI119" t="inlineStr"/>
      <c r="AJ119" t="inlineStr"/>
      <c r="AK119" t="inlineStr"/>
      <c r="AL119" t="inlineStr"/>
      <c r="AM119" t="inlineStr"/>
    </row>
    <row r="120">
      <c r="A120" t="inlineStr">
        <is>
          <t>007318K</t>
        </is>
      </c>
      <c r="B120" t="inlineStr">
        <is>
          <t>Graduate Diploma in Clinical Dentistry</t>
        </is>
      </c>
      <c r="C120" t="inlineStr">
        <is>
          <t>Graduate Diploma</t>
        </is>
      </c>
      <c r="D120" t="inlineStr">
        <is>
          <t>Postgraduate coursework</t>
        </is>
      </c>
      <c r="E120" t="inlineStr">
        <is>
          <t>Advertised: official page in place</t>
        </is>
      </c>
      <c r="F120" t="inlineStr">
        <is>
          <t>https://handbook.unimelb.edu.au/2024/courses/031aa</t>
        </is>
      </c>
      <c r="G120" t="inlineStr">
        <is>
          <t>https://handbook.unimelb.edu.au/2026/courses/gd-cdimpl</t>
        </is>
      </c>
      <c r="H120" t="inlineStr">
        <is>
          <t>Needs a rendered read</t>
        </is>
      </c>
      <c r="I120" t="inlineStr"/>
      <c r="J120" t="inlineStr"/>
      <c r="K120" t="inlineStr">
        <is>
          <t>Finished, no page: no address from the university's address forms or stored lis</t>
        </is>
      </c>
      <c r="L120" t="inlineStr">
        <is>
          <t>Filled</t>
        </is>
      </c>
      <c r="M120" t="inlineStr">
        <is>
          <t>Not stated on course page</t>
        </is>
      </c>
      <c r="N120" t="inlineStr"/>
      <c r="O120" t="n">
        <v>0</v>
      </c>
      <c r="P120" t="inlineStr"/>
      <c r="Q120" t="inlineStr">
        <is>
          <t>Not stated on course page</t>
        </is>
      </c>
      <c r="S120" t="inlineStr"/>
      <c r="T120" t="inlineStr">
        <is>
          <t>Level map (Melbourne): not computed per course in this report</t>
        </is>
      </c>
      <c r="U120" t="inlineStr"/>
      <c r="V120" t="inlineStr">
        <is>
          <t>Not stated on course page</t>
        </is>
      </c>
      <c r="W120" t="inlineStr"/>
      <c r="X120" t="inlineStr"/>
      <c r="Y120" t="n">
        <v>0</v>
      </c>
      <c r="Z120" t="inlineStr">
        <is>
          <t>No</t>
        </is>
      </c>
      <c r="AA120" t="inlineStr">
        <is>
          <t>Filled</t>
        </is>
      </c>
      <c r="AB120" t="inlineStr">
        <is>
          <t>on campus</t>
        </is>
      </c>
      <c r="AC120" t="inlineStr"/>
      <c r="AD120" t="n">
        <v>0</v>
      </c>
      <c r="AE120" t="inlineStr">
        <is>
          <t>Yes</t>
        </is>
      </c>
      <c r="AF120" t="inlineStr"/>
      <c r="AG120" t="inlineStr"/>
      <c r="AH120" t="inlineStr"/>
      <c r="AI120" t="inlineStr">
        <is>
          <t>Yes</t>
        </is>
      </c>
      <c r="AJ120" t="inlineStr"/>
      <c r="AK120" t="inlineStr"/>
      <c r="AL120" t="inlineStr"/>
      <c r="AM120" t="inlineStr"/>
    </row>
    <row r="121">
      <c r="A121" t="inlineStr">
        <is>
          <t>055856G</t>
        </is>
      </c>
      <c r="B121" t="inlineStr">
        <is>
          <t>Graduate Diploma in Clinical Research</t>
        </is>
      </c>
      <c r="C121" t="inlineStr">
        <is>
          <t>Graduate Diploma</t>
        </is>
      </c>
      <c r="D121" t="inlineStr">
        <is>
          <t>Postgraduate coursework</t>
        </is>
      </c>
      <c r="E121" t="inlineStr">
        <is>
          <t>Advertised: official page in place</t>
        </is>
      </c>
      <c r="F121" t="inlineStr">
        <is>
          <t>https://study.unimelb.edu.au/find/courses/graduate/graduate-diploma-in-clinical-research/</t>
        </is>
      </c>
      <c r="G121" t="inlineStr">
        <is>
          <t>https://study.unimelb.edu.au/find/courses/graduate/graduate-diploma-in-clinical-research/</t>
        </is>
      </c>
      <c r="H121" t="inlineStr">
        <is>
          <t>Read</t>
        </is>
      </c>
      <c r="I121" t="inlineStr">
        <is>
          <t>CRICOS code on page</t>
        </is>
      </c>
      <c r="J121" t="inlineStr"/>
      <c r="K121" t="inlineStr">
        <is>
          <t>Not sent to re-link</t>
        </is>
      </c>
      <c r="L121" t="inlineStr">
        <is>
          <t>Filled</t>
        </is>
      </c>
      <c r="M121" t="inlineStr">
        <is>
          <t>Filled</t>
        </is>
      </c>
      <c r="N121" t="inlineStr">
        <is>
          <t>46624.00 2027</t>
        </is>
      </c>
      <c r="O121" t="n">
        <v>3</v>
      </c>
      <c r="P121" t="inlineStr">
        <is>
          <t>Other</t>
        </is>
      </c>
      <c r="Q121" t="inlineStr">
        <is>
          <t>Filled</t>
        </is>
      </c>
      <c r="R121" t="n">
        <v>7</v>
      </c>
      <c r="S121" t="inlineStr">
        <is>
          <t>University adapter</t>
        </is>
      </c>
      <c r="T121" t="inlineStr">
        <is>
          <t>Level map (Melbourne): not computed per course in this report</t>
        </is>
      </c>
      <c r="U121" t="inlineStr"/>
      <c r="V121" t="inlineStr">
        <is>
          <t>Filled</t>
        </is>
      </c>
      <c r="W121" t="inlineStr">
        <is>
          <t>February</t>
        </is>
      </c>
      <c r="X121" t="inlineStr">
        <is>
          <t>University adapter</t>
        </is>
      </c>
      <c r="Y121" t="n">
        <v>0</v>
      </c>
      <c r="Z121" t="inlineStr">
        <is>
          <t>No</t>
        </is>
      </c>
      <c r="AA121" t="inlineStr">
        <is>
          <t>Filled</t>
        </is>
      </c>
      <c r="AB121" t="inlineStr">
        <is>
          <t>on campus</t>
        </is>
      </c>
      <c r="AC121" t="inlineStr"/>
      <c r="AD121" t="n">
        <v>0</v>
      </c>
      <c r="AE121" t="inlineStr"/>
      <c r="AF121" t="inlineStr"/>
      <c r="AG121" t="inlineStr"/>
      <c r="AH121" t="inlineStr"/>
      <c r="AI121" t="inlineStr"/>
      <c r="AJ121" t="inlineStr"/>
      <c r="AK121" t="inlineStr"/>
      <c r="AL121" t="inlineStr"/>
      <c r="AM121" t="inlineStr"/>
    </row>
    <row r="122">
      <c r="A122" t="inlineStr">
        <is>
          <t>092764E</t>
        </is>
      </c>
      <c r="B122" t="inlineStr">
        <is>
          <t>Graduate Diploma in Commerce (Accounting)</t>
        </is>
      </c>
      <c r="C122" t="inlineStr">
        <is>
          <t>Graduate Diploma</t>
        </is>
      </c>
      <c r="D122" t="inlineStr">
        <is>
          <t>Postgraduate coursework</t>
        </is>
      </c>
      <c r="E122" t="inlineStr">
        <is>
          <t>Held: page found is for another course</t>
        </is>
      </c>
      <c r="F122" t="inlineStr"/>
      <c r="G122" t="inlineStr">
        <is>
          <t>https://handbook.unimelb.edu.au/2026/courses/gd-baol</t>
        </is>
      </c>
      <c r="H122" t="inlineStr">
        <is>
          <t>Page is for another course</t>
        </is>
      </c>
      <c r="I122" t="inlineStr"/>
      <c r="J122" t="inlineStr"/>
      <c r="K122" t="inlineStr">
        <is>
          <t>Finished, no page: no address from the university's address forms or stored lis</t>
        </is>
      </c>
      <c r="L122" t="inlineStr">
        <is>
          <t>Searching for course page</t>
        </is>
      </c>
      <c r="M122" t="inlineStr">
        <is>
          <t>Filled</t>
        </is>
      </c>
      <c r="N122" t="inlineStr">
        <is>
          <t>64640.00 2027</t>
        </is>
      </c>
      <c r="O122" t="n">
        <v>3</v>
      </c>
      <c r="P122" t="inlineStr">
        <is>
          <t>Other</t>
        </is>
      </c>
      <c r="Q122" t="inlineStr">
        <is>
          <t>Searching for course page</t>
        </is>
      </c>
      <c r="S122" t="inlineStr"/>
      <c r="T122" t="inlineStr">
        <is>
          <t>Level map (Melbourne): not computed per course in this report</t>
        </is>
      </c>
      <c r="U122" t="inlineStr"/>
      <c r="V122" t="inlineStr">
        <is>
          <t>Searching for course page</t>
        </is>
      </c>
      <c r="W122" t="inlineStr"/>
      <c r="X122" t="inlineStr"/>
      <c r="Y122" t="n">
        <v>0</v>
      </c>
      <c r="Z122" t="inlineStr">
        <is>
          <t>No</t>
        </is>
      </c>
      <c r="AA122" t="inlineStr">
        <is>
          <t>Not stated on course page</t>
        </is>
      </c>
      <c r="AB122" t="inlineStr"/>
      <c r="AC122" t="inlineStr">
        <is>
          <t>Skipped: no correct course page: the page found is for another course</t>
        </is>
      </c>
      <c r="AD122" t="n">
        <v>1</v>
      </c>
      <c r="AE122" t="inlineStr"/>
      <c r="AF122" t="inlineStr"/>
      <c r="AG122" t="inlineStr"/>
      <c r="AH122" t="inlineStr"/>
      <c r="AI122" t="inlineStr"/>
      <c r="AJ122" t="inlineStr"/>
      <c r="AK122" t="inlineStr"/>
      <c r="AL122" t="inlineStr"/>
      <c r="AM122" t="inlineStr"/>
    </row>
    <row r="123">
      <c r="A123" t="inlineStr">
        <is>
          <t>092765D</t>
        </is>
      </c>
      <c r="B123" t="inlineStr">
        <is>
          <t>Graduate Diploma in Commerce (Finance)</t>
        </is>
      </c>
      <c r="C123" t="inlineStr">
        <is>
          <t>Graduate Diploma</t>
        </is>
      </c>
      <c r="D123" t="inlineStr">
        <is>
          <t>Postgraduate coursework</t>
        </is>
      </c>
      <c r="E123" t="inlineStr">
        <is>
          <t>Advertised: official page in place</t>
        </is>
      </c>
      <c r="F123" t="inlineStr">
        <is>
          <t>https://handbook.unimelb.edu.au/2026/courses/mc-comfin</t>
        </is>
      </c>
      <c r="G123" t="inlineStr">
        <is>
          <t>https://handbook.unimelb.edu.au/2026/courses/gd-busana</t>
        </is>
      </c>
      <c r="H123" t="inlineStr">
        <is>
          <t>Page is for another course</t>
        </is>
      </c>
      <c r="I123" t="inlineStr"/>
      <c r="J123" t="inlineStr"/>
      <c r="K123" t="inlineStr">
        <is>
          <t>Finished, no page: no address from the university's address forms or stored lis</t>
        </is>
      </c>
      <c r="L123" t="inlineStr">
        <is>
          <t>Filled</t>
        </is>
      </c>
      <c r="M123" t="inlineStr">
        <is>
          <t>Filled</t>
        </is>
      </c>
      <c r="N123" t="inlineStr">
        <is>
          <t>64640.00 2027</t>
        </is>
      </c>
      <c r="O123" t="n">
        <v>3</v>
      </c>
      <c r="P123" t="inlineStr">
        <is>
          <t>Other</t>
        </is>
      </c>
      <c r="Q123" t="inlineStr">
        <is>
          <t>Page found, being read</t>
        </is>
      </c>
      <c r="S123" t="inlineStr"/>
      <c r="T123" t="inlineStr">
        <is>
          <t>Level map (Melbourne): not computed per course in this report</t>
        </is>
      </c>
      <c r="U123" t="inlineStr"/>
      <c r="V123" t="inlineStr">
        <is>
          <t>Page found, being read</t>
        </is>
      </c>
      <c r="W123" t="inlineStr"/>
      <c r="X123" t="inlineStr"/>
      <c r="Y123" t="n">
        <v>0</v>
      </c>
      <c r="Z123" t="inlineStr">
        <is>
          <t>No</t>
        </is>
      </c>
      <c r="AA123" t="inlineStr">
        <is>
          <t>Filled</t>
        </is>
      </c>
      <c r="AB123" t="inlineStr">
        <is>
          <t>on campus</t>
        </is>
      </c>
      <c r="AC123" t="inlineStr"/>
      <c r="AD123" t="n">
        <v>0</v>
      </c>
      <c r="AE123" t="inlineStr"/>
      <c r="AF123" t="inlineStr"/>
      <c r="AG123" t="inlineStr"/>
      <c r="AH123" t="inlineStr"/>
      <c r="AI123" t="inlineStr">
        <is>
          <t>Yes</t>
        </is>
      </c>
      <c r="AJ123" t="inlineStr"/>
      <c r="AK123" t="inlineStr"/>
      <c r="AL123" t="inlineStr"/>
      <c r="AM123" t="inlineStr"/>
    </row>
    <row r="124">
      <c r="A124" t="inlineStr">
        <is>
          <t>069663B</t>
        </is>
      </c>
      <c r="B124" t="inlineStr">
        <is>
          <t>Graduate Diploma in Commerce (Management)</t>
        </is>
      </c>
      <c r="C124" t="inlineStr">
        <is>
          <t>Graduate Diploma</t>
        </is>
      </c>
      <c r="D124" t="inlineStr">
        <is>
          <t>Postgraduate coursework</t>
        </is>
      </c>
      <c r="E124" t="inlineStr">
        <is>
          <t>Held: page found is for another course</t>
        </is>
      </c>
      <c r="F124" t="inlineStr"/>
      <c r="G124" t="inlineStr">
        <is>
          <t>https://archive.handbook.unimelb.edu.au/view/2012/gd-mgmt/</t>
        </is>
      </c>
      <c r="H124" t="inlineStr">
        <is>
          <t>Not the university site</t>
        </is>
      </c>
      <c r="I124" t="inlineStr"/>
      <c r="J124" t="inlineStr"/>
      <c r="K124" t="inlineStr">
        <is>
          <t>Not sent to re-link</t>
        </is>
      </c>
      <c r="L124" t="inlineStr">
        <is>
          <t>Not stated on course page</t>
        </is>
      </c>
      <c r="M124" t="inlineStr">
        <is>
          <t>Not stated on course page</t>
        </is>
      </c>
      <c r="N124" t="inlineStr"/>
      <c r="O124" t="n">
        <v>0</v>
      </c>
      <c r="P124" t="inlineStr"/>
      <c r="Q124" t="inlineStr">
        <is>
          <t>Not stated on course page</t>
        </is>
      </c>
      <c r="S124" t="inlineStr"/>
      <c r="T124" t="inlineStr">
        <is>
          <t>Level map (Melbourne): not computed per course in this report</t>
        </is>
      </c>
      <c r="U124" t="inlineStr"/>
      <c r="V124" t="inlineStr">
        <is>
          <t>Not stated on course page</t>
        </is>
      </c>
      <c r="W124" t="inlineStr"/>
      <c r="X124" t="inlineStr"/>
      <c r="Y124" t="n">
        <v>0</v>
      </c>
      <c r="Z124" t="inlineStr">
        <is>
          <t>No</t>
        </is>
      </c>
      <c r="AA124" t="inlineStr">
        <is>
          <t>Not stated on course page</t>
        </is>
      </c>
      <c r="AB124" t="inlineStr"/>
      <c r="AC124" t="inlineStr">
        <is>
          <t>Skipped: no allowed source had a value</t>
        </is>
      </c>
      <c r="AD124" t="n">
        <v>0</v>
      </c>
      <c r="AE124" t="inlineStr"/>
      <c r="AF124" t="inlineStr"/>
      <c r="AG124" t="inlineStr"/>
      <c r="AH124" t="inlineStr"/>
      <c r="AI124" t="inlineStr"/>
      <c r="AJ124" t="inlineStr"/>
      <c r="AK124" t="inlineStr"/>
      <c r="AL124" t="inlineStr"/>
      <c r="AM124" t="inlineStr"/>
    </row>
    <row r="125">
      <c r="A125" t="inlineStr">
        <is>
          <t>069665M</t>
        </is>
      </c>
      <c r="B125" t="inlineStr">
        <is>
          <t>Graduate Diploma in Commerce (Marketing)</t>
        </is>
      </c>
      <c r="C125" t="inlineStr">
        <is>
          <t>Graduate Diploma</t>
        </is>
      </c>
      <c r="D125" t="inlineStr">
        <is>
          <t>Postgraduate coursework</t>
        </is>
      </c>
      <c r="E125" t="inlineStr">
        <is>
          <t>Held: page found is for another course</t>
        </is>
      </c>
      <c r="F125" t="inlineStr"/>
      <c r="G125" t="inlineStr">
        <is>
          <t>https://handbook.unimelb.edu.au/2026/courses/gd-mktg</t>
        </is>
      </c>
      <c r="H125" t="inlineStr">
        <is>
          <t>Page is for another course</t>
        </is>
      </c>
      <c r="I125" t="inlineStr"/>
      <c r="J125" t="inlineStr"/>
      <c r="K125" t="inlineStr">
        <is>
          <t>Finished, no page: no address from the university's address forms or stored lis</t>
        </is>
      </c>
      <c r="L125" t="inlineStr">
        <is>
          <t>Searching for course page</t>
        </is>
      </c>
      <c r="M125" t="inlineStr">
        <is>
          <t>Searching for course page</t>
        </is>
      </c>
      <c r="N125" t="inlineStr"/>
      <c r="O125" t="n">
        <v>0</v>
      </c>
      <c r="P125" t="inlineStr"/>
      <c r="Q125" t="inlineStr">
        <is>
          <t>Searching for course page</t>
        </is>
      </c>
      <c r="S125" t="inlineStr"/>
      <c r="T125" t="inlineStr">
        <is>
          <t>Level map (Melbourne): not computed per course in this report</t>
        </is>
      </c>
      <c r="U125" t="inlineStr"/>
      <c r="V125" t="inlineStr">
        <is>
          <t>Searching for course page</t>
        </is>
      </c>
      <c r="W125" t="inlineStr"/>
      <c r="X125" t="inlineStr"/>
      <c r="Y125" t="n">
        <v>0</v>
      </c>
      <c r="Z125" t="inlineStr">
        <is>
          <t>No</t>
        </is>
      </c>
      <c r="AA125" t="inlineStr">
        <is>
          <t>Not stated on course page</t>
        </is>
      </c>
      <c r="AB125" t="inlineStr"/>
      <c r="AC125" t="inlineStr">
        <is>
          <t>Skipped: no correct course page: the page found is for another course</t>
        </is>
      </c>
      <c r="AD125" t="n">
        <v>1</v>
      </c>
      <c r="AE125" t="inlineStr"/>
      <c r="AF125" t="inlineStr"/>
      <c r="AG125" t="inlineStr"/>
      <c r="AH125" t="inlineStr"/>
      <c r="AI125" t="inlineStr"/>
      <c r="AJ125" t="inlineStr"/>
      <c r="AK125" t="inlineStr"/>
      <c r="AL125" t="inlineStr"/>
      <c r="AM125" t="inlineStr"/>
    </row>
    <row r="126">
      <c r="A126" t="inlineStr">
        <is>
          <t>075316D</t>
        </is>
      </c>
      <c r="B126" t="inlineStr">
        <is>
          <t>Graduate Diploma in Communications Law</t>
        </is>
      </c>
      <c r="C126" t="inlineStr">
        <is>
          <t>Graduate Diploma</t>
        </is>
      </c>
      <c r="D126" t="inlineStr">
        <is>
          <t>Postgraduate coursework</t>
        </is>
      </c>
      <c r="E126" t="inlineStr">
        <is>
          <t>Advertised: official page in place</t>
        </is>
      </c>
      <c r="F126" t="inlineStr">
        <is>
          <t>https://study.unimelb.edu.au/find/courses/graduate/graduate-diploma-in-communications-law/</t>
        </is>
      </c>
      <c r="G126" t="inlineStr">
        <is>
          <t>https://study.unimelb.edu.au/find/courses/graduate/graduate-diploma-in-communications-law/</t>
        </is>
      </c>
      <c r="H126" t="inlineStr">
        <is>
          <t>Read</t>
        </is>
      </c>
      <c r="I126" t="inlineStr">
        <is>
          <t>Exact title match</t>
        </is>
      </c>
      <c r="J126" t="inlineStr"/>
      <c r="K126" t="inlineStr">
        <is>
          <t>Not sent to re-link</t>
        </is>
      </c>
      <c r="L126" t="inlineStr">
        <is>
          <t>Filled</t>
        </is>
      </c>
      <c r="M126" t="inlineStr">
        <is>
          <t>Not stated on course page</t>
        </is>
      </c>
      <c r="N126" t="inlineStr"/>
      <c r="O126" t="n">
        <v>0</v>
      </c>
      <c r="P126" t="inlineStr"/>
      <c r="Q126" t="inlineStr">
        <is>
          <t>Filled</t>
        </is>
      </c>
      <c r="R126" t="n">
        <v>6.5</v>
      </c>
      <c r="S126" t="inlineStr">
        <is>
          <t>University adapter</t>
        </is>
      </c>
      <c r="T126" t="inlineStr">
        <is>
          <t>Level map (Melbourne): not computed per course in this report</t>
        </is>
      </c>
      <c r="U126" t="inlineStr"/>
      <c r="V126" t="inlineStr">
        <is>
          <t>Filled</t>
        </is>
      </c>
      <c r="W126" t="inlineStr">
        <is>
          <t>February, March, June, July, August</t>
        </is>
      </c>
      <c r="X126" t="inlineStr">
        <is>
          <t>Other</t>
        </is>
      </c>
      <c r="Y126" t="n">
        <v>0</v>
      </c>
      <c r="Z126" t="inlineStr">
        <is>
          <t>No</t>
        </is>
      </c>
      <c r="AA126" t="inlineStr">
        <is>
          <t>Filled</t>
        </is>
      </c>
      <c r="AB126" t="inlineStr">
        <is>
          <t>on campus</t>
        </is>
      </c>
      <c r="AC126" t="inlineStr"/>
      <c r="AD126" t="n">
        <v>0</v>
      </c>
      <c r="AE126" t="inlineStr"/>
      <c r="AF126" t="inlineStr"/>
      <c r="AG126" t="inlineStr"/>
      <c r="AH126" t="inlineStr"/>
      <c r="AI126" t="inlineStr"/>
      <c r="AJ126" t="inlineStr"/>
      <c r="AK126" t="inlineStr"/>
      <c r="AL126" t="inlineStr"/>
      <c r="AM126" t="inlineStr"/>
    </row>
    <row r="127">
      <c r="A127" t="inlineStr">
        <is>
          <t>099421E</t>
        </is>
      </c>
      <c r="B127" t="inlineStr">
        <is>
          <t>Graduate Diploma in Computer Science</t>
        </is>
      </c>
      <c r="C127" t="inlineStr">
        <is>
          <t>Graduate Diploma</t>
        </is>
      </c>
      <c r="D127" t="inlineStr">
        <is>
          <t>Postgraduate coursework</t>
        </is>
      </c>
      <c r="E127" t="inlineStr">
        <is>
          <t>Advertised: official page in place</t>
        </is>
      </c>
      <c r="F127" t="inlineStr">
        <is>
          <t>https://study.unimelb.edu.au/find/courses/graduate/graduate-diploma-in-computer-science/</t>
        </is>
      </c>
      <c r="G127" t="inlineStr">
        <is>
          <t>https://study.unimelb.edu.au/find/courses/graduate/graduate-diploma-in-computer-science/</t>
        </is>
      </c>
      <c r="H127" t="inlineStr">
        <is>
          <t>Read</t>
        </is>
      </c>
      <c r="I127" t="inlineStr">
        <is>
          <t>CRICOS code on page</t>
        </is>
      </c>
      <c r="J127" t="inlineStr"/>
      <c r="K127" t="inlineStr">
        <is>
          <t>Not sent to re-link</t>
        </is>
      </c>
      <c r="L127" t="inlineStr">
        <is>
          <t>Filled</t>
        </is>
      </c>
      <c r="M127" t="inlineStr">
        <is>
          <t>Filled</t>
        </is>
      </c>
      <c r="N127" t="inlineStr">
        <is>
          <t>68480.00 2027</t>
        </is>
      </c>
      <c r="O127" t="n">
        <v>3</v>
      </c>
      <c r="P127" t="inlineStr">
        <is>
          <t>Other</t>
        </is>
      </c>
      <c r="Q127" t="inlineStr">
        <is>
          <t>Filled</t>
        </is>
      </c>
      <c r="R127" t="n">
        <v>6.5</v>
      </c>
      <c r="S127" t="inlineStr">
        <is>
          <t>University adapter</t>
        </is>
      </c>
      <c r="T127" t="inlineStr">
        <is>
          <t>Level map (Melbourne): not computed per course in this report</t>
        </is>
      </c>
      <c r="U127" t="inlineStr"/>
      <c r="V127" t="inlineStr">
        <is>
          <t>Filled</t>
        </is>
      </c>
      <c r="W127" t="inlineStr">
        <is>
          <t>March</t>
        </is>
      </c>
      <c r="X127" t="inlineStr">
        <is>
          <t>University adapter</t>
        </is>
      </c>
      <c r="Y127" t="n">
        <v>0</v>
      </c>
      <c r="Z127" t="inlineStr">
        <is>
          <t>No</t>
        </is>
      </c>
      <c r="AA127" t="inlineStr">
        <is>
          <t>Filled</t>
        </is>
      </c>
      <c r="AB127" t="inlineStr">
        <is>
          <t>on campus</t>
        </is>
      </c>
      <c r="AC127" t="inlineStr"/>
      <c r="AD127" t="n">
        <v>0</v>
      </c>
      <c r="AE127" t="inlineStr"/>
      <c r="AF127" t="inlineStr"/>
      <c r="AG127" t="inlineStr"/>
      <c r="AH127" t="inlineStr"/>
      <c r="AI127" t="inlineStr"/>
      <c r="AJ127" t="inlineStr"/>
      <c r="AK127" t="inlineStr"/>
      <c r="AL127" t="inlineStr"/>
      <c r="AM127" t="inlineStr"/>
    </row>
    <row r="128">
      <c r="A128" t="inlineStr">
        <is>
          <t>075333C</t>
        </is>
      </c>
      <c r="B128" t="inlineStr">
        <is>
          <t>Graduate Diploma in Construction Law</t>
        </is>
      </c>
      <c r="C128" t="inlineStr">
        <is>
          <t>Graduate Diploma</t>
        </is>
      </c>
      <c r="D128" t="inlineStr">
        <is>
          <t>Postgraduate coursework</t>
        </is>
      </c>
      <c r="E128" t="inlineStr">
        <is>
          <t>Advertised: official page in place</t>
        </is>
      </c>
      <c r="F128" t="inlineStr">
        <is>
          <t>https://handbook.unimelb.edu.au/2026/courses/189aa</t>
        </is>
      </c>
      <c r="G128" t="inlineStr">
        <is>
          <t>https://handbook.unimelb.edu.au/2026/courses/189aa</t>
        </is>
      </c>
      <c r="H128" t="inlineStr">
        <is>
          <t>Read</t>
        </is>
      </c>
      <c r="I128" t="inlineStr">
        <is>
          <t>CRICOS code on page</t>
        </is>
      </c>
      <c r="J128" t="inlineStr"/>
      <c r="K128" t="inlineStr">
        <is>
          <t>Not sent to re-link</t>
        </is>
      </c>
      <c r="L128" t="inlineStr">
        <is>
          <t>Filled</t>
        </is>
      </c>
      <c r="M128" t="inlineStr">
        <is>
          <t>Filled</t>
        </is>
      </c>
      <c r="N128" t="inlineStr">
        <is>
          <t>67072.00 2027</t>
        </is>
      </c>
      <c r="O128" t="n">
        <v>3</v>
      </c>
      <c r="P128" t="inlineStr">
        <is>
          <t>Other</t>
        </is>
      </c>
      <c r="Q128" t="inlineStr">
        <is>
          <t>Filled</t>
        </is>
      </c>
      <c r="R128" t="n">
        <v>7</v>
      </c>
      <c r="S128" t="inlineStr">
        <is>
          <t>Central English policy</t>
        </is>
      </c>
      <c r="T128" t="inlineStr">
        <is>
          <t>Level map (Melbourne): not computed per course in this report</t>
        </is>
      </c>
      <c r="U128" t="inlineStr"/>
      <c r="V128" t="inlineStr">
        <is>
          <t>Not stated on course page</t>
        </is>
      </c>
      <c r="W128" t="inlineStr"/>
      <c r="X128" t="inlineStr"/>
      <c r="Y128" t="n">
        <v>0</v>
      </c>
      <c r="Z128" t="inlineStr">
        <is>
          <t>No</t>
        </is>
      </c>
      <c r="AA128" t="inlineStr">
        <is>
          <t>Filled</t>
        </is>
      </c>
      <c r="AB128" t="inlineStr">
        <is>
          <t>on campus</t>
        </is>
      </c>
      <c r="AC128" t="inlineStr"/>
      <c r="AD128" t="n">
        <v>0</v>
      </c>
      <c r="AE128" t="inlineStr"/>
      <c r="AF128" t="inlineStr"/>
      <c r="AG128" t="inlineStr"/>
      <c r="AH128" t="inlineStr"/>
      <c r="AI128" t="inlineStr">
        <is>
          <t>Yes</t>
        </is>
      </c>
      <c r="AJ128" t="inlineStr"/>
      <c r="AK128" t="inlineStr"/>
      <c r="AL128" t="inlineStr"/>
      <c r="AM128" t="inlineStr"/>
    </row>
    <row r="129">
      <c r="A129" t="inlineStr">
        <is>
          <t>075503A</t>
        </is>
      </c>
      <c r="B129" t="inlineStr">
        <is>
          <t>Graduate Diploma in Contemporary Art</t>
        </is>
      </c>
      <c r="C129" t="inlineStr">
        <is>
          <t>Graduate Diploma</t>
        </is>
      </c>
      <c r="D129" t="inlineStr">
        <is>
          <t>Postgraduate coursework</t>
        </is>
      </c>
      <c r="E129" t="inlineStr">
        <is>
          <t>Advertised: official page in place</t>
        </is>
      </c>
      <c r="F129" t="inlineStr">
        <is>
          <t>https://study.unimelb.edu.au/find/courses/graduate/master-of-contemporary-art/</t>
        </is>
      </c>
      <c r="G129" t="inlineStr">
        <is>
          <t>https://handbook.unimelb.edu.au/2026/courses/mc-ctpyart</t>
        </is>
      </c>
      <c r="H129" t="inlineStr">
        <is>
          <t>Needs a rendered read</t>
        </is>
      </c>
      <c r="I129" t="inlineStr"/>
      <c r="J129" t="inlineStr"/>
      <c r="K129" t="inlineStr">
        <is>
          <t>Finished, no page: no address from the university's address forms or stored lis</t>
        </is>
      </c>
      <c r="L129" t="inlineStr">
        <is>
          <t>Filled</t>
        </is>
      </c>
      <c r="M129" t="inlineStr">
        <is>
          <t>Filled</t>
        </is>
      </c>
      <c r="N129" t="inlineStr">
        <is>
          <t>50720.00 2027</t>
        </is>
      </c>
      <c r="O129" t="n">
        <v>3</v>
      </c>
      <c r="P129" t="inlineStr">
        <is>
          <t>Other</t>
        </is>
      </c>
      <c r="Q129" t="inlineStr">
        <is>
          <t>Page found, being read</t>
        </is>
      </c>
      <c r="S129" t="inlineStr"/>
      <c r="T129" t="inlineStr">
        <is>
          <t>Level map (Melbourne): not computed per course in this report</t>
        </is>
      </c>
      <c r="U129" t="inlineStr"/>
      <c r="V129" t="inlineStr">
        <is>
          <t>Filled</t>
        </is>
      </c>
      <c r="W129" t="inlineStr">
        <is>
          <t>March</t>
        </is>
      </c>
      <c r="X129" t="inlineStr">
        <is>
          <t>Other</t>
        </is>
      </c>
      <c r="Y129" t="n">
        <v>0</v>
      </c>
      <c r="Z129" t="inlineStr">
        <is>
          <t>No</t>
        </is>
      </c>
      <c r="AA129" t="inlineStr">
        <is>
          <t>Filled</t>
        </is>
      </c>
      <c r="AB129" t="inlineStr">
        <is>
          <t>on campus</t>
        </is>
      </c>
      <c r="AC129" t="inlineStr"/>
      <c r="AD129" t="n">
        <v>0</v>
      </c>
      <c r="AE129" t="inlineStr">
        <is>
          <t>Yes</t>
        </is>
      </c>
      <c r="AF129" t="inlineStr"/>
      <c r="AG129" t="inlineStr"/>
      <c r="AH129" t="inlineStr"/>
      <c r="AI129" t="inlineStr"/>
      <c r="AJ129" t="inlineStr"/>
      <c r="AK129" t="inlineStr"/>
      <c r="AL129" t="inlineStr"/>
      <c r="AM129" t="inlineStr"/>
    </row>
    <row r="130">
      <c r="A130" t="inlineStr">
        <is>
          <t>075332D</t>
        </is>
      </c>
      <c r="B130" t="inlineStr">
        <is>
          <t>Graduate Diploma in Corporations and Securities Law</t>
        </is>
      </c>
      <c r="C130" t="inlineStr">
        <is>
          <t>Graduate Diploma</t>
        </is>
      </c>
      <c r="D130" t="inlineStr">
        <is>
          <t>Postgraduate coursework</t>
        </is>
      </c>
      <c r="E130" t="inlineStr">
        <is>
          <t>Advertised: official page in place</t>
        </is>
      </c>
      <c r="F130" t="inlineStr">
        <is>
          <t>https://handbook.unimelb.edu.au/2026/courses/gd-corplaw</t>
        </is>
      </c>
      <c r="G130" t="inlineStr">
        <is>
          <t>https://handbook.unimelb.edu.au/2026/courses/gd-corplaw</t>
        </is>
      </c>
      <c r="H130" t="inlineStr">
        <is>
          <t>Read</t>
        </is>
      </c>
      <c r="I130" t="inlineStr">
        <is>
          <t>CRICOS code on page</t>
        </is>
      </c>
      <c r="J130" t="inlineStr"/>
      <c r="K130" t="inlineStr">
        <is>
          <t>Not sent to re-link</t>
        </is>
      </c>
      <c r="L130" t="inlineStr">
        <is>
          <t>Filled</t>
        </is>
      </c>
      <c r="M130" t="inlineStr">
        <is>
          <t>Filled</t>
        </is>
      </c>
      <c r="N130" t="inlineStr">
        <is>
          <t>67072.00 2027</t>
        </is>
      </c>
      <c r="O130" t="n">
        <v>3</v>
      </c>
      <c r="P130" t="inlineStr">
        <is>
          <t>Other</t>
        </is>
      </c>
      <c r="Q130" t="inlineStr">
        <is>
          <t>Filled</t>
        </is>
      </c>
      <c r="R130" t="n">
        <v>7</v>
      </c>
      <c r="S130" t="inlineStr">
        <is>
          <t>Central English policy</t>
        </is>
      </c>
      <c r="T130" t="inlineStr">
        <is>
          <t>Level map (Melbourne): not computed per course in this report</t>
        </is>
      </c>
      <c r="U130" t="inlineStr"/>
      <c r="V130" t="inlineStr">
        <is>
          <t>Not stated on course page</t>
        </is>
      </c>
      <c r="W130" t="inlineStr"/>
      <c r="X130" t="inlineStr"/>
      <c r="Y130" t="n">
        <v>0</v>
      </c>
      <c r="Z130" t="inlineStr">
        <is>
          <t>No</t>
        </is>
      </c>
      <c r="AA130" t="inlineStr">
        <is>
          <t>Filled</t>
        </is>
      </c>
      <c r="AB130" t="inlineStr">
        <is>
          <t>on campus</t>
        </is>
      </c>
      <c r="AC130" t="inlineStr"/>
      <c r="AD130" t="n">
        <v>0</v>
      </c>
      <c r="AE130" t="inlineStr"/>
      <c r="AF130" t="inlineStr"/>
      <c r="AG130" t="inlineStr"/>
      <c r="AH130" t="inlineStr"/>
      <c r="AI130" t="inlineStr">
        <is>
          <t>Yes</t>
        </is>
      </c>
      <c r="AJ130" t="inlineStr"/>
      <c r="AK130" t="inlineStr"/>
      <c r="AL130" t="inlineStr"/>
      <c r="AM130" t="inlineStr"/>
    </row>
    <row r="131">
      <c r="A131" t="inlineStr">
        <is>
          <t>075331E</t>
        </is>
      </c>
      <c r="B131" t="inlineStr">
        <is>
          <t>Graduate Diploma in Dispute Resolution</t>
        </is>
      </c>
      <c r="C131" t="inlineStr">
        <is>
          <t>Graduate Diploma</t>
        </is>
      </c>
      <c r="D131" t="inlineStr">
        <is>
          <t>Postgraduate coursework</t>
        </is>
      </c>
      <c r="E131" t="inlineStr">
        <is>
          <t>Advertised: official page in place</t>
        </is>
      </c>
      <c r="F131" t="inlineStr">
        <is>
          <t>https://study.unimelb.edu.au/find/courses/graduate/graduate-diploma-in-dispute-resolution/</t>
        </is>
      </c>
      <c r="G131" t="inlineStr">
        <is>
          <t>https://study.unimelb.edu.au/find/courses/graduate/graduate-diploma-in-dispute-resolution/</t>
        </is>
      </c>
      <c r="H131" t="inlineStr">
        <is>
          <t>Read</t>
        </is>
      </c>
      <c r="I131" t="inlineStr">
        <is>
          <t>CRICOS code on page</t>
        </is>
      </c>
      <c r="J131" t="inlineStr"/>
      <c r="K131" t="inlineStr">
        <is>
          <t>Not sent to re-link</t>
        </is>
      </c>
      <c r="L131" t="inlineStr">
        <is>
          <t>Filled</t>
        </is>
      </c>
      <c r="M131" t="inlineStr">
        <is>
          <t>Filled</t>
        </is>
      </c>
      <c r="N131" t="inlineStr">
        <is>
          <t>67072.00 2027</t>
        </is>
      </c>
      <c r="O131" t="n">
        <v>3</v>
      </c>
      <c r="P131" t="inlineStr">
        <is>
          <t>Other</t>
        </is>
      </c>
      <c r="Q131" t="inlineStr">
        <is>
          <t>Filled</t>
        </is>
      </c>
      <c r="R131" t="n">
        <v>6.5</v>
      </c>
      <c r="S131" t="inlineStr">
        <is>
          <t>University adapter</t>
        </is>
      </c>
      <c r="T131" t="inlineStr">
        <is>
          <t>Level map (Melbourne): not computed per course in this report</t>
        </is>
      </c>
      <c r="U131" t="inlineStr"/>
      <c r="V131" t="inlineStr">
        <is>
          <t>Filled</t>
        </is>
      </c>
      <c r="W131" t="inlineStr">
        <is>
          <t>March, July</t>
        </is>
      </c>
      <c r="X131" t="inlineStr">
        <is>
          <t>University adapter</t>
        </is>
      </c>
      <c r="Y131" t="n">
        <v>3</v>
      </c>
      <c r="Z131" t="inlineStr">
        <is>
          <t>No</t>
        </is>
      </c>
      <c r="AA131" t="inlineStr">
        <is>
          <t>Filled</t>
        </is>
      </c>
      <c r="AB131" t="inlineStr">
        <is>
          <t>on campus</t>
        </is>
      </c>
      <c r="AC131" t="inlineStr"/>
      <c r="AD131" t="n">
        <v>0</v>
      </c>
      <c r="AE131" t="inlineStr"/>
      <c r="AF131" t="inlineStr"/>
      <c r="AG131" t="inlineStr"/>
      <c r="AH131" t="inlineStr"/>
      <c r="AI131" t="inlineStr"/>
      <c r="AJ131" t="inlineStr"/>
      <c r="AK131" t="inlineStr"/>
      <c r="AL131" t="inlineStr"/>
      <c r="AM131" t="inlineStr"/>
    </row>
    <row r="132">
      <c r="A132" t="inlineStr">
        <is>
          <t>120163E</t>
        </is>
      </c>
      <c r="B132" t="inlineStr">
        <is>
          <t>Graduate Diploma in Early Childhood Teaching</t>
        </is>
      </c>
      <c r="C132" t="inlineStr">
        <is>
          <t>Graduate Diploma</t>
        </is>
      </c>
      <c r="D132" t="inlineStr">
        <is>
          <t>Postgraduate coursework</t>
        </is>
      </c>
      <c r="E132" t="inlineStr">
        <is>
          <t>Advertised: official page in place</t>
        </is>
      </c>
      <c r="F132" t="inlineStr">
        <is>
          <t>https://study.unimelb.edu.au/find/courses/graduate/graduate-diploma-in-early-childhood-teaching/</t>
        </is>
      </c>
      <c r="G132" t="inlineStr">
        <is>
          <t>https://study.unimelb.edu.au/find/courses/graduate/graduate-diploma-in-early-childhood-teaching/</t>
        </is>
      </c>
      <c r="H132" t="inlineStr">
        <is>
          <t>Read</t>
        </is>
      </c>
      <c r="I132" t="inlineStr">
        <is>
          <t>CRICOS code on page</t>
        </is>
      </c>
      <c r="J132" t="inlineStr"/>
      <c r="K132" t="inlineStr">
        <is>
          <t>Not sent to re-link</t>
        </is>
      </c>
      <c r="L132" t="inlineStr">
        <is>
          <t>Filled</t>
        </is>
      </c>
      <c r="M132" t="inlineStr">
        <is>
          <t>Filled</t>
        </is>
      </c>
      <c r="N132" t="inlineStr">
        <is>
          <t>52960.00 2027</t>
        </is>
      </c>
      <c r="O132" t="n">
        <v>3</v>
      </c>
      <c r="P132" t="inlineStr">
        <is>
          <t>Other</t>
        </is>
      </c>
      <c r="Q132" t="inlineStr">
        <is>
          <t>Filled</t>
        </is>
      </c>
      <c r="R132" t="n">
        <v>7</v>
      </c>
      <c r="S132" t="inlineStr">
        <is>
          <t>University adapter</t>
        </is>
      </c>
      <c r="T132" t="inlineStr">
        <is>
          <t>Level map (Melbourne): not computed per course in this report</t>
        </is>
      </c>
      <c r="U132" t="inlineStr"/>
      <c r="V132" t="inlineStr">
        <is>
          <t>Filled</t>
        </is>
      </c>
      <c r="W132" t="inlineStr">
        <is>
          <t>April, October</t>
        </is>
      </c>
      <c r="X132" t="inlineStr">
        <is>
          <t>University adapter</t>
        </is>
      </c>
      <c r="Y132" t="n">
        <v>1</v>
      </c>
      <c r="Z132" t="inlineStr">
        <is>
          <t>No</t>
        </is>
      </c>
      <c r="AA132" t="inlineStr">
        <is>
          <t>Filled</t>
        </is>
      </c>
      <c r="AB132" t="inlineStr">
        <is>
          <t>blended</t>
        </is>
      </c>
      <c r="AC132" t="inlineStr"/>
      <c r="AD132" t="n">
        <v>0</v>
      </c>
      <c r="AE132" t="inlineStr"/>
      <c r="AF132" t="inlineStr"/>
      <c r="AG132" t="inlineStr"/>
      <c r="AH132" t="inlineStr"/>
      <c r="AI132" t="inlineStr"/>
      <c r="AJ132" t="inlineStr"/>
      <c r="AK132" t="inlineStr"/>
      <c r="AL132" t="inlineStr"/>
      <c r="AM132" t="inlineStr"/>
    </row>
    <row r="133">
      <c r="A133" t="inlineStr">
        <is>
          <t>083552C</t>
        </is>
      </c>
      <c r="B133" t="inlineStr">
        <is>
          <t>Graduate Diploma in Economics</t>
        </is>
      </c>
      <c r="C133" t="inlineStr">
        <is>
          <t>Graduate Diploma</t>
        </is>
      </c>
      <c r="D133" t="inlineStr">
        <is>
          <t>Postgraduate coursework</t>
        </is>
      </c>
      <c r="E133" t="inlineStr">
        <is>
          <t>Advertised: official page in place</t>
        </is>
      </c>
      <c r="F133" t="inlineStr">
        <is>
          <t>https://study.unimelb.edu.au/find/courses/graduate/graduate-diploma-in-economics/</t>
        </is>
      </c>
      <c r="G133" t="inlineStr">
        <is>
          <t>https://study.unimelb.edu.au/find/courses/graduate/graduate-diploma-in-economics/</t>
        </is>
      </c>
      <c r="H133" t="inlineStr">
        <is>
          <t>Read</t>
        </is>
      </c>
      <c r="I133" t="inlineStr">
        <is>
          <t>CRICOS code on page</t>
        </is>
      </c>
      <c r="J133" t="inlineStr"/>
      <c r="K133" t="inlineStr">
        <is>
          <t>Not sent to re-link</t>
        </is>
      </c>
      <c r="L133" t="inlineStr">
        <is>
          <t>Filled</t>
        </is>
      </c>
      <c r="M133" t="inlineStr">
        <is>
          <t>Filled</t>
        </is>
      </c>
      <c r="N133" t="inlineStr">
        <is>
          <t>64640.00 2027</t>
        </is>
      </c>
      <c r="O133" t="n">
        <v>3</v>
      </c>
      <c r="P133" t="inlineStr">
        <is>
          <t>Other</t>
        </is>
      </c>
      <c r="Q133" t="inlineStr">
        <is>
          <t>Filled</t>
        </is>
      </c>
      <c r="R133" t="n">
        <v>6.5</v>
      </c>
      <c r="S133" t="inlineStr">
        <is>
          <t>University adapter</t>
        </is>
      </c>
      <c r="T133" t="inlineStr">
        <is>
          <t>Level map (Melbourne): not computed per course in this report</t>
        </is>
      </c>
      <c r="U133" t="inlineStr"/>
      <c r="V133" t="inlineStr">
        <is>
          <t>Filled</t>
        </is>
      </c>
      <c r="W133" t="inlineStr">
        <is>
          <t>March</t>
        </is>
      </c>
      <c r="X133" t="inlineStr">
        <is>
          <t>Other</t>
        </is>
      </c>
      <c r="Y133" t="n">
        <v>0</v>
      </c>
      <c r="Z133" t="inlineStr">
        <is>
          <t>No</t>
        </is>
      </c>
      <c r="AA133" t="inlineStr">
        <is>
          <t>Filled</t>
        </is>
      </c>
      <c r="AB133" t="inlineStr">
        <is>
          <t>on campus</t>
        </is>
      </c>
      <c r="AC133" t="inlineStr"/>
      <c r="AD133" t="n">
        <v>0</v>
      </c>
      <c r="AE133" t="inlineStr"/>
      <c r="AF133" t="inlineStr"/>
      <c r="AG133" t="inlineStr"/>
      <c r="AH133" t="inlineStr"/>
      <c r="AI133" t="inlineStr"/>
      <c r="AJ133" t="inlineStr"/>
      <c r="AK133" t="inlineStr"/>
      <c r="AL133" t="inlineStr"/>
      <c r="AM133" t="inlineStr"/>
    </row>
    <row r="134">
      <c r="A134" t="inlineStr">
        <is>
          <t>093417E</t>
        </is>
      </c>
      <c r="B134" t="inlineStr">
        <is>
          <t>Graduate Diploma in Educational Studies</t>
        </is>
      </c>
      <c r="C134" t="inlineStr">
        <is>
          <t>Graduate Diploma</t>
        </is>
      </c>
      <c r="D134" t="inlineStr">
        <is>
          <t>Postgraduate coursework</t>
        </is>
      </c>
      <c r="E134" t="inlineStr">
        <is>
          <t>Advertised: official page in place</t>
        </is>
      </c>
      <c r="F134" t="inlineStr">
        <is>
          <t>https://handbook.unimelb.edu.au/2017/courses/gd-edst</t>
        </is>
      </c>
      <c r="G134" t="inlineStr">
        <is>
          <t>https://handbook.unimelb.edu.au/2026/courses/gd-edst</t>
        </is>
      </c>
      <c r="H134" t="inlineStr">
        <is>
          <t>Needs a rendered read</t>
        </is>
      </c>
      <c r="I134" t="inlineStr"/>
      <c r="J134" t="inlineStr"/>
      <c r="K134" t="inlineStr">
        <is>
          <t>Finished, no page: no address from the university's address forms or stored lis</t>
        </is>
      </c>
      <c r="L134" t="inlineStr">
        <is>
          <t>Filled</t>
        </is>
      </c>
      <c r="M134" t="inlineStr">
        <is>
          <t>Filled</t>
        </is>
      </c>
      <c r="N134" t="inlineStr">
        <is>
          <t>52960.00 2027</t>
        </is>
      </c>
      <c r="O134" t="n">
        <v>3</v>
      </c>
      <c r="P134" t="inlineStr">
        <is>
          <t>Other</t>
        </is>
      </c>
      <c r="Q134" t="inlineStr">
        <is>
          <t>Not stated on course page</t>
        </is>
      </c>
      <c r="S134" t="inlineStr"/>
      <c r="T134" t="inlineStr">
        <is>
          <t>Level map (Melbourne): not computed per course in this report</t>
        </is>
      </c>
      <c r="U134" t="inlineStr"/>
      <c r="V134" t="inlineStr">
        <is>
          <t>Not stated on course page</t>
        </is>
      </c>
      <c r="W134" t="inlineStr"/>
      <c r="X134" t="inlineStr"/>
      <c r="Y134" t="n">
        <v>0</v>
      </c>
      <c r="Z134" t="inlineStr">
        <is>
          <t>No</t>
        </is>
      </c>
      <c r="AA134" t="inlineStr">
        <is>
          <t>Filled</t>
        </is>
      </c>
      <c r="AB134" t="inlineStr">
        <is>
          <t>on campus</t>
        </is>
      </c>
      <c r="AC134" t="inlineStr"/>
      <c r="AD134" t="n">
        <v>0</v>
      </c>
      <c r="AE134" t="inlineStr">
        <is>
          <t>Yes</t>
        </is>
      </c>
      <c r="AF134" t="inlineStr"/>
      <c r="AG134" t="inlineStr"/>
      <c r="AH134" t="inlineStr"/>
      <c r="AI134" t="inlineStr">
        <is>
          <t>Yes</t>
        </is>
      </c>
      <c r="AJ134" t="inlineStr"/>
      <c r="AK134" t="inlineStr"/>
      <c r="AL134" t="inlineStr"/>
      <c r="AM134" t="inlineStr"/>
    </row>
    <row r="135">
      <c r="A135" t="inlineStr">
        <is>
          <t>075252D</t>
        </is>
      </c>
      <c r="B135" t="inlineStr">
        <is>
          <t>Graduate Diploma in Employment and Labour Relations Law</t>
        </is>
      </c>
      <c r="C135" t="inlineStr">
        <is>
          <t>Graduate Diploma</t>
        </is>
      </c>
      <c r="D135" t="inlineStr">
        <is>
          <t>Postgraduate coursework</t>
        </is>
      </c>
      <c r="E135" t="inlineStr">
        <is>
          <t>Advertised: official page in place</t>
        </is>
      </c>
      <c r="F135" t="inlineStr">
        <is>
          <t>https://study.unimelb.edu.au/find/courses/graduate/graduate-diploma-in-employment-and-labour-relations-law/</t>
        </is>
      </c>
      <c r="G135" t="inlineStr">
        <is>
          <t>https://study.unimelb.edu.au/find/courses/graduate/graduate-diploma-in-employment-and-labour-relations-law/</t>
        </is>
      </c>
      <c r="H135" t="inlineStr">
        <is>
          <t>Read</t>
        </is>
      </c>
      <c r="I135" t="inlineStr">
        <is>
          <t>CRICOS code on page</t>
        </is>
      </c>
      <c r="J135" t="inlineStr"/>
      <c r="K135" t="inlineStr">
        <is>
          <t>Not sent to re-link</t>
        </is>
      </c>
      <c r="L135" t="inlineStr">
        <is>
          <t>Filled</t>
        </is>
      </c>
      <c r="M135" t="inlineStr">
        <is>
          <t>Filled</t>
        </is>
      </c>
      <c r="N135" t="inlineStr">
        <is>
          <t>67072.00 2027</t>
        </is>
      </c>
      <c r="O135" t="n">
        <v>3</v>
      </c>
      <c r="P135" t="inlineStr">
        <is>
          <t>Other</t>
        </is>
      </c>
      <c r="Q135" t="inlineStr">
        <is>
          <t>Filled</t>
        </is>
      </c>
      <c r="R135" t="n">
        <v>6.5</v>
      </c>
      <c r="S135" t="inlineStr">
        <is>
          <t>University adapter</t>
        </is>
      </c>
      <c r="T135" t="inlineStr">
        <is>
          <t>Level map (Melbourne): not computed per course in this report</t>
        </is>
      </c>
      <c r="U135" t="inlineStr"/>
      <c r="V135" t="inlineStr">
        <is>
          <t>Filled</t>
        </is>
      </c>
      <c r="W135" t="inlineStr">
        <is>
          <t>March, June, July, August, December</t>
        </is>
      </c>
      <c r="X135" t="inlineStr">
        <is>
          <t>Other</t>
        </is>
      </c>
      <c r="Y135" t="n">
        <v>0</v>
      </c>
      <c r="Z135" t="inlineStr">
        <is>
          <t>No</t>
        </is>
      </c>
      <c r="AA135" t="inlineStr">
        <is>
          <t>Filled</t>
        </is>
      </c>
      <c r="AB135" t="inlineStr">
        <is>
          <t>on campus</t>
        </is>
      </c>
      <c r="AC135" t="inlineStr"/>
      <c r="AD135" t="n">
        <v>0</v>
      </c>
      <c r="AE135" t="inlineStr"/>
      <c r="AF135" t="inlineStr"/>
      <c r="AG135" t="inlineStr"/>
      <c r="AH135" t="inlineStr"/>
      <c r="AI135" t="inlineStr"/>
      <c r="AJ135" t="inlineStr"/>
      <c r="AK135" t="inlineStr"/>
      <c r="AL135" t="inlineStr"/>
      <c r="AM135" t="inlineStr"/>
    </row>
    <row r="136">
      <c r="A136" t="inlineStr">
        <is>
          <t>077727B</t>
        </is>
      </c>
      <c r="B136" t="inlineStr">
        <is>
          <t>Graduate Diploma in Energy and Resources Law</t>
        </is>
      </c>
      <c r="C136" t="inlineStr">
        <is>
          <t>Graduate Diploma</t>
        </is>
      </c>
      <c r="D136" t="inlineStr">
        <is>
          <t>Postgraduate coursework</t>
        </is>
      </c>
      <c r="E136" t="inlineStr">
        <is>
          <t>Advertised: official page in place</t>
        </is>
      </c>
      <c r="F136" t="inlineStr">
        <is>
          <t>https://study.unimelb.edu.au/find/courses/graduate/graduate-diploma-in-energy-and-resources-law/</t>
        </is>
      </c>
      <c r="G136" t="inlineStr">
        <is>
          <t>https://study.unimelb.edu.au/find/courses/graduate/graduate-diploma-in-energy-and-resources-law/</t>
        </is>
      </c>
      <c r="H136" t="inlineStr">
        <is>
          <t>Read</t>
        </is>
      </c>
      <c r="I136" t="inlineStr">
        <is>
          <t>CRICOS code on page</t>
        </is>
      </c>
      <c r="J136" t="inlineStr"/>
      <c r="K136" t="inlineStr">
        <is>
          <t>Not sent to re-link</t>
        </is>
      </c>
      <c r="L136" t="inlineStr">
        <is>
          <t>Filled</t>
        </is>
      </c>
      <c r="M136" t="inlineStr">
        <is>
          <t>Filled</t>
        </is>
      </c>
      <c r="N136" t="inlineStr">
        <is>
          <t>67072.00 2027</t>
        </is>
      </c>
      <c r="O136" t="n">
        <v>3</v>
      </c>
      <c r="P136" t="inlineStr">
        <is>
          <t>Other</t>
        </is>
      </c>
      <c r="Q136" t="inlineStr">
        <is>
          <t>Filled</t>
        </is>
      </c>
      <c r="R136" t="n">
        <v>6.5</v>
      </c>
      <c r="S136" t="inlineStr">
        <is>
          <t>University adapter</t>
        </is>
      </c>
      <c r="T136" t="inlineStr">
        <is>
          <t>Level map (Melbourne): not computed per course in this report</t>
        </is>
      </c>
      <c r="U136" t="inlineStr"/>
      <c r="V136" t="inlineStr">
        <is>
          <t>Filled</t>
        </is>
      </c>
      <c r="W136" t="inlineStr">
        <is>
          <t>March, July</t>
        </is>
      </c>
      <c r="X136" t="inlineStr">
        <is>
          <t>University adapter</t>
        </is>
      </c>
      <c r="Y136" t="n">
        <v>3</v>
      </c>
      <c r="Z136" t="inlineStr">
        <is>
          <t>No</t>
        </is>
      </c>
      <c r="AA136" t="inlineStr">
        <is>
          <t>Filled</t>
        </is>
      </c>
      <c r="AB136" t="inlineStr">
        <is>
          <t>on campus</t>
        </is>
      </c>
      <c r="AC136" t="inlineStr"/>
      <c r="AD136" t="n">
        <v>0</v>
      </c>
      <c r="AE136" t="inlineStr"/>
      <c r="AF136" t="inlineStr"/>
      <c r="AG136" t="inlineStr"/>
      <c r="AH136" t="inlineStr"/>
      <c r="AI136" t="inlineStr"/>
      <c r="AJ136" t="inlineStr"/>
      <c r="AK136" t="inlineStr"/>
      <c r="AL136" t="inlineStr"/>
      <c r="AM136" t="inlineStr"/>
    </row>
    <row r="137">
      <c r="A137" t="inlineStr">
        <is>
          <t>098270A</t>
        </is>
      </c>
      <c r="B137" t="inlineStr">
        <is>
          <t>Graduate Diploma in Enterprise (Exit Award)</t>
        </is>
      </c>
      <c r="C137" t="inlineStr">
        <is>
          <t>Graduate Diploma</t>
        </is>
      </c>
      <c r="D137" t="inlineStr">
        <is>
          <t>Postgraduate coursework</t>
        </is>
      </c>
      <c r="E137" t="inlineStr">
        <is>
          <t>Held: page found is for another course</t>
        </is>
      </c>
      <c r="F137" t="inlineStr"/>
      <c r="G137" t="inlineStr">
        <is>
          <t>https://archive.handbook.unimelb.edu.au/view/2012/gd-mgmt/</t>
        </is>
      </c>
      <c r="H137" t="inlineStr">
        <is>
          <t>Not the university site</t>
        </is>
      </c>
      <c r="I137" t="inlineStr"/>
      <c r="J137" t="inlineStr"/>
      <c r="K137" t="inlineStr">
        <is>
          <t>Not sent to re-link</t>
        </is>
      </c>
      <c r="L137" t="inlineStr">
        <is>
          <t>Searching for course page</t>
        </is>
      </c>
      <c r="M137" t="inlineStr">
        <is>
          <t>Searching for course page</t>
        </is>
      </c>
      <c r="N137" t="inlineStr"/>
      <c r="O137" t="n">
        <v>0</v>
      </c>
      <c r="P137" t="inlineStr"/>
      <c r="Q137" t="inlineStr">
        <is>
          <t>Searching for course page</t>
        </is>
      </c>
      <c r="S137" t="inlineStr"/>
      <c r="T137" t="inlineStr">
        <is>
          <t>Level map (Melbourne): not computed per course in this report</t>
        </is>
      </c>
      <c r="U137" t="inlineStr"/>
      <c r="V137" t="inlineStr">
        <is>
          <t>Searching for course page</t>
        </is>
      </c>
      <c r="W137" t="inlineStr"/>
      <c r="X137" t="inlineStr"/>
      <c r="Y137" t="n">
        <v>0</v>
      </c>
      <c r="Z137" t="inlineStr">
        <is>
          <t>No</t>
        </is>
      </c>
      <c r="AA137" t="inlineStr">
        <is>
          <t>Not stated on course page</t>
        </is>
      </c>
      <c r="AB137" t="inlineStr"/>
      <c r="AC137" t="inlineStr">
        <is>
          <t>Skipped: no allowed source had a value</t>
        </is>
      </c>
      <c r="AD137" t="n">
        <v>0</v>
      </c>
      <c r="AE137" t="inlineStr"/>
      <c r="AF137" t="inlineStr"/>
      <c r="AG137" t="inlineStr"/>
      <c r="AH137" t="inlineStr"/>
      <c r="AI137" t="inlineStr"/>
      <c r="AJ137" t="inlineStr"/>
      <c r="AK137" t="inlineStr"/>
      <c r="AL137" t="inlineStr"/>
      <c r="AM137" t="inlineStr"/>
    </row>
    <row r="138">
      <c r="A138" t="inlineStr">
        <is>
          <t>040954G</t>
        </is>
      </c>
      <c r="B138" t="inlineStr">
        <is>
          <t>Graduate Diploma in Environment</t>
        </is>
      </c>
      <c r="C138" t="inlineStr">
        <is>
          <t>Graduate Diploma</t>
        </is>
      </c>
      <c r="D138" t="inlineStr">
        <is>
          <t>Postgraduate coursework</t>
        </is>
      </c>
      <c r="E138" t="inlineStr">
        <is>
          <t>Advertised: official page in place</t>
        </is>
      </c>
      <c r="F138" t="inlineStr">
        <is>
          <t>https://handbook.unimelb.edu.au/2026/courses/gd-env</t>
        </is>
      </c>
      <c r="G138" t="inlineStr">
        <is>
          <t>https://handbook.unimelb.edu.au/2026/courses/gd-env</t>
        </is>
      </c>
      <c r="H138" t="inlineStr">
        <is>
          <t>Read</t>
        </is>
      </c>
      <c r="I138" t="inlineStr">
        <is>
          <t>CRICOS code on page</t>
        </is>
      </c>
      <c r="J138" t="inlineStr"/>
      <c r="K138" t="inlineStr">
        <is>
          <t>Not sent to re-link</t>
        </is>
      </c>
      <c r="L138" t="inlineStr">
        <is>
          <t>Filled</t>
        </is>
      </c>
      <c r="M138" t="inlineStr">
        <is>
          <t>Filled</t>
        </is>
      </c>
      <c r="N138" t="inlineStr">
        <is>
          <t>62496.00 2027</t>
        </is>
      </c>
      <c r="O138" t="n">
        <v>3</v>
      </c>
      <c r="P138" t="inlineStr">
        <is>
          <t>Other</t>
        </is>
      </c>
      <c r="Q138" t="inlineStr">
        <is>
          <t>Not stated on course page</t>
        </is>
      </c>
      <c r="S138" t="inlineStr"/>
      <c r="T138" t="inlineStr">
        <is>
          <t>Level map (Melbourne): not computed per course in this report</t>
        </is>
      </c>
      <c r="U138" t="inlineStr"/>
      <c r="V138" t="inlineStr">
        <is>
          <t>Not stated on course page</t>
        </is>
      </c>
      <c r="W138" t="inlineStr"/>
      <c r="X138" t="inlineStr"/>
      <c r="Y138" t="n">
        <v>0</v>
      </c>
      <c r="Z138" t="inlineStr">
        <is>
          <t>No</t>
        </is>
      </c>
      <c r="AA138" t="inlineStr">
        <is>
          <t>Filled</t>
        </is>
      </c>
      <c r="AB138" t="inlineStr">
        <is>
          <t>on campus</t>
        </is>
      </c>
      <c r="AC138" t="inlineStr"/>
      <c r="AD138" t="n">
        <v>0</v>
      </c>
      <c r="AE138" t="inlineStr"/>
      <c r="AF138" t="inlineStr"/>
      <c r="AG138" t="inlineStr"/>
      <c r="AH138" t="inlineStr"/>
      <c r="AI138" t="inlineStr">
        <is>
          <t>Yes</t>
        </is>
      </c>
      <c r="AJ138" t="inlineStr"/>
      <c r="AK138" t="inlineStr"/>
      <c r="AL138" t="inlineStr"/>
      <c r="AM138" t="inlineStr"/>
    </row>
    <row r="139">
      <c r="A139" t="inlineStr">
        <is>
          <t>077726C</t>
        </is>
      </c>
      <c r="B139" t="inlineStr">
        <is>
          <t>Graduate Diploma in Environmental Law</t>
        </is>
      </c>
      <c r="C139" t="inlineStr">
        <is>
          <t>Graduate Diploma</t>
        </is>
      </c>
      <c r="D139" t="inlineStr">
        <is>
          <t>Postgraduate coursework</t>
        </is>
      </c>
      <c r="E139" t="inlineStr">
        <is>
          <t>Advertised: official page in place</t>
        </is>
      </c>
      <c r="F139" t="inlineStr">
        <is>
          <t>https://study.unimelb.edu.au/find/courses/graduate/graduate-diploma-in-environmental-law/</t>
        </is>
      </c>
      <c r="G139" t="inlineStr">
        <is>
          <t>https://study.unimelb.edu.au/find/courses/graduate/graduate-diploma-in-environmental-law/</t>
        </is>
      </c>
      <c r="H139" t="inlineStr">
        <is>
          <t>Read</t>
        </is>
      </c>
      <c r="I139" t="inlineStr">
        <is>
          <t>CRICOS code on page</t>
        </is>
      </c>
      <c r="J139" t="inlineStr"/>
      <c r="K139" t="inlineStr">
        <is>
          <t>Not sent to re-link</t>
        </is>
      </c>
      <c r="L139" t="inlineStr">
        <is>
          <t>Filled</t>
        </is>
      </c>
      <c r="M139" t="inlineStr">
        <is>
          <t>Filled</t>
        </is>
      </c>
      <c r="N139" t="inlineStr">
        <is>
          <t>67072.00 2027</t>
        </is>
      </c>
      <c r="O139" t="n">
        <v>3</v>
      </c>
      <c r="P139" t="inlineStr">
        <is>
          <t>Other</t>
        </is>
      </c>
      <c r="Q139" t="inlineStr">
        <is>
          <t>Filled</t>
        </is>
      </c>
      <c r="R139" t="n">
        <v>6.5</v>
      </c>
      <c r="S139" t="inlineStr">
        <is>
          <t>University adapter</t>
        </is>
      </c>
      <c r="T139" t="inlineStr">
        <is>
          <t>Level map (Melbourne): not computed per course in this report</t>
        </is>
      </c>
      <c r="U139" t="inlineStr"/>
      <c r="V139" t="inlineStr">
        <is>
          <t>Filled</t>
        </is>
      </c>
      <c r="W139" t="inlineStr">
        <is>
          <t>March, July</t>
        </is>
      </c>
      <c r="X139" t="inlineStr">
        <is>
          <t>University adapter</t>
        </is>
      </c>
      <c r="Y139" t="n">
        <v>3</v>
      </c>
      <c r="Z139" t="inlineStr">
        <is>
          <t>No</t>
        </is>
      </c>
      <c r="AA139" t="inlineStr">
        <is>
          <t>Filled</t>
        </is>
      </c>
      <c r="AB139" t="inlineStr">
        <is>
          <t>on campus</t>
        </is>
      </c>
      <c r="AC139" t="inlineStr"/>
      <c r="AD139" t="n">
        <v>0</v>
      </c>
      <c r="AE139" t="inlineStr"/>
      <c r="AF139" t="inlineStr"/>
      <c r="AG139" t="inlineStr"/>
      <c r="AH139" t="inlineStr"/>
      <c r="AI139" t="inlineStr"/>
      <c r="AJ139" t="inlineStr"/>
      <c r="AK139" t="inlineStr"/>
      <c r="AL139" t="inlineStr"/>
      <c r="AM139" t="inlineStr"/>
    </row>
    <row r="140">
      <c r="A140" t="inlineStr">
        <is>
          <t>075492K</t>
        </is>
      </c>
      <c r="B140" t="inlineStr">
        <is>
          <t>Graduate Diploma in Film and Television</t>
        </is>
      </c>
      <c r="C140" t="inlineStr">
        <is>
          <t>Graduate Diploma</t>
        </is>
      </c>
      <c r="D140" t="inlineStr">
        <is>
          <t>Postgraduate coursework</t>
        </is>
      </c>
      <c r="E140" t="inlineStr">
        <is>
          <t>Advertised: official page in place</t>
        </is>
      </c>
      <c r="F140" t="inlineStr">
        <is>
          <t>https://study.unimelb.edu.au/find/courses/graduate/master-of-film-and-television/</t>
        </is>
      </c>
      <c r="G140" t="inlineStr">
        <is>
          <t>https://archive.handbook.unimelb.edu.au/view/2010/937pc/</t>
        </is>
      </c>
      <c r="H140" t="inlineStr">
        <is>
          <t>Not the university site</t>
        </is>
      </c>
      <c r="I140" t="inlineStr"/>
      <c r="J140" t="inlineStr"/>
      <c r="K140" t="inlineStr">
        <is>
          <t>Not sent to re-link</t>
        </is>
      </c>
      <c r="L140" t="inlineStr">
        <is>
          <t>Filled</t>
        </is>
      </c>
      <c r="M140" t="inlineStr">
        <is>
          <t>Filled</t>
        </is>
      </c>
      <c r="N140" t="inlineStr">
        <is>
          <t>50720.00 2027</t>
        </is>
      </c>
      <c r="O140" t="n">
        <v>3</v>
      </c>
      <c r="P140" t="inlineStr">
        <is>
          <t>Other</t>
        </is>
      </c>
      <c r="Q140" t="inlineStr">
        <is>
          <t>Not stated on course page</t>
        </is>
      </c>
      <c r="S140" t="inlineStr"/>
      <c r="T140" t="inlineStr">
        <is>
          <t>Level map (Melbourne): not computed per course in this report</t>
        </is>
      </c>
      <c r="U140" t="inlineStr"/>
      <c r="V140" t="inlineStr">
        <is>
          <t>Filled</t>
        </is>
      </c>
      <c r="W140" t="inlineStr">
        <is>
          <t>February</t>
        </is>
      </c>
      <c r="X140" t="inlineStr">
        <is>
          <t>Other</t>
        </is>
      </c>
      <c r="Y140" t="n">
        <v>0</v>
      </c>
      <c r="Z140" t="inlineStr">
        <is>
          <t>No</t>
        </is>
      </c>
      <c r="AA140" t="inlineStr">
        <is>
          <t>Filled</t>
        </is>
      </c>
      <c r="AB140" t="inlineStr">
        <is>
          <t>on campus</t>
        </is>
      </c>
      <c r="AC140" t="inlineStr"/>
      <c r="AD140" t="n">
        <v>0</v>
      </c>
      <c r="AE140" t="inlineStr"/>
      <c r="AF140" t="inlineStr"/>
      <c r="AG140" t="inlineStr"/>
      <c r="AH140" t="inlineStr"/>
      <c r="AI140" t="inlineStr"/>
      <c r="AJ140" t="inlineStr"/>
      <c r="AK140" t="inlineStr"/>
      <c r="AL140" t="inlineStr"/>
      <c r="AM140" t="inlineStr"/>
    </row>
    <row r="141">
      <c r="A141" t="inlineStr">
        <is>
          <t>0100878</t>
        </is>
      </c>
      <c r="B141" t="inlineStr">
        <is>
          <t>Graduate Diploma in Finance (exit award only)</t>
        </is>
      </c>
      <c r="C141" t="inlineStr">
        <is>
          <t>Graduate Diploma</t>
        </is>
      </c>
      <c r="D141" t="inlineStr">
        <is>
          <t>Postgraduate coursework</t>
        </is>
      </c>
      <c r="E141" t="inlineStr">
        <is>
          <t>Held: page found is for another course</t>
        </is>
      </c>
      <c r="F141" t="inlineStr"/>
      <c r="G141" t="inlineStr">
        <is>
          <t>https://handbook.unimelb.edu.au/courses/968ab</t>
        </is>
      </c>
      <c r="H141" t="inlineStr">
        <is>
          <t>Page is for another course</t>
        </is>
      </c>
      <c r="I141" t="inlineStr"/>
      <c r="J141" t="inlineStr"/>
      <c r="K141" t="inlineStr">
        <is>
          <t>Finished, no page: no address from the university's address forms or stored lis</t>
        </is>
      </c>
      <c r="L141" t="inlineStr">
        <is>
          <t>Searching for course page</t>
        </is>
      </c>
      <c r="M141" t="inlineStr">
        <is>
          <t>Filled</t>
        </is>
      </c>
      <c r="N141" t="inlineStr">
        <is>
          <t>64640.00 2027</t>
        </is>
      </c>
      <c r="O141" t="n">
        <v>3</v>
      </c>
      <c r="P141" t="inlineStr">
        <is>
          <t>Other</t>
        </is>
      </c>
      <c r="Q141" t="inlineStr">
        <is>
          <t>Searching for course page</t>
        </is>
      </c>
      <c r="S141" t="inlineStr"/>
      <c r="T141" t="inlineStr">
        <is>
          <t>Level map (Melbourne): not computed per course in this report</t>
        </is>
      </c>
      <c r="U141" t="inlineStr"/>
      <c r="V141" t="inlineStr">
        <is>
          <t>Searching for course page</t>
        </is>
      </c>
      <c r="W141" t="inlineStr"/>
      <c r="X141" t="inlineStr"/>
      <c r="Y141" t="n">
        <v>0</v>
      </c>
      <c r="Z141" t="inlineStr">
        <is>
          <t>No</t>
        </is>
      </c>
      <c r="AA141" t="inlineStr">
        <is>
          <t>Not stated on course page</t>
        </is>
      </c>
      <c r="AB141" t="inlineStr"/>
      <c r="AC141" t="inlineStr">
        <is>
          <t>Skipped: no correct course page: the page found is for another course</t>
        </is>
      </c>
      <c r="AD141" t="n">
        <v>1</v>
      </c>
      <c r="AE141" t="inlineStr"/>
      <c r="AF141" t="inlineStr"/>
      <c r="AG141" t="inlineStr"/>
      <c r="AH141" t="inlineStr"/>
      <c r="AI141" t="inlineStr"/>
      <c r="AJ141" t="inlineStr"/>
      <c r="AK141" t="inlineStr"/>
      <c r="AL141" t="inlineStr"/>
      <c r="AM141" t="inlineStr"/>
    </row>
    <row r="142">
      <c r="A142" t="inlineStr">
        <is>
          <t>041484B</t>
        </is>
      </c>
      <c r="B142" t="inlineStr">
        <is>
          <t>Graduate Diploma in Food Science</t>
        </is>
      </c>
      <c r="C142" t="inlineStr">
        <is>
          <t>Graduate Diploma</t>
        </is>
      </c>
      <c r="D142" t="inlineStr">
        <is>
          <t>Postgraduate coursework</t>
        </is>
      </c>
      <c r="E142" t="inlineStr">
        <is>
          <t>Advertised: official page in place</t>
        </is>
      </c>
      <c r="F142" t="inlineStr">
        <is>
          <t>https://handbook.unimelb.edu.au/2026/courses/gd-foodsc</t>
        </is>
      </c>
      <c r="G142" t="inlineStr">
        <is>
          <t>https://handbook.unimelb.edu.au/2026/courses/gd-foodsc</t>
        </is>
      </c>
      <c r="H142" t="inlineStr">
        <is>
          <t>Read</t>
        </is>
      </c>
      <c r="I142" t="inlineStr">
        <is>
          <t>CRICOS code on page</t>
        </is>
      </c>
      <c r="J142" t="inlineStr"/>
      <c r="K142" t="inlineStr">
        <is>
          <t>Not sent to re-link</t>
        </is>
      </c>
      <c r="L142" t="inlineStr">
        <is>
          <t>Filled</t>
        </is>
      </c>
      <c r="M142" t="inlineStr">
        <is>
          <t>Filled</t>
        </is>
      </c>
      <c r="N142" t="inlineStr">
        <is>
          <t>59360.00 2027</t>
        </is>
      </c>
      <c r="O142" t="n">
        <v>3</v>
      </c>
      <c r="P142" t="inlineStr">
        <is>
          <t>Other</t>
        </is>
      </c>
      <c r="Q142" t="inlineStr">
        <is>
          <t>Filled</t>
        </is>
      </c>
      <c r="R142" t="n">
        <v>6.5</v>
      </c>
      <c r="S142" t="inlineStr">
        <is>
          <t>Central English policy</t>
        </is>
      </c>
      <c r="T142" t="inlineStr">
        <is>
          <t>Level map (Melbourne): not computed per course in this report</t>
        </is>
      </c>
      <c r="U142" t="inlineStr"/>
      <c r="V142" t="inlineStr">
        <is>
          <t>Not stated on course page</t>
        </is>
      </c>
      <c r="W142" t="inlineStr"/>
      <c r="X142" t="inlineStr"/>
      <c r="Y142" t="n">
        <v>0</v>
      </c>
      <c r="Z142" t="inlineStr">
        <is>
          <t>No</t>
        </is>
      </c>
      <c r="AA142" t="inlineStr">
        <is>
          <t>Filled</t>
        </is>
      </c>
      <c r="AB142" t="inlineStr">
        <is>
          <t>on campus</t>
        </is>
      </c>
      <c r="AC142" t="inlineStr"/>
      <c r="AD142" t="n">
        <v>0</v>
      </c>
      <c r="AE142" t="inlineStr"/>
      <c r="AF142" t="inlineStr"/>
      <c r="AG142" t="inlineStr"/>
      <c r="AH142" t="inlineStr"/>
      <c r="AI142" t="inlineStr">
        <is>
          <t>Yes</t>
        </is>
      </c>
      <c r="AJ142" t="inlineStr"/>
      <c r="AK142" t="inlineStr"/>
      <c r="AL142" t="inlineStr"/>
      <c r="AM142" t="inlineStr"/>
    </row>
    <row r="143">
      <c r="A143" t="inlineStr">
        <is>
          <t>095994M</t>
        </is>
      </c>
      <c r="B143" t="inlineStr">
        <is>
          <t>Graduate Diploma in Foundational Data Science</t>
        </is>
      </c>
      <c r="C143" t="inlineStr">
        <is>
          <t>Graduate Diploma</t>
        </is>
      </c>
      <c r="D143" t="inlineStr">
        <is>
          <t>Postgraduate coursework</t>
        </is>
      </c>
      <c r="E143" t="inlineStr">
        <is>
          <t>Advertised: official page in place</t>
        </is>
      </c>
      <c r="F143" t="inlineStr">
        <is>
          <t>https://handbook.unimelb.edu.au/2026/courses/gd-fdatasc</t>
        </is>
      </c>
      <c r="G143" t="inlineStr">
        <is>
          <t>https://handbook.unimelb.edu.au/2026/courses/gd-fdatasc</t>
        </is>
      </c>
      <c r="H143" t="inlineStr">
        <is>
          <t>Read</t>
        </is>
      </c>
      <c r="I143" t="inlineStr">
        <is>
          <t>CRICOS code on page</t>
        </is>
      </c>
      <c r="J143" t="inlineStr"/>
      <c r="K143" t="inlineStr">
        <is>
          <t>Not sent to re-link</t>
        </is>
      </c>
      <c r="L143" t="inlineStr">
        <is>
          <t>Filled</t>
        </is>
      </c>
      <c r="M143" t="inlineStr">
        <is>
          <t>Not stated on course page</t>
        </is>
      </c>
      <c r="N143" t="inlineStr"/>
      <c r="O143" t="n">
        <v>6</v>
      </c>
      <c r="P143" t="inlineStr"/>
      <c r="Q143" t="inlineStr">
        <is>
          <t>Filled</t>
        </is>
      </c>
      <c r="R143" t="n">
        <v>6.5</v>
      </c>
      <c r="S143" t="inlineStr">
        <is>
          <t>Central English policy</t>
        </is>
      </c>
      <c r="T143" t="inlineStr">
        <is>
          <t>Level map (Melbourne): not computed per course in this report</t>
        </is>
      </c>
      <c r="U143" t="inlineStr"/>
      <c r="V143" t="inlineStr">
        <is>
          <t>Not stated on course page</t>
        </is>
      </c>
      <c r="W143" t="inlineStr"/>
      <c r="X143" t="inlineStr"/>
      <c r="Y143" t="n">
        <v>0</v>
      </c>
      <c r="Z143" t="inlineStr">
        <is>
          <t>No</t>
        </is>
      </c>
      <c r="AA143" t="inlineStr">
        <is>
          <t>Filled</t>
        </is>
      </c>
      <c r="AB143" t="inlineStr">
        <is>
          <t>on campus</t>
        </is>
      </c>
      <c r="AC143" t="inlineStr"/>
      <c r="AD143" t="n">
        <v>0</v>
      </c>
      <c r="AE143" t="inlineStr"/>
      <c r="AF143" t="inlineStr"/>
      <c r="AG143" t="inlineStr"/>
      <c r="AH143" t="inlineStr"/>
      <c r="AI143" t="inlineStr">
        <is>
          <t>Yes</t>
        </is>
      </c>
      <c r="AJ143" t="inlineStr"/>
      <c r="AK143" t="inlineStr"/>
      <c r="AL143" t="inlineStr">
        <is>
          <t>Yes</t>
        </is>
      </c>
      <c r="AM143" t="inlineStr"/>
    </row>
    <row r="144">
      <c r="A144" t="inlineStr">
        <is>
          <t>096348M</t>
        </is>
      </c>
      <c r="B144" t="inlineStr">
        <is>
          <t>Graduate Diploma in Genomics and Health</t>
        </is>
      </c>
      <c r="C144" t="inlineStr">
        <is>
          <t>Graduate Diploma</t>
        </is>
      </c>
      <c r="D144" t="inlineStr">
        <is>
          <t>Postgraduate coursework</t>
        </is>
      </c>
      <c r="E144" t="inlineStr">
        <is>
          <t>Advertised: official page in place</t>
        </is>
      </c>
      <c r="F144" t="inlineStr">
        <is>
          <t>https://study.unimelb.edu.au/find/courses/graduate/graduate-diploma-in-genomics-and-health/</t>
        </is>
      </c>
      <c r="G144" t="inlineStr">
        <is>
          <t>https://study.unimelb.edu.au/find/courses/graduate/graduate-diploma-in-genomics-and-health/</t>
        </is>
      </c>
      <c r="H144" t="inlineStr">
        <is>
          <t>Read</t>
        </is>
      </c>
      <c r="I144" t="inlineStr">
        <is>
          <t>CRICOS code on page</t>
        </is>
      </c>
      <c r="J144" t="inlineStr"/>
      <c r="K144" t="inlineStr">
        <is>
          <t>Not sent to re-link</t>
        </is>
      </c>
      <c r="L144" t="inlineStr">
        <is>
          <t>Filled</t>
        </is>
      </c>
      <c r="M144" t="inlineStr">
        <is>
          <t>Filled</t>
        </is>
      </c>
      <c r="N144" t="inlineStr">
        <is>
          <t>72064.00 2027</t>
        </is>
      </c>
      <c r="O144" t="n">
        <v>3</v>
      </c>
      <c r="P144" t="inlineStr">
        <is>
          <t>Other</t>
        </is>
      </c>
      <c r="Q144" t="inlineStr">
        <is>
          <t>Filled</t>
        </is>
      </c>
      <c r="R144" t="n">
        <v>7</v>
      </c>
      <c r="S144" t="inlineStr">
        <is>
          <t>University adapter</t>
        </is>
      </c>
      <c r="T144" t="inlineStr">
        <is>
          <t>Level map (Melbourne): not computed per course in this report</t>
        </is>
      </c>
      <c r="U144" t="inlineStr"/>
      <c r="V144" t="inlineStr">
        <is>
          <t>Filled</t>
        </is>
      </c>
      <c r="W144" t="inlineStr">
        <is>
          <t>March</t>
        </is>
      </c>
      <c r="X144" t="inlineStr">
        <is>
          <t>University adapter</t>
        </is>
      </c>
      <c r="Y144" t="n">
        <v>1</v>
      </c>
      <c r="Z144" t="inlineStr">
        <is>
          <t>No</t>
        </is>
      </c>
      <c r="AA144" t="inlineStr">
        <is>
          <t>Filled</t>
        </is>
      </c>
      <c r="AB144" t="inlineStr">
        <is>
          <t>on campus</t>
        </is>
      </c>
      <c r="AC144" t="inlineStr"/>
      <c r="AD144" t="n">
        <v>0</v>
      </c>
      <c r="AE144" t="inlineStr"/>
      <c r="AF144" t="inlineStr"/>
      <c r="AG144" t="inlineStr"/>
      <c r="AH144" t="inlineStr"/>
      <c r="AI144" t="inlineStr"/>
      <c r="AJ144" t="inlineStr"/>
      <c r="AK144" t="inlineStr"/>
      <c r="AL144" t="inlineStr"/>
      <c r="AM144" t="inlineStr"/>
    </row>
    <row r="145">
      <c r="A145" t="inlineStr">
        <is>
          <t>075330F</t>
        </is>
      </c>
      <c r="B145" t="inlineStr">
        <is>
          <t>Graduate Diploma in Government Law</t>
        </is>
      </c>
      <c r="C145" t="inlineStr">
        <is>
          <t>Graduate Diploma</t>
        </is>
      </c>
      <c r="D145" t="inlineStr">
        <is>
          <t>Postgraduate coursework</t>
        </is>
      </c>
      <c r="E145" t="inlineStr">
        <is>
          <t>Advertised: official page in place</t>
        </is>
      </c>
      <c r="F145" t="inlineStr">
        <is>
          <t>https://handbook.unimelb.edu.au/2026/courses/178aa</t>
        </is>
      </c>
      <c r="G145" t="inlineStr">
        <is>
          <t>https://handbook.unimelb.edu.au/2026/courses/178aa</t>
        </is>
      </c>
      <c r="H145" t="inlineStr">
        <is>
          <t>Read</t>
        </is>
      </c>
      <c r="I145" t="inlineStr">
        <is>
          <t>CRICOS code on page</t>
        </is>
      </c>
      <c r="J145" t="inlineStr"/>
      <c r="K145" t="inlineStr">
        <is>
          <t>Not sent to re-link</t>
        </is>
      </c>
      <c r="L145" t="inlineStr">
        <is>
          <t>Filled</t>
        </is>
      </c>
      <c r="M145" t="inlineStr">
        <is>
          <t>Filled</t>
        </is>
      </c>
      <c r="N145" t="inlineStr">
        <is>
          <t>67072.00 2027</t>
        </is>
      </c>
      <c r="O145" t="n">
        <v>3</v>
      </c>
      <c r="P145" t="inlineStr">
        <is>
          <t>Other</t>
        </is>
      </c>
      <c r="Q145" t="inlineStr">
        <is>
          <t>Filled</t>
        </is>
      </c>
      <c r="R145" t="n">
        <v>7</v>
      </c>
      <c r="S145" t="inlineStr">
        <is>
          <t>Central English policy</t>
        </is>
      </c>
      <c r="T145" t="inlineStr">
        <is>
          <t>Level map (Melbourne): not computed per course in this report</t>
        </is>
      </c>
      <c r="U145" t="inlineStr"/>
      <c r="V145" t="inlineStr">
        <is>
          <t>Not stated on course page</t>
        </is>
      </c>
      <c r="W145" t="inlineStr"/>
      <c r="X145" t="inlineStr"/>
      <c r="Y145" t="n">
        <v>0</v>
      </c>
      <c r="Z145" t="inlineStr">
        <is>
          <t>No</t>
        </is>
      </c>
      <c r="AA145" t="inlineStr">
        <is>
          <t>Filled</t>
        </is>
      </c>
      <c r="AB145" t="inlineStr">
        <is>
          <t>on campus</t>
        </is>
      </c>
      <c r="AC145" t="inlineStr"/>
      <c r="AD145" t="n">
        <v>0</v>
      </c>
      <c r="AE145" t="inlineStr"/>
      <c r="AF145" t="inlineStr"/>
      <c r="AG145" t="inlineStr"/>
      <c r="AH145" t="inlineStr"/>
      <c r="AI145" t="inlineStr">
        <is>
          <t>Yes</t>
        </is>
      </c>
      <c r="AJ145" t="inlineStr"/>
      <c r="AK145" t="inlineStr"/>
      <c r="AL145" t="inlineStr"/>
      <c r="AM145" t="inlineStr"/>
    </row>
    <row r="146">
      <c r="A146" t="inlineStr">
        <is>
          <t>075329K</t>
        </is>
      </c>
      <c r="B146" t="inlineStr">
        <is>
          <t>Graduate Diploma in Health and Medical Law</t>
        </is>
      </c>
      <c r="C146" t="inlineStr">
        <is>
          <t>Graduate Diploma</t>
        </is>
      </c>
      <c r="D146" t="inlineStr">
        <is>
          <t>Postgraduate coursework</t>
        </is>
      </c>
      <c r="E146" t="inlineStr">
        <is>
          <t>Advertised: official page in place</t>
        </is>
      </c>
      <c r="F146" t="inlineStr">
        <is>
          <t>https://study.unimelb.edu.au/find/courses/graduate/graduate-diploma-in-health-and-medical-law/</t>
        </is>
      </c>
      <c r="G146" t="inlineStr">
        <is>
          <t>https://study.unimelb.edu.au/find/courses/graduate/graduate-diploma-in-health-and-medical-law/</t>
        </is>
      </c>
      <c r="H146" t="inlineStr">
        <is>
          <t>Read</t>
        </is>
      </c>
      <c r="I146" t="inlineStr">
        <is>
          <t>CRICOS code on page</t>
        </is>
      </c>
      <c r="J146" t="inlineStr"/>
      <c r="K146" t="inlineStr">
        <is>
          <t>Not sent to re-link</t>
        </is>
      </c>
      <c r="L146" t="inlineStr">
        <is>
          <t>Filled</t>
        </is>
      </c>
      <c r="M146" t="inlineStr">
        <is>
          <t>Filled</t>
        </is>
      </c>
      <c r="N146" t="inlineStr">
        <is>
          <t>67072.00 2027</t>
        </is>
      </c>
      <c r="O146" t="n">
        <v>3</v>
      </c>
      <c r="P146" t="inlineStr">
        <is>
          <t>Other</t>
        </is>
      </c>
      <c r="Q146" t="inlineStr">
        <is>
          <t>Filled</t>
        </is>
      </c>
      <c r="R146" t="n">
        <v>6.5</v>
      </c>
      <c r="S146" t="inlineStr">
        <is>
          <t>University adapter</t>
        </is>
      </c>
      <c r="T146" t="inlineStr">
        <is>
          <t>Level map (Melbourne): not computed per course in this report</t>
        </is>
      </c>
      <c r="U146" t="inlineStr"/>
      <c r="V146" t="inlineStr">
        <is>
          <t>Filled</t>
        </is>
      </c>
      <c r="W146" t="inlineStr">
        <is>
          <t>March, July</t>
        </is>
      </c>
      <c r="X146" t="inlineStr">
        <is>
          <t>University adapter</t>
        </is>
      </c>
      <c r="Y146" t="n">
        <v>0</v>
      </c>
      <c r="Z146" t="inlineStr">
        <is>
          <t>No</t>
        </is>
      </c>
      <c r="AA146" t="inlineStr">
        <is>
          <t>Filled</t>
        </is>
      </c>
      <c r="AB146" t="inlineStr">
        <is>
          <t>on campus</t>
        </is>
      </c>
      <c r="AC146" t="inlineStr"/>
      <c r="AD146" t="n">
        <v>0</v>
      </c>
      <c r="AE146" t="inlineStr"/>
      <c r="AF146" t="inlineStr"/>
      <c r="AG146" t="inlineStr"/>
      <c r="AH146" t="inlineStr"/>
      <c r="AI146" t="inlineStr"/>
      <c r="AJ146" t="inlineStr"/>
      <c r="AK146" t="inlineStr"/>
      <c r="AL146" t="inlineStr"/>
      <c r="AM146" t="inlineStr"/>
    </row>
    <row r="147">
      <c r="A147" t="inlineStr">
        <is>
          <t>075314F</t>
        </is>
      </c>
      <c r="B147" t="inlineStr">
        <is>
          <t>Graduate Diploma in Human Rights Law</t>
        </is>
      </c>
      <c r="C147" t="inlineStr">
        <is>
          <t>Graduate Diploma</t>
        </is>
      </c>
      <c r="D147" t="inlineStr">
        <is>
          <t>Postgraduate coursework</t>
        </is>
      </c>
      <c r="E147" t="inlineStr">
        <is>
          <t>Advertised: official page in place</t>
        </is>
      </c>
      <c r="F147" t="inlineStr">
        <is>
          <t>https://handbook.unimelb.edu.au/2026/courses/636aa</t>
        </is>
      </c>
      <c r="G147" t="inlineStr">
        <is>
          <t>https://handbook.unimelb.edu.au/2026/courses/636aa</t>
        </is>
      </c>
      <c r="H147" t="inlineStr">
        <is>
          <t>Read</t>
        </is>
      </c>
      <c r="I147" t="inlineStr">
        <is>
          <t>CRICOS code on page</t>
        </is>
      </c>
      <c r="J147" t="inlineStr"/>
      <c r="K147" t="inlineStr">
        <is>
          <t>Not sent to re-link</t>
        </is>
      </c>
      <c r="L147" t="inlineStr">
        <is>
          <t>Filled</t>
        </is>
      </c>
      <c r="M147" t="inlineStr">
        <is>
          <t>Filled</t>
        </is>
      </c>
      <c r="N147" t="inlineStr">
        <is>
          <t>67072.00 2027</t>
        </is>
      </c>
      <c r="O147" t="n">
        <v>3</v>
      </c>
      <c r="P147" t="inlineStr">
        <is>
          <t>Other</t>
        </is>
      </c>
      <c r="Q147" t="inlineStr">
        <is>
          <t>Filled</t>
        </is>
      </c>
      <c r="R147" t="n">
        <v>7</v>
      </c>
      <c r="S147" t="inlineStr">
        <is>
          <t>Central English policy</t>
        </is>
      </c>
      <c r="T147" t="inlineStr">
        <is>
          <t>Level map (Melbourne): not computed per course in this report</t>
        </is>
      </c>
      <c r="U147" t="inlineStr"/>
      <c r="V147" t="inlineStr">
        <is>
          <t>Not stated on course page</t>
        </is>
      </c>
      <c r="W147" t="inlineStr"/>
      <c r="X147" t="inlineStr"/>
      <c r="Y147" t="n">
        <v>0</v>
      </c>
      <c r="Z147" t="inlineStr">
        <is>
          <t>No</t>
        </is>
      </c>
      <c r="AA147" t="inlineStr">
        <is>
          <t>Filled</t>
        </is>
      </c>
      <c r="AB147" t="inlineStr">
        <is>
          <t>on campus</t>
        </is>
      </c>
      <c r="AC147" t="inlineStr"/>
      <c r="AD147" t="n">
        <v>0</v>
      </c>
      <c r="AE147" t="inlineStr"/>
      <c r="AF147" t="inlineStr"/>
      <c r="AG147" t="inlineStr"/>
      <c r="AH147" t="inlineStr"/>
      <c r="AI147" t="inlineStr">
        <is>
          <t>Yes</t>
        </is>
      </c>
      <c r="AJ147" t="inlineStr"/>
      <c r="AK147" t="inlineStr"/>
      <c r="AL147" t="inlineStr"/>
      <c r="AM147" t="inlineStr"/>
    </row>
    <row r="148">
      <c r="A148" t="inlineStr">
        <is>
          <t>024749A</t>
        </is>
      </c>
      <c r="B148" t="inlineStr">
        <is>
          <t>Graduate Diploma in Information Systems</t>
        </is>
      </c>
      <c r="C148" t="inlineStr">
        <is>
          <t>Graduate Diploma</t>
        </is>
      </c>
      <c r="D148" t="inlineStr">
        <is>
          <t>Postgraduate coursework</t>
        </is>
      </c>
      <c r="E148" t="inlineStr">
        <is>
          <t>Held: page found is for another course</t>
        </is>
      </c>
      <c r="F148" t="inlineStr"/>
      <c r="G148" t="inlineStr">
        <is>
          <t>https://handbook.unimelb.edu.au/2026/courses/gd-busana</t>
        </is>
      </c>
      <c r="H148" t="inlineStr">
        <is>
          <t>Page is for another course</t>
        </is>
      </c>
      <c r="I148" t="inlineStr"/>
      <c r="J148" t="inlineStr"/>
      <c r="K148" t="inlineStr">
        <is>
          <t>Finished, no page: no address from the university's address forms or stored lis</t>
        </is>
      </c>
      <c r="L148" t="inlineStr">
        <is>
          <t>Searching for course page</t>
        </is>
      </c>
      <c r="M148" t="inlineStr">
        <is>
          <t>Filled</t>
        </is>
      </c>
      <c r="N148" t="inlineStr">
        <is>
          <t>68480.00 2027</t>
        </is>
      </c>
      <c r="O148" t="n">
        <v>3</v>
      </c>
      <c r="P148" t="inlineStr">
        <is>
          <t>Other</t>
        </is>
      </c>
      <c r="Q148" t="inlineStr">
        <is>
          <t>Searching for course page</t>
        </is>
      </c>
      <c r="S148" t="inlineStr"/>
      <c r="T148" t="inlineStr">
        <is>
          <t>Level map (Melbourne): not computed per course in this report</t>
        </is>
      </c>
      <c r="U148" t="inlineStr"/>
      <c r="V148" t="inlineStr">
        <is>
          <t>Searching for course page</t>
        </is>
      </c>
      <c r="W148" t="inlineStr"/>
      <c r="X148" t="inlineStr"/>
      <c r="Y148" t="n">
        <v>0</v>
      </c>
      <c r="Z148" t="inlineStr">
        <is>
          <t>No</t>
        </is>
      </c>
      <c r="AA148" t="inlineStr">
        <is>
          <t>Not stated on course page</t>
        </is>
      </c>
      <c r="AB148" t="inlineStr"/>
      <c r="AC148" t="inlineStr">
        <is>
          <t>Skipped: no correct course page: the page found is for another course</t>
        </is>
      </c>
      <c r="AD148" t="n">
        <v>1</v>
      </c>
      <c r="AE148" t="inlineStr"/>
      <c r="AF148" t="inlineStr"/>
      <c r="AG148" t="inlineStr"/>
      <c r="AH148" t="inlineStr"/>
      <c r="AI148" t="inlineStr"/>
      <c r="AJ148" t="inlineStr"/>
      <c r="AK148" t="inlineStr"/>
      <c r="AL148" t="inlineStr"/>
      <c r="AM148" t="inlineStr"/>
    </row>
    <row r="149">
      <c r="A149" t="inlineStr">
        <is>
          <t>075327A</t>
        </is>
      </c>
      <c r="B149" t="inlineStr">
        <is>
          <t>Graduate Diploma in Intellectual Property Law</t>
        </is>
      </c>
      <c r="C149" t="inlineStr">
        <is>
          <t>Graduate Diploma</t>
        </is>
      </c>
      <c r="D149" t="inlineStr">
        <is>
          <t>Postgraduate coursework</t>
        </is>
      </c>
      <c r="E149" t="inlineStr">
        <is>
          <t>Advertised: official page in place</t>
        </is>
      </c>
      <c r="F149" t="inlineStr">
        <is>
          <t>https://handbook.unimelb.edu.au/2026/courses/276aa</t>
        </is>
      </c>
      <c r="G149" t="inlineStr">
        <is>
          <t>https://handbook.unimelb.edu.au/2026/courses/276aa</t>
        </is>
      </c>
      <c r="H149" t="inlineStr">
        <is>
          <t>Read</t>
        </is>
      </c>
      <c r="I149" t="inlineStr">
        <is>
          <t>CRICOS code on page</t>
        </is>
      </c>
      <c r="J149" t="inlineStr"/>
      <c r="K149" t="inlineStr">
        <is>
          <t>Not sent to re-link</t>
        </is>
      </c>
      <c r="L149" t="inlineStr">
        <is>
          <t>Filled</t>
        </is>
      </c>
      <c r="M149" t="inlineStr">
        <is>
          <t>Filled</t>
        </is>
      </c>
      <c r="N149" t="inlineStr">
        <is>
          <t>67072.00 2027</t>
        </is>
      </c>
      <c r="O149" t="n">
        <v>3</v>
      </c>
      <c r="P149" t="inlineStr">
        <is>
          <t>Other</t>
        </is>
      </c>
      <c r="Q149" t="inlineStr">
        <is>
          <t>Filled</t>
        </is>
      </c>
      <c r="R149" t="n">
        <v>7</v>
      </c>
      <c r="S149" t="inlineStr">
        <is>
          <t>Central English policy</t>
        </is>
      </c>
      <c r="T149" t="inlineStr">
        <is>
          <t>Level map (Melbourne): not computed per course in this report</t>
        </is>
      </c>
      <c r="U149" t="inlineStr"/>
      <c r="V149" t="inlineStr">
        <is>
          <t>Not stated on course page</t>
        </is>
      </c>
      <c r="W149" t="inlineStr"/>
      <c r="X149" t="inlineStr"/>
      <c r="Y149" t="n">
        <v>0</v>
      </c>
      <c r="Z149" t="inlineStr">
        <is>
          <t>No</t>
        </is>
      </c>
      <c r="AA149" t="inlineStr">
        <is>
          <t>Filled</t>
        </is>
      </c>
      <c r="AB149" t="inlineStr">
        <is>
          <t>on campus</t>
        </is>
      </c>
      <c r="AC149" t="inlineStr"/>
      <c r="AD149" t="n">
        <v>0</v>
      </c>
      <c r="AE149" t="inlineStr"/>
      <c r="AF149" t="inlineStr"/>
      <c r="AG149" t="inlineStr"/>
      <c r="AH149" t="inlineStr"/>
      <c r="AI149" t="inlineStr">
        <is>
          <t>Yes</t>
        </is>
      </c>
      <c r="AJ149" t="inlineStr"/>
      <c r="AK149" t="inlineStr"/>
      <c r="AL149" t="inlineStr"/>
      <c r="AM149" t="inlineStr"/>
    </row>
    <row r="150">
      <c r="A150" t="inlineStr">
        <is>
          <t>075317C</t>
        </is>
      </c>
      <c r="B150" t="inlineStr">
        <is>
          <t>Graduate Diploma in International Economic Law</t>
        </is>
      </c>
      <c r="C150" t="inlineStr">
        <is>
          <t>Graduate Diploma</t>
        </is>
      </c>
      <c r="D150" t="inlineStr">
        <is>
          <t>Postgraduate coursework</t>
        </is>
      </c>
      <c r="E150" t="inlineStr">
        <is>
          <t>Advertised: official page in place</t>
        </is>
      </c>
      <c r="F150" t="inlineStr">
        <is>
          <t>https://handbook.unimelb.edu.au/2026/courses/891aa</t>
        </is>
      </c>
      <c r="G150" t="inlineStr">
        <is>
          <t>https://handbook.unimelb.edu.au/2026/courses/891aa</t>
        </is>
      </c>
      <c r="H150" t="inlineStr">
        <is>
          <t>Read</t>
        </is>
      </c>
      <c r="I150" t="inlineStr">
        <is>
          <t>CRICOS code on page</t>
        </is>
      </c>
      <c r="J150" t="inlineStr"/>
      <c r="K150" t="inlineStr">
        <is>
          <t>Not sent to re-link</t>
        </is>
      </c>
      <c r="L150" t="inlineStr">
        <is>
          <t>Filled</t>
        </is>
      </c>
      <c r="M150" t="inlineStr">
        <is>
          <t>Filled</t>
        </is>
      </c>
      <c r="N150" t="inlineStr">
        <is>
          <t>67072.00 2027</t>
        </is>
      </c>
      <c r="O150" t="n">
        <v>3</v>
      </c>
      <c r="P150" t="inlineStr">
        <is>
          <t>Other</t>
        </is>
      </c>
      <c r="Q150" t="inlineStr">
        <is>
          <t>Filled</t>
        </is>
      </c>
      <c r="R150" t="n">
        <v>7</v>
      </c>
      <c r="S150" t="inlineStr">
        <is>
          <t>Central English policy</t>
        </is>
      </c>
      <c r="T150" t="inlineStr">
        <is>
          <t>Level map (Melbourne): not computed per course in this report</t>
        </is>
      </c>
      <c r="U150" t="inlineStr"/>
      <c r="V150" t="inlineStr">
        <is>
          <t>Not stated on course page</t>
        </is>
      </c>
      <c r="W150" t="inlineStr"/>
      <c r="X150" t="inlineStr"/>
      <c r="Y150" t="n">
        <v>0</v>
      </c>
      <c r="Z150" t="inlineStr">
        <is>
          <t>No</t>
        </is>
      </c>
      <c r="AA150" t="inlineStr">
        <is>
          <t>Filled</t>
        </is>
      </c>
      <c r="AB150" t="inlineStr">
        <is>
          <t>on campus</t>
        </is>
      </c>
      <c r="AC150" t="inlineStr"/>
      <c r="AD150" t="n">
        <v>0</v>
      </c>
      <c r="AE150" t="inlineStr"/>
      <c r="AF150" t="inlineStr"/>
      <c r="AG150" t="inlineStr"/>
      <c r="AH150" t="inlineStr"/>
      <c r="AI150" t="inlineStr">
        <is>
          <t>Yes</t>
        </is>
      </c>
      <c r="AJ150" t="inlineStr"/>
      <c r="AK150" t="inlineStr"/>
      <c r="AL150" t="inlineStr"/>
      <c r="AM150" t="inlineStr"/>
    </row>
    <row r="151">
      <c r="A151" t="inlineStr">
        <is>
          <t>075326B</t>
        </is>
      </c>
      <c r="B151" t="inlineStr">
        <is>
          <t>Graduate Diploma in International Law</t>
        </is>
      </c>
      <c r="C151" t="inlineStr">
        <is>
          <t>Graduate Diploma</t>
        </is>
      </c>
      <c r="D151" t="inlineStr">
        <is>
          <t>Postgraduate coursework</t>
        </is>
      </c>
      <c r="E151" t="inlineStr">
        <is>
          <t>Advertised: official page in place</t>
        </is>
      </c>
      <c r="F151" t="inlineStr">
        <is>
          <t>https://handbook.unimelb.edu.au/2026/courses/323aa</t>
        </is>
      </c>
      <c r="G151" t="inlineStr">
        <is>
          <t>https://handbook.unimelb.edu.au/2026/courses/323aa</t>
        </is>
      </c>
      <c r="H151" t="inlineStr">
        <is>
          <t>Read</t>
        </is>
      </c>
      <c r="I151" t="inlineStr">
        <is>
          <t>CRICOS code on page</t>
        </is>
      </c>
      <c r="J151" t="inlineStr"/>
      <c r="K151" t="inlineStr">
        <is>
          <t>Not sent to re-link</t>
        </is>
      </c>
      <c r="L151" t="inlineStr">
        <is>
          <t>Filled</t>
        </is>
      </c>
      <c r="M151" t="inlineStr">
        <is>
          <t>Filled</t>
        </is>
      </c>
      <c r="N151" t="inlineStr">
        <is>
          <t>67072.00 2027</t>
        </is>
      </c>
      <c r="O151" t="n">
        <v>3</v>
      </c>
      <c r="P151" t="inlineStr">
        <is>
          <t>Other</t>
        </is>
      </c>
      <c r="Q151" t="inlineStr">
        <is>
          <t>Filled</t>
        </is>
      </c>
      <c r="R151" t="n">
        <v>7</v>
      </c>
      <c r="S151" t="inlineStr">
        <is>
          <t>Central English policy</t>
        </is>
      </c>
      <c r="T151" t="inlineStr">
        <is>
          <t>Level map (Melbourne): not computed per course in this report</t>
        </is>
      </c>
      <c r="U151" t="inlineStr"/>
      <c r="V151" t="inlineStr">
        <is>
          <t>Not stated on course page</t>
        </is>
      </c>
      <c r="W151" t="inlineStr"/>
      <c r="X151" t="inlineStr"/>
      <c r="Y151" t="n">
        <v>0</v>
      </c>
      <c r="Z151" t="inlineStr">
        <is>
          <t>No</t>
        </is>
      </c>
      <c r="AA151" t="inlineStr">
        <is>
          <t>Filled</t>
        </is>
      </c>
      <c r="AB151" t="inlineStr">
        <is>
          <t>on campus</t>
        </is>
      </c>
      <c r="AC151" t="inlineStr"/>
      <c r="AD151" t="n">
        <v>0</v>
      </c>
      <c r="AE151" t="inlineStr"/>
      <c r="AF151" t="inlineStr"/>
      <c r="AG151" t="inlineStr"/>
      <c r="AH151" t="inlineStr"/>
      <c r="AI151" t="inlineStr">
        <is>
          <t>Yes</t>
        </is>
      </c>
      <c r="AJ151" t="inlineStr"/>
      <c r="AK151" t="inlineStr"/>
      <c r="AL151" t="inlineStr"/>
      <c r="AM151" t="inlineStr"/>
    </row>
    <row r="152">
      <c r="A152" t="inlineStr">
        <is>
          <t>075325C</t>
        </is>
      </c>
      <c r="B152" t="inlineStr">
        <is>
          <t>Graduate Diploma in International Tax</t>
        </is>
      </c>
      <c r="C152" t="inlineStr">
        <is>
          <t>Graduate Diploma</t>
        </is>
      </c>
      <c r="D152" t="inlineStr">
        <is>
          <t>Postgraduate coursework</t>
        </is>
      </c>
      <c r="E152" t="inlineStr">
        <is>
          <t>Advertised: official page in place</t>
        </is>
      </c>
      <c r="F152" t="inlineStr">
        <is>
          <t>https://study.unimelb.edu.au/find/courses/graduate/graduate-diploma-in-international-tax/</t>
        </is>
      </c>
      <c r="G152" t="inlineStr">
        <is>
          <t>https://study.unimelb.edu.au/find/courses/graduate/graduate-diploma-in-international-tax/</t>
        </is>
      </c>
      <c r="H152" t="inlineStr">
        <is>
          <t>Read</t>
        </is>
      </c>
      <c r="I152" t="inlineStr">
        <is>
          <t>CRICOS code on page</t>
        </is>
      </c>
      <c r="J152" t="inlineStr"/>
      <c r="K152" t="inlineStr">
        <is>
          <t>Not sent to re-link</t>
        </is>
      </c>
      <c r="L152" t="inlineStr">
        <is>
          <t>Filled</t>
        </is>
      </c>
      <c r="M152" t="inlineStr">
        <is>
          <t>Filled</t>
        </is>
      </c>
      <c r="N152" t="inlineStr">
        <is>
          <t>67072.00 2027</t>
        </is>
      </c>
      <c r="O152" t="n">
        <v>3</v>
      </c>
      <c r="P152" t="inlineStr">
        <is>
          <t>Other</t>
        </is>
      </c>
      <c r="Q152" t="inlineStr">
        <is>
          <t>Filled</t>
        </is>
      </c>
      <c r="R152" t="n">
        <v>6.5</v>
      </c>
      <c r="S152" t="inlineStr">
        <is>
          <t>University adapter</t>
        </is>
      </c>
      <c r="T152" t="inlineStr">
        <is>
          <t>Level map (Melbourne): not computed per course in this report</t>
        </is>
      </c>
      <c r="U152" t="inlineStr"/>
      <c r="V152" t="inlineStr">
        <is>
          <t>Filled</t>
        </is>
      </c>
      <c r="W152" t="inlineStr">
        <is>
          <t>March, June, July, August, December</t>
        </is>
      </c>
      <c r="X152" t="inlineStr">
        <is>
          <t>Other</t>
        </is>
      </c>
      <c r="Y152" t="n">
        <v>0</v>
      </c>
      <c r="Z152" t="inlineStr">
        <is>
          <t>No</t>
        </is>
      </c>
      <c r="AA152" t="inlineStr">
        <is>
          <t>Filled</t>
        </is>
      </c>
      <c r="AB152" t="inlineStr">
        <is>
          <t>on campus</t>
        </is>
      </c>
      <c r="AC152" t="inlineStr"/>
      <c r="AD152" t="n">
        <v>0</v>
      </c>
      <c r="AE152" t="inlineStr"/>
      <c r="AF152" t="inlineStr"/>
      <c r="AG152" t="inlineStr"/>
      <c r="AH152" t="inlineStr"/>
      <c r="AI152" t="inlineStr"/>
      <c r="AJ152" t="inlineStr"/>
      <c r="AK152" t="inlineStr"/>
      <c r="AL152" t="inlineStr"/>
      <c r="AM152" t="inlineStr"/>
    </row>
    <row r="153">
      <c r="A153" t="inlineStr">
        <is>
          <t>085951E</t>
        </is>
      </c>
      <c r="B153" t="inlineStr">
        <is>
          <t>Graduate Diploma in Journalism (Advanced)</t>
        </is>
      </c>
      <c r="C153" t="inlineStr">
        <is>
          <t>Graduate Diploma</t>
        </is>
      </c>
      <c r="D153" t="inlineStr">
        <is>
          <t>Postgraduate coursework</t>
        </is>
      </c>
      <c r="E153" t="inlineStr">
        <is>
          <t>Advertised: official page in place</t>
        </is>
      </c>
      <c r="F153" t="inlineStr">
        <is>
          <t>https://study.unimelb.edu.au/find/courses/graduate/graduate-diploma-in-journalism-advanced/</t>
        </is>
      </c>
      <c r="G153" t="inlineStr">
        <is>
          <t>https://study.unimelb.edu.au/find/courses/graduate/graduate-diploma-in-journalism-advanced/</t>
        </is>
      </c>
      <c r="H153" t="inlineStr">
        <is>
          <t>Read</t>
        </is>
      </c>
      <c r="I153" t="inlineStr">
        <is>
          <t>CRICOS code on page</t>
        </is>
      </c>
      <c r="J153" t="inlineStr"/>
      <c r="K153" t="inlineStr">
        <is>
          <t>Not sent to re-link</t>
        </is>
      </c>
      <c r="L153" t="inlineStr">
        <is>
          <t>Filled</t>
        </is>
      </c>
      <c r="M153" t="inlineStr">
        <is>
          <t>Filled</t>
        </is>
      </c>
      <c r="N153" t="inlineStr">
        <is>
          <t>52416.00 2027</t>
        </is>
      </c>
      <c r="O153" t="n">
        <v>3</v>
      </c>
      <c r="P153" t="inlineStr">
        <is>
          <t>Other</t>
        </is>
      </c>
      <c r="Q153" t="inlineStr">
        <is>
          <t>Filled</t>
        </is>
      </c>
      <c r="R153" t="n">
        <v>7</v>
      </c>
      <c r="S153" t="inlineStr">
        <is>
          <t>University adapter</t>
        </is>
      </c>
      <c r="T153" t="inlineStr">
        <is>
          <t>Level map (Melbourne): not computed per course in this report</t>
        </is>
      </c>
      <c r="U153" t="inlineStr"/>
      <c r="V153" t="inlineStr">
        <is>
          <t>Filled</t>
        </is>
      </c>
      <c r="W153" t="inlineStr">
        <is>
          <t>March, July</t>
        </is>
      </c>
      <c r="X153" t="inlineStr">
        <is>
          <t>Other</t>
        </is>
      </c>
      <c r="Y153" t="n">
        <v>0</v>
      </c>
      <c r="Z153" t="inlineStr">
        <is>
          <t>No</t>
        </is>
      </c>
      <c r="AA153" t="inlineStr">
        <is>
          <t>Filled</t>
        </is>
      </c>
      <c r="AB153" t="inlineStr">
        <is>
          <t>on campus</t>
        </is>
      </c>
      <c r="AC153" t="inlineStr"/>
      <c r="AD153" t="n">
        <v>0</v>
      </c>
      <c r="AE153" t="inlineStr"/>
      <c r="AF153" t="inlineStr"/>
      <c r="AG153" t="inlineStr"/>
      <c r="AH153" t="inlineStr"/>
      <c r="AI153" t="inlineStr"/>
      <c r="AJ153" t="inlineStr"/>
      <c r="AK153" t="inlineStr"/>
      <c r="AL153" t="inlineStr"/>
      <c r="AM153" t="inlineStr"/>
    </row>
    <row r="154">
      <c r="A154" t="inlineStr">
        <is>
          <t>075319A</t>
        </is>
      </c>
      <c r="B154" t="inlineStr">
        <is>
          <t>Graduate Diploma in Legal Studies</t>
        </is>
      </c>
      <c r="C154" t="inlineStr">
        <is>
          <t>Graduate Diploma</t>
        </is>
      </c>
      <c r="D154" t="inlineStr">
        <is>
          <t>Postgraduate coursework</t>
        </is>
      </c>
      <c r="E154" t="inlineStr">
        <is>
          <t>Advertised: official page in place</t>
        </is>
      </c>
      <c r="F154" t="inlineStr">
        <is>
          <t>https://handbook.unimelb.edu.au/2026/courses/gd-laws</t>
        </is>
      </c>
      <c r="G154" t="inlineStr">
        <is>
          <t>https://handbook.unimelb.edu.au/2026/courses/gd-laws</t>
        </is>
      </c>
      <c r="H154" t="inlineStr">
        <is>
          <t>Read</t>
        </is>
      </c>
      <c r="I154" t="inlineStr">
        <is>
          <t>CRICOS code on page</t>
        </is>
      </c>
      <c r="J154" t="inlineStr"/>
      <c r="K154" t="inlineStr">
        <is>
          <t>Not sent to re-link</t>
        </is>
      </c>
      <c r="L154" t="inlineStr">
        <is>
          <t>Filled</t>
        </is>
      </c>
      <c r="M154" t="inlineStr">
        <is>
          <t>Filled</t>
        </is>
      </c>
      <c r="N154" t="inlineStr">
        <is>
          <t>67072.00 2027</t>
        </is>
      </c>
      <c r="O154" t="n">
        <v>3</v>
      </c>
      <c r="P154" t="inlineStr">
        <is>
          <t>Other</t>
        </is>
      </c>
      <c r="Q154" t="inlineStr">
        <is>
          <t>Filled</t>
        </is>
      </c>
      <c r="R154" t="n">
        <v>7</v>
      </c>
      <c r="S154" t="inlineStr">
        <is>
          <t>Central English policy</t>
        </is>
      </c>
      <c r="T154" t="inlineStr">
        <is>
          <t>Level map (Melbourne): not computed per course in this report</t>
        </is>
      </c>
      <c r="U154" t="inlineStr"/>
      <c r="V154" t="inlineStr">
        <is>
          <t>Not stated on course page</t>
        </is>
      </c>
      <c r="W154" t="inlineStr"/>
      <c r="X154" t="inlineStr"/>
      <c r="Y154" t="n">
        <v>0</v>
      </c>
      <c r="Z154" t="inlineStr">
        <is>
          <t>No</t>
        </is>
      </c>
      <c r="AA154" t="inlineStr">
        <is>
          <t>Filled</t>
        </is>
      </c>
      <c r="AB154" t="inlineStr">
        <is>
          <t>on campus</t>
        </is>
      </c>
      <c r="AC154" t="inlineStr"/>
      <c r="AD154" t="n">
        <v>0</v>
      </c>
      <c r="AE154" t="inlineStr"/>
      <c r="AF154" t="inlineStr"/>
      <c r="AG154" t="inlineStr"/>
      <c r="AH154" t="inlineStr"/>
      <c r="AI154" t="inlineStr">
        <is>
          <t>Yes</t>
        </is>
      </c>
      <c r="AJ154" t="inlineStr"/>
      <c r="AK154" t="inlineStr"/>
      <c r="AL154" t="inlineStr"/>
      <c r="AM154" t="inlineStr"/>
    </row>
    <row r="155">
      <c r="A155" t="inlineStr">
        <is>
          <t>064484A</t>
        </is>
      </c>
      <c r="B155" t="inlineStr">
        <is>
          <t>Graduate Diploma in Management</t>
        </is>
      </c>
      <c r="C155" t="inlineStr">
        <is>
          <t>Graduate Diploma</t>
        </is>
      </c>
      <c r="D155" t="inlineStr">
        <is>
          <t>Postgraduate coursework</t>
        </is>
      </c>
      <c r="E155" t="inlineStr">
        <is>
          <t>Held: page found is for another course</t>
        </is>
      </c>
      <c r="F155" t="inlineStr"/>
      <c r="G155" t="inlineStr">
        <is>
          <t>https://handbook.unimelb.edu.au/2026/courses/gd-ba</t>
        </is>
      </c>
      <c r="H155" t="inlineStr">
        <is>
          <t>Page is for another course</t>
        </is>
      </c>
      <c r="I155" t="inlineStr"/>
      <c r="J155" t="inlineStr"/>
      <c r="K155" t="inlineStr">
        <is>
          <t>Finished, no page: no address from the university's address forms or stored lis</t>
        </is>
      </c>
      <c r="L155" t="inlineStr">
        <is>
          <t>Not stated on course page</t>
        </is>
      </c>
      <c r="M155" t="inlineStr">
        <is>
          <t>Filled</t>
        </is>
      </c>
      <c r="N155" t="inlineStr">
        <is>
          <t>64640.00 2027</t>
        </is>
      </c>
      <c r="O155" t="n">
        <v>3</v>
      </c>
      <c r="P155" t="inlineStr">
        <is>
          <t>Other</t>
        </is>
      </c>
      <c r="Q155" t="inlineStr">
        <is>
          <t>Not stated on course page</t>
        </is>
      </c>
      <c r="S155" t="inlineStr"/>
      <c r="T155" t="inlineStr">
        <is>
          <t>Level map (Melbourne): not computed per course in this report</t>
        </is>
      </c>
      <c r="U155" t="inlineStr"/>
      <c r="V155" t="inlineStr">
        <is>
          <t>Not stated on course page</t>
        </is>
      </c>
      <c r="W155" t="inlineStr"/>
      <c r="X155" t="inlineStr"/>
      <c r="Y155" t="n">
        <v>0</v>
      </c>
      <c r="Z155" t="inlineStr">
        <is>
          <t>No</t>
        </is>
      </c>
      <c r="AA155" t="inlineStr">
        <is>
          <t>Not stated on course page</t>
        </is>
      </c>
      <c r="AB155" t="inlineStr"/>
      <c r="AC155" t="inlineStr">
        <is>
          <t>Skipped: no correct course page: the page found is for another course</t>
        </is>
      </c>
      <c r="AD155" t="n">
        <v>1</v>
      </c>
      <c r="AE155" t="inlineStr"/>
      <c r="AF155" t="inlineStr"/>
      <c r="AG155" t="inlineStr"/>
      <c r="AH155" t="inlineStr"/>
      <c r="AI155" t="inlineStr"/>
      <c r="AJ155" t="inlineStr"/>
      <c r="AK155" t="inlineStr"/>
      <c r="AL155" t="inlineStr"/>
      <c r="AM155" t="inlineStr"/>
    </row>
    <row r="156">
      <c r="A156" t="inlineStr">
        <is>
          <t>119129F</t>
        </is>
      </c>
      <c r="B156" t="inlineStr">
        <is>
          <t>Graduate Diploma in Medical Studies</t>
        </is>
      </c>
      <c r="C156" t="inlineStr">
        <is>
          <t>Graduate Diploma</t>
        </is>
      </c>
      <c r="D156" t="inlineStr">
        <is>
          <t>Postgraduate coursework</t>
        </is>
      </c>
      <c r="E156" t="inlineStr">
        <is>
          <t>Held: page found is for another course</t>
        </is>
      </c>
      <c r="F156" t="inlineStr"/>
      <c r="G156" t="inlineStr">
        <is>
          <t>https://handbook.unimelb.edu.au/2026/courses/gd-clined</t>
        </is>
      </c>
      <c r="H156" t="inlineStr">
        <is>
          <t>Page is for another course</t>
        </is>
      </c>
      <c r="I156" t="inlineStr"/>
      <c r="J156" t="inlineStr"/>
      <c r="K156" t="inlineStr">
        <is>
          <t>Finished, no page: no address from the university's address forms or stored lis</t>
        </is>
      </c>
      <c r="L156" t="inlineStr">
        <is>
          <t>Searching for course page</t>
        </is>
      </c>
      <c r="M156" t="inlineStr">
        <is>
          <t>Searching for course page</t>
        </is>
      </c>
      <c r="N156" t="inlineStr"/>
      <c r="O156" t="n">
        <v>0</v>
      </c>
      <c r="P156" t="inlineStr"/>
      <c r="Q156" t="inlineStr">
        <is>
          <t>Searching for course page</t>
        </is>
      </c>
      <c r="S156" t="inlineStr"/>
      <c r="T156" t="inlineStr">
        <is>
          <t>Level map (Melbourne): not computed per course in this report</t>
        </is>
      </c>
      <c r="U156" t="inlineStr"/>
      <c r="V156" t="inlineStr">
        <is>
          <t>Searching for course page</t>
        </is>
      </c>
      <c r="W156" t="inlineStr"/>
      <c r="X156" t="inlineStr"/>
      <c r="Y156" t="n">
        <v>0</v>
      </c>
      <c r="Z156" t="inlineStr">
        <is>
          <t>No</t>
        </is>
      </c>
      <c r="AA156" t="inlineStr">
        <is>
          <t>Not stated on course page</t>
        </is>
      </c>
      <c r="AB156" t="inlineStr"/>
      <c r="AC156" t="inlineStr">
        <is>
          <t>Skipped: no correct course page: the page found is for another course</t>
        </is>
      </c>
      <c r="AD156" t="n">
        <v>1</v>
      </c>
      <c r="AE156" t="inlineStr"/>
      <c r="AF156" t="inlineStr"/>
      <c r="AG156" t="inlineStr"/>
      <c r="AH156" t="inlineStr"/>
      <c r="AI156" t="inlineStr"/>
      <c r="AJ156" t="inlineStr"/>
      <c r="AK156" t="inlineStr"/>
      <c r="AL156" t="inlineStr"/>
      <c r="AM156" t="inlineStr"/>
    </row>
    <row r="157">
      <c r="A157" t="inlineStr">
        <is>
          <t>056297D</t>
        </is>
      </c>
      <c r="B157" t="inlineStr">
        <is>
          <t>Graduate Diploma in Music</t>
        </is>
      </c>
      <c r="C157" t="inlineStr">
        <is>
          <t>Graduate Diploma</t>
        </is>
      </c>
      <c r="D157" t="inlineStr">
        <is>
          <t>Postgraduate coursework</t>
        </is>
      </c>
      <c r="E157" t="inlineStr">
        <is>
          <t>Advertised: official page in place</t>
        </is>
      </c>
      <c r="F157" t="inlineStr">
        <is>
          <t>https://handbook.unimelb.edu.au/2026/courses/gd-mus</t>
        </is>
      </c>
      <c r="G157" t="inlineStr">
        <is>
          <t>https://handbook.unimelb.edu.au/2026/courses/gd-mus</t>
        </is>
      </c>
      <c r="H157" t="inlineStr">
        <is>
          <t>Read</t>
        </is>
      </c>
      <c r="I157" t="inlineStr">
        <is>
          <t>CRICOS code on page</t>
        </is>
      </c>
      <c r="J157" t="inlineStr"/>
      <c r="K157" t="inlineStr">
        <is>
          <t>Not sent to re-link</t>
        </is>
      </c>
      <c r="L157" t="inlineStr">
        <is>
          <t>Filled</t>
        </is>
      </c>
      <c r="M157" t="inlineStr">
        <is>
          <t>Filled</t>
        </is>
      </c>
      <c r="N157" t="inlineStr">
        <is>
          <t>50720.00 2027</t>
        </is>
      </c>
      <c r="O157" t="n">
        <v>3</v>
      </c>
      <c r="P157" t="inlineStr">
        <is>
          <t>Other</t>
        </is>
      </c>
      <c r="Q157" t="inlineStr">
        <is>
          <t>Filled</t>
        </is>
      </c>
      <c r="R157" t="n">
        <v>6.5</v>
      </c>
      <c r="S157" t="inlineStr">
        <is>
          <t>Central English policy</t>
        </is>
      </c>
      <c r="T157" t="inlineStr">
        <is>
          <t>Level map (Melbourne): not computed per course in this report</t>
        </is>
      </c>
      <c r="U157" t="inlineStr"/>
      <c r="V157" t="inlineStr">
        <is>
          <t>Not stated on course page</t>
        </is>
      </c>
      <c r="W157" t="inlineStr"/>
      <c r="X157" t="inlineStr"/>
      <c r="Y157" t="n">
        <v>0</v>
      </c>
      <c r="Z157" t="inlineStr">
        <is>
          <t>No</t>
        </is>
      </c>
      <c r="AA157" t="inlineStr">
        <is>
          <t>Filled</t>
        </is>
      </c>
      <c r="AB157" t="inlineStr">
        <is>
          <t>on campus</t>
        </is>
      </c>
      <c r="AC157" t="inlineStr"/>
      <c r="AD157" t="n">
        <v>0</v>
      </c>
      <c r="AE157" t="inlineStr"/>
      <c r="AF157" t="inlineStr"/>
      <c r="AG157" t="inlineStr"/>
      <c r="AH157" t="inlineStr"/>
      <c r="AI157" t="inlineStr">
        <is>
          <t>Yes</t>
        </is>
      </c>
      <c r="AJ157" t="inlineStr"/>
      <c r="AK157" t="inlineStr"/>
      <c r="AL157" t="inlineStr"/>
      <c r="AM157" t="inlineStr"/>
    </row>
    <row r="158">
      <c r="A158" t="inlineStr">
        <is>
          <t>059231J</t>
        </is>
      </c>
      <c r="B158" t="inlineStr">
        <is>
          <t>Graduate Diploma in Nursing Practice</t>
        </is>
      </c>
      <c r="C158" t="inlineStr">
        <is>
          <t>Graduate Diploma</t>
        </is>
      </c>
      <c r="D158" t="inlineStr">
        <is>
          <t>Postgraduate coursework</t>
        </is>
      </c>
      <c r="E158" t="inlineStr">
        <is>
          <t>Page found, needs a rendered read</t>
        </is>
      </c>
      <c r="F158" t="inlineStr"/>
      <c r="G158" t="inlineStr">
        <is>
          <t>https://handbook.unimelb.edu.au/2026/courses/gd-np</t>
        </is>
      </c>
      <c r="H158" t="inlineStr">
        <is>
          <t>Needs a rendered read</t>
        </is>
      </c>
      <c r="I158" t="inlineStr"/>
      <c r="J158" t="inlineStr"/>
      <c r="K158" t="inlineStr">
        <is>
          <t>Finished, no page: no address from the university's address forms or stored lis</t>
        </is>
      </c>
      <c r="L158" t="inlineStr">
        <is>
          <t>Page found, being read</t>
        </is>
      </c>
      <c r="M158" t="inlineStr">
        <is>
          <t>Filled</t>
        </is>
      </c>
      <c r="N158" t="inlineStr">
        <is>
          <t>46624.00 2027</t>
        </is>
      </c>
      <c r="O158" t="n">
        <v>3</v>
      </c>
      <c r="P158" t="inlineStr">
        <is>
          <t>Other</t>
        </is>
      </c>
      <c r="Q158" t="inlineStr">
        <is>
          <t>Page found, being read</t>
        </is>
      </c>
      <c r="S158" t="inlineStr"/>
      <c r="T158" t="inlineStr">
        <is>
          <t>Level map (Melbourne): not computed per course in this report</t>
        </is>
      </c>
      <c r="U158" t="inlineStr"/>
      <c r="V158" t="inlineStr">
        <is>
          <t>Page found, being read</t>
        </is>
      </c>
      <c r="W158" t="inlineStr"/>
      <c r="X158" t="inlineStr"/>
      <c r="Y158" t="n">
        <v>0</v>
      </c>
      <c r="Z158" t="inlineStr">
        <is>
          <t>No</t>
        </is>
      </c>
      <c r="AA158" t="inlineStr">
        <is>
          <t>Not stated on course page</t>
        </is>
      </c>
      <c r="AB158" t="inlineStr"/>
      <c r="AC158" t="inlineStr">
        <is>
          <t>Skipped: the page does not state it</t>
        </is>
      </c>
      <c r="AD158" t="n">
        <v>0</v>
      </c>
      <c r="AE158" t="inlineStr">
        <is>
          <t>Yes</t>
        </is>
      </c>
      <c r="AF158" t="inlineStr"/>
      <c r="AG158" t="inlineStr"/>
      <c r="AH158" t="inlineStr"/>
      <c r="AI158" t="inlineStr"/>
      <c r="AJ158" t="inlineStr"/>
      <c r="AK158" t="inlineStr"/>
      <c r="AL158" t="inlineStr"/>
      <c r="AM158" t="inlineStr"/>
    </row>
    <row r="159">
      <c r="A159" t="inlineStr">
        <is>
          <t>094862J</t>
        </is>
      </c>
      <c r="B159" t="inlineStr">
        <is>
          <t>Graduate Diploma in Orchestral Studies</t>
        </is>
      </c>
      <c r="C159" t="inlineStr">
        <is>
          <t>Graduate Diploma</t>
        </is>
      </c>
      <c r="D159" t="inlineStr">
        <is>
          <t>Postgraduate coursework</t>
        </is>
      </c>
      <c r="E159" t="inlineStr">
        <is>
          <t>No page found</t>
        </is>
      </c>
      <c r="F159" t="inlineStr"/>
      <c r="G159" t="inlineStr"/>
      <c r="H159" t="inlineStr"/>
      <c r="I159" t="inlineStr"/>
      <c r="J159" t="inlineStr"/>
      <c r="K159" t="inlineStr">
        <is>
          <t>Not sent to re-link</t>
        </is>
      </c>
      <c r="L159" t="inlineStr">
        <is>
          <t>Searching for course page</t>
        </is>
      </c>
      <c r="M159" t="inlineStr">
        <is>
          <t>Filled</t>
        </is>
      </c>
      <c r="N159" t="inlineStr">
        <is>
          <t>50720.00 2027</t>
        </is>
      </c>
      <c r="O159" t="n">
        <v>3</v>
      </c>
      <c r="P159" t="inlineStr">
        <is>
          <t>Other</t>
        </is>
      </c>
      <c r="Q159" t="inlineStr">
        <is>
          <t>Searching for course page</t>
        </is>
      </c>
      <c r="S159" t="inlineStr"/>
      <c r="T159" t="inlineStr">
        <is>
          <t>Level map (Melbourne): not computed per course in this report</t>
        </is>
      </c>
      <c r="U159" t="inlineStr"/>
      <c r="V159" t="inlineStr">
        <is>
          <t>Searching for course page</t>
        </is>
      </c>
      <c r="W159" t="inlineStr"/>
      <c r="X159" t="inlineStr"/>
      <c r="Y159" t="n">
        <v>0</v>
      </c>
      <c r="Z159" t="inlineStr">
        <is>
          <t>No</t>
        </is>
      </c>
      <c r="AA159" t="inlineStr">
        <is>
          <t>Not stated on course page</t>
        </is>
      </c>
      <c r="AB159" t="inlineStr"/>
      <c r="AC159" t="inlineStr">
        <is>
          <t>Skipped: no allowed source had a value</t>
        </is>
      </c>
      <c r="AD159" t="n">
        <v>0</v>
      </c>
      <c r="AE159" t="inlineStr"/>
      <c r="AF159" t="inlineStr"/>
      <c r="AG159" t="inlineStr"/>
      <c r="AH159" t="inlineStr"/>
      <c r="AI159" t="inlineStr"/>
      <c r="AJ159" t="inlineStr"/>
      <c r="AK159" t="inlineStr"/>
      <c r="AL159" t="inlineStr"/>
      <c r="AM159" t="inlineStr"/>
    </row>
    <row r="160">
      <c r="A160" t="inlineStr">
        <is>
          <t>093003E</t>
        </is>
      </c>
      <c r="B160" t="inlineStr">
        <is>
          <t>Graduate Diploma in Pedagogy</t>
        </is>
      </c>
      <c r="C160" t="inlineStr">
        <is>
          <t>Graduate Diploma</t>
        </is>
      </c>
      <c r="D160" t="inlineStr">
        <is>
          <t>Postgraduate coursework</t>
        </is>
      </c>
      <c r="E160" t="inlineStr">
        <is>
          <t>Held: page found is for another course</t>
        </is>
      </c>
      <c r="F160" t="inlineStr"/>
      <c r="G160" t="inlineStr">
        <is>
          <t>https://handbook.unimelb.edu.au/2026/courses/gd-clined</t>
        </is>
      </c>
      <c r="H160" t="inlineStr">
        <is>
          <t>Page is for another course</t>
        </is>
      </c>
      <c r="I160" t="inlineStr"/>
      <c r="J160" t="inlineStr"/>
      <c r="K160" t="inlineStr">
        <is>
          <t>Finished, no page: no address from the university's address forms or stored lis</t>
        </is>
      </c>
      <c r="L160" t="inlineStr">
        <is>
          <t>Searching for course page</t>
        </is>
      </c>
      <c r="M160" t="inlineStr">
        <is>
          <t>Searching for course page</t>
        </is>
      </c>
      <c r="N160" t="inlineStr"/>
      <c r="O160" t="n">
        <v>0</v>
      </c>
      <c r="P160" t="inlineStr"/>
      <c r="Q160" t="inlineStr">
        <is>
          <t>Searching for course page</t>
        </is>
      </c>
      <c r="S160" t="inlineStr"/>
      <c r="T160" t="inlineStr">
        <is>
          <t>Level map (Melbourne): not computed per course in this report</t>
        </is>
      </c>
      <c r="U160" t="inlineStr"/>
      <c r="V160" t="inlineStr">
        <is>
          <t>Searching for course page</t>
        </is>
      </c>
      <c r="W160" t="inlineStr"/>
      <c r="X160" t="inlineStr"/>
      <c r="Y160" t="n">
        <v>0</v>
      </c>
      <c r="Z160" t="inlineStr">
        <is>
          <t>No</t>
        </is>
      </c>
      <c r="AA160" t="inlineStr">
        <is>
          <t>Not stated on course page</t>
        </is>
      </c>
      <c r="AB160" t="inlineStr"/>
      <c r="AC160" t="inlineStr">
        <is>
          <t>Skipped: no correct course page: the page found is for another course</t>
        </is>
      </c>
      <c r="AD160" t="n">
        <v>1</v>
      </c>
      <c r="AE160" t="inlineStr"/>
      <c r="AF160" t="inlineStr"/>
      <c r="AG160" t="inlineStr"/>
      <c r="AH160" t="inlineStr"/>
      <c r="AI160" t="inlineStr"/>
      <c r="AJ160" t="inlineStr"/>
      <c r="AK160" t="inlineStr"/>
      <c r="AL160" t="inlineStr"/>
      <c r="AM160" t="inlineStr"/>
    </row>
    <row r="161">
      <c r="A161" t="inlineStr">
        <is>
          <t>059250F</t>
        </is>
      </c>
      <c r="B161" t="inlineStr">
        <is>
          <t>Graduate Diploma in Performance Creation</t>
        </is>
      </c>
      <c r="C161" t="inlineStr">
        <is>
          <t>Graduate Diploma</t>
        </is>
      </c>
      <c r="D161" t="inlineStr">
        <is>
          <t>Postgraduate coursework</t>
        </is>
      </c>
      <c r="E161" t="inlineStr">
        <is>
          <t>Advertised: official page in place</t>
        </is>
      </c>
      <c r="F161" t="inlineStr">
        <is>
          <t>https://handbook.unimelb.edu.au/2017/courses/gd-perfcr</t>
        </is>
      </c>
      <c r="G161" t="inlineStr">
        <is>
          <t>https://handbook.unimelb.edu.au/2026/courses/gd-perfcr</t>
        </is>
      </c>
      <c r="H161" t="inlineStr">
        <is>
          <t>Needs a rendered read</t>
        </is>
      </c>
      <c r="I161" t="inlineStr"/>
      <c r="J161" t="inlineStr"/>
      <c r="K161" t="inlineStr">
        <is>
          <t>Finished, no page: no address from the university's address forms or stored lis</t>
        </is>
      </c>
      <c r="L161" t="inlineStr">
        <is>
          <t>Filled</t>
        </is>
      </c>
      <c r="M161" t="inlineStr">
        <is>
          <t>Not stated on course page</t>
        </is>
      </c>
      <c r="N161" t="inlineStr"/>
      <c r="O161" t="n">
        <v>0</v>
      </c>
      <c r="P161" t="inlineStr"/>
      <c r="Q161" t="inlineStr">
        <is>
          <t>Not stated on course page</t>
        </is>
      </c>
      <c r="S161" t="inlineStr"/>
      <c r="T161" t="inlineStr">
        <is>
          <t>Level map (Melbourne): not computed per course in this report</t>
        </is>
      </c>
      <c r="U161" t="inlineStr"/>
      <c r="V161" t="inlineStr">
        <is>
          <t>Not stated on course page</t>
        </is>
      </c>
      <c r="W161" t="inlineStr"/>
      <c r="X161" t="inlineStr"/>
      <c r="Y161" t="n">
        <v>0</v>
      </c>
      <c r="Z161" t="inlineStr">
        <is>
          <t>No</t>
        </is>
      </c>
      <c r="AA161" t="inlineStr">
        <is>
          <t>Filled</t>
        </is>
      </c>
      <c r="AB161" t="inlineStr">
        <is>
          <t>on campus</t>
        </is>
      </c>
      <c r="AC161" t="inlineStr"/>
      <c r="AD161" t="n">
        <v>0</v>
      </c>
      <c r="AE161" t="inlineStr">
        <is>
          <t>Yes</t>
        </is>
      </c>
      <c r="AF161" t="inlineStr"/>
      <c r="AG161" t="inlineStr"/>
      <c r="AH161" t="inlineStr"/>
      <c r="AI161" t="inlineStr">
        <is>
          <t>Yes</t>
        </is>
      </c>
      <c r="AJ161" t="inlineStr"/>
      <c r="AK161" t="inlineStr"/>
      <c r="AL161" t="inlineStr"/>
      <c r="AM161" t="inlineStr"/>
    </row>
    <row r="162">
      <c r="A162" t="inlineStr">
        <is>
          <t>052669B</t>
        </is>
      </c>
      <c r="B162" t="inlineStr">
        <is>
          <t>Graduate Diploma in Property Valuation</t>
        </is>
      </c>
      <c r="C162" t="inlineStr">
        <is>
          <t>Graduate Diploma</t>
        </is>
      </c>
      <c r="D162" t="inlineStr">
        <is>
          <t>Postgraduate coursework</t>
        </is>
      </c>
      <c r="E162" t="inlineStr">
        <is>
          <t>Advertised: official page in place</t>
        </is>
      </c>
      <c r="F162" t="inlineStr">
        <is>
          <t>https://handbook.unimelb.edu.au/2026/courses/702pa</t>
        </is>
      </c>
      <c r="G162" t="inlineStr">
        <is>
          <t>https://handbook.unimelb.edu.au/2026/courses/702pa</t>
        </is>
      </c>
      <c r="H162" t="inlineStr">
        <is>
          <t>Read</t>
        </is>
      </c>
      <c r="I162" t="inlineStr">
        <is>
          <t>CRICOS code on page</t>
        </is>
      </c>
      <c r="J162" t="inlineStr"/>
      <c r="K162" t="inlineStr">
        <is>
          <t>Not sent to re-link</t>
        </is>
      </c>
      <c r="L162" t="inlineStr">
        <is>
          <t>Filled</t>
        </is>
      </c>
      <c r="M162" t="inlineStr">
        <is>
          <t>Filled</t>
        </is>
      </c>
      <c r="N162" t="inlineStr">
        <is>
          <t>59840.00 2027</t>
        </is>
      </c>
      <c r="O162" t="n">
        <v>3</v>
      </c>
      <c r="P162" t="inlineStr">
        <is>
          <t>Other</t>
        </is>
      </c>
      <c r="Q162" t="inlineStr">
        <is>
          <t>Filled</t>
        </is>
      </c>
      <c r="R162" t="n">
        <v>6.5</v>
      </c>
      <c r="S162" t="inlineStr">
        <is>
          <t>Central English policy</t>
        </is>
      </c>
      <c r="T162" t="inlineStr">
        <is>
          <t>Level map (Melbourne): not computed per course in this report</t>
        </is>
      </c>
      <c r="U162" t="inlineStr"/>
      <c r="V162" t="inlineStr">
        <is>
          <t>Not stated on course page</t>
        </is>
      </c>
      <c r="W162" t="inlineStr"/>
      <c r="X162" t="inlineStr"/>
      <c r="Y162" t="n">
        <v>0</v>
      </c>
      <c r="Z162" t="inlineStr">
        <is>
          <t>No</t>
        </is>
      </c>
      <c r="AA162" t="inlineStr">
        <is>
          <t>Filled</t>
        </is>
      </c>
      <c r="AB162" t="inlineStr">
        <is>
          <t>on campus</t>
        </is>
      </c>
      <c r="AC162" t="inlineStr"/>
      <c r="AD162" t="n">
        <v>0</v>
      </c>
      <c r="AE162" t="inlineStr"/>
      <c r="AF162" t="inlineStr"/>
      <c r="AG162" t="inlineStr"/>
      <c r="AH162" t="inlineStr"/>
      <c r="AI162" t="inlineStr">
        <is>
          <t>Yes</t>
        </is>
      </c>
      <c r="AJ162" t="inlineStr"/>
      <c r="AK162" t="inlineStr"/>
      <c r="AL162" t="inlineStr"/>
      <c r="AM162" t="inlineStr"/>
    </row>
    <row r="163">
      <c r="A163" t="inlineStr">
        <is>
          <t>061720G</t>
        </is>
      </c>
      <c r="B163" t="inlineStr">
        <is>
          <t>Graduate Diploma in Psychology</t>
        </is>
      </c>
      <c r="C163" t="inlineStr">
        <is>
          <t>Graduate Diploma</t>
        </is>
      </c>
      <c r="D163" t="inlineStr">
        <is>
          <t>Postgraduate coursework</t>
        </is>
      </c>
      <c r="E163" t="inlineStr">
        <is>
          <t>Advertised: official page in place</t>
        </is>
      </c>
      <c r="F163" t="inlineStr">
        <is>
          <t>https://study.unimelb.edu.au/find/courses/graduate/graduate-diploma-in-psychology</t>
        </is>
      </c>
      <c r="G163" t="inlineStr">
        <is>
          <t>https://study.unimelb.edu.au/find/courses/graduate/graduate-diploma-in-psychology</t>
        </is>
      </c>
      <c r="H163" t="inlineStr">
        <is>
          <t>Read</t>
        </is>
      </c>
      <c r="I163" t="inlineStr">
        <is>
          <t>CRICOS code on page</t>
        </is>
      </c>
      <c r="J163" t="inlineStr"/>
      <c r="K163" t="inlineStr">
        <is>
          <t>Not sent to re-link</t>
        </is>
      </c>
      <c r="L163" t="inlineStr">
        <is>
          <t>Filled</t>
        </is>
      </c>
      <c r="M163" t="inlineStr">
        <is>
          <t>Filled</t>
        </is>
      </c>
      <c r="N163" t="inlineStr">
        <is>
          <t>48512.00 2027</t>
        </is>
      </c>
      <c r="O163" t="n">
        <v>3</v>
      </c>
      <c r="P163" t="inlineStr">
        <is>
          <t>Other</t>
        </is>
      </c>
      <c r="Q163" t="inlineStr">
        <is>
          <t>Filled</t>
        </is>
      </c>
      <c r="R163" t="n">
        <v>6.5</v>
      </c>
      <c r="S163" t="inlineStr">
        <is>
          <t>University adapter</t>
        </is>
      </c>
      <c r="T163" t="inlineStr">
        <is>
          <t>Level map (Melbourne): not computed per course in this report</t>
        </is>
      </c>
      <c r="U163" t="inlineStr"/>
      <c r="V163" t="inlineStr">
        <is>
          <t>Filled</t>
        </is>
      </c>
      <c r="W163" t="inlineStr">
        <is>
          <t>January</t>
        </is>
      </c>
      <c r="X163" t="inlineStr">
        <is>
          <t>University adapter</t>
        </is>
      </c>
      <c r="Y163" t="n">
        <v>2</v>
      </c>
      <c r="Z163" t="inlineStr">
        <is>
          <t>No</t>
        </is>
      </c>
      <c r="AA163" t="inlineStr">
        <is>
          <t>Filled</t>
        </is>
      </c>
      <c r="AB163" t="inlineStr">
        <is>
          <t>on campus</t>
        </is>
      </c>
      <c r="AC163" t="inlineStr"/>
      <c r="AD163" t="n">
        <v>0</v>
      </c>
      <c r="AE163" t="inlineStr"/>
      <c r="AF163" t="inlineStr"/>
      <c r="AG163" t="inlineStr"/>
      <c r="AH163" t="inlineStr"/>
      <c r="AI163" t="inlineStr"/>
      <c r="AJ163" t="inlineStr"/>
      <c r="AK163" t="inlineStr"/>
      <c r="AL163" t="inlineStr"/>
      <c r="AM163" t="inlineStr"/>
    </row>
    <row r="164">
      <c r="A164" t="inlineStr">
        <is>
          <t>026666K</t>
        </is>
      </c>
      <c r="B164" t="inlineStr">
        <is>
          <t>Graduate Diploma in Psychology (Advanced)</t>
        </is>
      </c>
      <c r="C164" t="inlineStr">
        <is>
          <t>Graduate Diploma</t>
        </is>
      </c>
      <c r="D164" t="inlineStr">
        <is>
          <t>Postgraduate coursework</t>
        </is>
      </c>
      <c r="E164" t="inlineStr">
        <is>
          <t>Advertised: official page in place</t>
        </is>
      </c>
      <c r="F164" t="inlineStr">
        <is>
          <t>https://study.unimelb.edu.au/find/courses/graduate/graduate-diploma-in-psychology-advanced/</t>
        </is>
      </c>
      <c r="G164" t="inlineStr">
        <is>
          <t>https://study.unimelb.edu.au/find/courses/graduate/graduate-diploma-in-psychology-advanced/</t>
        </is>
      </c>
      <c r="H164" t="inlineStr">
        <is>
          <t>Read</t>
        </is>
      </c>
      <c r="I164" t="inlineStr">
        <is>
          <t>CRICOS code on page</t>
        </is>
      </c>
      <c r="J164" t="inlineStr"/>
      <c r="K164" t="inlineStr">
        <is>
          <t>Not sent to re-link</t>
        </is>
      </c>
      <c r="L164" t="inlineStr">
        <is>
          <t>Filled</t>
        </is>
      </c>
      <c r="M164" t="inlineStr">
        <is>
          <t>Filled</t>
        </is>
      </c>
      <c r="N164" t="inlineStr">
        <is>
          <t>63584.00 2027</t>
        </is>
      </c>
      <c r="O164" t="n">
        <v>3</v>
      </c>
      <c r="P164" t="inlineStr">
        <is>
          <t>Other</t>
        </is>
      </c>
      <c r="Q164" t="inlineStr">
        <is>
          <t>Not stated on course page</t>
        </is>
      </c>
      <c r="S164" t="inlineStr"/>
      <c r="T164" t="inlineStr">
        <is>
          <t>Level map (Melbourne): not computed per course in this report</t>
        </is>
      </c>
      <c r="U164" t="inlineStr"/>
      <c r="V164" t="inlineStr">
        <is>
          <t>Filled</t>
        </is>
      </c>
      <c r="W164" t="inlineStr">
        <is>
          <t>February</t>
        </is>
      </c>
      <c r="X164" t="inlineStr">
        <is>
          <t>Other</t>
        </is>
      </c>
      <c r="Y164" t="n">
        <v>0</v>
      </c>
      <c r="Z164" t="inlineStr">
        <is>
          <t>No</t>
        </is>
      </c>
      <c r="AA164" t="inlineStr">
        <is>
          <t>Filled</t>
        </is>
      </c>
      <c r="AB164" t="inlineStr">
        <is>
          <t>on campus</t>
        </is>
      </c>
      <c r="AC164" t="inlineStr"/>
      <c r="AD164" t="n">
        <v>0</v>
      </c>
      <c r="AE164" t="inlineStr"/>
      <c r="AF164" t="inlineStr"/>
      <c r="AG164" t="inlineStr"/>
      <c r="AH164" t="inlineStr"/>
      <c r="AI164" t="inlineStr"/>
      <c r="AJ164" t="inlineStr"/>
      <c r="AK164" t="inlineStr"/>
      <c r="AL164" t="inlineStr"/>
      <c r="AM164" t="inlineStr"/>
    </row>
    <row r="165">
      <c r="A165" t="inlineStr">
        <is>
          <t>085952D</t>
        </is>
      </c>
      <c r="B165" t="inlineStr">
        <is>
          <t>Graduate Diploma in Publishing and Communication (Advanced)</t>
        </is>
      </c>
      <c r="C165" t="inlineStr">
        <is>
          <t>Graduate Diploma</t>
        </is>
      </c>
      <c r="D165" t="inlineStr">
        <is>
          <t>Postgraduate coursework</t>
        </is>
      </c>
      <c r="E165" t="inlineStr">
        <is>
          <t>Advertised: official page in place</t>
        </is>
      </c>
      <c r="F165" t="inlineStr">
        <is>
          <t>https://handbook.unimelb.edu.au/2026/courses/gda-pubcom</t>
        </is>
      </c>
      <c r="G165" t="inlineStr">
        <is>
          <t>https://handbook.unimelb.edu.au/2026/courses/gda-pubcom</t>
        </is>
      </c>
      <c r="H165" t="inlineStr">
        <is>
          <t>Read</t>
        </is>
      </c>
      <c r="I165" t="inlineStr">
        <is>
          <t>CRICOS code on page</t>
        </is>
      </c>
      <c r="J165" t="inlineStr"/>
      <c r="K165" t="inlineStr">
        <is>
          <t>Not sent to re-link</t>
        </is>
      </c>
      <c r="L165" t="inlineStr">
        <is>
          <t>Filled</t>
        </is>
      </c>
      <c r="M165" t="inlineStr">
        <is>
          <t>Filled</t>
        </is>
      </c>
      <c r="N165" t="inlineStr">
        <is>
          <t>52416.00 2027</t>
        </is>
      </c>
      <c r="O165" t="n">
        <v>3</v>
      </c>
      <c r="P165" t="inlineStr">
        <is>
          <t>Other</t>
        </is>
      </c>
      <c r="Q165" t="inlineStr">
        <is>
          <t>Filled</t>
        </is>
      </c>
      <c r="R165" t="n">
        <v>7</v>
      </c>
      <c r="S165" t="inlineStr">
        <is>
          <t>Central English policy</t>
        </is>
      </c>
      <c r="T165" t="inlineStr">
        <is>
          <t>Level map (Melbourne): not computed per course in this report</t>
        </is>
      </c>
      <c r="U165" t="inlineStr"/>
      <c r="V165" t="inlineStr">
        <is>
          <t>Not stated on course page</t>
        </is>
      </c>
      <c r="W165" t="inlineStr"/>
      <c r="X165" t="inlineStr"/>
      <c r="Y165" t="n">
        <v>0</v>
      </c>
      <c r="Z165" t="inlineStr">
        <is>
          <t>No</t>
        </is>
      </c>
      <c r="AA165" t="inlineStr">
        <is>
          <t>Filled</t>
        </is>
      </c>
      <c r="AB165" t="inlineStr">
        <is>
          <t>on campus</t>
        </is>
      </c>
      <c r="AC165" t="inlineStr"/>
      <c r="AD165" t="n">
        <v>0</v>
      </c>
      <c r="AE165" t="inlineStr"/>
      <c r="AF165" t="inlineStr"/>
      <c r="AG165" t="inlineStr"/>
      <c r="AH165" t="inlineStr"/>
      <c r="AI165" t="inlineStr">
        <is>
          <t>Yes</t>
        </is>
      </c>
      <c r="AJ165" t="inlineStr"/>
      <c r="AK165" t="inlineStr"/>
      <c r="AL165" t="inlineStr"/>
      <c r="AM165" t="inlineStr"/>
    </row>
    <row r="166">
      <c r="A166" t="inlineStr">
        <is>
          <t>085609G</t>
        </is>
      </c>
      <c r="B166" t="inlineStr">
        <is>
          <t>Graduate Diploma in Science</t>
        </is>
      </c>
      <c r="C166" t="inlineStr">
        <is>
          <t>Graduate Diploma</t>
        </is>
      </c>
      <c r="D166" t="inlineStr">
        <is>
          <t>Postgraduate coursework</t>
        </is>
      </c>
      <c r="E166" t="inlineStr">
        <is>
          <t>Advertised: official page in place</t>
        </is>
      </c>
      <c r="F166" t="inlineStr">
        <is>
          <t>https://study.unimelb.edu.au/find/courses/graduate/graduate-diploma-in-science/</t>
        </is>
      </c>
      <c r="G166" t="inlineStr">
        <is>
          <t>https://study.unimelb.edu.au/find/courses/graduate/graduate-diploma-in-science/</t>
        </is>
      </c>
      <c r="H166" t="inlineStr">
        <is>
          <t>Read</t>
        </is>
      </c>
      <c r="I166" t="inlineStr">
        <is>
          <t>Exact title match</t>
        </is>
      </c>
      <c r="J166" t="inlineStr"/>
      <c r="K166" t="inlineStr">
        <is>
          <t>Not sent to re-link</t>
        </is>
      </c>
      <c r="L166" t="inlineStr">
        <is>
          <t>Filled</t>
        </is>
      </c>
      <c r="M166" t="inlineStr">
        <is>
          <t>Not stated on course page</t>
        </is>
      </c>
      <c r="N166" t="inlineStr"/>
      <c r="O166" t="n">
        <v>0</v>
      </c>
      <c r="P166" t="inlineStr"/>
      <c r="Q166" t="inlineStr">
        <is>
          <t>Filled</t>
        </is>
      </c>
      <c r="R166" t="n">
        <v>6.5</v>
      </c>
      <c r="S166" t="inlineStr">
        <is>
          <t>University adapter</t>
        </is>
      </c>
      <c r="T166" t="inlineStr">
        <is>
          <t>Level map (Melbourne): not computed per course in this report</t>
        </is>
      </c>
      <c r="U166" t="inlineStr"/>
      <c r="V166" t="inlineStr">
        <is>
          <t>Not stated on course page</t>
        </is>
      </c>
      <c r="W166" t="inlineStr"/>
      <c r="X166" t="inlineStr"/>
      <c r="Y166" t="n">
        <v>0</v>
      </c>
      <c r="Z166" t="inlineStr">
        <is>
          <t>No</t>
        </is>
      </c>
      <c r="AA166" t="inlineStr">
        <is>
          <t>Filled</t>
        </is>
      </c>
      <c r="AB166" t="inlineStr">
        <is>
          <t>on campus</t>
        </is>
      </c>
      <c r="AC166" t="inlineStr"/>
      <c r="AD166" t="n">
        <v>0</v>
      </c>
      <c r="AE166" t="inlineStr"/>
      <c r="AF166" t="inlineStr"/>
      <c r="AG166" t="inlineStr"/>
      <c r="AH166" t="inlineStr"/>
      <c r="AI166" t="inlineStr">
        <is>
          <t>Yes</t>
        </is>
      </c>
      <c r="AJ166" t="inlineStr"/>
      <c r="AK166" t="inlineStr"/>
      <c r="AL166" t="inlineStr"/>
      <c r="AM166" t="inlineStr"/>
    </row>
    <row r="167">
      <c r="A167" t="inlineStr">
        <is>
          <t>023188D</t>
        </is>
      </c>
      <c r="B167" t="inlineStr">
        <is>
          <t>Graduate Diploma in Science (Advanced)</t>
        </is>
      </c>
      <c r="C167" t="inlineStr">
        <is>
          <t>Graduate Diploma</t>
        </is>
      </c>
      <c r="D167" t="inlineStr">
        <is>
          <t>Postgraduate coursework</t>
        </is>
      </c>
      <c r="E167" t="inlineStr">
        <is>
          <t>Advertised: official page in place</t>
        </is>
      </c>
      <c r="F167" t="inlineStr">
        <is>
          <t>https://study.unimelb.edu.au/find/courses/graduate/graduate-diploma-in-science-advanced/</t>
        </is>
      </c>
      <c r="G167" t="inlineStr">
        <is>
          <t>https://study.unimelb.edu.au/find/courses/graduate/graduate-diploma-in-science-advanced/</t>
        </is>
      </c>
      <c r="H167" t="inlineStr">
        <is>
          <t>Read</t>
        </is>
      </c>
      <c r="I167" t="inlineStr">
        <is>
          <t>CRICOS code on page</t>
        </is>
      </c>
      <c r="J167" t="inlineStr"/>
      <c r="K167" t="inlineStr">
        <is>
          <t>Not sent to re-link</t>
        </is>
      </c>
      <c r="L167" t="inlineStr">
        <is>
          <t>Filled</t>
        </is>
      </c>
      <c r="M167" t="inlineStr">
        <is>
          <t>Filled</t>
        </is>
      </c>
      <c r="N167" t="inlineStr">
        <is>
          <t>64640.00 2027</t>
        </is>
      </c>
      <c r="O167" t="n">
        <v>3</v>
      </c>
      <c r="P167" t="inlineStr">
        <is>
          <t>Other</t>
        </is>
      </c>
      <c r="Q167" t="inlineStr">
        <is>
          <t>Filled</t>
        </is>
      </c>
      <c r="R167" t="n">
        <v>6.5</v>
      </c>
      <c r="S167" t="inlineStr">
        <is>
          <t>University adapter</t>
        </is>
      </c>
      <c r="T167" t="inlineStr">
        <is>
          <t>Level map (Melbourne): not computed per course in this report</t>
        </is>
      </c>
      <c r="U167" t="inlineStr"/>
      <c r="V167" t="inlineStr">
        <is>
          <t>Filled</t>
        </is>
      </c>
      <c r="W167" t="inlineStr">
        <is>
          <t>March, July</t>
        </is>
      </c>
      <c r="X167" t="inlineStr">
        <is>
          <t>University adapter</t>
        </is>
      </c>
      <c r="Y167" t="n">
        <v>0</v>
      </c>
      <c r="Z167" t="inlineStr">
        <is>
          <t>No</t>
        </is>
      </c>
      <c r="AA167" t="inlineStr">
        <is>
          <t>Filled</t>
        </is>
      </c>
      <c r="AB167" t="inlineStr">
        <is>
          <t>on campus</t>
        </is>
      </c>
      <c r="AC167" t="inlineStr"/>
      <c r="AD167" t="n">
        <v>0</v>
      </c>
      <c r="AE167" t="inlineStr"/>
      <c r="AF167" t="inlineStr"/>
      <c r="AG167" t="inlineStr"/>
      <c r="AH167" t="inlineStr"/>
      <c r="AI167" t="inlineStr"/>
      <c r="AJ167" t="inlineStr"/>
      <c r="AK167" t="inlineStr"/>
      <c r="AL167" t="inlineStr"/>
      <c r="AM167" t="inlineStr"/>
    </row>
    <row r="168">
      <c r="A168" t="inlineStr">
        <is>
          <t>075318B</t>
        </is>
      </c>
      <c r="B168" t="inlineStr">
        <is>
          <t>Graduate Diploma in Sports Law</t>
        </is>
      </c>
      <c r="C168" t="inlineStr">
        <is>
          <t>Graduate Diploma</t>
        </is>
      </c>
      <c r="D168" t="inlineStr">
        <is>
          <t>Postgraduate coursework</t>
        </is>
      </c>
      <c r="E168" t="inlineStr">
        <is>
          <t>Advertised: official page in place</t>
        </is>
      </c>
      <c r="F168" t="inlineStr">
        <is>
          <t>https://handbook.unimelb.edu.au/2026/courses/893aa</t>
        </is>
      </c>
      <c r="G168" t="inlineStr">
        <is>
          <t>https://handbook.unimelb.edu.au/2026/courses/893aa</t>
        </is>
      </c>
      <c r="H168" t="inlineStr">
        <is>
          <t>Read</t>
        </is>
      </c>
      <c r="I168" t="inlineStr">
        <is>
          <t>CRICOS code on page</t>
        </is>
      </c>
      <c r="J168" t="inlineStr"/>
      <c r="K168" t="inlineStr">
        <is>
          <t>Not sent to re-link</t>
        </is>
      </c>
      <c r="L168" t="inlineStr">
        <is>
          <t>Filled</t>
        </is>
      </c>
      <c r="M168" t="inlineStr">
        <is>
          <t>Filled</t>
        </is>
      </c>
      <c r="N168" t="inlineStr">
        <is>
          <t>67072.00 2027</t>
        </is>
      </c>
      <c r="O168" t="n">
        <v>3</v>
      </c>
      <c r="P168" t="inlineStr">
        <is>
          <t>Other</t>
        </is>
      </c>
      <c r="Q168" t="inlineStr">
        <is>
          <t>Filled</t>
        </is>
      </c>
      <c r="R168" t="n">
        <v>6.5</v>
      </c>
      <c r="S168" t="inlineStr">
        <is>
          <t>Central English policy</t>
        </is>
      </c>
      <c r="T168" t="inlineStr">
        <is>
          <t>Level map (Melbourne): not computed per course in this report</t>
        </is>
      </c>
      <c r="U168" t="inlineStr"/>
      <c r="V168" t="inlineStr">
        <is>
          <t>Not stated on course page</t>
        </is>
      </c>
      <c r="W168" t="inlineStr"/>
      <c r="X168" t="inlineStr"/>
      <c r="Y168" t="n">
        <v>0</v>
      </c>
      <c r="Z168" t="inlineStr">
        <is>
          <t>No</t>
        </is>
      </c>
      <c r="AA168" t="inlineStr">
        <is>
          <t>Filled</t>
        </is>
      </c>
      <c r="AB168" t="inlineStr">
        <is>
          <t>on campus</t>
        </is>
      </c>
      <c r="AC168" t="inlineStr"/>
      <c r="AD168" t="n">
        <v>0</v>
      </c>
      <c r="AE168" t="inlineStr"/>
      <c r="AF168" t="inlineStr"/>
      <c r="AG168" t="inlineStr"/>
      <c r="AH168" t="inlineStr"/>
      <c r="AI168" t="inlineStr">
        <is>
          <t>Yes</t>
        </is>
      </c>
      <c r="AJ168" t="inlineStr"/>
      <c r="AK168" t="inlineStr"/>
      <c r="AL168" t="inlineStr"/>
      <c r="AM168" t="inlineStr"/>
    </row>
    <row r="169">
      <c r="A169" t="inlineStr">
        <is>
          <t>098272K</t>
        </is>
      </c>
      <c r="B169" t="inlineStr">
        <is>
          <t>Graduate Diploma in Supply Chain Management (Exit Award)</t>
        </is>
      </c>
      <c r="C169" t="inlineStr">
        <is>
          <t>Graduate Diploma</t>
        </is>
      </c>
      <c r="D169" t="inlineStr">
        <is>
          <t>Postgraduate coursework</t>
        </is>
      </c>
      <c r="E169" t="inlineStr">
        <is>
          <t>Held: page found is for another course</t>
        </is>
      </c>
      <c r="F169" t="inlineStr"/>
      <c r="G169" t="inlineStr">
        <is>
          <t>https://handbook.unimelb.edu.au/2026/courses/mc-scm150</t>
        </is>
      </c>
      <c r="H169" t="inlineStr">
        <is>
          <t>Page is for another course</t>
        </is>
      </c>
      <c r="I169" t="inlineStr"/>
      <c r="J169" t="inlineStr"/>
      <c r="K169" t="inlineStr">
        <is>
          <t>Finished, no page: no address from the university's address forms or stored lis</t>
        </is>
      </c>
      <c r="L169" t="inlineStr">
        <is>
          <t>Searching for course page</t>
        </is>
      </c>
      <c r="M169" t="inlineStr">
        <is>
          <t>Searching for course page</t>
        </is>
      </c>
      <c r="N169" t="inlineStr"/>
      <c r="O169" t="n">
        <v>0</v>
      </c>
      <c r="P169" t="inlineStr"/>
      <c r="Q169" t="inlineStr">
        <is>
          <t>Searching for course page</t>
        </is>
      </c>
      <c r="S169" t="inlineStr"/>
      <c r="T169" t="inlineStr">
        <is>
          <t>Level map (Melbourne): not computed per course in this report</t>
        </is>
      </c>
      <c r="U169" t="inlineStr"/>
      <c r="V169" t="inlineStr">
        <is>
          <t>Searching for course page</t>
        </is>
      </c>
      <c r="W169" t="inlineStr"/>
      <c r="X169" t="inlineStr"/>
      <c r="Y169" t="n">
        <v>0</v>
      </c>
      <c r="Z169" t="inlineStr">
        <is>
          <t>No</t>
        </is>
      </c>
      <c r="AA169" t="inlineStr">
        <is>
          <t>Not stated on course page</t>
        </is>
      </c>
      <c r="AB169" t="inlineStr"/>
      <c r="AC169" t="inlineStr">
        <is>
          <t>Skipped: no correct course page: the page found is for another course</t>
        </is>
      </c>
      <c r="AD169" t="n">
        <v>1</v>
      </c>
      <c r="AE169" t="inlineStr"/>
      <c r="AF169" t="inlineStr"/>
      <c r="AG169" t="inlineStr"/>
      <c r="AH169" t="inlineStr"/>
      <c r="AI169" t="inlineStr"/>
      <c r="AJ169" t="inlineStr"/>
      <c r="AK169" t="inlineStr"/>
      <c r="AL169" t="inlineStr"/>
      <c r="AM169" t="inlineStr"/>
    </row>
    <row r="170">
      <c r="A170" t="inlineStr">
        <is>
          <t>075324D</t>
        </is>
      </c>
      <c r="B170" t="inlineStr">
        <is>
          <t>Graduate Diploma in Tax</t>
        </is>
      </c>
      <c r="C170" t="inlineStr">
        <is>
          <t>Graduate Diploma</t>
        </is>
      </c>
      <c r="D170" t="inlineStr">
        <is>
          <t>Postgraduate coursework</t>
        </is>
      </c>
      <c r="E170" t="inlineStr">
        <is>
          <t>Advertised: official page in place</t>
        </is>
      </c>
      <c r="F170" t="inlineStr">
        <is>
          <t>https://study.unimelb.edu.au/find/courses/graduate/graduate-diploma-in-tax/</t>
        </is>
      </c>
      <c r="G170" t="inlineStr">
        <is>
          <t>https://study.unimelb.edu.au/find/courses/graduate/graduate-diploma-in-tax/</t>
        </is>
      </c>
      <c r="H170" t="inlineStr">
        <is>
          <t>Read</t>
        </is>
      </c>
      <c r="I170" t="inlineStr">
        <is>
          <t>CRICOS code on page</t>
        </is>
      </c>
      <c r="J170" t="inlineStr"/>
      <c r="K170" t="inlineStr">
        <is>
          <t>Not sent to re-link</t>
        </is>
      </c>
      <c r="L170" t="inlineStr">
        <is>
          <t>Filled</t>
        </is>
      </c>
      <c r="M170" t="inlineStr">
        <is>
          <t>Filled</t>
        </is>
      </c>
      <c r="N170" t="inlineStr">
        <is>
          <t>67072.00 2027</t>
        </is>
      </c>
      <c r="O170" t="n">
        <v>3</v>
      </c>
      <c r="P170" t="inlineStr">
        <is>
          <t>Other</t>
        </is>
      </c>
      <c r="Q170" t="inlineStr">
        <is>
          <t>Filled</t>
        </is>
      </c>
      <c r="R170" t="n">
        <v>6.5</v>
      </c>
      <c r="S170" t="inlineStr">
        <is>
          <t>University adapter</t>
        </is>
      </c>
      <c r="T170" t="inlineStr">
        <is>
          <t>Level map (Melbourne): not computed per course in this report</t>
        </is>
      </c>
      <c r="U170" t="inlineStr"/>
      <c r="V170" t="inlineStr">
        <is>
          <t>Filled</t>
        </is>
      </c>
      <c r="W170" t="inlineStr">
        <is>
          <t>March, June, July, August, December</t>
        </is>
      </c>
      <c r="X170" t="inlineStr">
        <is>
          <t>Other</t>
        </is>
      </c>
      <c r="Y170" t="n">
        <v>0</v>
      </c>
      <c r="Z170" t="inlineStr">
        <is>
          <t>No</t>
        </is>
      </c>
      <c r="AA170" t="inlineStr">
        <is>
          <t>Filled</t>
        </is>
      </c>
      <c r="AB170" t="inlineStr">
        <is>
          <t>on campus</t>
        </is>
      </c>
      <c r="AC170" t="inlineStr"/>
      <c r="AD170" t="n">
        <v>0</v>
      </c>
      <c r="AE170" t="inlineStr"/>
      <c r="AF170" t="inlineStr"/>
      <c r="AG170" t="inlineStr"/>
      <c r="AH170" t="inlineStr"/>
      <c r="AI170" t="inlineStr"/>
      <c r="AJ170" t="inlineStr"/>
      <c r="AK170" t="inlineStr"/>
      <c r="AL170" t="inlineStr"/>
      <c r="AM170" t="inlineStr"/>
    </row>
    <row r="171">
      <c r="A171" t="inlineStr">
        <is>
          <t>061225M</t>
        </is>
      </c>
      <c r="B171" t="inlineStr">
        <is>
          <t>Graduate Diploma in Teaching</t>
        </is>
      </c>
      <c r="C171" t="inlineStr">
        <is>
          <t>Graduate Diploma</t>
        </is>
      </c>
      <c r="D171" t="inlineStr">
        <is>
          <t>Postgraduate coursework</t>
        </is>
      </c>
      <c r="E171" t="inlineStr">
        <is>
          <t>Page found, needs a rendered read</t>
        </is>
      </c>
      <c r="F171" t="inlineStr"/>
      <c r="G171" t="inlineStr">
        <is>
          <t>https://handbook.unimelb.edu.au/2026/courses/gd-tchec</t>
        </is>
      </c>
      <c r="H171" t="inlineStr">
        <is>
          <t>Needs a rendered read</t>
        </is>
      </c>
      <c r="I171" t="inlineStr"/>
      <c r="J171" t="inlineStr"/>
      <c r="K171" t="inlineStr">
        <is>
          <t>Finished, no page: no address from the university's address forms or stored lis</t>
        </is>
      </c>
      <c r="L171" t="inlineStr">
        <is>
          <t>Page found, being read</t>
        </is>
      </c>
      <c r="M171" t="inlineStr">
        <is>
          <t>Page found, being read</t>
        </is>
      </c>
      <c r="N171" t="inlineStr"/>
      <c r="O171" t="n">
        <v>0</v>
      </c>
      <c r="P171" t="inlineStr"/>
      <c r="Q171" t="inlineStr">
        <is>
          <t>Page found, being read</t>
        </is>
      </c>
      <c r="S171" t="inlineStr"/>
      <c r="T171" t="inlineStr">
        <is>
          <t>Level map (Melbourne): not computed per course in this report</t>
        </is>
      </c>
      <c r="U171" t="inlineStr"/>
      <c r="V171" t="inlineStr">
        <is>
          <t>Page found, being read</t>
        </is>
      </c>
      <c r="W171" t="inlineStr"/>
      <c r="X171" t="inlineStr"/>
      <c r="Y171" t="n">
        <v>0</v>
      </c>
      <c r="Z171" t="inlineStr">
        <is>
          <t>No</t>
        </is>
      </c>
      <c r="AA171" t="inlineStr">
        <is>
          <t>Not stated on course page</t>
        </is>
      </c>
      <c r="AB171" t="inlineStr"/>
      <c r="AC171" t="inlineStr">
        <is>
          <t>Skipped: no allowed source had a value</t>
        </is>
      </c>
      <c r="AD171" t="n">
        <v>1</v>
      </c>
      <c r="AE171" t="inlineStr">
        <is>
          <t>Yes</t>
        </is>
      </c>
      <c r="AF171" t="inlineStr"/>
      <c r="AG171" t="inlineStr"/>
      <c r="AH171" t="inlineStr"/>
      <c r="AI171" t="inlineStr"/>
      <c r="AJ171" t="inlineStr"/>
      <c r="AK171" t="inlineStr"/>
      <c r="AL171" t="inlineStr"/>
      <c r="AM171" t="inlineStr"/>
    </row>
    <row r="172">
      <c r="A172" t="inlineStr">
        <is>
          <t>075504M</t>
        </is>
      </c>
      <c r="B172" t="inlineStr">
        <is>
          <t>Graduate Diploma in Transnational Arts</t>
        </is>
      </c>
      <c r="C172" t="inlineStr">
        <is>
          <t>Graduate Diploma</t>
        </is>
      </c>
      <c r="D172" t="inlineStr">
        <is>
          <t>Postgraduate coursework</t>
        </is>
      </c>
      <c r="E172" t="inlineStr">
        <is>
          <t>Advertised: official page in place</t>
        </is>
      </c>
      <c r="F172" t="inlineStr">
        <is>
          <t>https://handbook.unimelb.edu.au/2017/courses/mc-tranart</t>
        </is>
      </c>
      <c r="G172" t="inlineStr">
        <is>
          <t>https://study.unimelb.edu.au/find/courses/graduate/graduate-diploma-in-arts-advanced/</t>
        </is>
      </c>
      <c r="H172" t="inlineStr">
        <is>
          <t>Page is for another course</t>
        </is>
      </c>
      <c r="I172" t="inlineStr"/>
      <c r="J172" t="inlineStr"/>
      <c r="K172" t="inlineStr">
        <is>
          <t>Finished, no page: no address from the university's address forms or stored lis</t>
        </is>
      </c>
      <c r="L172" t="inlineStr">
        <is>
          <t>Filled</t>
        </is>
      </c>
      <c r="M172" t="inlineStr">
        <is>
          <t>Page found, being read</t>
        </is>
      </c>
      <c r="N172" t="inlineStr"/>
      <c r="O172" t="n">
        <v>0</v>
      </c>
      <c r="P172" t="inlineStr"/>
      <c r="Q172" t="inlineStr">
        <is>
          <t>Page found, being read</t>
        </is>
      </c>
      <c r="S172" t="inlineStr"/>
      <c r="T172" t="inlineStr">
        <is>
          <t>Level map (Melbourne): not computed per course in this report</t>
        </is>
      </c>
      <c r="U172" t="inlineStr"/>
      <c r="V172" t="inlineStr">
        <is>
          <t>Page found, being read</t>
        </is>
      </c>
      <c r="W172" t="inlineStr"/>
      <c r="X172" t="inlineStr"/>
      <c r="Y172" t="n">
        <v>0</v>
      </c>
      <c r="Z172" t="inlineStr">
        <is>
          <t>No</t>
        </is>
      </c>
      <c r="AA172" t="inlineStr">
        <is>
          <t>Filled</t>
        </is>
      </c>
      <c r="AB172" t="inlineStr">
        <is>
          <t>on campus</t>
        </is>
      </c>
      <c r="AC172" t="inlineStr"/>
      <c r="AD172" t="n">
        <v>0</v>
      </c>
      <c r="AE172" t="inlineStr"/>
      <c r="AF172" t="inlineStr"/>
      <c r="AG172" t="inlineStr"/>
      <c r="AH172" t="inlineStr"/>
      <c r="AI172" t="inlineStr">
        <is>
          <t>Yes</t>
        </is>
      </c>
      <c r="AJ172" t="inlineStr"/>
      <c r="AK172" t="inlineStr"/>
      <c r="AL172" t="inlineStr"/>
      <c r="AM172" t="inlineStr"/>
    </row>
    <row r="173">
      <c r="A173" t="inlineStr">
        <is>
          <t>061122G</t>
        </is>
      </c>
      <c r="B173" t="inlineStr">
        <is>
          <t>Graduate Diploma in Urban Horticulture</t>
        </is>
      </c>
      <c r="C173" t="inlineStr">
        <is>
          <t>Graduate Diploma</t>
        </is>
      </c>
      <c r="D173" t="inlineStr">
        <is>
          <t>Postgraduate coursework</t>
        </is>
      </c>
      <c r="E173" t="inlineStr">
        <is>
          <t>Advertised: official page in place</t>
        </is>
      </c>
      <c r="F173" t="inlineStr">
        <is>
          <t>https://study.unimelb.edu.au/find/courses/graduate/graduate-diploma-in-urban-horticulture/</t>
        </is>
      </c>
      <c r="G173" t="inlineStr">
        <is>
          <t>https://study.unimelb.edu.au/find/courses/graduate/graduate-diploma-in-urban-horticulture/</t>
        </is>
      </c>
      <c r="H173" t="inlineStr">
        <is>
          <t>Read</t>
        </is>
      </c>
      <c r="I173" t="inlineStr">
        <is>
          <t>CRICOS code on page</t>
        </is>
      </c>
      <c r="J173" t="inlineStr"/>
      <c r="K173" t="inlineStr">
        <is>
          <t>Not sent to re-link</t>
        </is>
      </c>
      <c r="L173" t="inlineStr">
        <is>
          <t>Filled</t>
        </is>
      </c>
      <c r="M173" t="inlineStr">
        <is>
          <t>Filled</t>
        </is>
      </c>
      <c r="N173" t="inlineStr">
        <is>
          <t>62496.00 2027</t>
        </is>
      </c>
      <c r="O173" t="n">
        <v>3</v>
      </c>
      <c r="P173" t="inlineStr">
        <is>
          <t>Other</t>
        </is>
      </c>
      <c r="Q173" t="inlineStr">
        <is>
          <t>Filled</t>
        </is>
      </c>
      <c r="R173" t="n">
        <v>6.5</v>
      </c>
      <c r="S173" t="inlineStr">
        <is>
          <t>University adapter</t>
        </is>
      </c>
      <c r="T173" t="inlineStr">
        <is>
          <t>Level map (Melbourne): not computed per course in this report</t>
        </is>
      </c>
      <c r="U173" t="inlineStr"/>
      <c r="V173" t="inlineStr">
        <is>
          <t>Filled</t>
        </is>
      </c>
      <c r="W173" t="inlineStr">
        <is>
          <t>March, July</t>
        </is>
      </c>
      <c r="X173" t="inlineStr">
        <is>
          <t>Other</t>
        </is>
      </c>
      <c r="Y173" t="n">
        <v>0</v>
      </c>
      <c r="Z173" t="inlineStr">
        <is>
          <t>No</t>
        </is>
      </c>
      <c r="AA173" t="inlineStr">
        <is>
          <t>Filled</t>
        </is>
      </c>
      <c r="AB173" t="inlineStr">
        <is>
          <t>on campus</t>
        </is>
      </c>
      <c r="AC173" t="inlineStr"/>
      <c r="AD173" t="n">
        <v>0</v>
      </c>
      <c r="AE173" t="inlineStr"/>
      <c r="AF173" t="inlineStr"/>
      <c r="AG173" t="inlineStr"/>
      <c r="AH173" t="inlineStr"/>
      <c r="AI173" t="inlineStr"/>
      <c r="AJ173" t="inlineStr"/>
      <c r="AK173" t="inlineStr"/>
      <c r="AL173" t="inlineStr"/>
      <c r="AM173" t="inlineStr"/>
    </row>
    <row r="174">
      <c r="A174" t="inlineStr">
        <is>
          <t>049410M</t>
        </is>
      </c>
      <c r="B174" t="inlineStr">
        <is>
          <t>Graduate Diploma in Urban Planning</t>
        </is>
      </c>
      <c r="C174" t="inlineStr">
        <is>
          <t>Graduate Diploma</t>
        </is>
      </c>
      <c r="D174" t="inlineStr">
        <is>
          <t>Postgraduate coursework</t>
        </is>
      </c>
      <c r="E174" t="inlineStr">
        <is>
          <t>Advertised: official page in place</t>
        </is>
      </c>
      <c r="F174" t="inlineStr">
        <is>
          <t>https://handbook.unimelb.edu.au/2026/courses/mc-urpl</t>
        </is>
      </c>
      <c r="G174" t="inlineStr">
        <is>
          <t>https://handbook.unimelb.edu.au/2026/courses/gd-anamgt</t>
        </is>
      </c>
      <c r="H174" t="inlineStr">
        <is>
          <t>Page is for another course</t>
        </is>
      </c>
      <c r="I174" t="inlineStr"/>
      <c r="J174" t="inlineStr"/>
      <c r="K174" t="inlineStr">
        <is>
          <t>Finished, no page: no address from the university's address forms or stored lis</t>
        </is>
      </c>
      <c r="L174" t="inlineStr">
        <is>
          <t>Filled</t>
        </is>
      </c>
      <c r="M174" t="inlineStr">
        <is>
          <t>Filled</t>
        </is>
      </c>
      <c r="N174" t="inlineStr">
        <is>
          <t>59840.00 2027</t>
        </is>
      </c>
      <c r="O174" t="n">
        <v>3</v>
      </c>
      <c r="P174" t="inlineStr">
        <is>
          <t>Other</t>
        </is>
      </c>
      <c r="Q174" t="inlineStr">
        <is>
          <t>Page found, being read</t>
        </is>
      </c>
      <c r="S174" t="inlineStr"/>
      <c r="T174" t="inlineStr">
        <is>
          <t>Level map (Melbourne): not computed per course in this report</t>
        </is>
      </c>
      <c r="U174" t="inlineStr"/>
      <c r="V174" t="inlineStr">
        <is>
          <t>Page found, being read</t>
        </is>
      </c>
      <c r="W174" t="inlineStr"/>
      <c r="X174" t="inlineStr"/>
      <c r="Y174" t="n">
        <v>0</v>
      </c>
      <c r="Z174" t="inlineStr">
        <is>
          <t>No</t>
        </is>
      </c>
      <c r="AA174" t="inlineStr">
        <is>
          <t>Filled</t>
        </is>
      </c>
      <c r="AB174" t="inlineStr">
        <is>
          <t>on campus</t>
        </is>
      </c>
      <c r="AC174" t="inlineStr"/>
      <c r="AD174" t="n">
        <v>0</v>
      </c>
      <c r="AE174" t="inlineStr"/>
      <c r="AF174" t="inlineStr"/>
      <c r="AG174" t="inlineStr"/>
      <c r="AH174" t="inlineStr"/>
      <c r="AI174" t="inlineStr">
        <is>
          <t>Yes</t>
        </is>
      </c>
      <c r="AJ174" t="inlineStr"/>
      <c r="AK174" t="inlineStr"/>
      <c r="AL174" t="inlineStr"/>
      <c r="AM174" t="inlineStr"/>
    </row>
    <row r="175">
      <c r="A175" t="inlineStr">
        <is>
          <t>088481F</t>
        </is>
      </c>
      <c r="B175" t="inlineStr">
        <is>
          <t>Graduate Diploma in Veterinary Professional Leadership and Management</t>
        </is>
      </c>
      <c r="C175" t="inlineStr">
        <is>
          <t>Graduate Diploma</t>
        </is>
      </c>
      <c r="D175" t="inlineStr">
        <is>
          <t>Postgraduate coursework</t>
        </is>
      </c>
      <c r="E175" t="inlineStr">
        <is>
          <t>Advertised: official page in place</t>
        </is>
      </c>
      <c r="F175" t="inlineStr">
        <is>
          <t>https://handbook.unimelb.edu.au/2026/courses/gd-vplmgt</t>
        </is>
      </c>
      <c r="G175" t="inlineStr">
        <is>
          <t>https://handbook.unimelb.edu.au/2026/courses/gd-vplmgt</t>
        </is>
      </c>
      <c r="H175" t="inlineStr">
        <is>
          <t>Read</t>
        </is>
      </c>
      <c r="I175" t="inlineStr">
        <is>
          <t>CRICOS code on page</t>
        </is>
      </c>
      <c r="J175" t="inlineStr"/>
      <c r="K175" t="inlineStr">
        <is>
          <t>Not sent to re-link</t>
        </is>
      </c>
      <c r="L175" t="inlineStr">
        <is>
          <t>Filled</t>
        </is>
      </c>
      <c r="M175" t="inlineStr">
        <is>
          <t>Filled</t>
        </is>
      </c>
      <c r="N175" t="inlineStr">
        <is>
          <t>64640.00 2027</t>
        </is>
      </c>
      <c r="O175" t="n">
        <v>3</v>
      </c>
      <c r="P175" t="inlineStr">
        <is>
          <t>Other</t>
        </is>
      </c>
      <c r="Q175" t="inlineStr">
        <is>
          <t>Filled</t>
        </is>
      </c>
      <c r="R175" t="n">
        <v>7</v>
      </c>
      <c r="S175" t="inlineStr">
        <is>
          <t>Central English policy</t>
        </is>
      </c>
      <c r="T175" t="inlineStr">
        <is>
          <t>Level map (Melbourne): not computed per course in this report</t>
        </is>
      </c>
      <c r="U175" t="inlineStr"/>
      <c r="V175" t="inlineStr">
        <is>
          <t>Not stated on course page</t>
        </is>
      </c>
      <c r="W175" t="inlineStr"/>
      <c r="X175" t="inlineStr"/>
      <c r="Y175" t="n">
        <v>0</v>
      </c>
      <c r="Z175" t="inlineStr">
        <is>
          <t>No</t>
        </is>
      </c>
      <c r="AA175" t="inlineStr">
        <is>
          <t>Filled</t>
        </is>
      </c>
      <c r="AB175" t="inlineStr">
        <is>
          <t>on campus</t>
        </is>
      </c>
      <c r="AC175" t="inlineStr"/>
      <c r="AD175" t="n">
        <v>0</v>
      </c>
      <c r="AE175" t="inlineStr"/>
      <c r="AF175" t="inlineStr"/>
      <c r="AG175" t="inlineStr"/>
      <c r="AH175" t="inlineStr"/>
      <c r="AI175" t="inlineStr">
        <is>
          <t>Yes</t>
        </is>
      </c>
      <c r="AJ175" t="inlineStr"/>
      <c r="AK175" t="inlineStr"/>
      <c r="AL175" t="inlineStr"/>
      <c r="AM175" t="inlineStr"/>
    </row>
    <row r="176">
      <c r="A176" t="inlineStr">
        <is>
          <t>073303C</t>
        </is>
      </c>
      <c r="B176" t="inlineStr">
        <is>
          <t>Juris Doctor</t>
        </is>
      </c>
      <c r="C176" t="inlineStr">
        <is>
          <t>Masters Degree (Coursework)</t>
        </is>
      </c>
      <c r="D176" t="inlineStr">
        <is>
          <t>Postgraduate coursework</t>
        </is>
      </c>
      <c r="E176" t="inlineStr">
        <is>
          <t>Advertised: official page in place</t>
        </is>
      </c>
      <c r="F176" t="inlineStr">
        <is>
          <t>https://study.unimelb.edu.au/find/courses/graduate/juris-doctor/</t>
        </is>
      </c>
      <c r="G176" t="inlineStr">
        <is>
          <t>https://study.unimelb.edu.au/find/courses/graduate/juris-doctor/</t>
        </is>
      </c>
      <c r="H176" t="inlineStr">
        <is>
          <t>Read</t>
        </is>
      </c>
      <c r="I176" t="inlineStr">
        <is>
          <t>CRICOS code on page</t>
        </is>
      </c>
      <c r="J176" t="inlineStr"/>
      <c r="K176" t="inlineStr">
        <is>
          <t>Not sent to re-link</t>
        </is>
      </c>
      <c r="L176" t="inlineStr">
        <is>
          <t>Filled</t>
        </is>
      </c>
      <c r="M176" t="inlineStr">
        <is>
          <t>Filled</t>
        </is>
      </c>
      <c r="N176" t="inlineStr">
        <is>
          <t>63776.00 2027</t>
        </is>
      </c>
      <c r="O176" t="n">
        <v>2</v>
      </c>
      <c r="P176" t="inlineStr">
        <is>
          <t>Other</t>
        </is>
      </c>
      <c r="Q176" t="inlineStr">
        <is>
          <t>Filled</t>
        </is>
      </c>
      <c r="R176" t="n">
        <v>7.5</v>
      </c>
      <c r="S176" t="inlineStr">
        <is>
          <t>University adapter</t>
        </is>
      </c>
      <c r="T176" t="inlineStr">
        <is>
          <t>Level map (Melbourne): not computed per course in this report</t>
        </is>
      </c>
      <c r="U176" t="inlineStr"/>
      <c r="V176" t="inlineStr">
        <is>
          <t>Filled</t>
        </is>
      </c>
      <c r="W176" t="inlineStr">
        <is>
          <t>February</t>
        </is>
      </c>
      <c r="X176" t="inlineStr">
        <is>
          <t>University adapter</t>
        </is>
      </c>
      <c r="Y176" t="n">
        <v>0</v>
      </c>
      <c r="Z176" t="inlineStr">
        <is>
          <t>No</t>
        </is>
      </c>
      <c r="AA176" t="inlineStr">
        <is>
          <t>Filled</t>
        </is>
      </c>
      <c r="AB176" t="inlineStr">
        <is>
          <t>on campus</t>
        </is>
      </c>
      <c r="AC176" t="inlineStr"/>
      <c r="AD176" t="n">
        <v>0</v>
      </c>
      <c r="AE176" t="inlineStr"/>
      <c r="AF176" t="inlineStr"/>
      <c r="AG176" t="inlineStr"/>
      <c r="AH176" t="inlineStr"/>
      <c r="AI176" t="inlineStr"/>
      <c r="AJ176" t="inlineStr"/>
      <c r="AK176" t="inlineStr"/>
      <c r="AL176" t="inlineStr"/>
      <c r="AM176" t="inlineStr"/>
    </row>
    <row r="177">
      <c r="A177" t="inlineStr">
        <is>
          <t>0101265</t>
        </is>
      </c>
      <c r="B177" t="inlineStr">
        <is>
          <t>Master of Actuarial Science</t>
        </is>
      </c>
      <c r="C177" t="inlineStr">
        <is>
          <t>Masters Degree (Coursework)</t>
        </is>
      </c>
      <c r="D177" t="inlineStr">
        <is>
          <t>Postgraduate coursework</t>
        </is>
      </c>
      <c r="E177" t="inlineStr">
        <is>
          <t>Advertised: official page in place</t>
        </is>
      </c>
      <c r="F177" t="inlineStr">
        <is>
          <t>https://study.unimelb.edu.au/find/courses/graduate/master-of-actuarial-science/</t>
        </is>
      </c>
      <c r="G177" t="inlineStr">
        <is>
          <t>https://study.unimelb.edu.au/find/courses/graduate/master-of-actuarial-science/</t>
        </is>
      </c>
      <c r="H177" t="inlineStr">
        <is>
          <t>Read</t>
        </is>
      </c>
      <c r="I177" t="inlineStr">
        <is>
          <t>CRICOS code on page</t>
        </is>
      </c>
      <c r="J177" t="inlineStr"/>
      <c r="K177" t="inlineStr">
        <is>
          <t>Not sent to re-link</t>
        </is>
      </c>
      <c r="L177" t="inlineStr">
        <is>
          <t>Filled</t>
        </is>
      </c>
      <c r="M177" t="inlineStr">
        <is>
          <t>Filled</t>
        </is>
      </c>
      <c r="N177" t="inlineStr">
        <is>
          <t>64640.00 2027</t>
        </is>
      </c>
      <c r="O177" t="n">
        <v>3</v>
      </c>
      <c r="P177" t="inlineStr">
        <is>
          <t>Other</t>
        </is>
      </c>
      <c r="Q177" t="inlineStr">
        <is>
          <t>Filled</t>
        </is>
      </c>
      <c r="R177" t="n">
        <v>6.5</v>
      </c>
      <c r="S177" t="inlineStr">
        <is>
          <t>University adapter</t>
        </is>
      </c>
      <c r="T177" t="inlineStr">
        <is>
          <t>Level map (Melbourne): not computed per course in this report</t>
        </is>
      </c>
      <c r="U177" t="inlineStr"/>
      <c r="V177" t="inlineStr">
        <is>
          <t>Filled</t>
        </is>
      </c>
      <c r="W177" t="inlineStr">
        <is>
          <t>March</t>
        </is>
      </c>
      <c r="X177" t="inlineStr">
        <is>
          <t>University adapter</t>
        </is>
      </c>
      <c r="Y177" t="n">
        <v>0</v>
      </c>
      <c r="Z177" t="inlineStr">
        <is>
          <t>No</t>
        </is>
      </c>
      <c r="AA177" t="inlineStr">
        <is>
          <t>Filled</t>
        </is>
      </c>
      <c r="AB177" t="inlineStr">
        <is>
          <t>on campus</t>
        </is>
      </c>
      <c r="AC177" t="inlineStr"/>
      <c r="AD177" t="n">
        <v>0</v>
      </c>
      <c r="AE177" t="inlineStr"/>
      <c r="AF177" t="inlineStr"/>
      <c r="AG177" t="inlineStr"/>
      <c r="AH177" t="inlineStr"/>
      <c r="AI177" t="inlineStr"/>
      <c r="AJ177" t="inlineStr"/>
      <c r="AK177" t="inlineStr"/>
      <c r="AL177" t="inlineStr"/>
      <c r="AM177" t="inlineStr"/>
    </row>
    <row r="178">
      <c r="A178" t="inlineStr">
        <is>
          <t>0100879</t>
        </is>
      </c>
      <c r="B178" t="inlineStr">
        <is>
          <t>Master of Actuarial Science (Enhanced)</t>
        </is>
      </c>
      <c r="C178" t="inlineStr">
        <is>
          <t>Masters Degree (Coursework)</t>
        </is>
      </c>
      <c r="D178" t="inlineStr">
        <is>
          <t>Postgraduate coursework</t>
        </is>
      </c>
      <c r="E178" t="inlineStr">
        <is>
          <t>Advertised: official page in place</t>
        </is>
      </c>
      <c r="F178" t="inlineStr">
        <is>
          <t>https://study.unimelb.edu.au/find/courses/graduate/master-of-actuarial-science-enhanced/</t>
        </is>
      </c>
      <c r="G178" t="inlineStr">
        <is>
          <t>https://study.unimelb.edu.au/find/courses/graduate/master-of-actuarial-science-enhanced/</t>
        </is>
      </c>
      <c r="H178" t="inlineStr">
        <is>
          <t>Read</t>
        </is>
      </c>
      <c r="I178" t="inlineStr">
        <is>
          <t>CRICOS code on page</t>
        </is>
      </c>
      <c r="J178" t="inlineStr"/>
      <c r="K178" t="inlineStr">
        <is>
          <t>Not sent to re-link</t>
        </is>
      </c>
      <c r="L178" t="inlineStr">
        <is>
          <t>Filled</t>
        </is>
      </c>
      <c r="M178" t="inlineStr">
        <is>
          <t>Filled</t>
        </is>
      </c>
      <c r="N178" t="inlineStr">
        <is>
          <t>64640.00 2027</t>
        </is>
      </c>
      <c r="O178" t="n">
        <v>3</v>
      </c>
      <c r="P178" t="inlineStr">
        <is>
          <t>Other</t>
        </is>
      </c>
      <c r="Q178" t="inlineStr">
        <is>
          <t>Filled</t>
        </is>
      </c>
      <c r="R178" t="n">
        <v>6.5</v>
      </c>
      <c r="S178" t="inlineStr">
        <is>
          <t>University adapter</t>
        </is>
      </c>
      <c r="T178" t="inlineStr">
        <is>
          <t>Level map (Melbourne): not computed per course in this report</t>
        </is>
      </c>
      <c r="U178" t="inlineStr"/>
      <c r="V178" t="inlineStr">
        <is>
          <t>Filled</t>
        </is>
      </c>
      <c r="W178" t="inlineStr">
        <is>
          <t>March</t>
        </is>
      </c>
      <c r="X178" t="inlineStr">
        <is>
          <t>Other</t>
        </is>
      </c>
      <c r="Y178" t="n">
        <v>0</v>
      </c>
      <c r="Z178" t="inlineStr">
        <is>
          <t>No</t>
        </is>
      </c>
      <c r="AA178" t="inlineStr">
        <is>
          <t>Filled</t>
        </is>
      </c>
      <c r="AB178" t="inlineStr">
        <is>
          <t>on campus</t>
        </is>
      </c>
      <c r="AC178" t="inlineStr"/>
      <c r="AD178" t="n">
        <v>0</v>
      </c>
      <c r="AE178" t="inlineStr"/>
      <c r="AF178" t="inlineStr"/>
      <c r="AG178" t="inlineStr"/>
      <c r="AH178" t="inlineStr"/>
      <c r="AI178" t="inlineStr"/>
      <c r="AJ178" t="inlineStr"/>
      <c r="AK178" t="inlineStr"/>
      <c r="AL178" t="inlineStr"/>
      <c r="AM178" t="inlineStr"/>
    </row>
    <row r="179">
      <c r="A179" t="inlineStr">
        <is>
          <t>0100880</t>
        </is>
      </c>
      <c r="B179" t="inlineStr">
        <is>
          <t>Master of Actuarial Science (Extended)</t>
        </is>
      </c>
      <c r="C179" t="inlineStr">
        <is>
          <t>Masters Degree (Coursework)</t>
        </is>
      </c>
      <c r="D179" t="inlineStr">
        <is>
          <t>Postgraduate coursework</t>
        </is>
      </c>
      <c r="E179" t="inlineStr">
        <is>
          <t>Advertised: official page in place</t>
        </is>
      </c>
      <c r="F179" t="inlineStr">
        <is>
          <t>https://study.unimelb.edu.au/find/courses/graduate/master-of-actuarial-science-extended/</t>
        </is>
      </c>
      <c r="G179" t="inlineStr">
        <is>
          <t>https://study.unimelb.edu.au/find/courses/graduate/master-of-actuarial-science-extended/</t>
        </is>
      </c>
      <c r="H179" t="inlineStr">
        <is>
          <t>Read</t>
        </is>
      </c>
      <c r="I179" t="inlineStr">
        <is>
          <t>CRICOS code on page</t>
        </is>
      </c>
      <c r="J179" t="inlineStr"/>
      <c r="K179" t="inlineStr">
        <is>
          <t>Not sent to re-link</t>
        </is>
      </c>
      <c r="L179" t="inlineStr">
        <is>
          <t>Filled</t>
        </is>
      </c>
      <c r="M179" t="inlineStr">
        <is>
          <t>Filled</t>
        </is>
      </c>
      <c r="N179" t="inlineStr">
        <is>
          <t>64640.00 2027</t>
        </is>
      </c>
      <c r="O179" t="n">
        <v>3</v>
      </c>
      <c r="P179" t="inlineStr">
        <is>
          <t>Other</t>
        </is>
      </c>
      <c r="Q179" t="inlineStr">
        <is>
          <t>Filled</t>
        </is>
      </c>
      <c r="R179" t="n">
        <v>6.5</v>
      </c>
      <c r="S179" t="inlineStr">
        <is>
          <t>University adapter</t>
        </is>
      </c>
      <c r="T179" t="inlineStr">
        <is>
          <t>Level map (Melbourne): not computed per course in this report</t>
        </is>
      </c>
      <c r="U179" t="inlineStr"/>
      <c r="V179" t="inlineStr">
        <is>
          <t>Filled</t>
        </is>
      </c>
      <c r="W179" t="inlineStr">
        <is>
          <t>March</t>
        </is>
      </c>
      <c r="X179" t="inlineStr">
        <is>
          <t>University adapter</t>
        </is>
      </c>
      <c r="Y179" t="n">
        <v>0</v>
      </c>
      <c r="Z179" t="inlineStr">
        <is>
          <t>No</t>
        </is>
      </c>
      <c r="AA179" t="inlineStr">
        <is>
          <t>Filled</t>
        </is>
      </c>
      <c r="AB179" t="inlineStr">
        <is>
          <t>on campus</t>
        </is>
      </c>
      <c r="AC179" t="inlineStr"/>
      <c r="AD179" t="n">
        <v>0</v>
      </c>
      <c r="AE179" t="inlineStr"/>
      <c r="AF179" t="inlineStr"/>
      <c r="AG179" t="inlineStr"/>
      <c r="AH179" t="inlineStr"/>
      <c r="AI179" t="inlineStr"/>
      <c r="AJ179" t="inlineStr"/>
      <c r="AK179" t="inlineStr"/>
      <c r="AL179" t="inlineStr"/>
      <c r="AM179" t="inlineStr"/>
    </row>
    <row r="180">
      <c r="A180" t="inlineStr">
        <is>
          <t>121407D</t>
        </is>
      </c>
      <c r="B180" t="inlineStr">
        <is>
          <t>Master of Actuarial Science and Risk Analytics</t>
        </is>
      </c>
      <c r="C180" t="inlineStr">
        <is>
          <t>Masters Degree (Coursework)</t>
        </is>
      </c>
      <c r="D180" t="inlineStr">
        <is>
          <t>Postgraduate coursework</t>
        </is>
      </c>
      <c r="E180" t="inlineStr">
        <is>
          <t>Page address no longer works</t>
        </is>
      </c>
      <c r="F180" t="inlineStr"/>
      <c r="G180" t="inlineStr">
        <is>
          <t>https://study.unimelb.edu.au/find/courses/graduate/master-of-actuarial-science/</t>
        </is>
      </c>
      <c r="H180" t="inlineStr">
        <is>
          <t>Blocked by the site</t>
        </is>
      </c>
      <c r="I180" t="inlineStr"/>
      <c r="J180" t="inlineStr"/>
      <c r="K180" t="inlineStr">
        <is>
          <t>Finished, no page: no address from the university's address forms or stored lis</t>
        </is>
      </c>
      <c r="L180" t="inlineStr">
        <is>
          <t>Blocked: needs a person</t>
        </is>
      </c>
      <c r="M180" t="inlineStr">
        <is>
          <t>Blocked: needs a person</t>
        </is>
      </c>
      <c r="N180" t="inlineStr"/>
      <c r="O180" t="n">
        <v>0</v>
      </c>
      <c r="P180" t="inlineStr"/>
      <c r="Q180" t="inlineStr">
        <is>
          <t>Blocked: needs a person</t>
        </is>
      </c>
      <c r="S180" t="inlineStr"/>
      <c r="T180" t="inlineStr">
        <is>
          <t>Level map (Melbourne): not computed per course in this report</t>
        </is>
      </c>
      <c r="U180" t="inlineStr"/>
      <c r="V180" t="inlineStr">
        <is>
          <t>Blocked: needs a person</t>
        </is>
      </c>
      <c r="W180" t="inlineStr"/>
      <c r="X180" t="inlineStr"/>
      <c r="Y180" t="n">
        <v>0</v>
      </c>
      <c r="Z180" t="inlineStr">
        <is>
          <t>No</t>
        </is>
      </c>
      <c r="AA180" t="inlineStr">
        <is>
          <t>Not stated on course page</t>
        </is>
      </c>
      <c r="AB180" t="inlineStr"/>
      <c r="AC180" t="inlineStr">
        <is>
          <t>Skipped: no allowed source had a value</t>
        </is>
      </c>
      <c r="AD180" t="n">
        <v>1</v>
      </c>
      <c r="AE180" t="inlineStr"/>
      <c r="AF180" t="inlineStr"/>
      <c r="AG180" t="inlineStr"/>
      <c r="AH180" t="inlineStr"/>
      <c r="AI180" t="inlineStr"/>
      <c r="AJ180" t="inlineStr"/>
      <c r="AK180" t="inlineStr"/>
      <c r="AL180" t="inlineStr"/>
      <c r="AM180" t="inlineStr"/>
    </row>
    <row r="181">
      <c r="A181" t="inlineStr">
        <is>
          <t>085339C</t>
        </is>
      </c>
      <c r="B181" t="inlineStr">
        <is>
          <t>Master of Advanced Nursing</t>
        </is>
      </c>
      <c r="C181" t="inlineStr">
        <is>
          <t>Masters Degree (Coursework)</t>
        </is>
      </c>
      <c r="D181" t="inlineStr">
        <is>
          <t>Postgraduate coursework</t>
        </is>
      </c>
      <c r="E181" t="inlineStr">
        <is>
          <t>Advertised: official page in place</t>
        </is>
      </c>
      <c r="F181" t="inlineStr">
        <is>
          <t>https://handbook.unimelb.edu.au/2026/courses/mc-an</t>
        </is>
      </c>
      <c r="G181" t="inlineStr">
        <is>
          <t>https://handbook.unimelb.edu.au/2026/courses/mc-an</t>
        </is>
      </c>
      <c r="H181" t="inlineStr">
        <is>
          <t>Read</t>
        </is>
      </c>
      <c r="I181" t="inlineStr">
        <is>
          <t>CRICOS code on page</t>
        </is>
      </c>
      <c r="J181" t="inlineStr"/>
      <c r="K181" t="inlineStr">
        <is>
          <t>Not sent to re-link</t>
        </is>
      </c>
      <c r="L181" t="inlineStr">
        <is>
          <t>Filled</t>
        </is>
      </c>
      <c r="M181" t="inlineStr">
        <is>
          <t>Filled</t>
        </is>
      </c>
      <c r="N181" t="inlineStr">
        <is>
          <t>46624.00 2027</t>
        </is>
      </c>
      <c r="O181" t="n">
        <v>3</v>
      </c>
      <c r="P181" t="inlineStr">
        <is>
          <t>Other</t>
        </is>
      </c>
      <c r="Q181" t="inlineStr">
        <is>
          <t>Filled</t>
        </is>
      </c>
      <c r="R181" t="n">
        <v>6.5</v>
      </c>
      <c r="S181" t="inlineStr">
        <is>
          <t>Central English policy</t>
        </is>
      </c>
      <c r="T181" t="inlineStr">
        <is>
          <t>Level map (Melbourne): not computed per course in this report</t>
        </is>
      </c>
      <c r="U181" t="inlineStr"/>
      <c r="V181" t="inlineStr">
        <is>
          <t>Not stated on course page</t>
        </is>
      </c>
      <c r="W181" t="inlineStr"/>
      <c r="X181" t="inlineStr"/>
      <c r="Y181" t="n">
        <v>0</v>
      </c>
      <c r="Z181" t="inlineStr">
        <is>
          <t>No</t>
        </is>
      </c>
      <c r="AA181" t="inlineStr">
        <is>
          <t>Filled</t>
        </is>
      </c>
      <c r="AB181" t="inlineStr">
        <is>
          <t>on campus</t>
        </is>
      </c>
      <c r="AC181" t="inlineStr"/>
      <c r="AD181" t="n">
        <v>0</v>
      </c>
      <c r="AE181" t="inlineStr"/>
      <c r="AF181" t="inlineStr"/>
      <c r="AG181" t="inlineStr"/>
      <c r="AH181" t="inlineStr"/>
      <c r="AI181" t="inlineStr">
        <is>
          <t>Yes</t>
        </is>
      </c>
      <c r="AJ181" t="inlineStr"/>
      <c r="AK181" t="inlineStr"/>
      <c r="AL181" t="inlineStr"/>
      <c r="AM181" t="inlineStr"/>
    </row>
    <row r="182">
      <c r="A182" t="inlineStr">
        <is>
          <t>114963A</t>
        </is>
      </c>
      <c r="B182" t="inlineStr">
        <is>
          <t>Master of Advanced Nursing Practice/Master of Public Health</t>
        </is>
      </c>
      <c r="C182" t="inlineStr">
        <is>
          <t>Masters Degree (Coursework)</t>
        </is>
      </c>
      <c r="D182" t="inlineStr">
        <is>
          <t>Postgraduate coursework</t>
        </is>
      </c>
      <c r="E182" t="inlineStr">
        <is>
          <t>Advertised: official page in place</t>
        </is>
      </c>
      <c r="F182" t="inlineStr">
        <is>
          <t>https://handbook.unimelb.edu.au/2026/courses/mc-advnpph</t>
        </is>
      </c>
      <c r="G182" t="inlineStr">
        <is>
          <t>https://handbook.unimelb.edu.au/2026/courses/mc-advnpph</t>
        </is>
      </c>
      <c r="H182" t="inlineStr">
        <is>
          <t>Read</t>
        </is>
      </c>
      <c r="I182" t="inlineStr">
        <is>
          <t>CRICOS code on page</t>
        </is>
      </c>
      <c r="J182" t="inlineStr"/>
      <c r="K182" t="inlineStr">
        <is>
          <t>Not sent to re-link</t>
        </is>
      </c>
      <c r="L182" t="inlineStr">
        <is>
          <t>Filled</t>
        </is>
      </c>
      <c r="M182" t="inlineStr">
        <is>
          <t>Filled</t>
        </is>
      </c>
      <c r="N182" t="inlineStr">
        <is>
          <t>37440.00 2027</t>
        </is>
      </c>
      <c r="O182" t="n">
        <v>3</v>
      </c>
      <c r="P182" t="inlineStr">
        <is>
          <t>Other</t>
        </is>
      </c>
      <c r="Q182" t="inlineStr">
        <is>
          <t>Filled</t>
        </is>
      </c>
      <c r="R182" t="n">
        <v>6.5</v>
      </c>
      <c r="S182" t="inlineStr">
        <is>
          <t>Central English policy</t>
        </is>
      </c>
      <c r="T182" t="inlineStr">
        <is>
          <t>Level map (Melbourne): not computed per course in this report</t>
        </is>
      </c>
      <c r="U182" t="inlineStr"/>
      <c r="V182" t="inlineStr">
        <is>
          <t>Not stated on course page</t>
        </is>
      </c>
      <c r="W182" t="inlineStr"/>
      <c r="X182" t="inlineStr"/>
      <c r="Y182" t="n">
        <v>0</v>
      </c>
      <c r="Z182" t="inlineStr">
        <is>
          <t>No</t>
        </is>
      </c>
      <c r="AA182" t="inlineStr">
        <is>
          <t>Filled</t>
        </is>
      </c>
      <c r="AB182" t="inlineStr">
        <is>
          <t>blended</t>
        </is>
      </c>
      <c r="AC182" t="inlineStr"/>
      <c r="AD182" t="n">
        <v>0</v>
      </c>
      <c r="AE182" t="inlineStr"/>
      <c r="AF182" t="inlineStr"/>
      <c r="AG182" t="inlineStr"/>
      <c r="AH182" t="inlineStr"/>
      <c r="AI182" t="inlineStr">
        <is>
          <t>Yes</t>
        </is>
      </c>
      <c r="AJ182" t="inlineStr"/>
      <c r="AK182" t="inlineStr"/>
      <c r="AL182" t="inlineStr"/>
      <c r="AM182" t="inlineStr"/>
    </row>
    <row r="183">
      <c r="A183" t="inlineStr">
        <is>
          <t>064990E</t>
        </is>
      </c>
      <c r="B183" t="inlineStr">
        <is>
          <t>Master of Advanced Social Work (Research)</t>
        </is>
      </c>
      <c r="C183" t="inlineStr">
        <is>
          <t>Masters Degree (Research)</t>
        </is>
      </c>
      <c r="D183" t="inlineStr">
        <is>
          <t>Research degree</t>
        </is>
      </c>
      <c r="E183" t="inlineStr">
        <is>
          <t>Advertised: official page in place</t>
        </is>
      </c>
      <c r="F183" t="inlineStr">
        <is>
          <t>https://handbook.unimelb.edu.au/2026/courses/j17re</t>
        </is>
      </c>
      <c r="G183" t="inlineStr">
        <is>
          <t>https://handbook.unimelb.edu.au/2026/courses/j17re</t>
        </is>
      </c>
      <c r="H183" t="inlineStr">
        <is>
          <t>Read</t>
        </is>
      </c>
      <c r="I183" t="inlineStr">
        <is>
          <t>CRICOS code on page</t>
        </is>
      </c>
      <c r="J183" t="inlineStr"/>
      <c r="K183" t="inlineStr">
        <is>
          <t>Not sent to re-link</t>
        </is>
      </c>
      <c r="L183" t="inlineStr">
        <is>
          <t>Filled</t>
        </is>
      </c>
      <c r="M183" t="inlineStr">
        <is>
          <t>Filled</t>
        </is>
      </c>
      <c r="N183" t="inlineStr">
        <is>
          <t>64640.00 2027</t>
        </is>
      </c>
      <c r="O183" t="n">
        <v>3</v>
      </c>
      <c r="P183" t="inlineStr">
        <is>
          <t>Other</t>
        </is>
      </c>
      <c r="Q183" t="inlineStr">
        <is>
          <t>Not stated on course page</t>
        </is>
      </c>
      <c r="S183" t="inlineStr"/>
      <c r="T183" t="inlineStr">
        <is>
          <t>Level map (Melbourne): not computed per course in this report</t>
        </is>
      </c>
      <c r="U183" t="inlineStr"/>
      <c r="V183" t="inlineStr">
        <is>
          <t>Filled</t>
        </is>
      </c>
      <c r="W183" t="inlineStr">
        <is>
          <t>February, March, October, November</t>
        </is>
      </c>
      <c r="X183" t="inlineStr">
        <is>
          <t>Page reader</t>
        </is>
      </c>
      <c r="Y183" t="n">
        <v>0</v>
      </c>
      <c r="Z183" t="inlineStr">
        <is>
          <t>No</t>
        </is>
      </c>
      <c r="AA183" t="inlineStr">
        <is>
          <t>Filled</t>
        </is>
      </c>
      <c r="AB183" t="inlineStr">
        <is>
          <t>on campus</t>
        </is>
      </c>
      <c r="AC183" t="inlineStr"/>
      <c r="AD183" t="n">
        <v>0</v>
      </c>
      <c r="AE183" t="inlineStr"/>
      <c r="AF183" t="inlineStr"/>
      <c r="AG183" t="inlineStr"/>
      <c r="AH183" t="inlineStr"/>
      <c r="AI183" t="inlineStr"/>
      <c r="AJ183" t="inlineStr"/>
      <c r="AK183" t="inlineStr"/>
      <c r="AL183" t="inlineStr"/>
      <c r="AM183" t="inlineStr"/>
    </row>
    <row r="184">
      <c r="A184" t="inlineStr">
        <is>
          <t>056410G</t>
        </is>
      </c>
      <c r="B184" t="inlineStr">
        <is>
          <t>Master of Agribusiness</t>
        </is>
      </c>
      <c r="C184" t="inlineStr">
        <is>
          <t>Masters Degree (Coursework)</t>
        </is>
      </c>
      <c r="D184" t="inlineStr">
        <is>
          <t>Postgraduate coursework</t>
        </is>
      </c>
      <c r="E184" t="inlineStr">
        <is>
          <t>Advertised: official page in place</t>
        </is>
      </c>
      <c r="F184" t="inlineStr">
        <is>
          <t>https://handbook.unimelb.edu.au/2018/courses/704cc</t>
        </is>
      </c>
      <c r="G184" t="inlineStr">
        <is>
          <t>https://handbook.unimelb.edu.au/2026/courses/704cc</t>
        </is>
      </c>
      <c r="H184" t="inlineStr">
        <is>
          <t>Needs a rendered read</t>
        </is>
      </c>
      <c r="I184" t="inlineStr"/>
      <c r="J184" t="inlineStr"/>
      <c r="K184" t="inlineStr">
        <is>
          <t>Finished, no page: no address from the university's address forms or stored lis</t>
        </is>
      </c>
      <c r="L184" t="inlineStr">
        <is>
          <t>Filled</t>
        </is>
      </c>
      <c r="M184" t="inlineStr">
        <is>
          <t>Not stated on course page</t>
        </is>
      </c>
      <c r="N184" t="inlineStr"/>
      <c r="O184" t="n">
        <v>0</v>
      </c>
      <c r="P184" t="inlineStr"/>
      <c r="Q184" t="inlineStr">
        <is>
          <t>Not stated on course page</t>
        </is>
      </c>
      <c r="S184" t="inlineStr"/>
      <c r="T184" t="inlineStr">
        <is>
          <t>Level map (Melbourne): not computed per course in this report</t>
        </is>
      </c>
      <c r="U184" t="inlineStr"/>
      <c r="V184" t="inlineStr">
        <is>
          <t>Not stated on course page</t>
        </is>
      </c>
      <c r="W184" t="inlineStr"/>
      <c r="X184" t="inlineStr"/>
      <c r="Y184" t="n">
        <v>0</v>
      </c>
      <c r="Z184" t="inlineStr">
        <is>
          <t>No</t>
        </is>
      </c>
      <c r="AA184" t="inlineStr">
        <is>
          <t>Filled</t>
        </is>
      </c>
      <c r="AB184" t="inlineStr">
        <is>
          <t>on campus</t>
        </is>
      </c>
      <c r="AC184" t="inlineStr"/>
      <c r="AD184" t="n">
        <v>0</v>
      </c>
      <c r="AE184" t="inlineStr">
        <is>
          <t>Yes</t>
        </is>
      </c>
      <c r="AF184" t="inlineStr"/>
      <c r="AG184" t="inlineStr"/>
      <c r="AH184" t="inlineStr"/>
      <c r="AI184" t="inlineStr">
        <is>
          <t>Yes</t>
        </is>
      </c>
      <c r="AJ184" t="inlineStr"/>
      <c r="AK184" t="inlineStr"/>
      <c r="AL184" t="inlineStr"/>
      <c r="AM184" t="inlineStr"/>
    </row>
    <row r="185">
      <c r="A185" t="inlineStr">
        <is>
          <t>085097E</t>
        </is>
      </c>
      <c r="B185" t="inlineStr">
        <is>
          <t>Master of Agricultural Sciences</t>
        </is>
      </c>
      <c r="C185" t="inlineStr">
        <is>
          <t>Masters Degree (Coursework)</t>
        </is>
      </c>
      <c r="D185" t="inlineStr">
        <is>
          <t>Postgraduate coursework</t>
        </is>
      </c>
      <c r="E185" t="inlineStr">
        <is>
          <t>Advertised: official page in place</t>
        </is>
      </c>
      <c r="F185" t="inlineStr">
        <is>
          <t>https://study.unimelb.edu.au/find/courses/graduate/master-of-agricultural-sciences/</t>
        </is>
      </c>
      <c r="G185" t="inlineStr">
        <is>
          <t>https://study.unimelb.edu.au/find/courses/graduate/master-of-agricultural-sciences/</t>
        </is>
      </c>
      <c r="H185" t="inlineStr">
        <is>
          <t>Read</t>
        </is>
      </c>
      <c r="I185" t="inlineStr">
        <is>
          <t>CRICOS code on page</t>
        </is>
      </c>
      <c r="J185" t="inlineStr"/>
      <c r="K185" t="inlineStr">
        <is>
          <t>Not sent to re-link</t>
        </is>
      </c>
      <c r="L185" t="inlineStr">
        <is>
          <t>Filled</t>
        </is>
      </c>
      <c r="M185" t="inlineStr">
        <is>
          <t>Filled</t>
        </is>
      </c>
      <c r="N185" t="inlineStr">
        <is>
          <t>59424.00 2027</t>
        </is>
      </c>
      <c r="O185" t="n">
        <v>3</v>
      </c>
      <c r="P185" t="inlineStr">
        <is>
          <t>Other</t>
        </is>
      </c>
      <c r="Q185" t="inlineStr">
        <is>
          <t>Filled</t>
        </is>
      </c>
      <c r="R185" t="n">
        <v>6.5</v>
      </c>
      <c r="S185" t="inlineStr">
        <is>
          <t>University adapter</t>
        </is>
      </c>
      <c r="T185" t="inlineStr">
        <is>
          <t>Level map (Melbourne): not computed per course in this report</t>
        </is>
      </c>
      <c r="U185" t="inlineStr"/>
      <c r="V185" t="inlineStr">
        <is>
          <t>Filled</t>
        </is>
      </c>
      <c r="W185" t="inlineStr">
        <is>
          <t>March, July</t>
        </is>
      </c>
      <c r="X185" t="inlineStr">
        <is>
          <t>University adapter</t>
        </is>
      </c>
      <c r="Y185" t="n">
        <v>0</v>
      </c>
      <c r="Z185" t="inlineStr">
        <is>
          <t>No</t>
        </is>
      </c>
      <c r="AA185" t="inlineStr">
        <is>
          <t>Filled</t>
        </is>
      </c>
      <c r="AB185" t="inlineStr">
        <is>
          <t>on campus</t>
        </is>
      </c>
      <c r="AC185" t="inlineStr"/>
      <c r="AD185" t="n">
        <v>0</v>
      </c>
      <c r="AE185" t="inlineStr"/>
      <c r="AF185" t="inlineStr"/>
      <c r="AG185" t="inlineStr"/>
      <c r="AH185" t="inlineStr"/>
      <c r="AI185" t="inlineStr"/>
      <c r="AJ185" t="inlineStr"/>
      <c r="AK185" t="inlineStr"/>
      <c r="AL185" t="inlineStr"/>
      <c r="AM185" t="inlineStr"/>
    </row>
    <row r="186">
      <c r="A186" t="inlineStr">
        <is>
          <t>121270E</t>
        </is>
      </c>
      <c r="B186" t="inlineStr">
        <is>
          <t>Master of Agricultural Sciences</t>
        </is>
      </c>
      <c r="C186" t="inlineStr">
        <is>
          <t>Masters Degree (Coursework)</t>
        </is>
      </c>
      <c r="D186" t="inlineStr">
        <is>
          <t>Postgraduate coursework</t>
        </is>
      </c>
      <c r="E186" t="inlineStr">
        <is>
          <t>Advertised: official page in place</t>
        </is>
      </c>
      <c r="F186" t="inlineStr">
        <is>
          <t>https://study.unimelb.edu.au/find/courses/graduate/master-of-agricultural-sciences/</t>
        </is>
      </c>
      <c r="G186" t="inlineStr">
        <is>
          <t>https://study.unimelb.edu.au/find/courses/graduate/master-of-agricultural-sciences/</t>
        </is>
      </c>
      <c r="H186" t="inlineStr">
        <is>
          <t>Read</t>
        </is>
      </c>
      <c r="I186" t="inlineStr">
        <is>
          <t>Exact title match</t>
        </is>
      </c>
      <c r="J186" t="inlineStr"/>
      <c r="K186" t="inlineStr">
        <is>
          <t>Not sent to re-link</t>
        </is>
      </c>
      <c r="L186" t="inlineStr">
        <is>
          <t>Filled</t>
        </is>
      </c>
      <c r="M186" t="inlineStr">
        <is>
          <t>Filled</t>
        </is>
      </c>
      <c r="N186" t="inlineStr">
        <is>
          <t>54976.00 2026</t>
        </is>
      </c>
      <c r="O186" t="n">
        <v>0</v>
      </c>
      <c r="P186" t="inlineStr">
        <is>
          <t>University adapter</t>
        </is>
      </c>
      <c r="Q186" t="inlineStr">
        <is>
          <t>Filled</t>
        </is>
      </c>
      <c r="R186" t="n">
        <v>6.5</v>
      </c>
      <c r="S186" t="inlineStr">
        <is>
          <t>University adapter</t>
        </is>
      </c>
      <c r="T186" t="inlineStr">
        <is>
          <t>Level map (Melbourne): not computed per course in this report</t>
        </is>
      </c>
      <c r="U186" t="inlineStr"/>
      <c r="V186" t="inlineStr">
        <is>
          <t>Filled</t>
        </is>
      </c>
      <c r="W186" t="inlineStr">
        <is>
          <t>March, July</t>
        </is>
      </c>
      <c r="X186" t="inlineStr">
        <is>
          <t>Other</t>
        </is>
      </c>
      <c r="Y186" t="n">
        <v>0</v>
      </c>
      <c r="Z186" t="inlineStr">
        <is>
          <t>No</t>
        </is>
      </c>
      <c r="AA186" t="inlineStr">
        <is>
          <t>Filled</t>
        </is>
      </c>
      <c r="AB186" t="inlineStr">
        <is>
          <t>on campus</t>
        </is>
      </c>
      <c r="AC186" t="inlineStr"/>
      <c r="AD186" t="n">
        <v>0</v>
      </c>
      <c r="AE186" t="inlineStr"/>
      <c r="AF186" t="inlineStr"/>
      <c r="AG186" t="inlineStr"/>
      <c r="AH186" t="inlineStr"/>
      <c r="AI186" t="inlineStr"/>
      <c r="AJ186" t="inlineStr"/>
      <c r="AK186" t="inlineStr"/>
      <c r="AL186" t="inlineStr"/>
      <c r="AM186" t="inlineStr"/>
    </row>
    <row r="187">
      <c r="A187" t="inlineStr">
        <is>
          <t>0100137</t>
        </is>
      </c>
      <c r="B187" t="inlineStr">
        <is>
          <t>Master of Analytics Management</t>
        </is>
      </c>
      <c r="C187" t="inlineStr">
        <is>
          <t>Masters Degree (Coursework)</t>
        </is>
      </c>
      <c r="D187" t="inlineStr">
        <is>
          <t>Postgraduate coursework</t>
        </is>
      </c>
      <c r="E187" t="inlineStr">
        <is>
          <t>Advertised: official page in place</t>
        </is>
      </c>
      <c r="F187" t="inlineStr">
        <is>
          <t>https://handbook.unimelb.edu.au/2026/courses/mc-anamgt</t>
        </is>
      </c>
      <c r="G187" t="inlineStr">
        <is>
          <t>https://handbook.unimelb.edu.au/2026/courses/mc-anamgt</t>
        </is>
      </c>
      <c r="H187" t="inlineStr">
        <is>
          <t>Read</t>
        </is>
      </c>
      <c r="I187" t="inlineStr">
        <is>
          <t>CRICOS code on page</t>
        </is>
      </c>
      <c r="J187" t="inlineStr"/>
      <c r="K187" t="inlineStr">
        <is>
          <t>Not sent to re-link</t>
        </is>
      </c>
      <c r="L187" t="inlineStr">
        <is>
          <t>Filled</t>
        </is>
      </c>
      <c r="M187" t="inlineStr">
        <is>
          <t>Not stated on course page</t>
        </is>
      </c>
      <c r="N187" t="inlineStr"/>
      <c r="O187" t="n">
        <v>0</v>
      </c>
      <c r="P187" t="inlineStr"/>
      <c r="Q187" t="inlineStr">
        <is>
          <t>Not stated on course page</t>
        </is>
      </c>
      <c r="S187" t="inlineStr"/>
      <c r="T187" t="inlineStr">
        <is>
          <t>Level map (Melbourne): not computed per course in this report</t>
        </is>
      </c>
      <c r="U187" t="inlineStr"/>
      <c r="V187" t="inlineStr">
        <is>
          <t>Not stated on course page</t>
        </is>
      </c>
      <c r="W187" t="inlineStr"/>
      <c r="X187" t="inlineStr"/>
      <c r="Y187" t="n">
        <v>0</v>
      </c>
      <c r="Z187" t="inlineStr">
        <is>
          <t>No</t>
        </is>
      </c>
      <c r="AA187" t="inlineStr">
        <is>
          <t>Filled</t>
        </is>
      </c>
      <c r="AB187" t="inlineStr">
        <is>
          <t>on campus</t>
        </is>
      </c>
      <c r="AC187" t="inlineStr"/>
      <c r="AD187" t="n">
        <v>0</v>
      </c>
      <c r="AE187" t="inlineStr"/>
      <c r="AF187" t="inlineStr"/>
      <c r="AG187" t="inlineStr"/>
      <c r="AH187" t="inlineStr"/>
      <c r="AI187" t="inlineStr">
        <is>
          <t>Yes</t>
        </is>
      </c>
      <c r="AJ187" t="inlineStr"/>
      <c r="AK187" t="inlineStr"/>
      <c r="AL187" t="inlineStr"/>
      <c r="AM187" t="inlineStr"/>
    </row>
    <row r="188">
      <c r="A188" t="inlineStr">
        <is>
          <t>092759B</t>
        </is>
      </c>
      <c r="B188" t="inlineStr">
        <is>
          <t>Master of Applied Econometrics</t>
        </is>
      </c>
      <c r="C188" t="inlineStr">
        <is>
          <t>Masters Degree (Coursework)</t>
        </is>
      </c>
      <c r="D188" t="inlineStr">
        <is>
          <t>Postgraduate coursework</t>
        </is>
      </c>
      <c r="E188" t="inlineStr">
        <is>
          <t>Advertised: official page in place</t>
        </is>
      </c>
      <c r="F188" t="inlineStr">
        <is>
          <t>https://study.unimelb.edu.au/find/courses/graduate/master-of-applied-econometrics/</t>
        </is>
      </c>
      <c r="G188" t="inlineStr">
        <is>
          <t>https://study.unimelb.edu.au/find/courses/graduate/master-of-applied-econometrics/</t>
        </is>
      </c>
      <c r="H188" t="inlineStr">
        <is>
          <t>Read</t>
        </is>
      </c>
      <c r="I188" t="inlineStr">
        <is>
          <t>Exact title match</t>
        </is>
      </c>
      <c r="J188" t="inlineStr"/>
      <c r="K188" t="inlineStr">
        <is>
          <t>Not sent to re-link</t>
        </is>
      </c>
      <c r="L188" t="inlineStr">
        <is>
          <t>Filled</t>
        </is>
      </c>
      <c r="M188" t="inlineStr">
        <is>
          <t>Filled</t>
        </is>
      </c>
      <c r="N188" t="inlineStr">
        <is>
          <t>64640.00 2027</t>
        </is>
      </c>
      <c r="O188" t="n">
        <v>3</v>
      </c>
      <c r="P188" t="inlineStr">
        <is>
          <t>Other</t>
        </is>
      </c>
      <c r="Q188" t="inlineStr">
        <is>
          <t>Filled</t>
        </is>
      </c>
      <c r="R188" t="n">
        <v>6.5</v>
      </c>
      <c r="S188" t="inlineStr">
        <is>
          <t>University adapter</t>
        </is>
      </c>
      <c r="T188" t="inlineStr">
        <is>
          <t>Level map (Melbourne): not computed per course in this report</t>
        </is>
      </c>
      <c r="U188" t="inlineStr"/>
      <c r="V188" t="inlineStr">
        <is>
          <t>Filled</t>
        </is>
      </c>
      <c r="W188" t="inlineStr">
        <is>
          <t>March</t>
        </is>
      </c>
      <c r="X188" t="inlineStr">
        <is>
          <t>University adapter</t>
        </is>
      </c>
      <c r="Y188" t="n">
        <v>0</v>
      </c>
      <c r="Z188" t="inlineStr">
        <is>
          <t>No</t>
        </is>
      </c>
      <c r="AA188" t="inlineStr">
        <is>
          <t>Filled</t>
        </is>
      </c>
      <c r="AB188" t="inlineStr">
        <is>
          <t>on campus</t>
        </is>
      </c>
      <c r="AC188" t="inlineStr"/>
      <c r="AD188" t="n">
        <v>0</v>
      </c>
      <c r="AE188" t="inlineStr"/>
      <c r="AF188" t="inlineStr"/>
      <c r="AG188" t="inlineStr"/>
      <c r="AH188" t="inlineStr"/>
      <c r="AI188" t="inlineStr"/>
      <c r="AJ188" t="inlineStr"/>
      <c r="AK188" t="inlineStr"/>
      <c r="AL188" t="inlineStr"/>
      <c r="AM188" t="inlineStr"/>
    </row>
    <row r="189">
      <c r="A189" t="inlineStr">
        <is>
          <t>107111D</t>
        </is>
      </c>
      <c r="B189" t="inlineStr">
        <is>
          <t>Master of Applied Econometrics</t>
        </is>
      </c>
      <c r="C189" t="inlineStr">
        <is>
          <t>Masters Degree (Coursework)</t>
        </is>
      </c>
      <c r="D189" t="inlineStr">
        <is>
          <t>Postgraduate coursework</t>
        </is>
      </c>
      <c r="E189" t="inlineStr">
        <is>
          <t>Advertised: official page in place</t>
        </is>
      </c>
      <c r="F189" t="inlineStr">
        <is>
          <t>https://study.unimelb.edu.au/find/courses/graduate/master-of-applied-econometrics/</t>
        </is>
      </c>
      <c r="G189" t="inlineStr">
        <is>
          <t>https://study.unimelb.edu.au/find/courses/graduate/master-of-applied-econometrics/</t>
        </is>
      </c>
      <c r="H189" t="inlineStr">
        <is>
          <t>Read</t>
        </is>
      </c>
      <c r="I189" t="inlineStr">
        <is>
          <t>CRICOS code on page</t>
        </is>
      </c>
      <c r="J189" t="inlineStr"/>
      <c r="K189" t="inlineStr">
        <is>
          <t>Not sent to re-link</t>
        </is>
      </c>
      <c r="L189" t="inlineStr">
        <is>
          <t>Filled</t>
        </is>
      </c>
      <c r="M189" t="inlineStr">
        <is>
          <t>Filled</t>
        </is>
      </c>
      <c r="N189" t="inlineStr">
        <is>
          <t>64640.00 2027</t>
        </is>
      </c>
      <c r="O189" t="n">
        <v>3</v>
      </c>
      <c r="P189" t="inlineStr">
        <is>
          <t>Other</t>
        </is>
      </c>
      <c r="Q189" t="inlineStr">
        <is>
          <t>Filled</t>
        </is>
      </c>
      <c r="R189" t="n">
        <v>6.5</v>
      </c>
      <c r="S189" t="inlineStr">
        <is>
          <t>University adapter</t>
        </is>
      </c>
      <c r="T189" t="inlineStr">
        <is>
          <t>Level map (Melbourne): not computed per course in this report</t>
        </is>
      </c>
      <c r="U189" t="inlineStr"/>
      <c r="V189" t="inlineStr">
        <is>
          <t>Filled</t>
        </is>
      </c>
      <c r="W189" t="inlineStr">
        <is>
          <t>March</t>
        </is>
      </c>
      <c r="X189" t="inlineStr">
        <is>
          <t>Other</t>
        </is>
      </c>
      <c r="Y189" t="n">
        <v>0</v>
      </c>
      <c r="Z189" t="inlineStr">
        <is>
          <t>No</t>
        </is>
      </c>
      <c r="AA189" t="inlineStr">
        <is>
          <t>Filled</t>
        </is>
      </c>
      <c r="AB189" t="inlineStr">
        <is>
          <t>on campus</t>
        </is>
      </c>
      <c r="AC189" t="inlineStr"/>
      <c r="AD189" t="n">
        <v>0</v>
      </c>
      <c r="AE189" t="inlineStr"/>
      <c r="AF189" t="inlineStr"/>
      <c r="AG189" t="inlineStr"/>
      <c r="AH189" t="inlineStr"/>
      <c r="AI189" t="inlineStr"/>
      <c r="AJ189" t="inlineStr"/>
      <c r="AK189" t="inlineStr"/>
      <c r="AL189" t="inlineStr"/>
      <c r="AM189" t="inlineStr"/>
    </row>
    <row r="190">
      <c r="A190" t="inlineStr">
        <is>
          <t>107112C</t>
        </is>
      </c>
      <c r="B190" t="inlineStr">
        <is>
          <t>Master of Applied Econometrics (Enhanced)</t>
        </is>
      </c>
      <c r="C190" t="inlineStr">
        <is>
          <t>Masters Degree (Coursework)</t>
        </is>
      </c>
      <c r="D190" t="inlineStr">
        <is>
          <t>Postgraduate coursework</t>
        </is>
      </c>
      <c r="E190" t="inlineStr">
        <is>
          <t>Advertised: official page in place</t>
        </is>
      </c>
      <c r="F190" t="inlineStr">
        <is>
          <t>https://study.unimelb.edu.au/find/courses/graduate/master-of-applied-econometrics-enhanced/</t>
        </is>
      </c>
      <c r="G190" t="inlineStr">
        <is>
          <t>https://study.unimelb.edu.au/find/courses/graduate/master-of-applied-econometrics-enhanced/</t>
        </is>
      </c>
      <c r="H190" t="inlineStr">
        <is>
          <t>Read</t>
        </is>
      </c>
      <c r="I190" t="inlineStr">
        <is>
          <t>CRICOS code on page</t>
        </is>
      </c>
      <c r="J190" t="inlineStr"/>
      <c r="K190" t="inlineStr">
        <is>
          <t>Not sent to re-link</t>
        </is>
      </c>
      <c r="L190" t="inlineStr">
        <is>
          <t>Filled</t>
        </is>
      </c>
      <c r="M190" t="inlineStr">
        <is>
          <t>Filled</t>
        </is>
      </c>
      <c r="N190" t="inlineStr">
        <is>
          <t>64640.00 2027</t>
        </is>
      </c>
      <c r="O190" t="n">
        <v>3</v>
      </c>
      <c r="P190" t="inlineStr">
        <is>
          <t>Other</t>
        </is>
      </c>
      <c r="Q190" t="inlineStr">
        <is>
          <t>Filled</t>
        </is>
      </c>
      <c r="R190" t="n">
        <v>6.5</v>
      </c>
      <c r="S190" t="inlineStr">
        <is>
          <t>University adapter</t>
        </is>
      </c>
      <c r="T190" t="inlineStr">
        <is>
          <t>Level map (Melbourne): not computed per course in this report</t>
        </is>
      </c>
      <c r="U190" t="inlineStr"/>
      <c r="V190" t="inlineStr">
        <is>
          <t>Filled</t>
        </is>
      </c>
      <c r="W190" t="inlineStr">
        <is>
          <t>March</t>
        </is>
      </c>
      <c r="X190" t="inlineStr">
        <is>
          <t>University adapter</t>
        </is>
      </c>
      <c r="Y190" t="n">
        <v>0</v>
      </c>
      <c r="Z190" t="inlineStr">
        <is>
          <t>No</t>
        </is>
      </c>
      <c r="AA190" t="inlineStr">
        <is>
          <t>Filled</t>
        </is>
      </c>
      <c r="AB190" t="inlineStr">
        <is>
          <t>on campus</t>
        </is>
      </c>
      <c r="AC190" t="inlineStr"/>
      <c r="AD190" t="n">
        <v>0</v>
      </c>
      <c r="AE190" t="inlineStr"/>
      <c r="AF190" t="inlineStr"/>
      <c r="AG190" t="inlineStr"/>
      <c r="AH190" t="inlineStr"/>
      <c r="AI190" t="inlineStr"/>
      <c r="AJ190" t="inlineStr"/>
      <c r="AK190" t="inlineStr"/>
      <c r="AL190" t="inlineStr"/>
      <c r="AM190" t="inlineStr"/>
    </row>
    <row r="191">
      <c r="A191" t="inlineStr">
        <is>
          <t>077928D</t>
        </is>
      </c>
      <c r="B191" t="inlineStr">
        <is>
          <t>Master of Applied Linguistics</t>
        </is>
      </c>
      <c r="C191" t="inlineStr">
        <is>
          <t>Masters Degree (Coursework)</t>
        </is>
      </c>
      <c r="D191" t="inlineStr">
        <is>
          <t>Postgraduate coursework</t>
        </is>
      </c>
      <c r="E191" t="inlineStr">
        <is>
          <t>Advertised: official page in place</t>
        </is>
      </c>
      <c r="F191" t="inlineStr">
        <is>
          <t>https://handbook.unimelb.edu.au/2026/courses/mc-apling</t>
        </is>
      </c>
      <c r="G191" t="inlineStr">
        <is>
          <t>https://handbook.unimelb.edu.au/2026/courses/mc-apling</t>
        </is>
      </c>
      <c r="H191" t="inlineStr">
        <is>
          <t>Read</t>
        </is>
      </c>
      <c r="I191" t="inlineStr">
        <is>
          <t>CRICOS code on page</t>
        </is>
      </c>
      <c r="J191" t="inlineStr"/>
      <c r="K191" t="inlineStr">
        <is>
          <t>Not sent to re-link</t>
        </is>
      </c>
      <c r="L191" t="inlineStr">
        <is>
          <t>Filled</t>
        </is>
      </c>
      <c r="M191" t="inlineStr">
        <is>
          <t>Filled</t>
        </is>
      </c>
      <c r="N191" t="inlineStr">
        <is>
          <t>52416.00 2027</t>
        </is>
      </c>
      <c r="O191" t="n">
        <v>3</v>
      </c>
      <c r="P191" t="inlineStr">
        <is>
          <t>Other</t>
        </is>
      </c>
      <c r="Q191" t="inlineStr">
        <is>
          <t>Filled</t>
        </is>
      </c>
      <c r="R191" t="n">
        <v>6.5</v>
      </c>
      <c r="S191" t="inlineStr">
        <is>
          <t>Central English policy</t>
        </is>
      </c>
      <c r="T191" t="inlineStr">
        <is>
          <t>Level map (Melbourne): not computed per course in this report</t>
        </is>
      </c>
      <c r="U191" t="inlineStr"/>
      <c r="V191" t="inlineStr">
        <is>
          <t>Not stated on course page</t>
        </is>
      </c>
      <c r="W191" t="inlineStr"/>
      <c r="X191" t="inlineStr"/>
      <c r="Y191" t="n">
        <v>0</v>
      </c>
      <c r="Z191" t="inlineStr">
        <is>
          <t>No</t>
        </is>
      </c>
      <c r="AA191" t="inlineStr">
        <is>
          <t>Filled</t>
        </is>
      </c>
      <c r="AB191" t="inlineStr">
        <is>
          <t>on campus and online</t>
        </is>
      </c>
      <c r="AC191" t="inlineStr"/>
      <c r="AD191" t="n">
        <v>0</v>
      </c>
      <c r="AE191" t="inlineStr"/>
      <c r="AF191" t="inlineStr"/>
      <c r="AG191" t="inlineStr"/>
      <c r="AH191" t="inlineStr"/>
      <c r="AI191" t="inlineStr">
        <is>
          <t>Yes</t>
        </is>
      </c>
      <c r="AJ191" t="inlineStr"/>
      <c r="AK191" t="inlineStr"/>
      <c r="AL191" t="inlineStr"/>
      <c r="AM191" t="inlineStr"/>
    </row>
    <row r="192">
      <c r="A192" t="inlineStr">
        <is>
          <t>079279E</t>
        </is>
      </c>
      <c r="B192" t="inlineStr">
        <is>
          <t>Master of Applied Positive Psychology</t>
        </is>
      </c>
      <c r="C192" t="inlineStr">
        <is>
          <t>Masters Degree (Coursework)</t>
        </is>
      </c>
      <c r="D192" t="inlineStr">
        <is>
          <t>Postgraduate coursework</t>
        </is>
      </c>
      <c r="E192" t="inlineStr">
        <is>
          <t>Advertised: official page in place</t>
        </is>
      </c>
      <c r="F192" t="inlineStr">
        <is>
          <t>https://handbook.unimelb.edu.au/2026/courses/mc-app</t>
        </is>
      </c>
      <c r="G192" t="inlineStr">
        <is>
          <t>https://handbook.unimelb.edu.au/2026/courses/mc-app</t>
        </is>
      </c>
      <c r="H192" t="inlineStr">
        <is>
          <t>Read</t>
        </is>
      </c>
      <c r="I192" t="inlineStr">
        <is>
          <t>CRICOS code on page</t>
        </is>
      </c>
      <c r="J192" t="inlineStr"/>
      <c r="K192" t="inlineStr">
        <is>
          <t>Not sent to re-link</t>
        </is>
      </c>
      <c r="L192" t="inlineStr">
        <is>
          <t>Filled</t>
        </is>
      </c>
      <c r="M192" t="inlineStr">
        <is>
          <t>Filled</t>
        </is>
      </c>
      <c r="N192" t="inlineStr">
        <is>
          <t>72000.00 2027</t>
        </is>
      </c>
      <c r="O192" t="n">
        <v>3</v>
      </c>
      <c r="P192" t="inlineStr">
        <is>
          <t>Other</t>
        </is>
      </c>
      <c r="Q192" t="inlineStr">
        <is>
          <t>Filled</t>
        </is>
      </c>
      <c r="R192" t="n">
        <v>7</v>
      </c>
      <c r="S192" t="inlineStr">
        <is>
          <t>Central English policy</t>
        </is>
      </c>
      <c r="T192" t="inlineStr">
        <is>
          <t>Level map (Melbourne): not computed per course in this report</t>
        </is>
      </c>
      <c r="U192" t="inlineStr"/>
      <c r="V192" t="inlineStr">
        <is>
          <t>Not stated on course page</t>
        </is>
      </c>
      <c r="W192" t="inlineStr"/>
      <c r="X192" t="inlineStr"/>
      <c r="Y192" t="n">
        <v>0</v>
      </c>
      <c r="Z192" t="inlineStr">
        <is>
          <t>No</t>
        </is>
      </c>
      <c r="AA192" t="inlineStr">
        <is>
          <t>Filled</t>
        </is>
      </c>
      <c r="AB192" t="inlineStr">
        <is>
          <t>on campus and online</t>
        </is>
      </c>
      <c r="AC192" t="inlineStr"/>
      <c r="AD192" t="n">
        <v>0</v>
      </c>
      <c r="AE192" t="inlineStr"/>
      <c r="AF192" t="inlineStr"/>
      <c r="AG192" t="inlineStr"/>
      <c r="AH192" t="inlineStr"/>
      <c r="AI192" t="inlineStr">
        <is>
          <t>Yes</t>
        </is>
      </c>
      <c r="AJ192" t="inlineStr"/>
      <c r="AK192" t="inlineStr"/>
      <c r="AL192" t="inlineStr"/>
      <c r="AM192" t="inlineStr"/>
    </row>
    <row r="193">
      <c r="A193" t="inlineStr">
        <is>
          <t>096378E</t>
        </is>
      </c>
      <c r="B193" t="inlineStr">
        <is>
          <t>Master of Applied Psychology</t>
        </is>
      </c>
      <c r="C193" t="inlineStr">
        <is>
          <t>Masters Degree (Coursework)</t>
        </is>
      </c>
      <c r="D193" t="inlineStr">
        <is>
          <t>Postgraduate coursework</t>
        </is>
      </c>
      <c r="E193" t="inlineStr">
        <is>
          <t>Advertised: official page in place</t>
        </is>
      </c>
      <c r="F193" t="inlineStr">
        <is>
          <t>https://study.unimelb.edu.au/find/courses/graduate/master-of-applied-psychology/</t>
        </is>
      </c>
      <c r="G193" t="inlineStr">
        <is>
          <t>https://study.unimelb.edu.au/find/courses/graduate/master-of-applied-psychology/</t>
        </is>
      </c>
      <c r="H193" t="inlineStr">
        <is>
          <t>Read</t>
        </is>
      </c>
      <c r="I193" t="inlineStr">
        <is>
          <t>CRICOS code on page</t>
        </is>
      </c>
      <c r="J193" t="inlineStr"/>
      <c r="K193" t="inlineStr">
        <is>
          <t>Not sent to re-link</t>
        </is>
      </c>
      <c r="L193" t="inlineStr">
        <is>
          <t>Filled</t>
        </is>
      </c>
      <c r="M193" t="inlineStr">
        <is>
          <t>Filled</t>
        </is>
      </c>
      <c r="N193" t="inlineStr">
        <is>
          <t>66752.00 2027</t>
        </is>
      </c>
      <c r="O193" t="n">
        <v>3</v>
      </c>
      <c r="P193" t="inlineStr">
        <is>
          <t>Other</t>
        </is>
      </c>
      <c r="Q193" t="inlineStr">
        <is>
          <t>Filled</t>
        </is>
      </c>
      <c r="R193" t="n">
        <v>6.5</v>
      </c>
      <c r="S193" t="inlineStr">
        <is>
          <t>University adapter</t>
        </is>
      </c>
      <c r="T193" t="inlineStr">
        <is>
          <t>Level map (Melbourne): not computed per course in this report</t>
        </is>
      </c>
      <c r="U193" t="inlineStr"/>
      <c r="V193" t="inlineStr">
        <is>
          <t>Filled</t>
        </is>
      </c>
      <c r="W193" t="inlineStr">
        <is>
          <t>February</t>
        </is>
      </c>
      <c r="X193" t="inlineStr">
        <is>
          <t>University adapter</t>
        </is>
      </c>
      <c r="Y193" t="n">
        <v>0</v>
      </c>
      <c r="Z193" t="inlineStr">
        <is>
          <t>No</t>
        </is>
      </c>
      <c r="AA193" t="inlineStr">
        <is>
          <t>Filled</t>
        </is>
      </c>
      <c r="AB193" t="inlineStr">
        <is>
          <t>on campus</t>
        </is>
      </c>
      <c r="AC193" t="inlineStr"/>
      <c r="AD193" t="n">
        <v>0</v>
      </c>
      <c r="AE193" t="inlineStr"/>
      <c r="AF193" t="inlineStr"/>
      <c r="AG193" t="inlineStr"/>
      <c r="AH193" t="inlineStr"/>
      <c r="AI193" t="inlineStr"/>
      <c r="AJ193" t="inlineStr"/>
      <c r="AK193" t="inlineStr"/>
      <c r="AL193" t="inlineStr"/>
      <c r="AM193" t="inlineStr"/>
    </row>
    <row r="194">
      <c r="A194" t="inlineStr">
        <is>
          <t>089660F</t>
        </is>
      </c>
      <c r="B194" t="inlineStr">
        <is>
          <t>Master of Architectural Engineering</t>
        </is>
      </c>
      <c r="C194" t="inlineStr">
        <is>
          <t>Masters Degree (Coursework)</t>
        </is>
      </c>
      <c r="D194" t="inlineStr">
        <is>
          <t>Postgraduate coursework</t>
        </is>
      </c>
      <c r="E194" t="inlineStr">
        <is>
          <t>Advertised: official page in place</t>
        </is>
      </c>
      <c r="F194" t="inlineStr">
        <is>
          <t>https://handbook.unimelb.edu.au/2026/courses/mc-archeng</t>
        </is>
      </c>
      <c r="G194" t="inlineStr">
        <is>
          <t>https://handbook.unimelb.edu.au/2026/courses/mc-archeng</t>
        </is>
      </c>
      <c r="H194" t="inlineStr">
        <is>
          <t>Read</t>
        </is>
      </c>
      <c r="I194" t="inlineStr">
        <is>
          <t>CRICOS code on page</t>
        </is>
      </c>
      <c r="J194" t="inlineStr"/>
      <c r="K194" t="inlineStr">
        <is>
          <t>Not sent to re-link</t>
        </is>
      </c>
      <c r="L194" t="inlineStr">
        <is>
          <t>Filled</t>
        </is>
      </c>
      <c r="M194" t="inlineStr">
        <is>
          <t>Filled</t>
        </is>
      </c>
      <c r="N194" t="inlineStr">
        <is>
          <t>59840.00 2027</t>
        </is>
      </c>
      <c r="O194" t="n">
        <v>2</v>
      </c>
      <c r="P194" t="inlineStr">
        <is>
          <t>Other</t>
        </is>
      </c>
      <c r="Q194" t="inlineStr">
        <is>
          <t>Filled</t>
        </is>
      </c>
      <c r="R194" t="n">
        <v>6.5</v>
      </c>
      <c r="S194" t="inlineStr">
        <is>
          <t>Central English policy</t>
        </is>
      </c>
      <c r="T194" t="inlineStr">
        <is>
          <t>Level map (Melbourne): not computed per course in this report</t>
        </is>
      </c>
      <c r="U194" t="inlineStr"/>
      <c r="V194" t="inlineStr">
        <is>
          <t>Not stated on course page</t>
        </is>
      </c>
      <c r="W194" t="inlineStr"/>
      <c r="X194" t="inlineStr"/>
      <c r="Y194" t="n">
        <v>0</v>
      </c>
      <c r="Z194" t="inlineStr">
        <is>
          <t>No</t>
        </is>
      </c>
      <c r="AA194" t="inlineStr">
        <is>
          <t>Filled</t>
        </is>
      </c>
      <c r="AB194" t="inlineStr">
        <is>
          <t>on campus</t>
        </is>
      </c>
      <c r="AC194" t="inlineStr"/>
      <c r="AD194" t="n">
        <v>0</v>
      </c>
      <c r="AE194" t="inlineStr"/>
      <c r="AF194" t="inlineStr"/>
      <c r="AG194" t="inlineStr"/>
      <c r="AH194" t="inlineStr"/>
      <c r="AI194" t="inlineStr">
        <is>
          <t>Yes</t>
        </is>
      </c>
      <c r="AJ194" t="inlineStr"/>
      <c r="AK194" t="inlineStr"/>
      <c r="AL194" t="inlineStr"/>
      <c r="AM194" t="inlineStr"/>
    </row>
    <row r="195">
      <c r="A195" t="inlineStr">
        <is>
          <t>061197K</t>
        </is>
      </c>
      <c r="B195" t="inlineStr">
        <is>
          <t>Master of Architecture</t>
        </is>
      </c>
      <c r="C195" t="inlineStr">
        <is>
          <t>Masters Degree (Coursework)</t>
        </is>
      </c>
      <c r="D195" t="inlineStr">
        <is>
          <t>Postgraduate coursework</t>
        </is>
      </c>
      <c r="E195" t="inlineStr">
        <is>
          <t>Advertised: official page in place</t>
        </is>
      </c>
      <c r="F195" t="inlineStr">
        <is>
          <t>https://study.unimelb.edu.au/find/courses/graduate/master-of-architecture/</t>
        </is>
      </c>
      <c r="G195" t="inlineStr">
        <is>
          <t>https://study.unimelb.edu.au/find/courses/graduate/master-of-architecture/</t>
        </is>
      </c>
      <c r="H195" t="inlineStr">
        <is>
          <t>Read</t>
        </is>
      </c>
      <c r="I195" t="inlineStr">
        <is>
          <t>Exact title match</t>
        </is>
      </c>
      <c r="J195" t="inlineStr"/>
      <c r="K195" t="inlineStr">
        <is>
          <t>Not sent to re-link</t>
        </is>
      </c>
      <c r="L195" t="inlineStr">
        <is>
          <t>Filled</t>
        </is>
      </c>
      <c r="M195" t="inlineStr">
        <is>
          <t>Filled</t>
        </is>
      </c>
      <c r="N195" t="inlineStr">
        <is>
          <t>56992.00 2026</t>
        </is>
      </c>
      <c r="O195" t="n">
        <v>0</v>
      </c>
      <c r="P195" t="inlineStr">
        <is>
          <t>University adapter</t>
        </is>
      </c>
      <c r="Q195" t="inlineStr">
        <is>
          <t>Filled</t>
        </is>
      </c>
      <c r="R195" t="n">
        <v>6.5</v>
      </c>
      <c r="S195" t="inlineStr">
        <is>
          <t>University adapter</t>
        </is>
      </c>
      <c r="T195" t="inlineStr">
        <is>
          <t>Level map (Melbourne): not computed per course in this report</t>
        </is>
      </c>
      <c r="U195" t="inlineStr"/>
      <c r="V195" t="inlineStr">
        <is>
          <t>Filled</t>
        </is>
      </c>
      <c r="W195" t="inlineStr">
        <is>
          <t>February, July</t>
        </is>
      </c>
      <c r="X195" t="inlineStr">
        <is>
          <t>Other</t>
        </is>
      </c>
      <c r="Y195" t="n">
        <v>0</v>
      </c>
      <c r="Z195" t="inlineStr">
        <is>
          <t>No</t>
        </is>
      </c>
      <c r="AA195" t="inlineStr">
        <is>
          <t>Filled</t>
        </is>
      </c>
      <c r="AB195" t="inlineStr">
        <is>
          <t>on campus</t>
        </is>
      </c>
      <c r="AC195" t="inlineStr"/>
      <c r="AD195" t="n">
        <v>0</v>
      </c>
      <c r="AE195" t="inlineStr"/>
      <c r="AF195" t="inlineStr"/>
      <c r="AG195" t="inlineStr"/>
      <c r="AH195" t="inlineStr"/>
      <c r="AI195" t="inlineStr"/>
      <c r="AJ195" t="inlineStr"/>
      <c r="AK195" t="inlineStr"/>
      <c r="AL195" t="inlineStr"/>
      <c r="AM195" t="inlineStr"/>
    </row>
    <row r="196">
      <c r="A196" t="inlineStr">
        <is>
          <t>061224A</t>
        </is>
      </c>
      <c r="B196" t="inlineStr">
        <is>
          <t>Master of Architecture</t>
        </is>
      </c>
      <c r="C196" t="inlineStr">
        <is>
          <t>Masters Degree (Coursework)</t>
        </is>
      </c>
      <c r="D196" t="inlineStr">
        <is>
          <t>Postgraduate coursework</t>
        </is>
      </c>
      <c r="E196" t="inlineStr">
        <is>
          <t>Advertised: official page in place</t>
        </is>
      </c>
      <c r="F196" t="inlineStr">
        <is>
          <t>https://study.unimelb.edu.au/find/courses/graduate/master-of-architecture/</t>
        </is>
      </c>
      <c r="G196" t="inlineStr">
        <is>
          <t>https://study.unimelb.edu.au/find/courses/graduate/master-of-architecture/</t>
        </is>
      </c>
      <c r="H196" t="inlineStr">
        <is>
          <t>Read</t>
        </is>
      </c>
      <c r="I196" t="inlineStr">
        <is>
          <t>CRICOS code on page</t>
        </is>
      </c>
      <c r="J196" t="inlineStr"/>
      <c r="K196" t="inlineStr">
        <is>
          <t>Not sent to re-link</t>
        </is>
      </c>
      <c r="L196" t="inlineStr">
        <is>
          <t>Filled</t>
        </is>
      </c>
      <c r="M196" t="inlineStr">
        <is>
          <t>Filled</t>
        </is>
      </c>
      <c r="N196" t="inlineStr">
        <is>
          <t>59840.00 2027</t>
        </is>
      </c>
      <c r="O196" t="n">
        <v>3</v>
      </c>
      <c r="P196" t="inlineStr">
        <is>
          <t>Other</t>
        </is>
      </c>
      <c r="Q196" t="inlineStr">
        <is>
          <t>Filled</t>
        </is>
      </c>
      <c r="R196" t="n">
        <v>6.5</v>
      </c>
      <c r="S196" t="inlineStr">
        <is>
          <t>University adapter</t>
        </is>
      </c>
      <c r="T196" t="inlineStr">
        <is>
          <t>Level map (Melbourne): not computed per course in this report</t>
        </is>
      </c>
      <c r="U196" t="inlineStr"/>
      <c r="V196" t="inlineStr">
        <is>
          <t>Filled</t>
        </is>
      </c>
      <c r="W196" t="inlineStr">
        <is>
          <t>February, July</t>
        </is>
      </c>
      <c r="X196" t="inlineStr">
        <is>
          <t>University adapter</t>
        </is>
      </c>
      <c r="Y196" t="n">
        <v>0</v>
      </c>
      <c r="Z196" t="inlineStr">
        <is>
          <t>No</t>
        </is>
      </c>
      <c r="AA196" t="inlineStr">
        <is>
          <t>Filled</t>
        </is>
      </c>
      <c r="AB196" t="inlineStr">
        <is>
          <t>on campus</t>
        </is>
      </c>
      <c r="AC196" t="inlineStr"/>
      <c r="AD196" t="n">
        <v>0</v>
      </c>
      <c r="AE196" t="inlineStr"/>
      <c r="AF196" t="inlineStr"/>
      <c r="AG196" t="inlineStr"/>
      <c r="AH196" t="inlineStr"/>
      <c r="AI196" t="inlineStr"/>
      <c r="AJ196" t="inlineStr"/>
      <c r="AK196" t="inlineStr"/>
      <c r="AL196" t="inlineStr"/>
      <c r="AM196" t="inlineStr"/>
    </row>
    <row r="197">
      <c r="A197" t="inlineStr">
        <is>
          <t>105516K</t>
        </is>
      </c>
      <c r="B197" t="inlineStr">
        <is>
          <t>Master of Architecture / Master of  Urban Planning</t>
        </is>
      </c>
      <c r="C197" t="inlineStr">
        <is>
          <t>Masters Degree (Coursework)</t>
        </is>
      </c>
      <c r="D197" t="inlineStr">
        <is>
          <t>Postgraduate coursework</t>
        </is>
      </c>
      <c r="E197" t="inlineStr">
        <is>
          <t>Advertised: official page in place</t>
        </is>
      </c>
      <c r="F197" t="inlineStr">
        <is>
          <t>https://study.unimelb.edu.au/find/courses/graduate/master-of-architecture-master-of-urban-planning/</t>
        </is>
      </c>
      <c r="G197" t="inlineStr">
        <is>
          <t>https://study.unimelb.edu.au/find/courses/graduate/master-of-architecture-master-of-urban-planning/</t>
        </is>
      </c>
      <c r="H197" t="inlineStr">
        <is>
          <t>Read</t>
        </is>
      </c>
      <c r="I197" t="inlineStr">
        <is>
          <t>CRICOS code on page</t>
        </is>
      </c>
      <c r="J197" t="inlineStr"/>
      <c r="K197" t="inlineStr">
        <is>
          <t>Not sent to re-link</t>
        </is>
      </c>
      <c r="L197" t="inlineStr">
        <is>
          <t>Filled</t>
        </is>
      </c>
      <c r="M197" t="inlineStr">
        <is>
          <t>Filled</t>
        </is>
      </c>
      <c r="N197" t="inlineStr">
        <is>
          <t>59840.00 2027</t>
        </is>
      </c>
      <c r="O197" t="n">
        <v>2</v>
      </c>
      <c r="P197" t="inlineStr">
        <is>
          <t>Other</t>
        </is>
      </c>
      <c r="Q197" t="inlineStr">
        <is>
          <t>Filled</t>
        </is>
      </c>
      <c r="R197" t="n">
        <v>6.5</v>
      </c>
      <c r="S197" t="inlineStr">
        <is>
          <t>Other</t>
        </is>
      </c>
      <c r="T197" t="inlineStr">
        <is>
          <t>Level map (Melbourne): not computed per course in this report</t>
        </is>
      </c>
      <c r="U197" t="inlineStr"/>
      <c r="V197" t="inlineStr">
        <is>
          <t>Filled</t>
        </is>
      </c>
      <c r="W197" t="inlineStr">
        <is>
          <t>February, July</t>
        </is>
      </c>
      <c r="X197" t="inlineStr">
        <is>
          <t>Other</t>
        </is>
      </c>
      <c r="Y197" t="n">
        <v>0</v>
      </c>
      <c r="Z197" t="inlineStr">
        <is>
          <t>No</t>
        </is>
      </c>
      <c r="AA197" t="inlineStr">
        <is>
          <t>Filled</t>
        </is>
      </c>
      <c r="AB197" t="inlineStr">
        <is>
          <t>on campus</t>
        </is>
      </c>
      <c r="AC197" t="inlineStr"/>
      <c r="AD197" t="n">
        <v>0</v>
      </c>
      <c r="AE197" t="inlineStr"/>
      <c r="AF197" t="inlineStr"/>
      <c r="AG197" t="inlineStr"/>
      <c r="AH197" t="inlineStr"/>
      <c r="AI197" t="inlineStr"/>
      <c r="AJ197" t="inlineStr"/>
      <c r="AK197" t="inlineStr"/>
      <c r="AL197" t="inlineStr"/>
      <c r="AM197" t="inlineStr"/>
    </row>
    <row r="198">
      <c r="A198" t="inlineStr">
        <is>
          <t>105512C</t>
        </is>
      </c>
      <c r="B198" t="inlineStr">
        <is>
          <t>Master of Architecture / Master of Construction Management</t>
        </is>
      </c>
      <c r="C198" t="inlineStr">
        <is>
          <t>Masters Degree (Coursework)</t>
        </is>
      </c>
      <c r="D198" t="inlineStr">
        <is>
          <t>Postgraduate coursework</t>
        </is>
      </c>
      <c r="E198" t="inlineStr">
        <is>
          <t>Advertised: official page in place</t>
        </is>
      </c>
      <c r="F198" t="inlineStr">
        <is>
          <t>https://study.unimelb.edu.au/find/courses/graduate/master-of-architecture-master-of-construction-management/</t>
        </is>
      </c>
      <c r="G198" t="inlineStr">
        <is>
          <t>https://study.unimelb.edu.au/find/courses/graduate/master-of-architecture-master-of-construction-management/</t>
        </is>
      </c>
      <c r="H198" t="inlineStr">
        <is>
          <t>Read</t>
        </is>
      </c>
      <c r="I198" t="inlineStr">
        <is>
          <t>CRICOS code on page</t>
        </is>
      </c>
      <c r="J198" t="inlineStr"/>
      <c r="K198" t="inlineStr">
        <is>
          <t>Not sent to re-link</t>
        </is>
      </c>
      <c r="L198" t="inlineStr">
        <is>
          <t>Filled</t>
        </is>
      </c>
      <c r="M198" t="inlineStr">
        <is>
          <t>Filled</t>
        </is>
      </c>
      <c r="N198" t="inlineStr">
        <is>
          <t>59840.00 2027</t>
        </is>
      </c>
      <c r="O198" t="n">
        <v>2</v>
      </c>
      <c r="P198" t="inlineStr">
        <is>
          <t>Other</t>
        </is>
      </c>
      <c r="Q198" t="inlineStr">
        <is>
          <t>Filled</t>
        </is>
      </c>
      <c r="R198" t="n">
        <v>6.5</v>
      </c>
      <c r="S198" t="inlineStr">
        <is>
          <t>University adapter</t>
        </is>
      </c>
      <c r="T198" t="inlineStr">
        <is>
          <t>Level map (Melbourne): not computed per course in this report</t>
        </is>
      </c>
      <c r="U198" t="inlineStr"/>
      <c r="V198" t="inlineStr">
        <is>
          <t>Filled</t>
        </is>
      </c>
      <c r="W198" t="inlineStr">
        <is>
          <t>March, July</t>
        </is>
      </c>
      <c r="X198" t="inlineStr">
        <is>
          <t>University adapter</t>
        </is>
      </c>
      <c r="Y198" t="n">
        <v>0</v>
      </c>
      <c r="Z198" t="inlineStr">
        <is>
          <t>No</t>
        </is>
      </c>
      <c r="AA198" t="inlineStr">
        <is>
          <t>Filled</t>
        </is>
      </c>
      <c r="AB198" t="inlineStr">
        <is>
          <t>on campus</t>
        </is>
      </c>
      <c r="AC198" t="inlineStr"/>
      <c r="AD198" t="n">
        <v>0</v>
      </c>
      <c r="AE198" t="inlineStr"/>
      <c r="AF198" t="inlineStr"/>
      <c r="AG198" t="inlineStr"/>
      <c r="AH198" t="inlineStr"/>
      <c r="AI198" t="inlineStr"/>
      <c r="AJ198" t="inlineStr"/>
      <c r="AK198" t="inlineStr"/>
      <c r="AL198" t="inlineStr"/>
      <c r="AM198" t="inlineStr"/>
    </row>
    <row r="199">
      <c r="A199" t="inlineStr">
        <is>
          <t>105520C</t>
        </is>
      </c>
      <c r="B199" t="inlineStr">
        <is>
          <t>Master of Architecture / Master of Landscape Architecture</t>
        </is>
      </c>
      <c r="C199" t="inlineStr">
        <is>
          <t>Masters Degree (Coursework)</t>
        </is>
      </c>
      <c r="D199" t="inlineStr">
        <is>
          <t>Postgraduate coursework</t>
        </is>
      </c>
      <c r="E199" t="inlineStr">
        <is>
          <t>Advertised: official page in place</t>
        </is>
      </c>
      <c r="F199" t="inlineStr">
        <is>
          <t>https://study.unimelb.edu.au/find/courses/graduate/master-of-architecture-master-of-landscape-architecture/</t>
        </is>
      </c>
      <c r="G199" t="inlineStr">
        <is>
          <t>https://study.unimelb.edu.au/find/courses/graduate/master-of-architecture-master-of-landscape-architecture/</t>
        </is>
      </c>
      <c r="H199" t="inlineStr">
        <is>
          <t>Read</t>
        </is>
      </c>
      <c r="I199" t="inlineStr">
        <is>
          <t>CRICOS code on page</t>
        </is>
      </c>
      <c r="J199" t="inlineStr"/>
      <c r="K199" t="inlineStr">
        <is>
          <t>Not sent to re-link</t>
        </is>
      </c>
      <c r="L199" t="inlineStr">
        <is>
          <t>Filled</t>
        </is>
      </c>
      <c r="M199" t="inlineStr">
        <is>
          <t>Filled</t>
        </is>
      </c>
      <c r="N199" t="inlineStr">
        <is>
          <t>59840.00 2027</t>
        </is>
      </c>
      <c r="O199" t="n">
        <v>2</v>
      </c>
      <c r="P199" t="inlineStr">
        <is>
          <t>Other</t>
        </is>
      </c>
      <c r="Q199" t="inlineStr">
        <is>
          <t>Filled</t>
        </is>
      </c>
      <c r="R199" t="n">
        <v>6.5</v>
      </c>
      <c r="S199" t="inlineStr">
        <is>
          <t>University adapter</t>
        </is>
      </c>
      <c r="T199" t="inlineStr">
        <is>
          <t>Level map (Melbourne): not computed per course in this report</t>
        </is>
      </c>
      <c r="U199" t="inlineStr"/>
      <c r="V199" t="inlineStr">
        <is>
          <t>Filled</t>
        </is>
      </c>
      <c r="W199" t="inlineStr">
        <is>
          <t>February, July</t>
        </is>
      </c>
      <c r="X199" t="inlineStr">
        <is>
          <t>Other</t>
        </is>
      </c>
      <c r="Y199" t="n">
        <v>0</v>
      </c>
      <c r="Z199" t="inlineStr">
        <is>
          <t>No</t>
        </is>
      </c>
      <c r="AA199" t="inlineStr">
        <is>
          <t>Filled</t>
        </is>
      </c>
      <c r="AB199" t="inlineStr">
        <is>
          <t>on campus</t>
        </is>
      </c>
      <c r="AC199" t="inlineStr"/>
      <c r="AD199" t="n">
        <v>0</v>
      </c>
      <c r="AE199" t="inlineStr"/>
      <c r="AF199" t="inlineStr"/>
      <c r="AG199" t="inlineStr"/>
      <c r="AH199" t="inlineStr"/>
      <c r="AI199" t="inlineStr"/>
      <c r="AJ199" t="inlineStr"/>
      <c r="AK199" t="inlineStr"/>
      <c r="AL199" t="inlineStr"/>
      <c r="AM199" t="inlineStr"/>
    </row>
    <row r="200">
      <c r="A200" t="inlineStr">
        <is>
          <t>105514A</t>
        </is>
      </c>
      <c r="B200" t="inlineStr">
        <is>
          <t>Master of Architecture / Master of Property</t>
        </is>
      </c>
      <c r="C200" t="inlineStr">
        <is>
          <t>Masters Degree (Coursework)</t>
        </is>
      </c>
      <c r="D200" t="inlineStr">
        <is>
          <t>Postgraduate coursework</t>
        </is>
      </c>
      <c r="E200" t="inlineStr">
        <is>
          <t>Advertised: official page in place</t>
        </is>
      </c>
      <c r="F200" t="inlineStr">
        <is>
          <t>https://handbook.unimelb.edu.au/2026/courses/mc-arcprop</t>
        </is>
      </c>
      <c r="G200" t="inlineStr">
        <is>
          <t>https://handbook.unimelb.edu.au/2026/courses/mc-arcprop</t>
        </is>
      </c>
      <c r="H200" t="inlineStr">
        <is>
          <t>Read</t>
        </is>
      </c>
      <c r="I200" t="inlineStr">
        <is>
          <t>CRICOS code on page</t>
        </is>
      </c>
      <c r="J200" t="inlineStr"/>
      <c r="K200" t="inlineStr">
        <is>
          <t>Not sent to re-link</t>
        </is>
      </c>
      <c r="L200" t="inlineStr">
        <is>
          <t>Filled</t>
        </is>
      </c>
      <c r="M200" t="inlineStr">
        <is>
          <t>Filled</t>
        </is>
      </c>
      <c r="N200" t="inlineStr">
        <is>
          <t>59840.00 2027</t>
        </is>
      </c>
      <c r="O200" t="n">
        <v>2</v>
      </c>
      <c r="P200" t="inlineStr">
        <is>
          <t>Other</t>
        </is>
      </c>
      <c r="Q200" t="inlineStr">
        <is>
          <t>Filled</t>
        </is>
      </c>
      <c r="R200" t="n">
        <v>6.5</v>
      </c>
      <c r="S200" t="inlineStr">
        <is>
          <t>Central English policy</t>
        </is>
      </c>
      <c r="T200" t="inlineStr">
        <is>
          <t>Level map (Melbourne): not computed per course in this report</t>
        </is>
      </c>
      <c r="U200" t="inlineStr"/>
      <c r="V200" t="inlineStr">
        <is>
          <t>Not stated on course page</t>
        </is>
      </c>
      <c r="W200" t="inlineStr"/>
      <c r="X200" t="inlineStr"/>
      <c r="Y200" t="n">
        <v>0</v>
      </c>
      <c r="Z200" t="inlineStr">
        <is>
          <t>No</t>
        </is>
      </c>
      <c r="AA200" t="inlineStr">
        <is>
          <t>Filled</t>
        </is>
      </c>
      <c r="AB200" t="inlineStr">
        <is>
          <t>on campus</t>
        </is>
      </c>
      <c r="AC200" t="inlineStr"/>
      <c r="AD200" t="n">
        <v>0</v>
      </c>
      <c r="AE200" t="inlineStr"/>
      <c r="AF200" t="inlineStr"/>
      <c r="AG200" t="inlineStr"/>
      <c r="AH200" t="inlineStr"/>
      <c r="AI200" t="inlineStr">
        <is>
          <t>Yes</t>
        </is>
      </c>
      <c r="AJ200" t="inlineStr"/>
      <c r="AK200" t="inlineStr"/>
      <c r="AL200" t="inlineStr"/>
      <c r="AM200" t="inlineStr"/>
    </row>
    <row r="201">
      <c r="A201" t="inlineStr">
        <is>
          <t>105513B</t>
        </is>
      </c>
      <c r="B201" t="inlineStr">
        <is>
          <t>Master of Architecture / Master of Urban Cultural Heritage</t>
        </is>
      </c>
      <c r="C201" t="inlineStr">
        <is>
          <t>Masters Degree (Coursework)</t>
        </is>
      </c>
      <c r="D201" t="inlineStr">
        <is>
          <t>Postgraduate coursework</t>
        </is>
      </c>
      <c r="E201" t="inlineStr">
        <is>
          <t>Advertised: official page in place</t>
        </is>
      </c>
      <c r="F201" t="inlineStr">
        <is>
          <t>https://handbook.unimelb.edu.au/2026/courses/mc-archuch</t>
        </is>
      </c>
      <c r="G201" t="inlineStr">
        <is>
          <t>https://handbook.unimelb.edu.au/2026/courses/mc-archuch</t>
        </is>
      </c>
      <c r="H201" t="inlineStr">
        <is>
          <t>Read</t>
        </is>
      </c>
      <c r="I201" t="inlineStr">
        <is>
          <t>CRICOS code on page</t>
        </is>
      </c>
      <c r="J201" t="inlineStr"/>
      <c r="K201" t="inlineStr">
        <is>
          <t>Not sent to re-link</t>
        </is>
      </c>
      <c r="L201" t="inlineStr">
        <is>
          <t>Filled</t>
        </is>
      </c>
      <c r="M201" t="inlineStr">
        <is>
          <t>Filled</t>
        </is>
      </c>
      <c r="N201" t="inlineStr">
        <is>
          <t>59840.00 2027</t>
        </is>
      </c>
      <c r="O201" t="n">
        <v>2</v>
      </c>
      <c r="P201" t="inlineStr">
        <is>
          <t>Other</t>
        </is>
      </c>
      <c r="Q201" t="inlineStr">
        <is>
          <t>Filled</t>
        </is>
      </c>
      <c r="R201" t="n">
        <v>6.5</v>
      </c>
      <c r="S201" t="inlineStr">
        <is>
          <t>Central English policy</t>
        </is>
      </c>
      <c r="T201" t="inlineStr">
        <is>
          <t>Level map (Melbourne): not computed per course in this report</t>
        </is>
      </c>
      <c r="U201" t="inlineStr"/>
      <c r="V201" t="inlineStr">
        <is>
          <t>Not stated on course page</t>
        </is>
      </c>
      <c r="W201" t="inlineStr"/>
      <c r="X201" t="inlineStr"/>
      <c r="Y201" t="n">
        <v>0</v>
      </c>
      <c r="Z201" t="inlineStr">
        <is>
          <t>No</t>
        </is>
      </c>
      <c r="AA201" t="inlineStr">
        <is>
          <t>Filled</t>
        </is>
      </c>
      <c r="AB201" t="inlineStr">
        <is>
          <t>on campus</t>
        </is>
      </c>
      <c r="AC201" t="inlineStr"/>
      <c r="AD201" t="n">
        <v>0</v>
      </c>
      <c r="AE201" t="inlineStr"/>
      <c r="AF201" t="inlineStr"/>
      <c r="AG201" t="inlineStr"/>
      <c r="AH201" t="inlineStr"/>
      <c r="AI201" t="inlineStr">
        <is>
          <t>Yes</t>
        </is>
      </c>
      <c r="AJ201" t="inlineStr"/>
      <c r="AK201" t="inlineStr"/>
      <c r="AL201" t="inlineStr"/>
      <c r="AM201" t="inlineStr"/>
    </row>
    <row r="202">
      <c r="A202" t="inlineStr">
        <is>
          <t>105515M</t>
        </is>
      </c>
      <c r="B202" t="inlineStr">
        <is>
          <t>Master of Architecture / Master of Urban Design</t>
        </is>
      </c>
      <c r="C202" t="inlineStr">
        <is>
          <t>Masters Degree (Coursework)</t>
        </is>
      </c>
      <c r="D202" t="inlineStr">
        <is>
          <t>Postgraduate coursework</t>
        </is>
      </c>
      <c r="E202" t="inlineStr">
        <is>
          <t>Advertised: official page in place</t>
        </is>
      </c>
      <c r="F202" t="inlineStr">
        <is>
          <t>https://handbook.unimelb.edu.au/2026/courses/mc-archud</t>
        </is>
      </c>
      <c r="G202" t="inlineStr">
        <is>
          <t>https://handbook.unimelb.edu.au/2026/courses/mc-archud</t>
        </is>
      </c>
      <c r="H202" t="inlineStr">
        <is>
          <t>Read</t>
        </is>
      </c>
      <c r="I202" t="inlineStr">
        <is>
          <t>CRICOS code on page</t>
        </is>
      </c>
      <c r="J202" t="inlineStr"/>
      <c r="K202" t="inlineStr">
        <is>
          <t>Not sent to re-link</t>
        </is>
      </c>
      <c r="L202" t="inlineStr">
        <is>
          <t>Filled</t>
        </is>
      </c>
      <c r="M202" t="inlineStr">
        <is>
          <t>Filled</t>
        </is>
      </c>
      <c r="N202" t="inlineStr">
        <is>
          <t>59840.00 2027</t>
        </is>
      </c>
      <c r="O202" t="n">
        <v>2</v>
      </c>
      <c r="P202" t="inlineStr">
        <is>
          <t>Other</t>
        </is>
      </c>
      <c r="Q202" t="inlineStr">
        <is>
          <t>Filled</t>
        </is>
      </c>
      <c r="R202" t="n">
        <v>6.5</v>
      </c>
      <c r="S202" t="inlineStr">
        <is>
          <t>Central English policy</t>
        </is>
      </c>
      <c r="T202" t="inlineStr">
        <is>
          <t>Level map (Melbourne): not computed per course in this report</t>
        </is>
      </c>
      <c r="U202" t="inlineStr"/>
      <c r="V202" t="inlineStr">
        <is>
          <t>Waiting for Layer 4 review</t>
        </is>
      </c>
      <c r="W202" t="inlineStr"/>
      <c r="X202" t="inlineStr"/>
      <c r="Y202" t="n">
        <v>0</v>
      </c>
      <c r="Z202" t="inlineStr">
        <is>
          <t>No</t>
        </is>
      </c>
      <c r="AA202" t="inlineStr">
        <is>
          <t>Filled</t>
        </is>
      </c>
      <c r="AB202" t="inlineStr">
        <is>
          <t>on campus</t>
        </is>
      </c>
      <c r="AC202" t="inlineStr"/>
      <c r="AD202" t="n">
        <v>0</v>
      </c>
      <c r="AE202" t="inlineStr"/>
      <c r="AF202" t="inlineStr">
        <is>
          <t>Yes</t>
        </is>
      </c>
      <c r="AG202" t="inlineStr"/>
      <c r="AH202" t="inlineStr"/>
      <c r="AI202" t="inlineStr">
        <is>
          <t>Yes</t>
        </is>
      </c>
      <c r="AJ202" t="inlineStr"/>
      <c r="AK202" t="inlineStr"/>
      <c r="AL202" t="inlineStr"/>
      <c r="AM202" t="inlineStr"/>
    </row>
    <row r="203">
      <c r="A203" t="inlineStr">
        <is>
          <t>027565G</t>
        </is>
      </c>
      <c r="B203" t="inlineStr">
        <is>
          <t>Master of Art Curatorship</t>
        </is>
      </c>
      <c r="C203" t="inlineStr">
        <is>
          <t>Masters Degree (Coursework)</t>
        </is>
      </c>
      <c r="D203" t="inlineStr">
        <is>
          <t>Postgraduate coursework</t>
        </is>
      </c>
      <c r="E203" t="inlineStr">
        <is>
          <t>Advertised: official page in place</t>
        </is>
      </c>
      <c r="F203" t="inlineStr">
        <is>
          <t>https://handbook.unimelb.edu.au/2026/courses/038ab</t>
        </is>
      </c>
      <c r="G203" t="inlineStr">
        <is>
          <t>https://handbook.unimelb.edu.au/2026/courses/038ab</t>
        </is>
      </c>
      <c r="H203" t="inlineStr">
        <is>
          <t>Read</t>
        </is>
      </c>
      <c r="I203" t="inlineStr">
        <is>
          <t>CRICOS code on page</t>
        </is>
      </c>
      <c r="J203" t="inlineStr"/>
      <c r="K203" t="inlineStr">
        <is>
          <t>Not sent to re-link</t>
        </is>
      </c>
      <c r="L203" t="inlineStr">
        <is>
          <t>Filled</t>
        </is>
      </c>
      <c r="M203" t="inlineStr">
        <is>
          <t>Filled</t>
        </is>
      </c>
      <c r="N203" t="inlineStr">
        <is>
          <t>52416.00 2027</t>
        </is>
      </c>
      <c r="O203" t="n">
        <v>3</v>
      </c>
      <c r="P203" t="inlineStr">
        <is>
          <t>Other</t>
        </is>
      </c>
      <c r="Q203" t="inlineStr">
        <is>
          <t>Filled</t>
        </is>
      </c>
      <c r="R203" t="n">
        <v>6.5</v>
      </c>
      <c r="S203" t="inlineStr">
        <is>
          <t>Central English policy</t>
        </is>
      </c>
      <c r="T203" t="inlineStr">
        <is>
          <t>Level map (Melbourne): not computed per course in this report</t>
        </is>
      </c>
      <c r="U203" t="inlineStr"/>
      <c r="V203" t="inlineStr">
        <is>
          <t>Not stated on course page</t>
        </is>
      </c>
      <c r="W203" t="inlineStr"/>
      <c r="X203" t="inlineStr"/>
      <c r="Y203" t="n">
        <v>0</v>
      </c>
      <c r="Z203" t="inlineStr">
        <is>
          <t>No</t>
        </is>
      </c>
      <c r="AA203" t="inlineStr">
        <is>
          <t>Filled</t>
        </is>
      </c>
      <c r="AB203" t="inlineStr">
        <is>
          <t>on campus</t>
        </is>
      </c>
      <c r="AC203" t="inlineStr"/>
      <c r="AD203" t="n">
        <v>0</v>
      </c>
      <c r="AE203" t="inlineStr"/>
      <c r="AF203" t="inlineStr"/>
      <c r="AG203" t="inlineStr"/>
      <c r="AH203" t="inlineStr"/>
      <c r="AI203" t="inlineStr">
        <is>
          <t>Yes</t>
        </is>
      </c>
      <c r="AJ203" t="inlineStr"/>
      <c r="AK203" t="inlineStr"/>
      <c r="AL203" t="inlineStr"/>
      <c r="AM203" t="inlineStr"/>
    </row>
    <row r="204">
      <c r="A204" t="inlineStr">
        <is>
          <t>007306C</t>
        </is>
      </c>
      <c r="B204" t="inlineStr">
        <is>
          <t>Master of Arts</t>
        </is>
      </c>
      <c r="C204" t="inlineStr">
        <is>
          <t>Masters Degree (Research)</t>
        </is>
      </c>
      <c r="D204" t="inlineStr">
        <is>
          <t>Research degree</t>
        </is>
      </c>
      <c r="E204" t="inlineStr">
        <is>
          <t>Advertised: official page in place</t>
        </is>
      </c>
      <c r="F204" t="inlineStr">
        <is>
          <t>https://study.unimelb.edu.au/find/courses/graduate/master-of-arts-thesis-only/</t>
        </is>
      </c>
      <c r="G204" t="inlineStr">
        <is>
          <t>https://study.unimelb.edu.au/find/courses/graduate/master-of-arts-thesis-only/</t>
        </is>
      </c>
      <c r="H204" t="inlineStr">
        <is>
          <t>Read</t>
        </is>
      </c>
      <c r="I204" t="inlineStr">
        <is>
          <t>Exact title match</t>
        </is>
      </c>
      <c r="J204" t="inlineStr"/>
      <c r="K204" t="inlineStr">
        <is>
          <t>Not sent to re-link</t>
        </is>
      </c>
      <c r="L204" t="inlineStr">
        <is>
          <t>Filled</t>
        </is>
      </c>
      <c r="M204" t="inlineStr">
        <is>
          <t>Filled</t>
        </is>
      </c>
      <c r="N204" t="inlineStr">
        <is>
          <t>50976.00 2026</t>
        </is>
      </c>
      <c r="O204" t="n">
        <v>0</v>
      </c>
      <c r="P204" t="inlineStr">
        <is>
          <t>University adapter</t>
        </is>
      </c>
      <c r="Q204" t="inlineStr">
        <is>
          <t>Not stated on course page</t>
        </is>
      </c>
      <c r="S204" t="inlineStr"/>
      <c r="T204" t="inlineStr">
        <is>
          <t>Level map (Melbourne): not computed per course in this report</t>
        </is>
      </c>
      <c r="U204" t="inlineStr"/>
      <c r="V204" t="inlineStr">
        <is>
          <t>Filled</t>
        </is>
      </c>
      <c r="W204" t="inlineStr">
        <is>
          <t>March</t>
        </is>
      </c>
      <c r="X204" t="inlineStr">
        <is>
          <t>Other</t>
        </is>
      </c>
      <c r="Y204" t="n">
        <v>0</v>
      </c>
      <c r="Z204" t="inlineStr">
        <is>
          <t>No</t>
        </is>
      </c>
      <c r="AA204" t="inlineStr">
        <is>
          <t>Filled</t>
        </is>
      </c>
      <c r="AB204" t="inlineStr">
        <is>
          <t>on campus</t>
        </is>
      </c>
      <c r="AC204" t="inlineStr"/>
      <c r="AD204" t="n">
        <v>0</v>
      </c>
      <c r="AE204" t="inlineStr"/>
      <c r="AF204" t="inlineStr"/>
      <c r="AG204" t="inlineStr"/>
      <c r="AH204" t="inlineStr"/>
      <c r="AI204" t="inlineStr"/>
      <c r="AJ204" t="inlineStr"/>
      <c r="AK204" t="inlineStr"/>
      <c r="AL204" t="inlineStr"/>
      <c r="AM204" t="inlineStr"/>
    </row>
    <row r="205">
      <c r="A205" t="inlineStr">
        <is>
          <t>080605G</t>
        </is>
      </c>
      <c r="B205" t="inlineStr">
        <is>
          <t>Master of Arts (Advanced Seminar and Shorter Thesis)</t>
        </is>
      </c>
      <c r="C205" t="inlineStr">
        <is>
          <t>Masters Degree (Research)</t>
        </is>
      </c>
      <c r="D205" t="inlineStr">
        <is>
          <t>Research degree</t>
        </is>
      </c>
      <c r="E205" t="inlineStr">
        <is>
          <t>Advertised: official page in place</t>
        </is>
      </c>
      <c r="F205" t="inlineStr">
        <is>
          <t>https://study.unimelb.edu.au/find/courses/graduate/master-of-arts-advanced-seminar-shorter-thesis/</t>
        </is>
      </c>
      <c r="G205" t="inlineStr">
        <is>
          <t>https://study.unimelb.edu.au/find/courses/graduate/master-of-arts-advanced-seminar-shorter-thesis/</t>
        </is>
      </c>
      <c r="H205" t="inlineStr">
        <is>
          <t>Read</t>
        </is>
      </c>
      <c r="I205" t="inlineStr">
        <is>
          <t>CRICOS code on page</t>
        </is>
      </c>
      <c r="J205" t="inlineStr"/>
      <c r="K205" t="inlineStr">
        <is>
          <t>Not sent to re-link</t>
        </is>
      </c>
      <c r="L205" t="inlineStr">
        <is>
          <t>Filled</t>
        </is>
      </c>
      <c r="M205" t="inlineStr">
        <is>
          <t>Filled</t>
        </is>
      </c>
      <c r="N205" t="inlineStr">
        <is>
          <t>54016.00 2027</t>
        </is>
      </c>
      <c r="O205" t="n">
        <v>3</v>
      </c>
      <c r="P205" t="inlineStr">
        <is>
          <t>Other</t>
        </is>
      </c>
      <c r="Q205" t="inlineStr">
        <is>
          <t>Not stated on course page</t>
        </is>
      </c>
      <c r="S205" t="inlineStr"/>
      <c r="T205" t="inlineStr">
        <is>
          <t>Level map (Melbourne): not computed per course in this report</t>
        </is>
      </c>
      <c r="U205" t="inlineStr"/>
      <c r="V205" t="inlineStr">
        <is>
          <t>Filled</t>
        </is>
      </c>
      <c r="W205" t="inlineStr">
        <is>
          <t>March</t>
        </is>
      </c>
      <c r="X205" t="inlineStr">
        <is>
          <t>Other</t>
        </is>
      </c>
      <c r="Y205" t="n">
        <v>0</v>
      </c>
      <c r="Z205" t="inlineStr">
        <is>
          <t>No</t>
        </is>
      </c>
      <c r="AA205" t="inlineStr">
        <is>
          <t>Filled</t>
        </is>
      </c>
      <c r="AB205" t="inlineStr">
        <is>
          <t>on campus</t>
        </is>
      </c>
      <c r="AC205" t="inlineStr"/>
      <c r="AD205" t="n">
        <v>0</v>
      </c>
      <c r="AE205" t="inlineStr"/>
      <c r="AF205" t="inlineStr"/>
      <c r="AG205" t="inlineStr"/>
      <c r="AH205" t="inlineStr"/>
      <c r="AI205" t="inlineStr"/>
      <c r="AJ205" t="inlineStr"/>
      <c r="AK205" t="inlineStr"/>
      <c r="AL205" t="inlineStr"/>
      <c r="AM205" t="inlineStr"/>
    </row>
    <row r="206">
      <c r="A206" t="inlineStr">
        <is>
          <t>080604J</t>
        </is>
      </c>
      <c r="B206" t="inlineStr">
        <is>
          <t>Master of Arts (Thesis)</t>
        </is>
      </c>
      <c r="C206" t="inlineStr">
        <is>
          <t>Masters Degree (Research)</t>
        </is>
      </c>
      <c r="D206" t="inlineStr">
        <is>
          <t>Research degree</t>
        </is>
      </c>
      <c r="E206" t="inlineStr">
        <is>
          <t>Advertised: official page in place</t>
        </is>
      </c>
      <c r="F206" t="inlineStr">
        <is>
          <t>https://handbook.unimelb.edu.au/2026/courses/mr-artsths</t>
        </is>
      </c>
      <c r="G206" t="inlineStr">
        <is>
          <t>https://handbook.unimelb.edu.au/2026/courses/mr-artsths</t>
        </is>
      </c>
      <c r="H206" t="inlineStr">
        <is>
          <t>Read</t>
        </is>
      </c>
      <c r="I206" t="inlineStr">
        <is>
          <t>CRICOS code on page</t>
        </is>
      </c>
      <c r="J206" t="inlineStr"/>
      <c r="K206" t="inlineStr">
        <is>
          <t>Not sent to re-link</t>
        </is>
      </c>
      <c r="L206" t="inlineStr">
        <is>
          <t>Filled</t>
        </is>
      </c>
      <c r="M206" t="inlineStr">
        <is>
          <t>Filled</t>
        </is>
      </c>
      <c r="N206" t="inlineStr">
        <is>
          <t>54016.00 2027</t>
        </is>
      </c>
      <c r="O206" t="n">
        <v>3</v>
      </c>
      <c r="P206" t="inlineStr">
        <is>
          <t>Other</t>
        </is>
      </c>
      <c r="Q206" t="inlineStr">
        <is>
          <t>Not stated on course page</t>
        </is>
      </c>
      <c r="S206" t="inlineStr"/>
      <c r="T206" t="inlineStr">
        <is>
          <t>Level map (Melbourne): not computed per course in this report</t>
        </is>
      </c>
      <c r="U206" t="inlineStr"/>
      <c r="V206" t="inlineStr">
        <is>
          <t>Not stated on course page</t>
        </is>
      </c>
      <c r="W206" t="inlineStr"/>
      <c r="X206" t="inlineStr"/>
      <c r="Y206" t="n">
        <v>0</v>
      </c>
      <c r="Z206" t="inlineStr">
        <is>
          <t>No</t>
        </is>
      </c>
      <c r="AA206" t="inlineStr">
        <is>
          <t>Filled</t>
        </is>
      </c>
      <c r="AB206" t="inlineStr">
        <is>
          <t>on campus</t>
        </is>
      </c>
      <c r="AC206" t="inlineStr"/>
      <c r="AD206" t="n">
        <v>0</v>
      </c>
      <c r="AE206" t="inlineStr"/>
      <c r="AF206" t="inlineStr"/>
      <c r="AG206" t="inlineStr"/>
      <c r="AH206" t="inlineStr"/>
      <c r="AI206" t="inlineStr">
        <is>
          <t>Yes</t>
        </is>
      </c>
      <c r="AJ206" t="inlineStr"/>
      <c r="AK206" t="inlineStr"/>
      <c r="AL206" t="inlineStr"/>
      <c r="AM206" t="inlineStr"/>
    </row>
    <row r="207">
      <c r="A207" t="inlineStr">
        <is>
          <t>075493J</t>
        </is>
      </c>
      <c r="B207" t="inlineStr">
        <is>
          <t>Master of Arts and Community Practice</t>
        </is>
      </c>
      <c r="C207" t="inlineStr">
        <is>
          <t>Masters Degree (Coursework)</t>
        </is>
      </c>
      <c r="D207" t="inlineStr">
        <is>
          <t>Postgraduate coursework</t>
        </is>
      </c>
      <c r="E207" t="inlineStr">
        <is>
          <t>Page found, needs a rendered read</t>
        </is>
      </c>
      <c r="F207" t="inlineStr"/>
      <c r="G207" t="inlineStr">
        <is>
          <t>https://handbook.unimelb.edu.au/2026/courses/mc-acp</t>
        </is>
      </c>
      <c r="H207" t="inlineStr">
        <is>
          <t>Needs a rendered read</t>
        </is>
      </c>
      <c r="I207" t="inlineStr"/>
      <c r="J207" t="inlineStr"/>
      <c r="K207" t="inlineStr">
        <is>
          <t>Finished, no page: no address from the university's address forms or stored lis</t>
        </is>
      </c>
      <c r="L207" t="inlineStr">
        <is>
          <t>Page found, being read</t>
        </is>
      </c>
      <c r="M207" t="inlineStr">
        <is>
          <t>Page found, being read</t>
        </is>
      </c>
      <c r="N207" t="inlineStr"/>
      <c r="O207" t="n">
        <v>0</v>
      </c>
      <c r="P207" t="inlineStr"/>
      <c r="Q207" t="inlineStr">
        <is>
          <t>Page found, being read</t>
        </is>
      </c>
      <c r="S207" t="inlineStr"/>
      <c r="T207" t="inlineStr">
        <is>
          <t>Level map (Melbourne): not computed per course in this report</t>
        </is>
      </c>
      <c r="U207" t="inlineStr"/>
      <c r="V207" t="inlineStr">
        <is>
          <t>Page found, being read</t>
        </is>
      </c>
      <c r="W207" t="inlineStr"/>
      <c r="X207" t="inlineStr"/>
      <c r="Y207" t="n">
        <v>0</v>
      </c>
      <c r="Z207" t="inlineStr">
        <is>
          <t>No</t>
        </is>
      </c>
      <c r="AA207" t="inlineStr">
        <is>
          <t>Not stated on course page</t>
        </is>
      </c>
      <c r="AB207" t="inlineStr"/>
      <c r="AC207" t="inlineStr">
        <is>
          <t>Skipped: the page does not state it</t>
        </is>
      </c>
      <c r="AD207" t="n">
        <v>0</v>
      </c>
      <c r="AE207" t="inlineStr">
        <is>
          <t>Yes</t>
        </is>
      </c>
      <c r="AF207" t="inlineStr"/>
      <c r="AG207" t="inlineStr"/>
      <c r="AH207" t="inlineStr"/>
      <c r="AI207" t="inlineStr"/>
      <c r="AJ207" t="inlineStr"/>
      <c r="AK207" t="inlineStr"/>
      <c r="AL207" t="inlineStr"/>
      <c r="AM207" t="inlineStr"/>
    </row>
    <row r="208">
      <c r="A208" t="inlineStr">
        <is>
          <t>073305A</t>
        </is>
      </c>
      <c r="B208" t="inlineStr">
        <is>
          <t>Master of Arts and Cultural Management</t>
        </is>
      </c>
      <c r="C208" t="inlineStr">
        <is>
          <t>Masters Degree (Coursework)</t>
        </is>
      </c>
      <c r="D208" t="inlineStr">
        <is>
          <t>Postgraduate coursework</t>
        </is>
      </c>
      <c r="E208" t="inlineStr">
        <is>
          <t>Advertised: official page in place</t>
        </is>
      </c>
      <c r="F208" t="inlineStr">
        <is>
          <t>https://study.unimelb.edu.au/find/courses/graduate/master-of-arts-and-cultural-management/</t>
        </is>
      </c>
      <c r="G208" t="inlineStr">
        <is>
          <t>https://study.unimelb.edu.au/find/courses/graduate/master-of-arts-and-cultural-management/</t>
        </is>
      </c>
      <c r="H208" t="inlineStr">
        <is>
          <t>Read</t>
        </is>
      </c>
      <c r="I208" t="inlineStr">
        <is>
          <t>CRICOS code on page</t>
        </is>
      </c>
      <c r="J208" t="inlineStr"/>
      <c r="K208" t="inlineStr">
        <is>
          <t>Not sent to re-link</t>
        </is>
      </c>
      <c r="L208" t="inlineStr">
        <is>
          <t>Filled</t>
        </is>
      </c>
      <c r="M208" t="inlineStr">
        <is>
          <t>Filled</t>
        </is>
      </c>
      <c r="N208" t="inlineStr">
        <is>
          <t>52416.00 2027</t>
        </is>
      </c>
      <c r="O208" t="n">
        <v>3</v>
      </c>
      <c r="P208" t="inlineStr">
        <is>
          <t>Other</t>
        </is>
      </c>
      <c r="Q208" t="inlineStr">
        <is>
          <t>Filled</t>
        </is>
      </c>
      <c r="R208" t="n">
        <v>6.5</v>
      </c>
      <c r="S208" t="inlineStr">
        <is>
          <t>University adapter</t>
        </is>
      </c>
      <c r="T208" t="inlineStr">
        <is>
          <t>Level map (Melbourne): not computed per course in this report</t>
        </is>
      </c>
      <c r="U208" t="inlineStr"/>
      <c r="V208" t="inlineStr">
        <is>
          <t>Filled</t>
        </is>
      </c>
      <c r="W208" t="inlineStr">
        <is>
          <t>March, July</t>
        </is>
      </c>
      <c r="X208" t="inlineStr">
        <is>
          <t>University adapter</t>
        </is>
      </c>
      <c r="Y208" t="n">
        <v>0</v>
      </c>
      <c r="Z208" t="inlineStr">
        <is>
          <t>No</t>
        </is>
      </c>
      <c r="AA208" t="inlineStr">
        <is>
          <t>Filled</t>
        </is>
      </c>
      <c r="AB208" t="inlineStr">
        <is>
          <t>on campus</t>
        </is>
      </c>
      <c r="AC208" t="inlineStr"/>
      <c r="AD208" t="n">
        <v>0</v>
      </c>
      <c r="AE208" t="inlineStr"/>
      <c r="AF208" t="inlineStr"/>
      <c r="AG208" t="inlineStr"/>
      <c r="AH208" t="inlineStr"/>
      <c r="AI208" t="inlineStr"/>
      <c r="AJ208" t="inlineStr"/>
      <c r="AK208" t="inlineStr"/>
      <c r="AL208" t="inlineStr"/>
      <c r="AM208" t="inlineStr"/>
    </row>
    <row r="209">
      <c r="A209" t="inlineStr">
        <is>
          <t>075003K</t>
        </is>
      </c>
      <c r="B209" t="inlineStr">
        <is>
          <t>Master of Banking and Finance Law</t>
        </is>
      </c>
      <c r="C209" t="inlineStr">
        <is>
          <t>Masters Degree (Coursework)</t>
        </is>
      </c>
      <c r="D209" t="inlineStr">
        <is>
          <t>Postgraduate coursework</t>
        </is>
      </c>
      <c r="E209" t="inlineStr">
        <is>
          <t>Advertised: official page in place</t>
        </is>
      </c>
      <c r="F209" t="inlineStr">
        <is>
          <t>https://study.unimelb.edu.au/find/courses/graduate/master-of-banking-and-finance-law/</t>
        </is>
      </c>
      <c r="G209" t="inlineStr">
        <is>
          <t>https://study.unimelb.edu.au/find/courses/graduate/master-of-banking-and-finance-law/</t>
        </is>
      </c>
      <c r="H209" t="inlineStr">
        <is>
          <t>Read</t>
        </is>
      </c>
      <c r="I209" t="inlineStr">
        <is>
          <t>CRICOS code on page</t>
        </is>
      </c>
      <c r="J209" t="inlineStr"/>
      <c r="K209" t="inlineStr">
        <is>
          <t>Not sent to re-link</t>
        </is>
      </c>
      <c r="L209" t="inlineStr">
        <is>
          <t>Filled</t>
        </is>
      </c>
      <c r="M209" t="inlineStr">
        <is>
          <t>Filled</t>
        </is>
      </c>
      <c r="N209" t="inlineStr">
        <is>
          <t>67072.00 2027</t>
        </is>
      </c>
      <c r="O209" t="n">
        <v>3</v>
      </c>
      <c r="P209" t="inlineStr">
        <is>
          <t>Other</t>
        </is>
      </c>
      <c r="Q209" t="inlineStr">
        <is>
          <t>Filled</t>
        </is>
      </c>
      <c r="R209" t="n">
        <v>6.5</v>
      </c>
      <c r="S209" t="inlineStr">
        <is>
          <t>University adapter</t>
        </is>
      </c>
      <c r="T209" t="inlineStr">
        <is>
          <t>Level map (Melbourne): not computed per course in this report</t>
        </is>
      </c>
      <c r="U209" t="inlineStr"/>
      <c r="V209" t="inlineStr">
        <is>
          <t>Filled</t>
        </is>
      </c>
      <c r="W209" t="inlineStr">
        <is>
          <t>March, July</t>
        </is>
      </c>
      <c r="X209" t="inlineStr">
        <is>
          <t>University adapter</t>
        </is>
      </c>
      <c r="Y209" t="n">
        <v>3</v>
      </c>
      <c r="Z209" t="inlineStr">
        <is>
          <t>No</t>
        </is>
      </c>
      <c r="AA209" t="inlineStr">
        <is>
          <t>Filled</t>
        </is>
      </c>
      <c r="AB209" t="inlineStr">
        <is>
          <t>on campus</t>
        </is>
      </c>
      <c r="AC209" t="inlineStr"/>
      <c r="AD209" t="n">
        <v>0</v>
      </c>
      <c r="AE209" t="inlineStr"/>
      <c r="AF209" t="inlineStr"/>
      <c r="AG209" t="inlineStr"/>
      <c r="AH209" t="inlineStr"/>
      <c r="AI209" t="inlineStr"/>
      <c r="AJ209" t="inlineStr"/>
      <c r="AK209" t="inlineStr"/>
      <c r="AL209" t="inlineStr"/>
      <c r="AM209" t="inlineStr"/>
    </row>
    <row r="210">
      <c r="A210" t="inlineStr">
        <is>
          <t>106103A</t>
        </is>
      </c>
      <c r="B210" t="inlineStr">
        <is>
          <t>Master of Biomedical Engineering</t>
        </is>
      </c>
      <c r="C210" t="inlineStr">
        <is>
          <t>Masters Degree (Coursework)</t>
        </is>
      </c>
      <c r="D210" t="inlineStr">
        <is>
          <t>Postgraduate coursework</t>
        </is>
      </c>
      <c r="E210" t="inlineStr">
        <is>
          <t>Advertised: official page in place</t>
        </is>
      </c>
      <c r="F210" t="inlineStr">
        <is>
          <t>https://study.unimelb.edu.au/find/courses/graduate/master-of-biomedical-engineering/</t>
        </is>
      </c>
      <c r="G210" t="inlineStr">
        <is>
          <t>https://study.unimelb.edu.au/find/courses/graduate/master-of-biomedical-engineering/</t>
        </is>
      </c>
      <c r="H210" t="inlineStr">
        <is>
          <t>Read</t>
        </is>
      </c>
      <c r="I210" t="inlineStr">
        <is>
          <t>CRICOS code on page</t>
        </is>
      </c>
      <c r="J210" t="inlineStr"/>
      <c r="K210" t="inlineStr">
        <is>
          <t>Not sent to re-link</t>
        </is>
      </c>
      <c r="L210" t="inlineStr">
        <is>
          <t>Filled</t>
        </is>
      </c>
      <c r="M210" t="inlineStr">
        <is>
          <t>Filled</t>
        </is>
      </c>
      <c r="N210" t="inlineStr">
        <is>
          <t>66752.00 2027</t>
        </is>
      </c>
      <c r="O210" t="n">
        <v>2</v>
      </c>
      <c r="P210" t="inlineStr">
        <is>
          <t>Other</t>
        </is>
      </c>
      <c r="Q210" t="inlineStr">
        <is>
          <t>Filled</t>
        </is>
      </c>
      <c r="R210" t="n">
        <v>6.5</v>
      </c>
      <c r="S210" t="inlineStr">
        <is>
          <t>University adapter</t>
        </is>
      </c>
      <c r="T210" t="inlineStr">
        <is>
          <t>Level map (Melbourne): not computed per course in this report</t>
        </is>
      </c>
      <c r="U210" t="inlineStr"/>
      <c r="V210" t="inlineStr">
        <is>
          <t>Filled</t>
        </is>
      </c>
      <c r="W210" t="inlineStr">
        <is>
          <t>March, July</t>
        </is>
      </c>
      <c r="X210" t="inlineStr">
        <is>
          <t>Other</t>
        </is>
      </c>
      <c r="Y210" t="n">
        <v>0</v>
      </c>
      <c r="Z210" t="inlineStr">
        <is>
          <t>No</t>
        </is>
      </c>
      <c r="AA210" t="inlineStr">
        <is>
          <t>Filled</t>
        </is>
      </c>
      <c r="AB210" t="inlineStr">
        <is>
          <t>on campus</t>
        </is>
      </c>
      <c r="AC210" t="inlineStr"/>
      <c r="AD210" t="n">
        <v>0</v>
      </c>
      <c r="AE210" t="inlineStr"/>
      <c r="AF210" t="inlineStr"/>
      <c r="AG210" t="inlineStr"/>
      <c r="AH210" t="inlineStr"/>
      <c r="AI210" t="inlineStr"/>
      <c r="AJ210" t="inlineStr"/>
      <c r="AK210" t="inlineStr"/>
      <c r="AL210" t="inlineStr"/>
      <c r="AM210" t="inlineStr"/>
    </row>
    <row r="211">
      <c r="A211" t="inlineStr">
        <is>
          <t>079405D</t>
        </is>
      </c>
      <c r="B211" t="inlineStr">
        <is>
          <t>Master of Biomedical Science</t>
        </is>
      </c>
      <c r="C211" t="inlineStr">
        <is>
          <t>Masters Degree (Coursework)</t>
        </is>
      </c>
      <c r="D211" t="inlineStr">
        <is>
          <t>Postgraduate coursework</t>
        </is>
      </c>
      <c r="E211" t="inlineStr">
        <is>
          <t>Advertised: official page in place</t>
        </is>
      </c>
      <c r="F211" t="inlineStr">
        <is>
          <t>https://study.unimelb.edu.au/find/courses/graduate/master-of-biomedical-science/</t>
        </is>
      </c>
      <c r="G211" t="inlineStr">
        <is>
          <t>https://study.unimelb.edu.au/find/courses/graduate/master-of-biomedical-science/</t>
        </is>
      </c>
      <c r="H211" t="inlineStr">
        <is>
          <t>Read</t>
        </is>
      </c>
      <c r="I211" t="inlineStr">
        <is>
          <t>CRICOS code on page</t>
        </is>
      </c>
      <c r="J211" t="inlineStr"/>
      <c r="K211" t="inlineStr">
        <is>
          <t>Not sent to re-link</t>
        </is>
      </c>
      <c r="L211" t="inlineStr">
        <is>
          <t>Filled</t>
        </is>
      </c>
      <c r="M211" t="inlineStr">
        <is>
          <t>Filled</t>
        </is>
      </c>
      <c r="N211" t="inlineStr">
        <is>
          <t>62688.00 2027</t>
        </is>
      </c>
      <c r="O211" t="n">
        <v>3</v>
      </c>
      <c r="P211" t="inlineStr">
        <is>
          <t>Other</t>
        </is>
      </c>
      <c r="Q211" t="inlineStr">
        <is>
          <t>Filled</t>
        </is>
      </c>
      <c r="R211" t="n">
        <v>6.5</v>
      </c>
      <c r="S211" t="inlineStr">
        <is>
          <t>University adapter</t>
        </is>
      </c>
      <c r="T211" t="inlineStr">
        <is>
          <t>Level map (Melbourne): not computed per course in this report</t>
        </is>
      </c>
      <c r="U211" t="inlineStr"/>
      <c r="V211" t="inlineStr">
        <is>
          <t>Filled</t>
        </is>
      </c>
      <c r="W211" t="inlineStr">
        <is>
          <t>March, July</t>
        </is>
      </c>
      <c r="X211" t="inlineStr">
        <is>
          <t>University adapter</t>
        </is>
      </c>
      <c r="Y211" t="n">
        <v>0</v>
      </c>
      <c r="Z211" t="inlineStr">
        <is>
          <t>No</t>
        </is>
      </c>
      <c r="AA211" t="inlineStr">
        <is>
          <t>Filled</t>
        </is>
      </c>
      <c r="AB211" t="inlineStr">
        <is>
          <t>on campus</t>
        </is>
      </c>
      <c r="AC211" t="inlineStr"/>
      <c r="AD211" t="n">
        <v>0</v>
      </c>
      <c r="AE211" t="inlineStr"/>
      <c r="AF211" t="inlineStr"/>
      <c r="AG211" t="inlineStr"/>
      <c r="AH211" t="inlineStr"/>
      <c r="AI211" t="inlineStr"/>
      <c r="AJ211" t="inlineStr"/>
      <c r="AK211" t="inlineStr"/>
      <c r="AL211" t="inlineStr"/>
      <c r="AM211" t="inlineStr"/>
    </row>
    <row r="212">
      <c r="A212" t="inlineStr">
        <is>
          <t>088478A</t>
        </is>
      </c>
      <c r="B212" t="inlineStr">
        <is>
          <t>Master of Biostatistics</t>
        </is>
      </c>
      <c r="C212" t="inlineStr">
        <is>
          <t>Masters Degree (Coursework)</t>
        </is>
      </c>
      <c r="D212" t="inlineStr">
        <is>
          <t>Postgraduate coursework</t>
        </is>
      </c>
      <c r="E212" t="inlineStr">
        <is>
          <t>Advertised: official page in place</t>
        </is>
      </c>
      <c r="F212" t="inlineStr">
        <is>
          <t>https://study.unimelb.edu.au/find/courses/graduate/master-of-biostatistics/</t>
        </is>
      </c>
      <c r="G212" t="inlineStr">
        <is>
          <t>https://study.unimelb.edu.au/find/courses/graduate/master-of-biostatistics/</t>
        </is>
      </c>
      <c r="H212" t="inlineStr">
        <is>
          <t>Read</t>
        </is>
      </c>
      <c r="I212" t="inlineStr">
        <is>
          <t>CRICOS code on page</t>
        </is>
      </c>
      <c r="J212" t="inlineStr"/>
      <c r="K212" t="inlineStr">
        <is>
          <t>Not sent to re-link</t>
        </is>
      </c>
      <c r="L212" t="inlineStr">
        <is>
          <t>Filled</t>
        </is>
      </c>
      <c r="M212" t="inlineStr">
        <is>
          <t>Filled</t>
        </is>
      </c>
      <c r="N212" t="inlineStr">
        <is>
          <t>66752.00 2027</t>
        </is>
      </c>
      <c r="O212" t="n">
        <v>3</v>
      </c>
      <c r="P212" t="inlineStr">
        <is>
          <t>Other</t>
        </is>
      </c>
      <c r="Q212" t="inlineStr">
        <is>
          <t>Filled</t>
        </is>
      </c>
      <c r="R212" t="n">
        <v>6.5</v>
      </c>
      <c r="S212" t="inlineStr">
        <is>
          <t>University adapter</t>
        </is>
      </c>
      <c r="T212" t="inlineStr">
        <is>
          <t>Level map (Melbourne): not computed per course in this report</t>
        </is>
      </c>
      <c r="U212" t="inlineStr"/>
      <c r="V212" t="inlineStr">
        <is>
          <t>Filled</t>
        </is>
      </c>
      <c r="W212" t="inlineStr">
        <is>
          <t>March</t>
        </is>
      </c>
      <c r="X212" t="inlineStr">
        <is>
          <t>University adapter</t>
        </is>
      </c>
      <c r="Y212" t="n">
        <v>1</v>
      </c>
      <c r="Z212" t="inlineStr">
        <is>
          <t>No</t>
        </is>
      </c>
      <c r="AA212" t="inlineStr">
        <is>
          <t>Filled</t>
        </is>
      </c>
      <c r="AB212" t="inlineStr">
        <is>
          <t>on campus</t>
        </is>
      </c>
      <c r="AC212" t="inlineStr"/>
      <c r="AD212" t="n">
        <v>0</v>
      </c>
      <c r="AE212" t="inlineStr"/>
      <c r="AF212" t="inlineStr"/>
      <c r="AG212" t="inlineStr"/>
      <c r="AH212" t="inlineStr"/>
      <c r="AI212" t="inlineStr"/>
      <c r="AJ212" t="inlineStr"/>
      <c r="AK212" t="inlineStr"/>
      <c r="AL212" t="inlineStr"/>
      <c r="AM212" t="inlineStr"/>
    </row>
    <row r="213">
      <c r="A213" t="inlineStr">
        <is>
          <t>111031C</t>
        </is>
      </c>
      <c r="B213" t="inlineStr">
        <is>
          <t>Master of Biostatistics (Enhanced)</t>
        </is>
      </c>
      <c r="C213" t="inlineStr">
        <is>
          <t>Masters Degree (Coursework)</t>
        </is>
      </c>
      <c r="D213" t="inlineStr">
        <is>
          <t>Postgraduate coursework</t>
        </is>
      </c>
      <c r="E213" t="inlineStr">
        <is>
          <t>Advertised: official page in place</t>
        </is>
      </c>
      <c r="F213" t="inlineStr">
        <is>
          <t>https://study.unimelb.edu.au/find/courses/graduate/master-of-biostatistics-enhanced/</t>
        </is>
      </c>
      <c r="G213" t="inlineStr">
        <is>
          <t>https://study.unimelb.edu.au/find/courses/graduate/master-of-biostatistics-enhanced/</t>
        </is>
      </c>
      <c r="H213" t="inlineStr">
        <is>
          <t>Read</t>
        </is>
      </c>
      <c r="I213" t="inlineStr">
        <is>
          <t>CRICOS code on page</t>
        </is>
      </c>
      <c r="J213" t="inlineStr"/>
      <c r="K213" t="inlineStr">
        <is>
          <t>Not sent to re-link</t>
        </is>
      </c>
      <c r="L213" t="inlineStr">
        <is>
          <t>Filled</t>
        </is>
      </c>
      <c r="M213" t="inlineStr">
        <is>
          <t>Filled</t>
        </is>
      </c>
      <c r="N213" t="inlineStr">
        <is>
          <t>66752.00 2027</t>
        </is>
      </c>
      <c r="O213" t="n">
        <v>3</v>
      </c>
      <c r="P213" t="inlineStr">
        <is>
          <t>Other</t>
        </is>
      </c>
      <c r="Q213" t="inlineStr">
        <is>
          <t>Filled</t>
        </is>
      </c>
      <c r="R213" t="n">
        <v>6.5</v>
      </c>
      <c r="S213" t="inlineStr">
        <is>
          <t>Other</t>
        </is>
      </c>
      <c r="T213" t="inlineStr">
        <is>
          <t>Level map (Melbourne): not computed per course in this report</t>
        </is>
      </c>
      <c r="U213" t="inlineStr"/>
      <c r="V213" t="inlineStr">
        <is>
          <t>Filled</t>
        </is>
      </c>
      <c r="W213" t="inlineStr">
        <is>
          <t>March, July</t>
        </is>
      </c>
      <c r="X213" t="inlineStr">
        <is>
          <t>Other</t>
        </is>
      </c>
      <c r="Y213" t="n">
        <v>0</v>
      </c>
      <c r="Z213" t="inlineStr">
        <is>
          <t>No</t>
        </is>
      </c>
      <c r="AA213" t="inlineStr">
        <is>
          <t>Filled</t>
        </is>
      </c>
      <c r="AB213" t="inlineStr">
        <is>
          <t>blended</t>
        </is>
      </c>
      <c r="AC213" t="inlineStr"/>
      <c r="AD213" t="n">
        <v>0</v>
      </c>
      <c r="AE213" t="inlineStr"/>
      <c r="AF213" t="inlineStr"/>
      <c r="AG213" t="inlineStr"/>
      <c r="AH213" t="inlineStr"/>
      <c r="AI213" t="inlineStr"/>
      <c r="AJ213" t="inlineStr"/>
      <c r="AK213" t="inlineStr"/>
      <c r="AL213" t="inlineStr"/>
      <c r="AM213" t="inlineStr"/>
    </row>
    <row r="214">
      <c r="A214" t="inlineStr">
        <is>
          <t>072809G</t>
        </is>
      </c>
      <c r="B214" t="inlineStr">
        <is>
          <t>Master of Biotechnology</t>
        </is>
      </c>
      <c r="C214" t="inlineStr">
        <is>
          <t>Masters Degree (Coursework)</t>
        </is>
      </c>
      <c r="D214" t="inlineStr">
        <is>
          <t>Postgraduate coursework</t>
        </is>
      </c>
      <c r="E214" t="inlineStr">
        <is>
          <t>Advertised: official page in place</t>
        </is>
      </c>
      <c r="F214" t="inlineStr">
        <is>
          <t>https://study.unimelb.edu.au/find/courses/graduate/master-of-biotechnology/</t>
        </is>
      </c>
      <c r="G214" t="inlineStr">
        <is>
          <t>https://study.unimelb.edu.au/find/courses/graduate/master-of-biotechnology/</t>
        </is>
      </c>
      <c r="H214" t="inlineStr">
        <is>
          <t>Read</t>
        </is>
      </c>
      <c r="I214" t="inlineStr">
        <is>
          <t>CRICOS code on page</t>
        </is>
      </c>
      <c r="J214" t="inlineStr"/>
      <c r="K214" t="inlineStr">
        <is>
          <t>Not sent to re-link</t>
        </is>
      </c>
      <c r="L214" t="inlineStr">
        <is>
          <t>Filled</t>
        </is>
      </c>
      <c r="M214" t="inlineStr">
        <is>
          <t>Filled</t>
        </is>
      </c>
      <c r="N214" t="inlineStr">
        <is>
          <t>59424.00 2027</t>
        </is>
      </c>
      <c r="O214" t="n">
        <v>3</v>
      </c>
      <c r="P214" t="inlineStr">
        <is>
          <t>Other</t>
        </is>
      </c>
      <c r="Q214" t="inlineStr">
        <is>
          <t>Filled</t>
        </is>
      </c>
      <c r="R214" t="n">
        <v>6.5</v>
      </c>
      <c r="S214" t="inlineStr">
        <is>
          <t>University adapter</t>
        </is>
      </c>
      <c r="T214" t="inlineStr">
        <is>
          <t>Level map (Melbourne): not computed per course in this report</t>
        </is>
      </c>
      <c r="U214" t="inlineStr"/>
      <c r="V214" t="inlineStr">
        <is>
          <t>Filled</t>
        </is>
      </c>
      <c r="W214" t="inlineStr">
        <is>
          <t>March, July</t>
        </is>
      </c>
      <c r="X214" t="inlineStr">
        <is>
          <t>Other</t>
        </is>
      </c>
      <c r="Y214" t="n">
        <v>0</v>
      </c>
      <c r="Z214" t="inlineStr">
        <is>
          <t>No</t>
        </is>
      </c>
      <c r="AA214" t="inlineStr">
        <is>
          <t>Filled</t>
        </is>
      </c>
      <c r="AB214" t="inlineStr">
        <is>
          <t>on campus</t>
        </is>
      </c>
      <c r="AC214" t="inlineStr"/>
      <c r="AD214" t="n">
        <v>0</v>
      </c>
      <c r="AE214" t="inlineStr"/>
      <c r="AF214" t="inlineStr"/>
      <c r="AG214" t="inlineStr"/>
      <c r="AH214" t="inlineStr"/>
      <c r="AI214" t="inlineStr"/>
      <c r="AJ214" t="inlineStr"/>
      <c r="AK214" t="inlineStr"/>
      <c r="AL214" t="inlineStr"/>
      <c r="AM214" t="inlineStr"/>
    </row>
    <row r="215">
      <c r="A215" t="inlineStr">
        <is>
          <t>0101669</t>
        </is>
      </c>
      <c r="B215" t="inlineStr">
        <is>
          <t>Master of Business Administration</t>
        </is>
      </c>
      <c r="C215" t="inlineStr">
        <is>
          <t>Masters Degree (Coursework)</t>
        </is>
      </c>
      <c r="D215" t="inlineStr">
        <is>
          <t>Postgraduate coursework</t>
        </is>
      </c>
      <c r="E215" t="inlineStr">
        <is>
          <t>Advertised: official page in place</t>
        </is>
      </c>
      <c r="F215" t="inlineStr">
        <is>
          <t>https://handbook.unimelb.edu.au/2026/courses/mc-ba</t>
        </is>
      </c>
      <c r="G215" t="inlineStr">
        <is>
          <t>https://handbook.unimelb.edu.au/2026/courses/mc-ba</t>
        </is>
      </c>
      <c r="H215" t="inlineStr">
        <is>
          <t>Read</t>
        </is>
      </c>
      <c r="I215" t="inlineStr">
        <is>
          <t>CRICOS code on page</t>
        </is>
      </c>
      <c r="J215" t="inlineStr"/>
      <c r="K215" t="inlineStr">
        <is>
          <t>Not sent to re-link</t>
        </is>
      </c>
      <c r="L215" t="inlineStr">
        <is>
          <t>Filled</t>
        </is>
      </c>
      <c r="M215" t="inlineStr">
        <is>
          <t>Not stated on course page</t>
        </is>
      </c>
      <c r="N215" t="inlineStr"/>
      <c r="O215" t="n">
        <v>0</v>
      </c>
      <c r="P215" t="inlineStr"/>
      <c r="Q215" t="inlineStr">
        <is>
          <t>Filled</t>
        </is>
      </c>
      <c r="R215" t="n">
        <v>7</v>
      </c>
      <c r="S215" t="inlineStr">
        <is>
          <t>Central English policy</t>
        </is>
      </c>
      <c r="T215" t="inlineStr">
        <is>
          <t>Level map (Melbourne): not computed per course in this report</t>
        </is>
      </c>
      <c r="U215" t="inlineStr"/>
      <c r="V215" t="inlineStr">
        <is>
          <t>Not stated on course page</t>
        </is>
      </c>
      <c r="W215" t="inlineStr"/>
      <c r="X215" t="inlineStr"/>
      <c r="Y215" t="n">
        <v>0</v>
      </c>
      <c r="Z215" t="inlineStr">
        <is>
          <t>No</t>
        </is>
      </c>
      <c r="AA215" t="inlineStr">
        <is>
          <t>Filled</t>
        </is>
      </c>
      <c r="AB215" t="inlineStr">
        <is>
          <t>on campus</t>
        </is>
      </c>
      <c r="AC215" t="inlineStr"/>
      <c r="AD215" t="n">
        <v>0</v>
      </c>
      <c r="AE215" t="inlineStr"/>
      <c r="AF215" t="inlineStr"/>
      <c r="AG215" t="inlineStr"/>
      <c r="AH215" t="inlineStr"/>
      <c r="AI215" t="inlineStr">
        <is>
          <t>Yes</t>
        </is>
      </c>
      <c r="AJ215" t="inlineStr"/>
      <c r="AK215" t="inlineStr"/>
      <c r="AL215" t="inlineStr"/>
      <c r="AM215" t="inlineStr"/>
    </row>
    <row r="216">
      <c r="A216" t="inlineStr">
        <is>
          <t>089359M</t>
        </is>
      </c>
      <c r="B216" t="inlineStr">
        <is>
          <t>Master of Business Administration/Master of Marketing</t>
        </is>
      </c>
      <c r="C216" t="inlineStr">
        <is>
          <t>Masters Degree (Coursework)</t>
        </is>
      </c>
      <c r="D216" t="inlineStr">
        <is>
          <t>Postgraduate coursework</t>
        </is>
      </c>
      <c r="E216" t="inlineStr">
        <is>
          <t>Advertised: official page in place</t>
        </is>
      </c>
      <c r="F216" t="inlineStr">
        <is>
          <t>https://handbook.unimelb.edu.au/2026/courses/mc-bamktg</t>
        </is>
      </c>
      <c r="G216" t="inlineStr">
        <is>
          <t>https://handbook.unimelb.edu.au/2026/courses/mc-bamktg</t>
        </is>
      </c>
      <c r="H216" t="inlineStr">
        <is>
          <t>Read</t>
        </is>
      </c>
      <c r="I216" t="inlineStr">
        <is>
          <t>CRICOS code on page</t>
        </is>
      </c>
      <c r="J216" t="inlineStr"/>
      <c r="K216" t="inlineStr">
        <is>
          <t>Not sent to re-link</t>
        </is>
      </c>
      <c r="L216" t="inlineStr">
        <is>
          <t>Filled</t>
        </is>
      </c>
      <c r="M216" t="inlineStr">
        <is>
          <t>Not stated on course page</t>
        </is>
      </c>
      <c r="N216" t="inlineStr"/>
      <c r="O216" t="n">
        <v>0</v>
      </c>
      <c r="P216" t="inlineStr"/>
      <c r="Q216" t="inlineStr">
        <is>
          <t>Not stated on course page</t>
        </is>
      </c>
      <c r="S216" t="inlineStr"/>
      <c r="T216" t="inlineStr">
        <is>
          <t>Level map (Melbourne): not computed per course in this report</t>
        </is>
      </c>
      <c r="U216" t="inlineStr"/>
      <c r="V216" t="inlineStr">
        <is>
          <t>Not stated on course page</t>
        </is>
      </c>
      <c r="W216" t="inlineStr"/>
      <c r="X216" t="inlineStr"/>
      <c r="Y216" t="n">
        <v>0</v>
      </c>
      <c r="Z216" t="inlineStr">
        <is>
          <t>No</t>
        </is>
      </c>
      <c r="AA216" t="inlineStr">
        <is>
          <t>Filled</t>
        </is>
      </c>
      <c r="AB216" t="inlineStr">
        <is>
          <t>on campus</t>
        </is>
      </c>
      <c r="AC216" t="inlineStr"/>
      <c r="AD216" t="n">
        <v>0</v>
      </c>
      <c r="AE216" t="inlineStr"/>
      <c r="AF216" t="inlineStr"/>
      <c r="AG216" t="inlineStr"/>
      <c r="AH216" t="inlineStr"/>
      <c r="AI216" t="inlineStr">
        <is>
          <t>Yes</t>
        </is>
      </c>
      <c r="AJ216" t="inlineStr"/>
      <c r="AK216" t="inlineStr"/>
      <c r="AL216" t="inlineStr"/>
      <c r="AM216" t="inlineStr"/>
    </row>
    <row r="217">
      <c r="A217" t="inlineStr">
        <is>
          <t>084058J</t>
        </is>
      </c>
      <c r="B217" t="inlineStr">
        <is>
          <t>Master of Business Analytics</t>
        </is>
      </c>
      <c r="C217" t="inlineStr">
        <is>
          <t>Masters Degree (Coursework)</t>
        </is>
      </c>
      <c r="D217" t="inlineStr">
        <is>
          <t>Postgraduate coursework</t>
        </is>
      </c>
      <c r="E217" t="inlineStr">
        <is>
          <t>Advertised: official page in place</t>
        </is>
      </c>
      <c r="F217" t="inlineStr">
        <is>
          <t>https://handbook.unimelb.edu.au/2026/courses/mc-busana</t>
        </is>
      </c>
      <c r="G217" t="inlineStr">
        <is>
          <t>https://handbook.unimelb.edu.au/2026/courses/mc-busana</t>
        </is>
      </c>
      <c r="H217" t="inlineStr">
        <is>
          <t>Read</t>
        </is>
      </c>
      <c r="I217" t="inlineStr">
        <is>
          <t>CRICOS code on page</t>
        </is>
      </c>
      <c r="J217" t="inlineStr"/>
      <c r="K217" t="inlineStr">
        <is>
          <t>Not sent to re-link</t>
        </is>
      </c>
      <c r="L217" t="inlineStr">
        <is>
          <t>Filled</t>
        </is>
      </c>
      <c r="M217" t="inlineStr">
        <is>
          <t>Not stated on course page</t>
        </is>
      </c>
      <c r="N217" t="inlineStr"/>
      <c r="O217" t="n">
        <v>0</v>
      </c>
      <c r="P217" t="inlineStr"/>
      <c r="Q217" t="inlineStr">
        <is>
          <t>Filled</t>
        </is>
      </c>
      <c r="R217" t="n">
        <v>7</v>
      </c>
      <c r="S217" t="inlineStr">
        <is>
          <t>Central English policy</t>
        </is>
      </c>
      <c r="T217" t="inlineStr">
        <is>
          <t>Level map (Melbourne): not computed per course in this report</t>
        </is>
      </c>
      <c r="U217" t="inlineStr"/>
      <c r="V217" t="inlineStr">
        <is>
          <t>Not stated on course page</t>
        </is>
      </c>
      <c r="W217" t="inlineStr"/>
      <c r="X217" t="inlineStr"/>
      <c r="Y217" t="n">
        <v>0</v>
      </c>
      <c r="Z217" t="inlineStr">
        <is>
          <t>No</t>
        </is>
      </c>
      <c r="AA217" t="inlineStr">
        <is>
          <t>Filled</t>
        </is>
      </c>
      <c r="AB217" t="inlineStr">
        <is>
          <t>on campus</t>
        </is>
      </c>
      <c r="AC217" t="inlineStr"/>
      <c r="AD217" t="n">
        <v>0</v>
      </c>
      <c r="AE217" t="inlineStr"/>
      <c r="AF217" t="inlineStr"/>
      <c r="AG217" t="inlineStr"/>
      <c r="AH217" t="inlineStr"/>
      <c r="AI217" t="inlineStr">
        <is>
          <t>Yes</t>
        </is>
      </c>
      <c r="AJ217" t="inlineStr"/>
      <c r="AK217" t="inlineStr"/>
      <c r="AL217" t="inlineStr"/>
      <c r="AM217" t="inlineStr"/>
    </row>
    <row r="218">
      <c r="A218" t="inlineStr">
        <is>
          <t>106104M</t>
        </is>
      </c>
      <c r="B218" t="inlineStr">
        <is>
          <t>Master of Chemical Engineering</t>
        </is>
      </c>
      <c r="C218" t="inlineStr">
        <is>
          <t>Masters Degree (Coursework)</t>
        </is>
      </c>
      <c r="D218" t="inlineStr">
        <is>
          <t>Postgraduate coursework</t>
        </is>
      </c>
      <c r="E218" t="inlineStr">
        <is>
          <t>Advertised: official page in place</t>
        </is>
      </c>
      <c r="F218" t="inlineStr">
        <is>
          <t>https://study.unimelb.edu.au/find/courses/graduate/master-of-chemical-engineering/</t>
        </is>
      </c>
      <c r="G218" t="inlineStr">
        <is>
          <t>https://study.unimelb.edu.au/find/courses/graduate/master-of-chemical-engineering/</t>
        </is>
      </c>
      <c r="H218" t="inlineStr">
        <is>
          <t>Read</t>
        </is>
      </c>
      <c r="I218" t="inlineStr">
        <is>
          <t>CRICOS code on page</t>
        </is>
      </c>
      <c r="J218" t="inlineStr"/>
      <c r="K218" t="inlineStr">
        <is>
          <t>Not sent to re-link</t>
        </is>
      </c>
      <c r="L218" t="inlineStr">
        <is>
          <t>Filled</t>
        </is>
      </c>
      <c r="M218" t="inlineStr">
        <is>
          <t>Filled</t>
        </is>
      </c>
      <c r="N218" t="inlineStr">
        <is>
          <t>66752.00 2027</t>
        </is>
      </c>
      <c r="O218" t="n">
        <v>2</v>
      </c>
      <c r="P218" t="inlineStr">
        <is>
          <t>Other</t>
        </is>
      </c>
      <c r="Q218" t="inlineStr">
        <is>
          <t>Filled</t>
        </is>
      </c>
      <c r="R218" t="n">
        <v>6.5</v>
      </c>
      <c r="S218" t="inlineStr">
        <is>
          <t>University adapter</t>
        </is>
      </c>
      <c r="T218" t="inlineStr">
        <is>
          <t>Level map (Melbourne): not computed per course in this report</t>
        </is>
      </c>
      <c r="U218" t="inlineStr"/>
      <c r="V218" t="inlineStr">
        <is>
          <t>Filled</t>
        </is>
      </c>
      <c r="W218" t="inlineStr">
        <is>
          <t>March, July</t>
        </is>
      </c>
      <c r="X218" t="inlineStr">
        <is>
          <t>Other</t>
        </is>
      </c>
      <c r="Y218" t="n">
        <v>0</v>
      </c>
      <c r="Z218" t="inlineStr">
        <is>
          <t>No</t>
        </is>
      </c>
      <c r="AA218" t="inlineStr">
        <is>
          <t>Filled</t>
        </is>
      </c>
      <c r="AB218" t="inlineStr">
        <is>
          <t>on campus</t>
        </is>
      </c>
      <c r="AC218" t="inlineStr"/>
      <c r="AD218" t="n">
        <v>0</v>
      </c>
      <c r="AE218" t="inlineStr"/>
      <c r="AF218" t="inlineStr"/>
      <c r="AG218" t="inlineStr"/>
      <c r="AH218" t="inlineStr"/>
      <c r="AI218" t="inlineStr"/>
      <c r="AJ218" t="inlineStr"/>
      <c r="AK218" t="inlineStr"/>
      <c r="AL218" t="inlineStr"/>
      <c r="AM218" t="inlineStr"/>
    </row>
    <row r="219">
      <c r="A219" t="inlineStr">
        <is>
          <t>106105K</t>
        </is>
      </c>
      <c r="B219" t="inlineStr">
        <is>
          <t>Master of Civil Engineering</t>
        </is>
      </c>
      <c r="C219" t="inlineStr">
        <is>
          <t>Masters Degree (Coursework)</t>
        </is>
      </c>
      <c r="D219" t="inlineStr">
        <is>
          <t>Postgraduate coursework</t>
        </is>
      </c>
      <c r="E219" t="inlineStr">
        <is>
          <t>Advertised: official page in place</t>
        </is>
      </c>
      <c r="F219" t="inlineStr">
        <is>
          <t>https://study.unimelb.edu.au/find/courses/graduate/master-of-civil-engineering/</t>
        </is>
      </c>
      <c r="G219" t="inlineStr">
        <is>
          <t>https://study.unimelb.edu.au/find/courses/graduate/master-of-civil-engineering/</t>
        </is>
      </c>
      <c r="H219" t="inlineStr">
        <is>
          <t>Read</t>
        </is>
      </c>
      <c r="I219" t="inlineStr">
        <is>
          <t>CRICOS code on page</t>
        </is>
      </c>
      <c r="J219" t="inlineStr"/>
      <c r="K219" t="inlineStr">
        <is>
          <t>Not sent to re-link</t>
        </is>
      </c>
      <c r="L219" t="inlineStr">
        <is>
          <t>Filled</t>
        </is>
      </c>
      <c r="M219" t="inlineStr">
        <is>
          <t>Filled</t>
        </is>
      </c>
      <c r="N219" t="inlineStr">
        <is>
          <t>66752.00 2027</t>
        </is>
      </c>
      <c r="O219" t="n">
        <v>2</v>
      </c>
      <c r="P219" t="inlineStr">
        <is>
          <t>Other</t>
        </is>
      </c>
      <c r="Q219" t="inlineStr">
        <is>
          <t>Filled</t>
        </is>
      </c>
      <c r="R219" t="n">
        <v>6.5</v>
      </c>
      <c r="S219" t="inlineStr">
        <is>
          <t>University adapter</t>
        </is>
      </c>
      <c r="T219" t="inlineStr">
        <is>
          <t>Level map (Melbourne): not computed per course in this report</t>
        </is>
      </c>
      <c r="U219" t="inlineStr"/>
      <c r="V219" t="inlineStr">
        <is>
          <t>Filled</t>
        </is>
      </c>
      <c r="W219" t="inlineStr">
        <is>
          <t>March, July</t>
        </is>
      </c>
      <c r="X219" t="inlineStr">
        <is>
          <t>University adapter</t>
        </is>
      </c>
      <c r="Y219" t="n">
        <v>0</v>
      </c>
      <c r="Z219" t="inlineStr">
        <is>
          <t>No</t>
        </is>
      </c>
      <c r="AA219" t="inlineStr">
        <is>
          <t>Filled</t>
        </is>
      </c>
      <c r="AB219" t="inlineStr">
        <is>
          <t>on campus</t>
        </is>
      </c>
      <c r="AC219" t="inlineStr"/>
      <c r="AD219" t="n">
        <v>0</v>
      </c>
      <c r="AE219" t="inlineStr"/>
      <c r="AF219" t="inlineStr"/>
      <c r="AG219" t="inlineStr"/>
      <c r="AH219" t="inlineStr"/>
      <c r="AI219" t="inlineStr"/>
      <c r="AJ219" t="inlineStr"/>
      <c r="AK219" t="inlineStr"/>
      <c r="AL219" t="inlineStr"/>
      <c r="AM219" t="inlineStr"/>
    </row>
    <row r="220">
      <c r="A220" t="inlineStr">
        <is>
          <t>106786B</t>
        </is>
      </c>
      <c r="B220" t="inlineStr">
        <is>
          <t>Master of Climate Science</t>
        </is>
      </c>
      <c r="C220" t="inlineStr">
        <is>
          <t>Masters Degree (Coursework)</t>
        </is>
      </c>
      <c r="D220" t="inlineStr">
        <is>
          <t>Postgraduate coursework</t>
        </is>
      </c>
      <c r="E220" t="inlineStr">
        <is>
          <t>Advertised: official page in place</t>
        </is>
      </c>
      <c r="F220" t="inlineStr">
        <is>
          <t>https://handbook.unimelb.edu.au/2026/courses/mc-climsci</t>
        </is>
      </c>
      <c r="G220" t="inlineStr">
        <is>
          <t>https://handbook.unimelb.edu.au/2026/courses/mc-climsci</t>
        </is>
      </c>
      <c r="H220" t="inlineStr">
        <is>
          <t>Read</t>
        </is>
      </c>
      <c r="I220" t="inlineStr">
        <is>
          <t>CRICOS code on page</t>
        </is>
      </c>
      <c r="J220" t="inlineStr"/>
      <c r="K220" t="inlineStr">
        <is>
          <t>Not sent to re-link</t>
        </is>
      </c>
      <c r="L220" t="inlineStr">
        <is>
          <t>Filled</t>
        </is>
      </c>
      <c r="M220" t="inlineStr">
        <is>
          <t>Filled</t>
        </is>
      </c>
      <c r="N220" t="inlineStr">
        <is>
          <t>62496.00 2027</t>
        </is>
      </c>
      <c r="O220" t="n">
        <v>3</v>
      </c>
      <c r="P220" t="inlineStr">
        <is>
          <t>Other</t>
        </is>
      </c>
      <c r="Q220" t="inlineStr">
        <is>
          <t>Filled</t>
        </is>
      </c>
      <c r="R220" t="n">
        <v>6.5</v>
      </c>
      <c r="S220" t="inlineStr">
        <is>
          <t>Central English policy</t>
        </is>
      </c>
      <c r="T220" t="inlineStr">
        <is>
          <t>Level map (Melbourne): not computed per course in this report</t>
        </is>
      </c>
      <c r="U220" t="inlineStr"/>
      <c r="V220" t="inlineStr">
        <is>
          <t>Not stated on course page</t>
        </is>
      </c>
      <c r="W220" t="inlineStr"/>
      <c r="X220" t="inlineStr"/>
      <c r="Y220" t="n">
        <v>0</v>
      </c>
      <c r="Z220" t="inlineStr">
        <is>
          <t>No</t>
        </is>
      </c>
      <c r="AA220" t="inlineStr">
        <is>
          <t>Filled</t>
        </is>
      </c>
      <c r="AB220" t="inlineStr">
        <is>
          <t>on campus</t>
        </is>
      </c>
      <c r="AC220" t="inlineStr"/>
      <c r="AD220" t="n">
        <v>0</v>
      </c>
      <c r="AE220" t="inlineStr"/>
      <c r="AF220" t="inlineStr"/>
      <c r="AG220" t="inlineStr"/>
      <c r="AH220" t="inlineStr"/>
      <c r="AI220" t="inlineStr">
        <is>
          <t>Yes</t>
        </is>
      </c>
      <c r="AJ220" t="inlineStr"/>
      <c r="AK220" t="inlineStr"/>
      <c r="AL220" t="inlineStr"/>
      <c r="AM220" t="inlineStr"/>
    </row>
    <row r="221">
      <c r="A221" t="inlineStr">
        <is>
          <t>062905A</t>
        </is>
      </c>
      <c r="B221" t="inlineStr">
        <is>
          <t>Master of Clinical Audiology</t>
        </is>
      </c>
      <c r="C221" t="inlineStr">
        <is>
          <t>Masters Degree (Coursework)</t>
        </is>
      </c>
      <c r="D221" t="inlineStr">
        <is>
          <t>Postgraduate coursework</t>
        </is>
      </c>
      <c r="E221" t="inlineStr">
        <is>
          <t>Advertised: official page in place</t>
        </is>
      </c>
      <c r="F221" t="inlineStr">
        <is>
          <t>https://handbook.unimelb.edu.au/2026/courses/305bb</t>
        </is>
      </c>
      <c r="G221" t="inlineStr">
        <is>
          <t>https://handbook.unimelb.edu.au/2026/courses/305bb</t>
        </is>
      </c>
      <c r="H221" t="inlineStr">
        <is>
          <t>Read</t>
        </is>
      </c>
      <c r="I221" t="inlineStr">
        <is>
          <t>CRICOS code on page</t>
        </is>
      </c>
      <c r="J221" t="inlineStr"/>
      <c r="K221" t="inlineStr">
        <is>
          <t>Not sent to re-link</t>
        </is>
      </c>
      <c r="L221" t="inlineStr">
        <is>
          <t>Filled</t>
        </is>
      </c>
      <c r="M221" t="inlineStr">
        <is>
          <t>Filled</t>
        </is>
      </c>
      <c r="N221" t="inlineStr">
        <is>
          <t>73120.00 2027</t>
        </is>
      </c>
      <c r="O221" t="n">
        <v>3</v>
      </c>
      <c r="P221" t="inlineStr">
        <is>
          <t>Other</t>
        </is>
      </c>
      <c r="Q221" t="inlineStr">
        <is>
          <t>Filled</t>
        </is>
      </c>
      <c r="R221" t="n">
        <v>7</v>
      </c>
      <c r="S221" t="inlineStr">
        <is>
          <t>Central English policy</t>
        </is>
      </c>
      <c r="T221" t="inlineStr">
        <is>
          <t>Level map (Melbourne): not computed per course in this report</t>
        </is>
      </c>
      <c r="U221" t="inlineStr"/>
      <c r="V221" t="inlineStr">
        <is>
          <t>Not stated on course page</t>
        </is>
      </c>
      <c r="W221" t="inlineStr"/>
      <c r="X221" t="inlineStr"/>
      <c r="Y221" t="n">
        <v>0</v>
      </c>
      <c r="Z221" t="inlineStr">
        <is>
          <t>No</t>
        </is>
      </c>
      <c r="AA221" t="inlineStr">
        <is>
          <t>Filled</t>
        </is>
      </c>
      <c r="AB221" t="inlineStr">
        <is>
          <t>on campus</t>
        </is>
      </c>
      <c r="AC221" t="inlineStr"/>
      <c r="AD221" t="n">
        <v>0</v>
      </c>
      <c r="AE221" t="inlineStr"/>
      <c r="AF221" t="inlineStr"/>
      <c r="AG221" t="inlineStr"/>
      <c r="AH221" t="inlineStr"/>
      <c r="AI221" t="inlineStr">
        <is>
          <t>Yes</t>
        </is>
      </c>
      <c r="AJ221" t="inlineStr"/>
      <c r="AK221" t="inlineStr"/>
      <c r="AL221" t="inlineStr"/>
      <c r="AM221" t="inlineStr"/>
    </row>
    <row r="222">
      <c r="A222" t="inlineStr">
        <is>
          <t>114365A</t>
        </is>
      </c>
      <c r="B222" t="inlineStr">
        <is>
          <t>Master of Clinical Dentistry</t>
        </is>
      </c>
      <c r="C222" t="inlineStr">
        <is>
          <t>Masters Degree (Coursework)</t>
        </is>
      </c>
      <c r="D222" t="inlineStr">
        <is>
          <t>Postgraduate coursework</t>
        </is>
      </c>
      <c r="E222" t="inlineStr">
        <is>
          <t>Advertised: official page in place</t>
        </is>
      </c>
      <c r="F222" t="inlineStr">
        <is>
          <t>https://handbook.unimelb.edu.au/2026/courses/mc-clind</t>
        </is>
      </c>
      <c r="G222" t="inlineStr">
        <is>
          <t>https://handbook.unimelb.edu.au/2026/courses/mc-clind</t>
        </is>
      </c>
      <c r="H222" t="inlineStr">
        <is>
          <t>Read</t>
        </is>
      </c>
      <c r="I222" t="inlineStr">
        <is>
          <t>CRICOS code on page</t>
        </is>
      </c>
      <c r="J222" t="inlineStr"/>
      <c r="K222" t="inlineStr">
        <is>
          <t>Not sent to re-link</t>
        </is>
      </c>
      <c r="L222" t="inlineStr">
        <is>
          <t>Filled</t>
        </is>
      </c>
      <c r="M222" t="inlineStr">
        <is>
          <t>Filled</t>
        </is>
      </c>
      <c r="N222" t="inlineStr">
        <is>
          <t>94304.00 2027</t>
        </is>
      </c>
      <c r="O222" t="n">
        <v>3</v>
      </c>
      <c r="P222" t="inlineStr">
        <is>
          <t>Other</t>
        </is>
      </c>
      <c r="Q222" t="inlineStr">
        <is>
          <t>Filled</t>
        </is>
      </c>
      <c r="R222" t="n">
        <v>7</v>
      </c>
      <c r="S222" t="inlineStr">
        <is>
          <t>Central English policy</t>
        </is>
      </c>
      <c r="T222" t="inlineStr">
        <is>
          <t>Level map (Melbourne): not computed per course in this report</t>
        </is>
      </c>
      <c r="U222" t="inlineStr"/>
      <c r="V222" t="inlineStr">
        <is>
          <t>Not stated on course page</t>
        </is>
      </c>
      <c r="W222" t="inlineStr"/>
      <c r="X222" t="inlineStr"/>
      <c r="Y222" t="n">
        <v>0</v>
      </c>
      <c r="Z222" t="inlineStr">
        <is>
          <t>No</t>
        </is>
      </c>
      <c r="AA222" t="inlineStr">
        <is>
          <t>Filled</t>
        </is>
      </c>
      <c r="AB222" t="inlineStr">
        <is>
          <t>on campus</t>
        </is>
      </c>
      <c r="AC222" t="inlineStr"/>
      <c r="AD222" t="n">
        <v>0</v>
      </c>
      <c r="AE222" t="inlineStr"/>
      <c r="AF222" t="inlineStr"/>
      <c r="AG222" t="inlineStr"/>
      <c r="AH222" t="inlineStr"/>
      <c r="AI222" t="inlineStr">
        <is>
          <t>Yes</t>
        </is>
      </c>
      <c r="AJ222" t="inlineStr"/>
      <c r="AK222" t="inlineStr"/>
      <c r="AL222" t="inlineStr"/>
      <c r="AM222" t="inlineStr"/>
    </row>
    <row r="223">
      <c r="A223" t="inlineStr">
        <is>
          <t>055848G</t>
        </is>
      </c>
      <c r="B223" t="inlineStr">
        <is>
          <t>Master of Clinical Research (by Coursework)</t>
        </is>
      </c>
      <c r="C223" t="inlineStr">
        <is>
          <t>Masters Degree (Coursework)</t>
        </is>
      </c>
      <c r="D223" t="inlineStr">
        <is>
          <t>Postgraduate coursework</t>
        </is>
      </c>
      <c r="E223" t="inlineStr">
        <is>
          <t>Advertised: official page in place</t>
        </is>
      </c>
      <c r="F223" t="inlineStr">
        <is>
          <t>https://handbook.unimelb.edu.au/2026/courses/n01aa</t>
        </is>
      </c>
      <c r="G223" t="inlineStr">
        <is>
          <t>https://handbook.unimelb.edu.au/2026/courses/n01aa</t>
        </is>
      </c>
      <c r="H223" t="inlineStr">
        <is>
          <t>Read</t>
        </is>
      </c>
      <c r="I223" t="inlineStr">
        <is>
          <t>CRICOS code on page</t>
        </is>
      </c>
      <c r="J223" t="inlineStr"/>
      <c r="K223" t="inlineStr">
        <is>
          <t>Not sent to re-link</t>
        </is>
      </c>
      <c r="L223" t="inlineStr">
        <is>
          <t>Filled</t>
        </is>
      </c>
      <c r="M223" t="inlineStr">
        <is>
          <t>Filled</t>
        </is>
      </c>
      <c r="N223" t="inlineStr">
        <is>
          <t>46624.00 2027</t>
        </is>
      </c>
      <c r="O223" t="n">
        <v>3</v>
      </c>
      <c r="P223" t="inlineStr">
        <is>
          <t>Other</t>
        </is>
      </c>
      <c r="Q223" t="inlineStr">
        <is>
          <t>Filled</t>
        </is>
      </c>
      <c r="R223" t="n">
        <v>7</v>
      </c>
      <c r="S223" t="inlineStr">
        <is>
          <t>Central English policy</t>
        </is>
      </c>
      <c r="T223" t="inlineStr">
        <is>
          <t>Level map (Melbourne): not computed per course in this report</t>
        </is>
      </c>
      <c r="U223" t="inlineStr"/>
      <c r="V223" t="inlineStr">
        <is>
          <t>Waiting for Layer 4 review</t>
        </is>
      </c>
      <c r="W223" t="inlineStr"/>
      <c r="X223" t="inlineStr"/>
      <c r="Y223" t="n">
        <v>0</v>
      </c>
      <c r="Z223" t="inlineStr">
        <is>
          <t>No</t>
        </is>
      </c>
      <c r="AA223" t="inlineStr">
        <is>
          <t>Filled</t>
        </is>
      </c>
      <c r="AB223" t="inlineStr">
        <is>
          <t>on campus</t>
        </is>
      </c>
      <c r="AC223" t="inlineStr"/>
      <c r="AD223" t="n">
        <v>0</v>
      </c>
      <c r="AE223" t="inlineStr"/>
      <c r="AF223" t="inlineStr">
        <is>
          <t>Yes</t>
        </is>
      </c>
      <c r="AG223" t="inlineStr"/>
      <c r="AH223" t="inlineStr"/>
      <c r="AI223" t="inlineStr">
        <is>
          <t>Yes</t>
        </is>
      </c>
      <c r="AJ223" t="inlineStr"/>
      <c r="AK223" t="inlineStr"/>
      <c r="AL223" t="inlineStr"/>
      <c r="AM223" t="inlineStr"/>
    </row>
    <row r="224">
      <c r="A224" t="inlineStr">
        <is>
          <t>006654B</t>
        </is>
      </c>
      <c r="B224" t="inlineStr">
        <is>
          <t>Master of Commerce</t>
        </is>
      </c>
      <c r="C224" t="inlineStr">
        <is>
          <t>Masters Degree (Research)</t>
        </is>
      </c>
      <c r="D224" t="inlineStr">
        <is>
          <t>Research degree</t>
        </is>
      </c>
      <c r="E224" t="inlineStr">
        <is>
          <t>Advertised: official page in place</t>
        </is>
      </c>
      <c r="F224" t="inlineStr">
        <is>
          <t>https://handbook.unimelb.edu.au/2026/courses/mc-commgmt</t>
        </is>
      </c>
      <c r="G224" t="inlineStr">
        <is>
          <t>https://handbook.unimelb.edu.au/2026/courses/mc-commgmt</t>
        </is>
      </c>
      <c r="H224" t="inlineStr">
        <is>
          <t>Read</t>
        </is>
      </c>
      <c r="I224" t="inlineStr">
        <is>
          <t>Exact title match</t>
        </is>
      </c>
      <c r="J224" t="inlineStr"/>
      <c r="K224" t="inlineStr">
        <is>
          <t>Not sent to re-link</t>
        </is>
      </c>
      <c r="L224" t="inlineStr">
        <is>
          <t>Filled</t>
        </is>
      </c>
      <c r="M224" t="inlineStr">
        <is>
          <t>Not stated on course page</t>
        </is>
      </c>
      <c r="N224" t="inlineStr"/>
      <c r="O224" t="n">
        <v>0</v>
      </c>
      <c r="P224" t="inlineStr"/>
      <c r="Q224" t="inlineStr">
        <is>
          <t>Filled</t>
        </is>
      </c>
      <c r="R224" t="n">
        <v>7</v>
      </c>
      <c r="S224" t="inlineStr">
        <is>
          <t>Central English policy</t>
        </is>
      </c>
      <c r="T224" t="inlineStr">
        <is>
          <t>Level map (Melbourne): not computed per course in this report</t>
        </is>
      </c>
      <c r="U224" t="inlineStr"/>
      <c r="V224" t="inlineStr">
        <is>
          <t>Not stated on course page</t>
        </is>
      </c>
      <c r="W224" t="inlineStr"/>
      <c r="X224" t="inlineStr"/>
      <c r="Y224" t="n">
        <v>0</v>
      </c>
      <c r="Z224" t="inlineStr">
        <is>
          <t>No</t>
        </is>
      </c>
      <c r="AA224" t="inlineStr">
        <is>
          <t>Filled</t>
        </is>
      </c>
      <c r="AB224" t="inlineStr">
        <is>
          <t>on campus</t>
        </is>
      </c>
      <c r="AC224" t="inlineStr"/>
      <c r="AD224" t="n">
        <v>0</v>
      </c>
      <c r="AE224" t="inlineStr"/>
      <c r="AF224" t="inlineStr"/>
      <c r="AG224" t="inlineStr"/>
      <c r="AH224" t="inlineStr"/>
      <c r="AI224" t="inlineStr">
        <is>
          <t>Yes</t>
        </is>
      </c>
      <c r="AJ224" t="inlineStr"/>
      <c r="AK224" t="inlineStr"/>
      <c r="AL224" t="inlineStr"/>
      <c r="AM224" t="inlineStr"/>
    </row>
    <row r="225">
      <c r="A225" t="inlineStr">
        <is>
          <t>075103F</t>
        </is>
      </c>
      <c r="B225" t="inlineStr">
        <is>
          <t>Master of Commerce</t>
        </is>
      </c>
      <c r="C225" t="inlineStr">
        <is>
          <t>Masters Degree (Coursework)</t>
        </is>
      </c>
      <c r="D225" t="inlineStr">
        <is>
          <t>Postgraduate coursework</t>
        </is>
      </c>
      <c r="E225" t="inlineStr">
        <is>
          <t>Advertised: official page in place</t>
        </is>
      </c>
      <c r="F225" t="inlineStr">
        <is>
          <t>https://handbook.unimelb.edu.au/2026/courses/mc-commgmt</t>
        </is>
      </c>
      <c r="G225" t="inlineStr">
        <is>
          <t>https://handbook.unimelb.edu.au/2026/courses/mc-commgmt</t>
        </is>
      </c>
      <c r="H225" t="inlineStr">
        <is>
          <t>Read</t>
        </is>
      </c>
      <c r="I225" t="inlineStr">
        <is>
          <t>Exact title match</t>
        </is>
      </c>
      <c r="J225" t="inlineStr"/>
      <c r="K225" t="inlineStr">
        <is>
          <t>Not sent to re-link</t>
        </is>
      </c>
      <c r="L225" t="inlineStr">
        <is>
          <t>Filled</t>
        </is>
      </c>
      <c r="M225" t="inlineStr">
        <is>
          <t>Not stated on course page</t>
        </is>
      </c>
      <c r="N225" t="inlineStr"/>
      <c r="O225" t="n">
        <v>0</v>
      </c>
      <c r="P225" t="inlineStr"/>
      <c r="Q225" t="inlineStr">
        <is>
          <t>Filled</t>
        </is>
      </c>
      <c r="R225" t="n">
        <v>7</v>
      </c>
      <c r="S225" t="inlineStr">
        <is>
          <t>Central English policy</t>
        </is>
      </c>
      <c r="T225" t="inlineStr">
        <is>
          <t>Level map (Melbourne): not computed per course in this report</t>
        </is>
      </c>
      <c r="U225" t="inlineStr"/>
      <c r="V225" t="inlineStr">
        <is>
          <t>Not stated on course page</t>
        </is>
      </c>
      <c r="W225" t="inlineStr"/>
      <c r="X225" t="inlineStr"/>
      <c r="Y225" t="n">
        <v>0</v>
      </c>
      <c r="Z225" t="inlineStr">
        <is>
          <t>No</t>
        </is>
      </c>
      <c r="AA225" t="inlineStr">
        <is>
          <t>Filled</t>
        </is>
      </c>
      <c r="AB225" t="inlineStr">
        <is>
          <t>on campus</t>
        </is>
      </c>
      <c r="AC225" t="inlineStr"/>
      <c r="AD225" t="n">
        <v>0</v>
      </c>
      <c r="AE225" t="inlineStr"/>
      <c r="AF225" t="inlineStr"/>
      <c r="AG225" t="inlineStr"/>
      <c r="AH225" t="inlineStr"/>
      <c r="AI225" t="inlineStr">
        <is>
          <t>Yes</t>
        </is>
      </c>
      <c r="AJ225" t="inlineStr"/>
      <c r="AK225" t="inlineStr"/>
      <c r="AL225" t="inlineStr"/>
      <c r="AM225" t="inlineStr"/>
    </row>
    <row r="226">
      <c r="A226" t="inlineStr">
        <is>
          <t>092763F</t>
        </is>
      </c>
      <c r="B226" t="inlineStr">
        <is>
          <t>Master of Commerce (Accounting)</t>
        </is>
      </c>
      <c r="C226" t="inlineStr">
        <is>
          <t>Masters Degree (Coursework)</t>
        </is>
      </c>
      <c r="D226" t="inlineStr">
        <is>
          <t>Postgraduate coursework</t>
        </is>
      </c>
      <c r="E226" t="inlineStr">
        <is>
          <t>Advertised: official page in place</t>
        </is>
      </c>
      <c r="F226" t="inlineStr">
        <is>
          <t>https://handbook.unimelb.edu.au/2026/courses/mc-comact</t>
        </is>
      </c>
      <c r="G226" t="inlineStr">
        <is>
          <t>https://handbook.unimelb.edu.au/2026/courses/mc-comact</t>
        </is>
      </c>
      <c r="H226" t="inlineStr">
        <is>
          <t>Read</t>
        </is>
      </c>
      <c r="I226" t="inlineStr">
        <is>
          <t>CRICOS code on page</t>
        </is>
      </c>
      <c r="J226" t="inlineStr"/>
      <c r="K226" t="inlineStr">
        <is>
          <t>Not sent to re-link</t>
        </is>
      </c>
      <c r="L226" t="inlineStr">
        <is>
          <t>Filled</t>
        </is>
      </c>
      <c r="M226" t="inlineStr">
        <is>
          <t>Filled</t>
        </is>
      </c>
      <c r="N226" t="inlineStr">
        <is>
          <t>64640.00 2027</t>
        </is>
      </c>
      <c r="O226" t="n">
        <v>3</v>
      </c>
      <c r="P226" t="inlineStr">
        <is>
          <t>Other</t>
        </is>
      </c>
      <c r="Q226" t="inlineStr">
        <is>
          <t>Filled</t>
        </is>
      </c>
      <c r="R226" t="n">
        <v>7</v>
      </c>
      <c r="S226" t="inlineStr">
        <is>
          <t>Central English policy</t>
        </is>
      </c>
      <c r="T226" t="inlineStr">
        <is>
          <t>Level map (Melbourne): not computed per course in this report</t>
        </is>
      </c>
      <c r="U226" t="inlineStr"/>
      <c r="V226" t="inlineStr">
        <is>
          <t>Not stated on course page</t>
        </is>
      </c>
      <c r="W226" t="inlineStr"/>
      <c r="X226" t="inlineStr"/>
      <c r="Y226" t="n">
        <v>0</v>
      </c>
      <c r="Z226" t="inlineStr">
        <is>
          <t>No</t>
        </is>
      </c>
      <c r="AA226" t="inlineStr">
        <is>
          <t>Filled</t>
        </is>
      </c>
      <c r="AB226" t="inlineStr">
        <is>
          <t>on campus</t>
        </is>
      </c>
      <c r="AC226" t="inlineStr"/>
      <c r="AD226" t="n">
        <v>0</v>
      </c>
      <c r="AE226" t="inlineStr"/>
      <c r="AF226" t="inlineStr"/>
      <c r="AG226" t="inlineStr"/>
      <c r="AH226" t="inlineStr"/>
      <c r="AI226" t="inlineStr">
        <is>
          <t>Yes</t>
        </is>
      </c>
      <c r="AJ226" t="inlineStr"/>
      <c r="AK226" t="inlineStr"/>
      <c r="AL226" t="inlineStr"/>
      <c r="AM226" t="inlineStr"/>
    </row>
    <row r="227">
      <c r="A227" t="inlineStr">
        <is>
          <t>080606G</t>
        </is>
      </c>
      <c r="B227" t="inlineStr">
        <is>
          <t>Master of Commerce (Accounting)</t>
        </is>
      </c>
      <c r="C227" t="inlineStr">
        <is>
          <t>Masters Degree (Coursework)</t>
        </is>
      </c>
      <c r="D227" t="inlineStr">
        <is>
          <t>Postgraduate coursework</t>
        </is>
      </c>
      <c r="E227" t="inlineStr">
        <is>
          <t>Advertised: official page in place</t>
        </is>
      </c>
      <c r="F227" t="inlineStr">
        <is>
          <t>https://handbook.unimelb.edu.au/2026/courses/mc-comact</t>
        </is>
      </c>
      <c r="G227" t="inlineStr">
        <is>
          <t>https://handbook.unimelb.edu.au/2026/courses/mc-comact</t>
        </is>
      </c>
      <c r="H227" t="inlineStr">
        <is>
          <t>Read</t>
        </is>
      </c>
      <c r="I227" t="inlineStr">
        <is>
          <t>Exact title match</t>
        </is>
      </c>
      <c r="J227" t="inlineStr"/>
      <c r="K227" t="inlineStr">
        <is>
          <t>Not sent to re-link</t>
        </is>
      </c>
      <c r="L227" t="inlineStr">
        <is>
          <t>Filled</t>
        </is>
      </c>
      <c r="M227" t="inlineStr">
        <is>
          <t>Not stated on course page</t>
        </is>
      </c>
      <c r="N227" t="inlineStr"/>
      <c r="O227" t="n">
        <v>0</v>
      </c>
      <c r="P227" t="inlineStr"/>
      <c r="Q227" t="inlineStr">
        <is>
          <t>Filled</t>
        </is>
      </c>
      <c r="R227" t="n">
        <v>7</v>
      </c>
      <c r="S227" t="inlineStr">
        <is>
          <t>Central English policy</t>
        </is>
      </c>
      <c r="T227" t="inlineStr">
        <is>
          <t>Level map (Melbourne): not computed per course in this report</t>
        </is>
      </c>
      <c r="U227" t="inlineStr"/>
      <c r="V227" t="inlineStr">
        <is>
          <t>Not stated on course page</t>
        </is>
      </c>
      <c r="W227" t="inlineStr"/>
      <c r="X227" t="inlineStr"/>
      <c r="Y227" t="n">
        <v>0</v>
      </c>
      <c r="Z227" t="inlineStr">
        <is>
          <t>No</t>
        </is>
      </c>
      <c r="AA227" t="inlineStr">
        <is>
          <t>Filled</t>
        </is>
      </c>
      <c r="AB227" t="inlineStr">
        <is>
          <t>on campus</t>
        </is>
      </c>
      <c r="AC227" t="inlineStr"/>
      <c r="AD227" t="n">
        <v>0</v>
      </c>
      <c r="AE227" t="inlineStr"/>
      <c r="AF227" t="inlineStr"/>
      <c r="AG227" t="inlineStr"/>
      <c r="AH227" t="inlineStr"/>
      <c r="AI227" t="inlineStr">
        <is>
          <t>Yes</t>
        </is>
      </c>
      <c r="AJ227" t="inlineStr"/>
      <c r="AK227" t="inlineStr"/>
      <c r="AL227" t="inlineStr"/>
      <c r="AM227" t="inlineStr"/>
    </row>
    <row r="228">
      <c r="A228" t="inlineStr">
        <is>
          <t>089805E</t>
        </is>
      </c>
      <c r="B228" t="inlineStr">
        <is>
          <t>Master of Commerce (Actuarial Science)</t>
        </is>
      </c>
      <c r="C228" t="inlineStr">
        <is>
          <t>Masters Degree (Coursework)</t>
        </is>
      </c>
      <c r="D228" t="inlineStr">
        <is>
          <t>Postgraduate coursework</t>
        </is>
      </c>
      <c r="E228" t="inlineStr">
        <is>
          <t>Advertised: official page in place</t>
        </is>
      </c>
      <c r="F228" t="inlineStr">
        <is>
          <t>https://study.unimelb.edu.au/find/courses/graduate/master-of-commerce-actuarial-science/</t>
        </is>
      </c>
      <c r="G228" t="inlineStr">
        <is>
          <t>https://study.unimelb.edu.au/find/courses/graduate/master-of-commerce-actuarial-science/</t>
        </is>
      </c>
      <c r="H228" t="inlineStr">
        <is>
          <t>Read</t>
        </is>
      </c>
      <c r="I228" t="inlineStr">
        <is>
          <t>CRICOS code on page</t>
        </is>
      </c>
      <c r="J228" t="inlineStr"/>
      <c r="K228" t="inlineStr">
        <is>
          <t>Not sent to re-link</t>
        </is>
      </c>
      <c r="L228" t="inlineStr">
        <is>
          <t>Filled</t>
        </is>
      </c>
      <c r="M228" t="inlineStr">
        <is>
          <t>Filled</t>
        </is>
      </c>
      <c r="N228" t="inlineStr">
        <is>
          <t>64640.00 2027</t>
        </is>
      </c>
      <c r="O228" t="n">
        <v>3</v>
      </c>
      <c r="P228" t="inlineStr">
        <is>
          <t>Other</t>
        </is>
      </c>
      <c r="Q228" t="inlineStr">
        <is>
          <t>Filled</t>
        </is>
      </c>
      <c r="R228" t="n">
        <v>6.5</v>
      </c>
      <c r="S228" t="inlineStr">
        <is>
          <t>University adapter</t>
        </is>
      </c>
      <c r="T228" t="inlineStr">
        <is>
          <t>Level map (Melbourne): not computed per course in this report</t>
        </is>
      </c>
      <c r="U228" t="inlineStr"/>
      <c r="V228" t="inlineStr">
        <is>
          <t>Filled</t>
        </is>
      </c>
      <c r="W228" t="inlineStr">
        <is>
          <t>March</t>
        </is>
      </c>
      <c r="X228" t="inlineStr">
        <is>
          <t>University adapter</t>
        </is>
      </c>
      <c r="Y228" t="n">
        <v>0</v>
      </c>
      <c r="Z228" t="inlineStr">
        <is>
          <t>No</t>
        </is>
      </c>
      <c r="AA228" t="inlineStr">
        <is>
          <t>Filled</t>
        </is>
      </c>
      <c r="AB228" t="inlineStr">
        <is>
          <t>on campus</t>
        </is>
      </c>
      <c r="AC228" t="inlineStr"/>
      <c r="AD228" t="n">
        <v>0</v>
      </c>
      <c r="AE228" t="inlineStr"/>
      <c r="AF228" t="inlineStr"/>
      <c r="AG228" t="inlineStr"/>
      <c r="AH228" t="inlineStr"/>
      <c r="AI228" t="inlineStr"/>
      <c r="AJ228" t="inlineStr"/>
      <c r="AK228" t="inlineStr"/>
      <c r="AL228" t="inlineStr"/>
      <c r="AM228" t="inlineStr"/>
    </row>
    <row r="229">
      <c r="A229" t="inlineStr">
        <is>
          <t>092761G</t>
        </is>
      </c>
      <c r="B229" t="inlineStr">
        <is>
          <t>Master of Commerce (Decision, Risk and Financial Sciences)</t>
        </is>
      </c>
      <c r="C229" t="inlineStr">
        <is>
          <t>Masters Degree (Coursework)</t>
        </is>
      </c>
      <c r="D229" t="inlineStr">
        <is>
          <t>Postgraduate coursework</t>
        </is>
      </c>
      <c r="E229" t="inlineStr">
        <is>
          <t>Advertised: official page in place</t>
        </is>
      </c>
      <c r="F229" t="inlineStr">
        <is>
          <t>https://handbook.unimelb.edu.au/2026/courses/mc-comdrfs</t>
        </is>
      </c>
      <c r="G229" t="inlineStr">
        <is>
          <t>https://handbook.unimelb.edu.au/2026/courses/mc-comdrfs</t>
        </is>
      </c>
      <c r="H229" t="inlineStr">
        <is>
          <t>Read</t>
        </is>
      </c>
      <c r="I229" t="inlineStr">
        <is>
          <t>CRICOS code on page</t>
        </is>
      </c>
      <c r="J229" t="inlineStr"/>
      <c r="K229" t="inlineStr">
        <is>
          <t>Not sent to re-link</t>
        </is>
      </c>
      <c r="L229" t="inlineStr">
        <is>
          <t>Filled</t>
        </is>
      </c>
      <c r="M229" t="inlineStr">
        <is>
          <t>Filled</t>
        </is>
      </c>
      <c r="N229" t="inlineStr">
        <is>
          <t>64640.00 2027</t>
        </is>
      </c>
      <c r="O229" t="n">
        <v>3</v>
      </c>
      <c r="P229" t="inlineStr">
        <is>
          <t>Other</t>
        </is>
      </c>
      <c r="Q229" t="inlineStr">
        <is>
          <t>Filled</t>
        </is>
      </c>
      <c r="R229" t="n">
        <v>7</v>
      </c>
      <c r="S229" t="inlineStr">
        <is>
          <t>Central English policy</t>
        </is>
      </c>
      <c r="T229" t="inlineStr">
        <is>
          <t>Level map (Melbourne): not computed per course in this report</t>
        </is>
      </c>
      <c r="U229" t="inlineStr"/>
      <c r="V229" t="inlineStr">
        <is>
          <t>Not stated on course page</t>
        </is>
      </c>
      <c r="W229" t="inlineStr"/>
      <c r="X229" t="inlineStr"/>
      <c r="Y229" t="n">
        <v>0</v>
      </c>
      <c r="Z229" t="inlineStr">
        <is>
          <t>No</t>
        </is>
      </c>
      <c r="AA229" t="inlineStr">
        <is>
          <t>Filled</t>
        </is>
      </c>
      <c r="AB229" t="inlineStr">
        <is>
          <t>on campus</t>
        </is>
      </c>
      <c r="AC229" t="inlineStr"/>
      <c r="AD229" t="n">
        <v>0</v>
      </c>
      <c r="AE229" t="inlineStr"/>
      <c r="AF229" t="inlineStr"/>
      <c r="AG229" t="inlineStr"/>
      <c r="AH229" t="inlineStr"/>
      <c r="AI229" t="inlineStr">
        <is>
          <t>Yes</t>
        </is>
      </c>
      <c r="AJ229" t="inlineStr"/>
      <c r="AK229" t="inlineStr"/>
      <c r="AL229" t="inlineStr"/>
      <c r="AM229" t="inlineStr"/>
    </row>
    <row r="230">
      <c r="A230" t="inlineStr">
        <is>
          <t>096133D</t>
        </is>
      </c>
      <c r="B230" t="inlineStr">
        <is>
          <t>Master of Commerce (Economics)</t>
        </is>
      </c>
      <c r="C230" t="inlineStr">
        <is>
          <t>Masters Degree (Coursework)</t>
        </is>
      </c>
      <c r="D230" t="inlineStr">
        <is>
          <t>Postgraduate coursework</t>
        </is>
      </c>
      <c r="E230" t="inlineStr">
        <is>
          <t>Advertised: official page in place</t>
        </is>
      </c>
      <c r="F230" t="inlineStr">
        <is>
          <t>https://handbook.unimelb.edu.au/2026/courses/mc-comeco</t>
        </is>
      </c>
      <c r="G230" t="inlineStr">
        <is>
          <t>https://handbook.unimelb.edu.au/2026/courses/mc-comeco</t>
        </is>
      </c>
      <c r="H230" t="inlineStr">
        <is>
          <t>Read</t>
        </is>
      </c>
      <c r="I230" t="inlineStr">
        <is>
          <t>CRICOS code on page</t>
        </is>
      </c>
      <c r="J230" t="inlineStr"/>
      <c r="K230" t="inlineStr">
        <is>
          <t>Not sent to re-link</t>
        </is>
      </c>
      <c r="L230" t="inlineStr">
        <is>
          <t>Filled</t>
        </is>
      </c>
      <c r="M230" t="inlineStr">
        <is>
          <t>Filled</t>
        </is>
      </c>
      <c r="N230" t="inlineStr">
        <is>
          <t>64640.00 2027</t>
        </is>
      </c>
      <c r="O230" t="n">
        <v>3</v>
      </c>
      <c r="P230" t="inlineStr">
        <is>
          <t>Other</t>
        </is>
      </c>
      <c r="Q230" t="inlineStr">
        <is>
          <t>Filled</t>
        </is>
      </c>
      <c r="R230" t="n">
        <v>7</v>
      </c>
      <c r="S230" t="inlineStr">
        <is>
          <t>Central English policy</t>
        </is>
      </c>
      <c r="T230" t="inlineStr">
        <is>
          <t>Level map (Melbourne): not computed per course in this report</t>
        </is>
      </c>
      <c r="U230" t="inlineStr"/>
      <c r="V230" t="inlineStr">
        <is>
          <t>Not stated on course page</t>
        </is>
      </c>
      <c r="W230" t="inlineStr"/>
      <c r="X230" t="inlineStr"/>
      <c r="Y230" t="n">
        <v>0</v>
      </c>
      <c r="Z230" t="inlineStr">
        <is>
          <t>No</t>
        </is>
      </c>
      <c r="AA230" t="inlineStr">
        <is>
          <t>Filled</t>
        </is>
      </c>
      <c r="AB230" t="inlineStr">
        <is>
          <t>on campus</t>
        </is>
      </c>
      <c r="AC230" t="inlineStr"/>
      <c r="AD230" t="n">
        <v>0</v>
      </c>
      <c r="AE230" t="inlineStr"/>
      <c r="AF230" t="inlineStr"/>
      <c r="AG230" t="inlineStr"/>
      <c r="AH230" t="inlineStr"/>
      <c r="AI230" t="inlineStr">
        <is>
          <t>Yes</t>
        </is>
      </c>
      <c r="AJ230" t="inlineStr"/>
      <c r="AK230" t="inlineStr"/>
      <c r="AL230" t="inlineStr"/>
      <c r="AM230" t="inlineStr"/>
    </row>
    <row r="231">
      <c r="A231" t="inlineStr">
        <is>
          <t>092762G</t>
        </is>
      </c>
      <c r="B231" t="inlineStr">
        <is>
          <t>Master of Commerce (Finance)</t>
        </is>
      </c>
      <c r="C231" t="inlineStr">
        <is>
          <t>Masters Degree (Coursework)</t>
        </is>
      </c>
      <c r="D231" t="inlineStr">
        <is>
          <t>Postgraduate coursework</t>
        </is>
      </c>
      <c r="E231" t="inlineStr">
        <is>
          <t>Advertised: official page in place</t>
        </is>
      </c>
      <c r="F231" t="inlineStr">
        <is>
          <t>https://handbook.unimelb.edu.au/2026/courses/mc-comfin</t>
        </is>
      </c>
      <c r="G231" t="inlineStr">
        <is>
          <t>https://handbook.unimelb.edu.au/2026/courses/mc-comfin</t>
        </is>
      </c>
      <c r="H231" t="inlineStr">
        <is>
          <t>Read</t>
        </is>
      </c>
      <c r="I231" t="inlineStr">
        <is>
          <t>CRICOS code on page</t>
        </is>
      </c>
      <c r="J231" t="inlineStr"/>
      <c r="K231" t="inlineStr">
        <is>
          <t>Not sent to re-link</t>
        </is>
      </c>
      <c r="L231" t="inlineStr">
        <is>
          <t>Filled</t>
        </is>
      </c>
      <c r="M231" t="inlineStr">
        <is>
          <t>Filled</t>
        </is>
      </c>
      <c r="N231" t="inlineStr">
        <is>
          <t>64640.00 2027</t>
        </is>
      </c>
      <c r="O231" t="n">
        <v>3</v>
      </c>
      <c r="P231" t="inlineStr">
        <is>
          <t>Other</t>
        </is>
      </c>
      <c r="Q231" t="inlineStr">
        <is>
          <t>Filled</t>
        </is>
      </c>
      <c r="R231" t="n">
        <v>7</v>
      </c>
      <c r="S231" t="inlineStr">
        <is>
          <t>Central English policy</t>
        </is>
      </c>
      <c r="T231" t="inlineStr">
        <is>
          <t>Level map (Melbourne): not computed per course in this report</t>
        </is>
      </c>
      <c r="U231" t="inlineStr"/>
      <c r="V231" t="inlineStr">
        <is>
          <t>Not stated on course page</t>
        </is>
      </c>
      <c r="W231" t="inlineStr"/>
      <c r="X231" t="inlineStr"/>
      <c r="Y231" t="n">
        <v>0</v>
      </c>
      <c r="Z231" t="inlineStr">
        <is>
          <t>No</t>
        </is>
      </c>
      <c r="AA231" t="inlineStr">
        <is>
          <t>Filled</t>
        </is>
      </c>
      <c r="AB231" t="inlineStr">
        <is>
          <t>on campus</t>
        </is>
      </c>
      <c r="AC231" t="inlineStr"/>
      <c r="AD231" t="n">
        <v>0</v>
      </c>
      <c r="AE231" t="inlineStr"/>
      <c r="AF231" t="inlineStr"/>
      <c r="AG231" t="inlineStr"/>
      <c r="AH231" t="inlineStr"/>
      <c r="AI231" t="inlineStr">
        <is>
          <t>Yes</t>
        </is>
      </c>
      <c r="AJ231" t="inlineStr"/>
      <c r="AK231" t="inlineStr"/>
      <c r="AL231" t="inlineStr"/>
      <c r="AM231" t="inlineStr"/>
    </row>
    <row r="232">
      <c r="A232" t="inlineStr">
        <is>
          <t>098522G</t>
        </is>
      </c>
      <c r="B232" t="inlineStr">
        <is>
          <t>Master of Commerce (Management)</t>
        </is>
      </c>
      <c r="C232" t="inlineStr">
        <is>
          <t>Masters Degree (Coursework)</t>
        </is>
      </c>
      <c r="D232" t="inlineStr">
        <is>
          <t>Postgraduate coursework</t>
        </is>
      </c>
      <c r="E232" t="inlineStr">
        <is>
          <t>Advertised: official page in place</t>
        </is>
      </c>
      <c r="F232" t="inlineStr">
        <is>
          <t>https://handbook.unimelb.edu.au/2026/courses/mc-commgmt</t>
        </is>
      </c>
      <c r="G232" t="inlineStr">
        <is>
          <t>https://handbook.unimelb.edu.au/2026/courses/mc-commgmt</t>
        </is>
      </c>
      <c r="H232" t="inlineStr">
        <is>
          <t>Read</t>
        </is>
      </c>
      <c r="I232" t="inlineStr">
        <is>
          <t>CRICOS code on page</t>
        </is>
      </c>
      <c r="J232" t="inlineStr"/>
      <c r="K232" t="inlineStr">
        <is>
          <t>Not sent to re-link</t>
        </is>
      </c>
      <c r="L232" t="inlineStr">
        <is>
          <t>Filled</t>
        </is>
      </c>
      <c r="M232" t="inlineStr">
        <is>
          <t>Filled</t>
        </is>
      </c>
      <c r="N232" t="inlineStr">
        <is>
          <t>64640.00 2027</t>
        </is>
      </c>
      <c r="O232" t="n">
        <v>3</v>
      </c>
      <c r="P232" t="inlineStr">
        <is>
          <t>Other</t>
        </is>
      </c>
      <c r="Q232" t="inlineStr">
        <is>
          <t>Filled</t>
        </is>
      </c>
      <c r="R232" t="n">
        <v>7</v>
      </c>
      <c r="S232" t="inlineStr">
        <is>
          <t>Central English policy</t>
        </is>
      </c>
      <c r="T232" t="inlineStr">
        <is>
          <t>Level map (Melbourne): not computed per course in this report</t>
        </is>
      </c>
      <c r="U232" t="inlineStr"/>
      <c r="V232" t="inlineStr">
        <is>
          <t>Not stated on course page</t>
        </is>
      </c>
      <c r="W232" t="inlineStr"/>
      <c r="X232" t="inlineStr"/>
      <c r="Y232" t="n">
        <v>0</v>
      </c>
      <c r="Z232" t="inlineStr">
        <is>
          <t>No</t>
        </is>
      </c>
      <c r="AA232" t="inlineStr">
        <is>
          <t>Filled</t>
        </is>
      </c>
      <c r="AB232" t="inlineStr">
        <is>
          <t>on campus</t>
        </is>
      </c>
      <c r="AC232" t="inlineStr"/>
      <c r="AD232" t="n">
        <v>0</v>
      </c>
      <c r="AE232" t="inlineStr"/>
      <c r="AF232" t="inlineStr"/>
      <c r="AG232" t="inlineStr"/>
      <c r="AH232" t="inlineStr"/>
      <c r="AI232" t="inlineStr">
        <is>
          <t>Yes</t>
        </is>
      </c>
      <c r="AJ232" t="inlineStr"/>
      <c r="AK232" t="inlineStr"/>
      <c r="AL232" t="inlineStr"/>
      <c r="AM232" t="inlineStr"/>
    </row>
    <row r="233">
      <c r="A233" t="inlineStr">
        <is>
          <t>094864G</t>
        </is>
      </c>
      <c r="B233" t="inlineStr">
        <is>
          <t>Master of Commerce (Management)</t>
        </is>
      </c>
      <c r="C233" t="inlineStr">
        <is>
          <t>Masters Degree (Coursework)</t>
        </is>
      </c>
      <c r="D233" t="inlineStr">
        <is>
          <t>Postgraduate coursework</t>
        </is>
      </c>
      <c r="E233" t="inlineStr">
        <is>
          <t>Advertised: official page in place</t>
        </is>
      </c>
      <c r="F233" t="inlineStr">
        <is>
          <t>https://handbook.unimelb.edu.au/2026/courses/mc-commgmt</t>
        </is>
      </c>
      <c r="G233" t="inlineStr">
        <is>
          <t>https://handbook.unimelb.edu.au/2026/courses/mc-commgmt</t>
        </is>
      </c>
      <c r="H233" t="inlineStr">
        <is>
          <t>Read</t>
        </is>
      </c>
      <c r="I233" t="inlineStr">
        <is>
          <t>Exact title match</t>
        </is>
      </c>
      <c r="J233" t="inlineStr"/>
      <c r="K233" t="inlineStr">
        <is>
          <t>Not sent to re-link</t>
        </is>
      </c>
      <c r="L233" t="inlineStr">
        <is>
          <t>Filled</t>
        </is>
      </c>
      <c r="M233" t="inlineStr">
        <is>
          <t>Not stated on course page</t>
        </is>
      </c>
      <c r="N233" t="inlineStr"/>
      <c r="O233" t="n">
        <v>0</v>
      </c>
      <c r="P233" t="inlineStr"/>
      <c r="Q233" t="inlineStr">
        <is>
          <t>Filled</t>
        </is>
      </c>
      <c r="R233" t="n">
        <v>7</v>
      </c>
      <c r="S233" t="inlineStr">
        <is>
          <t>Central English policy</t>
        </is>
      </c>
      <c r="T233" t="inlineStr">
        <is>
          <t>Level map (Melbourne): not computed per course in this report</t>
        </is>
      </c>
      <c r="U233" t="inlineStr"/>
      <c r="V233" t="inlineStr">
        <is>
          <t>Waiting for Layer 4 review</t>
        </is>
      </c>
      <c r="W233" t="inlineStr"/>
      <c r="X233" t="inlineStr"/>
      <c r="Y233" t="n">
        <v>0</v>
      </c>
      <c r="Z233" t="inlineStr">
        <is>
          <t>No</t>
        </is>
      </c>
      <c r="AA233" t="inlineStr">
        <is>
          <t>Filled</t>
        </is>
      </c>
      <c r="AB233" t="inlineStr">
        <is>
          <t>on campus</t>
        </is>
      </c>
      <c r="AC233" t="inlineStr"/>
      <c r="AD233" t="n">
        <v>0</v>
      </c>
      <c r="AE233" t="inlineStr"/>
      <c r="AF233" t="inlineStr">
        <is>
          <t>Yes</t>
        </is>
      </c>
      <c r="AG233" t="inlineStr"/>
      <c r="AH233" t="inlineStr"/>
      <c r="AI233" t="inlineStr">
        <is>
          <t>Yes</t>
        </is>
      </c>
      <c r="AJ233" t="inlineStr"/>
      <c r="AK233" t="inlineStr"/>
      <c r="AL233" t="inlineStr"/>
      <c r="AM233" t="inlineStr"/>
    </row>
    <row r="234">
      <c r="A234" t="inlineStr">
        <is>
          <t>098523G</t>
        </is>
      </c>
      <c r="B234" t="inlineStr">
        <is>
          <t>Master of Commerce (Marketing)</t>
        </is>
      </c>
      <c r="C234" t="inlineStr">
        <is>
          <t>Masters Degree (Coursework)</t>
        </is>
      </c>
      <c r="D234" t="inlineStr">
        <is>
          <t>Postgraduate coursework</t>
        </is>
      </c>
      <c r="E234" t="inlineStr">
        <is>
          <t>Advertised: official page in place</t>
        </is>
      </c>
      <c r="F234" t="inlineStr">
        <is>
          <t>https://handbook.unimelb.edu.au/2026/courses/mc-commktg</t>
        </is>
      </c>
      <c r="G234" t="inlineStr">
        <is>
          <t>https://handbook.unimelb.edu.au/2026/courses/mc-commktg</t>
        </is>
      </c>
      <c r="H234" t="inlineStr">
        <is>
          <t>Read</t>
        </is>
      </c>
      <c r="I234" t="inlineStr">
        <is>
          <t>CRICOS code on page</t>
        </is>
      </c>
      <c r="J234" t="inlineStr"/>
      <c r="K234" t="inlineStr">
        <is>
          <t>Not sent to re-link</t>
        </is>
      </c>
      <c r="L234" t="inlineStr">
        <is>
          <t>Filled</t>
        </is>
      </c>
      <c r="M234" t="inlineStr">
        <is>
          <t>Filled</t>
        </is>
      </c>
      <c r="N234" t="inlineStr">
        <is>
          <t>64640.00 2027</t>
        </is>
      </c>
      <c r="O234" t="n">
        <v>3</v>
      </c>
      <c r="P234" t="inlineStr">
        <is>
          <t>Other</t>
        </is>
      </c>
      <c r="Q234" t="inlineStr">
        <is>
          <t>Filled</t>
        </is>
      </c>
      <c r="R234" t="n">
        <v>7</v>
      </c>
      <c r="S234" t="inlineStr">
        <is>
          <t>Central English policy</t>
        </is>
      </c>
      <c r="T234" t="inlineStr">
        <is>
          <t>Level map (Melbourne): not computed per course in this report</t>
        </is>
      </c>
      <c r="U234" t="inlineStr"/>
      <c r="V234" t="inlineStr">
        <is>
          <t>Not stated on course page</t>
        </is>
      </c>
      <c r="W234" t="inlineStr"/>
      <c r="X234" t="inlineStr"/>
      <c r="Y234" t="n">
        <v>0</v>
      </c>
      <c r="Z234" t="inlineStr">
        <is>
          <t>No</t>
        </is>
      </c>
      <c r="AA234" t="inlineStr">
        <is>
          <t>Filled</t>
        </is>
      </c>
      <c r="AB234" t="inlineStr">
        <is>
          <t>on campus</t>
        </is>
      </c>
      <c r="AC234" t="inlineStr"/>
      <c r="AD234" t="n">
        <v>0</v>
      </c>
      <c r="AE234" t="inlineStr"/>
      <c r="AF234" t="inlineStr"/>
      <c r="AG234" t="inlineStr"/>
      <c r="AH234" t="inlineStr"/>
      <c r="AI234" t="inlineStr">
        <is>
          <t>Yes</t>
        </is>
      </c>
      <c r="AJ234" t="inlineStr"/>
      <c r="AK234" t="inlineStr"/>
      <c r="AL234" t="inlineStr"/>
      <c r="AM234" t="inlineStr"/>
    </row>
    <row r="235">
      <c r="A235" t="inlineStr">
        <is>
          <t>069664A</t>
        </is>
      </c>
      <c r="B235" t="inlineStr">
        <is>
          <t>Master of Commerce (Marketing)</t>
        </is>
      </c>
      <c r="C235" t="inlineStr">
        <is>
          <t>Masters Degree (Coursework)</t>
        </is>
      </c>
      <c r="D235" t="inlineStr">
        <is>
          <t>Postgraduate coursework</t>
        </is>
      </c>
      <c r="E235" t="inlineStr">
        <is>
          <t>Advertised: official page in place</t>
        </is>
      </c>
      <c r="F235" t="inlineStr">
        <is>
          <t>https://handbook.unimelb.edu.au/2026/courses/mc-commktg</t>
        </is>
      </c>
      <c r="G235" t="inlineStr">
        <is>
          <t>https://handbook.unimelb.edu.au/2026/courses/mc-commktg</t>
        </is>
      </c>
      <c r="H235" t="inlineStr">
        <is>
          <t>Read</t>
        </is>
      </c>
      <c r="I235" t="inlineStr">
        <is>
          <t>Exact title match</t>
        </is>
      </c>
      <c r="J235" t="inlineStr"/>
      <c r="K235" t="inlineStr">
        <is>
          <t>Not sent to re-link</t>
        </is>
      </c>
      <c r="L235" t="inlineStr">
        <is>
          <t>Filled</t>
        </is>
      </c>
      <c r="M235" t="inlineStr">
        <is>
          <t>Not stated on course page</t>
        </is>
      </c>
      <c r="N235" t="inlineStr"/>
      <c r="O235" t="n">
        <v>0</v>
      </c>
      <c r="P235" t="inlineStr"/>
      <c r="Q235" t="inlineStr">
        <is>
          <t>Filled</t>
        </is>
      </c>
      <c r="R235" t="n">
        <v>7</v>
      </c>
      <c r="S235" t="inlineStr">
        <is>
          <t>Central English policy</t>
        </is>
      </c>
      <c r="T235" t="inlineStr">
        <is>
          <t>Level map (Melbourne): not computed per course in this report</t>
        </is>
      </c>
      <c r="U235" t="inlineStr"/>
      <c r="V235" t="inlineStr">
        <is>
          <t>Not stated on course page</t>
        </is>
      </c>
      <c r="W235" t="inlineStr"/>
      <c r="X235" t="inlineStr"/>
      <c r="Y235" t="n">
        <v>0</v>
      </c>
      <c r="Z235" t="inlineStr">
        <is>
          <t>No</t>
        </is>
      </c>
      <c r="AA235" t="inlineStr">
        <is>
          <t>Filled</t>
        </is>
      </c>
      <c r="AB235" t="inlineStr">
        <is>
          <t>on campus</t>
        </is>
      </c>
      <c r="AC235" t="inlineStr"/>
      <c r="AD235" t="n">
        <v>0</v>
      </c>
      <c r="AE235" t="inlineStr"/>
      <c r="AF235" t="inlineStr"/>
      <c r="AG235" t="inlineStr"/>
      <c r="AH235" t="inlineStr"/>
      <c r="AI235" t="inlineStr">
        <is>
          <t>Yes</t>
        </is>
      </c>
      <c r="AJ235" t="inlineStr"/>
      <c r="AK235" t="inlineStr"/>
      <c r="AL235" t="inlineStr"/>
      <c r="AM235" t="inlineStr"/>
    </row>
    <row r="236">
      <c r="A236" t="inlineStr">
        <is>
          <t>094863G</t>
        </is>
      </c>
      <c r="B236" t="inlineStr">
        <is>
          <t>Master of Commerce (Marketing)</t>
        </is>
      </c>
      <c r="C236" t="inlineStr">
        <is>
          <t>Masters Degree (Coursework)</t>
        </is>
      </c>
      <c r="D236" t="inlineStr">
        <is>
          <t>Postgraduate coursework</t>
        </is>
      </c>
      <c r="E236" t="inlineStr">
        <is>
          <t>Advertised: official page in place</t>
        </is>
      </c>
      <c r="F236" t="inlineStr">
        <is>
          <t>https://handbook.unimelb.edu.au/2026/courses/mc-commktg</t>
        </is>
      </c>
      <c r="G236" t="inlineStr">
        <is>
          <t>https://handbook.unimelb.edu.au/2026/courses/mc-commktg</t>
        </is>
      </c>
      <c r="H236" t="inlineStr">
        <is>
          <t>Read</t>
        </is>
      </c>
      <c r="I236" t="inlineStr">
        <is>
          <t>Exact title match</t>
        </is>
      </c>
      <c r="J236" t="inlineStr"/>
      <c r="K236" t="inlineStr">
        <is>
          <t>Not sent to re-link</t>
        </is>
      </c>
      <c r="L236" t="inlineStr">
        <is>
          <t>Filled</t>
        </is>
      </c>
      <c r="M236" t="inlineStr">
        <is>
          <t>Not stated on course page</t>
        </is>
      </c>
      <c r="N236" t="inlineStr"/>
      <c r="O236" t="n">
        <v>0</v>
      </c>
      <c r="P236" t="inlineStr"/>
      <c r="Q236" t="inlineStr">
        <is>
          <t>Filled</t>
        </is>
      </c>
      <c r="R236" t="n">
        <v>7</v>
      </c>
      <c r="S236" t="inlineStr">
        <is>
          <t>Central English policy</t>
        </is>
      </c>
      <c r="T236" t="inlineStr">
        <is>
          <t>Level map (Melbourne): not computed per course in this report</t>
        </is>
      </c>
      <c r="U236" t="inlineStr"/>
      <c r="V236" t="inlineStr">
        <is>
          <t>Not stated on course page</t>
        </is>
      </c>
      <c r="W236" t="inlineStr"/>
      <c r="X236" t="inlineStr"/>
      <c r="Y236" t="n">
        <v>0</v>
      </c>
      <c r="Z236" t="inlineStr">
        <is>
          <t>No</t>
        </is>
      </c>
      <c r="AA236" t="inlineStr">
        <is>
          <t>Filled</t>
        </is>
      </c>
      <c r="AB236" t="inlineStr">
        <is>
          <t>on campus</t>
        </is>
      </c>
      <c r="AC236" t="inlineStr"/>
      <c r="AD236" t="n">
        <v>0</v>
      </c>
      <c r="AE236" t="inlineStr"/>
      <c r="AF236" t="inlineStr"/>
      <c r="AG236" t="inlineStr"/>
      <c r="AH236" t="inlineStr"/>
      <c r="AI236" t="inlineStr">
        <is>
          <t>Yes</t>
        </is>
      </c>
      <c r="AJ236" t="inlineStr"/>
      <c r="AK236" t="inlineStr"/>
      <c r="AL236" t="inlineStr"/>
      <c r="AM236" t="inlineStr"/>
    </row>
    <row r="237">
      <c r="A237" t="inlineStr">
        <is>
          <t>074997D</t>
        </is>
      </c>
      <c r="B237" t="inlineStr">
        <is>
          <t>Master of Commercial Law</t>
        </is>
      </c>
      <c r="C237" t="inlineStr">
        <is>
          <t>Masters Degree (Coursework)</t>
        </is>
      </c>
      <c r="D237" t="inlineStr">
        <is>
          <t>Postgraduate coursework</t>
        </is>
      </c>
      <c r="E237" t="inlineStr">
        <is>
          <t>Advertised: official page in place</t>
        </is>
      </c>
      <c r="F237" t="inlineStr">
        <is>
          <t>https://study.unimelb.edu.au/find/courses/graduate/master-of-commercial-law/</t>
        </is>
      </c>
      <c r="G237" t="inlineStr">
        <is>
          <t>https://study.unimelb.edu.au/find/courses/graduate/master-of-commercial-law/</t>
        </is>
      </c>
      <c r="H237" t="inlineStr">
        <is>
          <t>Read</t>
        </is>
      </c>
      <c r="I237" t="inlineStr">
        <is>
          <t>CRICOS code on page</t>
        </is>
      </c>
      <c r="J237" t="inlineStr"/>
      <c r="K237" t="inlineStr">
        <is>
          <t>Not sent to re-link</t>
        </is>
      </c>
      <c r="L237" t="inlineStr">
        <is>
          <t>Filled</t>
        </is>
      </c>
      <c r="M237" t="inlineStr">
        <is>
          <t>Filled</t>
        </is>
      </c>
      <c r="N237" t="inlineStr">
        <is>
          <t>67072.00 2027</t>
        </is>
      </c>
      <c r="O237" t="n">
        <v>3</v>
      </c>
      <c r="P237" t="inlineStr">
        <is>
          <t>Other</t>
        </is>
      </c>
      <c r="Q237" t="inlineStr">
        <is>
          <t>Filled</t>
        </is>
      </c>
      <c r="R237" t="n">
        <v>6.5</v>
      </c>
      <c r="S237" t="inlineStr">
        <is>
          <t>University adapter</t>
        </is>
      </c>
      <c r="T237" t="inlineStr">
        <is>
          <t>Level map (Melbourne): not computed per course in this report</t>
        </is>
      </c>
      <c r="U237" t="inlineStr"/>
      <c r="V237" t="inlineStr">
        <is>
          <t>Filled</t>
        </is>
      </c>
      <c r="W237" t="inlineStr">
        <is>
          <t>March, July</t>
        </is>
      </c>
      <c r="X237" t="inlineStr">
        <is>
          <t>University adapter</t>
        </is>
      </c>
      <c r="Y237" t="n">
        <v>3</v>
      </c>
      <c r="Z237" t="inlineStr">
        <is>
          <t>No</t>
        </is>
      </c>
      <c r="AA237" t="inlineStr">
        <is>
          <t>Filled</t>
        </is>
      </c>
      <c r="AB237" t="inlineStr">
        <is>
          <t>on campus</t>
        </is>
      </c>
      <c r="AC237" t="inlineStr"/>
      <c r="AD237" t="n">
        <v>0</v>
      </c>
      <c r="AE237" t="inlineStr"/>
      <c r="AF237" t="inlineStr"/>
      <c r="AG237" t="inlineStr"/>
      <c r="AH237" t="inlineStr"/>
      <c r="AI237" t="inlineStr"/>
      <c r="AJ237" t="inlineStr"/>
      <c r="AK237" t="inlineStr"/>
      <c r="AL237" t="inlineStr"/>
      <c r="AM237" t="inlineStr"/>
    </row>
    <row r="238">
      <c r="A238" t="inlineStr">
        <is>
          <t>0100884</t>
        </is>
      </c>
      <c r="B238" t="inlineStr">
        <is>
          <t>Master of Computer Science</t>
        </is>
      </c>
      <c r="C238" t="inlineStr">
        <is>
          <t>Masters Degree (Coursework)</t>
        </is>
      </c>
      <c r="D238" t="inlineStr">
        <is>
          <t>Postgraduate coursework</t>
        </is>
      </c>
      <c r="E238" t="inlineStr">
        <is>
          <t>Advertised: official page in place</t>
        </is>
      </c>
      <c r="F238" t="inlineStr">
        <is>
          <t>https://handbook.unimelb.edu.au/2026/courses/mc-cs</t>
        </is>
      </c>
      <c r="G238" t="inlineStr">
        <is>
          <t>https://handbook.unimelb.edu.au/2026/courses/mc-cs</t>
        </is>
      </c>
      <c r="H238" t="inlineStr">
        <is>
          <t>Read</t>
        </is>
      </c>
      <c r="I238" t="inlineStr">
        <is>
          <t>CRICOS code on page</t>
        </is>
      </c>
      <c r="J238" t="inlineStr"/>
      <c r="K238" t="inlineStr">
        <is>
          <t>Not sent to re-link</t>
        </is>
      </c>
      <c r="L238" t="inlineStr">
        <is>
          <t>Filled</t>
        </is>
      </c>
      <c r="M238" t="inlineStr">
        <is>
          <t>Filled</t>
        </is>
      </c>
      <c r="N238" t="inlineStr">
        <is>
          <t>68480.00 2027</t>
        </is>
      </c>
      <c r="O238" t="n">
        <v>3</v>
      </c>
      <c r="P238" t="inlineStr">
        <is>
          <t>Other</t>
        </is>
      </c>
      <c r="Q238" t="inlineStr">
        <is>
          <t>Filled</t>
        </is>
      </c>
      <c r="R238" t="n">
        <v>6.5</v>
      </c>
      <c r="S238" t="inlineStr">
        <is>
          <t>Central English policy</t>
        </is>
      </c>
      <c r="T238" t="inlineStr">
        <is>
          <t>Level map (Melbourne): not computed per course in this report</t>
        </is>
      </c>
      <c r="U238" t="inlineStr"/>
      <c r="V238" t="inlineStr">
        <is>
          <t>Not stated on course page</t>
        </is>
      </c>
      <c r="W238" t="inlineStr"/>
      <c r="X238" t="inlineStr"/>
      <c r="Y238" t="n">
        <v>0</v>
      </c>
      <c r="Z238" t="inlineStr">
        <is>
          <t>No</t>
        </is>
      </c>
      <c r="AA238" t="inlineStr">
        <is>
          <t>Filled</t>
        </is>
      </c>
      <c r="AB238" t="inlineStr">
        <is>
          <t>on campus</t>
        </is>
      </c>
      <c r="AC238" t="inlineStr"/>
      <c r="AD238" t="n">
        <v>0</v>
      </c>
      <c r="AE238" t="inlineStr"/>
      <c r="AF238" t="inlineStr"/>
      <c r="AG238" t="inlineStr"/>
      <c r="AH238" t="inlineStr"/>
      <c r="AI238" t="inlineStr">
        <is>
          <t>Yes</t>
        </is>
      </c>
      <c r="AJ238" t="inlineStr"/>
      <c r="AK238" t="inlineStr"/>
      <c r="AL238" t="inlineStr"/>
      <c r="AM238" t="inlineStr"/>
    </row>
    <row r="239">
      <c r="A239" t="inlineStr">
        <is>
          <t>074998C</t>
        </is>
      </c>
      <c r="B239" t="inlineStr">
        <is>
          <t>Master of Construction Law</t>
        </is>
      </c>
      <c r="C239" t="inlineStr">
        <is>
          <t>Masters Degree (Coursework)</t>
        </is>
      </c>
      <c r="D239" t="inlineStr">
        <is>
          <t>Postgraduate coursework</t>
        </is>
      </c>
      <c r="E239" t="inlineStr">
        <is>
          <t>Advertised: official page in place</t>
        </is>
      </c>
      <c r="F239" t="inlineStr">
        <is>
          <t>https://handbook.unimelb.edu.au/2026/courses/195aa</t>
        </is>
      </c>
      <c r="G239" t="inlineStr">
        <is>
          <t>https://handbook.unimelb.edu.au/2026/courses/195aa</t>
        </is>
      </c>
      <c r="H239" t="inlineStr">
        <is>
          <t>Read</t>
        </is>
      </c>
      <c r="I239" t="inlineStr">
        <is>
          <t>CRICOS code on page</t>
        </is>
      </c>
      <c r="J239" t="inlineStr"/>
      <c r="K239" t="inlineStr">
        <is>
          <t>Not sent to re-link</t>
        </is>
      </c>
      <c r="L239" t="inlineStr">
        <is>
          <t>Filled</t>
        </is>
      </c>
      <c r="M239" t="inlineStr">
        <is>
          <t>Filled</t>
        </is>
      </c>
      <c r="N239" t="inlineStr">
        <is>
          <t>67072.00 2027</t>
        </is>
      </c>
      <c r="O239" t="n">
        <v>3</v>
      </c>
      <c r="P239" t="inlineStr">
        <is>
          <t>Other</t>
        </is>
      </c>
      <c r="Q239" t="inlineStr">
        <is>
          <t>Filled</t>
        </is>
      </c>
      <c r="R239" t="n">
        <v>7</v>
      </c>
      <c r="S239" t="inlineStr">
        <is>
          <t>Central English policy</t>
        </is>
      </c>
      <c r="T239" t="inlineStr">
        <is>
          <t>Level map (Melbourne): not computed per course in this report</t>
        </is>
      </c>
      <c r="U239" t="inlineStr"/>
      <c r="V239" t="inlineStr">
        <is>
          <t>Not stated on course page</t>
        </is>
      </c>
      <c r="W239" t="inlineStr"/>
      <c r="X239" t="inlineStr"/>
      <c r="Y239" t="n">
        <v>0</v>
      </c>
      <c r="Z239" t="inlineStr">
        <is>
          <t>No</t>
        </is>
      </c>
      <c r="AA239" t="inlineStr">
        <is>
          <t>Filled</t>
        </is>
      </c>
      <c r="AB239" t="inlineStr">
        <is>
          <t>on campus</t>
        </is>
      </c>
      <c r="AC239" t="inlineStr"/>
      <c r="AD239" t="n">
        <v>0</v>
      </c>
      <c r="AE239" t="inlineStr"/>
      <c r="AF239" t="inlineStr"/>
      <c r="AG239" t="inlineStr"/>
      <c r="AH239" t="inlineStr"/>
      <c r="AI239" t="inlineStr">
        <is>
          <t>Yes</t>
        </is>
      </c>
      <c r="AJ239" t="inlineStr"/>
      <c r="AK239" t="inlineStr"/>
      <c r="AL239" t="inlineStr"/>
      <c r="AM239" t="inlineStr"/>
    </row>
    <row r="240">
      <c r="A240" t="inlineStr">
        <is>
          <t>061198J</t>
        </is>
      </c>
      <c r="B240" t="inlineStr">
        <is>
          <t>Master of Construction Management</t>
        </is>
      </c>
      <c r="C240" t="inlineStr">
        <is>
          <t>Masters Degree (Coursework)</t>
        </is>
      </c>
      <c r="D240" t="inlineStr">
        <is>
          <t>Postgraduate coursework</t>
        </is>
      </c>
      <c r="E240" t="inlineStr">
        <is>
          <t>Advertised: official page in place</t>
        </is>
      </c>
      <c r="F240" t="inlineStr">
        <is>
          <t>https://study.unimelb.edu.au/find/courses/graduate/master-of-construction-management/</t>
        </is>
      </c>
      <c r="G240" t="inlineStr">
        <is>
          <t>https://study.unimelb.edu.au/find/courses/graduate/master-of-construction-management/</t>
        </is>
      </c>
      <c r="H240" t="inlineStr">
        <is>
          <t>Read</t>
        </is>
      </c>
      <c r="I240" t="inlineStr">
        <is>
          <t>CRICOS code on page</t>
        </is>
      </c>
      <c r="J240" t="inlineStr"/>
      <c r="K240" t="inlineStr">
        <is>
          <t>Not sent to re-link</t>
        </is>
      </c>
      <c r="L240" t="inlineStr">
        <is>
          <t>Filled</t>
        </is>
      </c>
      <c r="M240" t="inlineStr">
        <is>
          <t>Filled</t>
        </is>
      </c>
      <c r="N240" t="inlineStr">
        <is>
          <t>59840.00 2027</t>
        </is>
      </c>
      <c r="O240" t="n">
        <v>3</v>
      </c>
      <c r="P240" t="inlineStr">
        <is>
          <t>Other</t>
        </is>
      </c>
      <c r="Q240" t="inlineStr">
        <is>
          <t>Filled</t>
        </is>
      </c>
      <c r="R240" t="n">
        <v>6.5</v>
      </c>
      <c r="S240" t="inlineStr">
        <is>
          <t>University adapter</t>
        </is>
      </c>
      <c r="T240" t="inlineStr">
        <is>
          <t>Level map (Melbourne): not computed per course in this report</t>
        </is>
      </c>
      <c r="U240" t="inlineStr"/>
      <c r="V240" t="inlineStr">
        <is>
          <t>Filled</t>
        </is>
      </c>
      <c r="W240" t="inlineStr">
        <is>
          <t>March, July</t>
        </is>
      </c>
      <c r="X240" t="inlineStr">
        <is>
          <t>Other</t>
        </is>
      </c>
      <c r="Y240" t="n">
        <v>0</v>
      </c>
      <c r="Z240" t="inlineStr">
        <is>
          <t>No</t>
        </is>
      </c>
      <c r="AA240" t="inlineStr">
        <is>
          <t>Filled</t>
        </is>
      </c>
      <c r="AB240" t="inlineStr">
        <is>
          <t>on campus</t>
        </is>
      </c>
      <c r="AC240" t="inlineStr"/>
      <c r="AD240" t="n">
        <v>0</v>
      </c>
      <c r="AE240" t="inlineStr"/>
      <c r="AF240" t="inlineStr"/>
      <c r="AG240" t="inlineStr"/>
      <c r="AH240" t="inlineStr"/>
      <c r="AI240" t="inlineStr"/>
      <c r="AJ240" t="inlineStr"/>
      <c r="AK240" t="inlineStr"/>
      <c r="AL240" t="inlineStr"/>
      <c r="AM240" t="inlineStr"/>
    </row>
    <row r="241">
      <c r="A241" t="inlineStr">
        <is>
          <t>061210G</t>
        </is>
      </c>
      <c r="B241" t="inlineStr">
        <is>
          <t>Master of Construction Management</t>
        </is>
      </c>
      <c r="C241" t="inlineStr">
        <is>
          <t>Masters Degree (Coursework)</t>
        </is>
      </c>
      <c r="D241" t="inlineStr">
        <is>
          <t>Postgraduate coursework</t>
        </is>
      </c>
      <c r="E241" t="inlineStr">
        <is>
          <t>Advertised: official page in place</t>
        </is>
      </c>
      <c r="F241" t="inlineStr">
        <is>
          <t>https://study.unimelb.edu.au/find/courses/graduate/master-of-construction-management/</t>
        </is>
      </c>
      <c r="G241" t="inlineStr">
        <is>
          <t>https://study.unimelb.edu.au/find/courses/graduate/master-of-construction-management/</t>
        </is>
      </c>
      <c r="H241" t="inlineStr">
        <is>
          <t>Read</t>
        </is>
      </c>
      <c r="I241" t="inlineStr">
        <is>
          <t>Exact title match</t>
        </is>
      </c>
      <c r="J241" t="inlineStr"/>
      <c r="K241" t="inlineStr">
        <is>
          <t>Not sent to re-link</t>
        </is>
      </c>
      <c r="L241" t="inlineStr">
        <is>
          <t>Filled</t>
        </is>
      </c>
      <c r="M241" t="inlineStr">
        <is>
          <t>Filled</t>
        </is>
      </c>
      <c r="N241" t="inlineStr">
        <is>
          <t>56992.00 2026</t>
        </is>
      </c>
      <c r="O241" t="n">
        <v>0</v>
      </c>
      <c r="P241" t="inlineStr">
        <is>
          <t>University adapter</t>
        </is>
      </c>
      <c r="Q241" t="inlineStr">
        <is>
          <t>Filled</t>
        </is>
      </c>
      <c r="R241" t="n">
        <v>6.5</v>
      </c>
      <c r="S241" t="inlineStr">
        <is>
          <t>University adapter</t>
        </is>
      </c>
      <c r="T241" t="inlineStr">
        <is>
          <t>Level map (Melbourne): not computed per course in this report</t>
        </is>
      </c>
      <c r="U241" t="inlineStr"/>
      <c r="V241" t="inlineStr">
        <is>
          <t>Filled</t>
        </is>
      </c>
      <c r="W241" t="inlineStr">
        <is>
          <t>March, July</t>
        </is>
      </c>
      <c r="X241" t="inlineStr">
        <is>
          <t>Other</t>
        </is>
      </c>
      <c r="Y241" t="n">
        <v>0</v>
      </c>
      <c r="Z241" t="inlineStr">
        <is>
          <t>No</t>
        </is>
      </c>
      <c r="AA241" t="inlineStr">
        <is>
          <t>Filled</t>
        </is>
      </c>
      <c r="AB241" t="inlineStr">
        <is>
          <t>on campus</t>
        </is>
      </c>
      <c r="AC241" t="inlineStr"/>
      <c r="AD241" t="n">
        <v>0</v>
      </c>
      <c r="AE241" t="inlineStr"/>
      <c r="AF241" t="inlineStr"/>
      <c r="AG241" t="inlineStr"/>
      <c r="AH241" t="inlineStr"/>
      <c r="AI241" t="inlineStr"/>
      <c r="AJ241" t="inlineStr"/>
      <c r="AK241" t="inlineStr"/>
      <c r="AL241" t="inlineStr"/>
      <c r="AM241" t="inlineStr"/>
    </row>
    <row r="242">
      <c r="A242" t="inlineStr">
        <is>
          <t>105517J</t>
        </is>
      </c>
      <c r="B242" t="inlineStr">
        <is>
          <t>Master of Construction Management / Master of Property</t>
        </is>
      </c>
      <c r="C242" t="inlineStr">
        <is>
          <t>Masters Degree (Coursework)</t>
        </is>
      </c>
      <c r="D242" t="inlineStr">
        <is>
          <t>Postgraduate coursework</t>
        </is>
      </c>
      <c r="E242" t="inlineStr">
        <is>
          <t>Advertised: official page in place</t>
        </is>
      </c>
      <c r="F242" t="inlineStr">
        <is>
          <t>https://study.unimelb.edu.au/find/courses/graduate/master-of-construction-management-master-of-property/</t>
        </is>
      </c>
      <c r="G242" t="inlineStr">
        <is>
          <t>https://study.unimelb.edu.au/find/courses/graduate/master-of-construction-management-master-of-property/</t>
        </is>
      </c>
      <c r="H242" t="inlineStr">
        <is>
          <t>Read</t>
        </is>
      </c>
      <c r="I242" t="inlineStr">
        <is>
          <t>CRICOS code on page</t>
        </is>
      </c>
      <c r="J242" t="inlineStr"/>
      <c r="K242" t="inlineStr">
        <is>
          <t>Not sent to re-link</t>
        </is>
      </c>
      <c r="L242" t="inlineStr">
        <is>
          <t>Filled</t>
        </is>
      </c>
      <c r="M242" t="inlineStr">
        <is>
          <t>Filled</t>
        </is>
      </c>
      <c r="N242" t="inlineStr">
        <is>
          <t>59840.00 2027</t>
        </is>
      </c>
      <c r="O242" t="n">
        <v>2</v>
      </c>
      <c r="P242" t="inlineStr">
        <is>
          <t>Other</t>
        </is>
      </c>
      <c r="Q242" t="inlineStr">
        <is>
          <t>Filled</t>
        </is>
      </c>
      <c r="R242" t="n">
        <v>6.5</v>
      </c>
      <c r="S242" t="inlineStr">
        <is>
          <t>University adapter</t>
        </is>
      </c>
      <c r="T242" t="inlineStr">
        <is>
          <t>Level map (Melbourne): not computed per course in this report</t>
        </is>
      </c>
      <c r="U242" t="inlineStr"/>
      <c r="V242" t="inlineStr">
        <is>
          <t>Filled</t>
        </is>
      </c>
      <c r="W242" t="inlineStr">
        <is>
          <t>March, July</t>
        </is>
      </c>
      <c r="X242" t="inlineStr">
        <is>
          <t>Other</t>
        </is>
      </c>
      <c r="Y242" t="n">
        <v>0</v>
      </c>
      <c r="Z242" t="inlineStr">
        <is>
          <t>No</t>
        </is>
      </c>
      <c r="AA242" t="inlineStr">
        <is>
          <t>Filled</t>
        </is>
      </c>
      <c r="AB242" t="inlineStr">
        <is>
          <t>on campus</t>
        </is>
      </c>
      <c r="AC242" t="inlineStr"/>
      <c r="AD242" t="n">
        <v>0</v>
      </c>
      <c r="AE242" t="inlineStr"/>
      <c r="AF242" t="inlineStr"/>
      <c r="AG242" t="inlineStr"/>
      <c r="AH242" t="inlineStr"/>
      <c r="AI242" t="inlineStr"/>
      <c r="AJ242" t="inlineStr"/>
      <c r="AK242" t="inlineStr"/>
      <c r="AL242" t="inlineStr"/>
      <c r="AM242" t="inlineStr"/>
    </row>
    <row r="243">
      <c r="A243" t="inlineStr">
        <is>
          <t>075494G</t>
        </is>
      </c>
      <c r="B243" t="inlineStr">
        <is>
          <t>Master of Contemporary Art</t>
        </is>
      </c>
      <c r="C243" t="inlineStr">
        <is>
          <t>Masters Degree (Coursework)</t>
        </is>
      </c>
      <c r="D243" t="inlineStr">
        <is>
          <t>Postgraduate coursework</t>
        </is>
      </c>
      <c r="E243" t="inlineStr">
        <is>
          <t>Advertised: official page in place</t>
        </is>
      </c>
      <c r="F243" t="inlineStr">
        <is>
          <t>https://study.unimelb.edu.au/find/courses/graduate/master-of-contemporary-art/</t>
        </is>
      </c>
      <c r="G243" t="inlineStr">
        <is>
          <t>https://study.unimelb.edu.au/find/courses/graduate/master-of-contemporary-art/</t>
        </is>
      </c>
      <c r="H243" t="inlineStr">
        <is>
          <t>Read</t>
        </is>
      </c>
      <c r="I243" t="inlineStr">
        <is>
          <t>CRICOS code on page</t>
        </is>
      </c>
      <c r="J243" t="inlineStr"/>
      <c r="K243" t="inlineStr">
        <is>
          <t>Not sent to re-link</t>
        </is>
      </c>
      <c r="L243" t="inlineStr">
        <is>
          <t>Filled</t>
        </is>
      </c>
      <c r="M243" t="inlineStr">
        <is>
          <t>Filled</t>
        </is>
      </c>
      <c r="N243" t="inlineStr">
        <is>
          <t>50720.00 2027</t>
        </is>
      </c>
      <c r="O243" t="n">
        <v>3</v>
      </c>
      <c r="P243" t="inlineStr">
        <is>
          <t>Other</t>
        </is>
      </c>
      <c r="Q243" t="inlineStr">
        <is>
          <t>Filled</t>
        </is>
      </c>
      <c r="R243" t="n">
        <v>6.5</v>
      </c>
      <c r="S243" t="inlineStr">
        <is>
          <t>University adapter</t>
        </is>
      </c>
      <c r="T243" t="inlineStr">
        <is>
          <t>Level map (Melbourne): not computed per course in this report</t>
        </is>
      </c>
      <c r="U243" t="inlineStr"/>
      <c r="V243" t="inlineStr">
        <is>
          <t>Filled</t>
        </is>
      </c>
      <c r="W243" t="inlineStr">
        <is>
          <t>March</t>
        </is>
      </c>
      <c r="X243" t="inlineStr">
        <is>
          <t>University adapter</t>
        </is>
      </c>
      <c r="Y243" t="n">
        <v>0</v>
      </c>
      <c r="Z243" t="inlineStr">
        <is>
          <t>No</t>
        </is>
      </c>
      <c r="AA243" t="inlineStr">
        <is>
          <t>Filled</t>
        </is>
      </c>
      <c r="AB243" t="inlineStr">
        <is>
          <t>on campus</t>
        </is>
      </c>
      <c r="AC243" t="inlineStr"/>
      <c r="AD243" t="n">
        <v>0</v>
      </c>
      <c r="AE243" t="inlineStr"/>
      <c r="AF243" t="inlineStr"/>
      <c r="AG243" t="inlineStr"/>
      <c r="AH243" t="inlineStr"/>
      <c r="AI243" t="inlineStr"/>
      <c r="AJ243" t="inlineStr"/>
      <c r="AK243" t="inlineStr"/>
      <c r="AL243" t="inlineStr"/>
      <c r="AM243" t="inlineStr"/>
    </row>
    <row r="244">
      <c r="A244" t="inlineStr">
        <is>
          <t>114286M</t>
        </is>
      </c>
      <c r="B244" t="inlineStr">
        <is>
          <t>Master of Contemporary Chinese Studies</t>
        </is>
      </c>
      <c r="C244" t="inlineStr">
        <is>
          <t>Masters Degree (Coursework)</t>
        </is>
      </c>
      <c r="D244" t="inlineStr">
        <is>
          <t>Postgraduate coursework</t>
        </is>
      </c>
      <c r="E244" t="inlineStr">
        <is>
          <t>Advertised: official page in place</t>
        </is>
      </c>
      <c r="F244" t="inlineStr">
        <is>
          <t>https://handbook.unimelb.edu.au/2026/courses/mc-contcs</t>
        </is>
      </c>
      <c r="G244" t="inlineStr">
        <is>
          <t>https://handbook.unimelb.edu.au/2026/courses/mc-contcs</t>
        </is>
      </c>
      <c r="H244" t="inlineStr">
        <is>
          <t>Read</t>
        </is>
      </c>
      <c r="I244" t="inlineStr">
        <is>
          <t>CRICOS code on page</t>
        </is>
      </c>
      <c r="J244" t="inlineStr"/>
      <c r="K244" t="inlineStr">
        <is>
          <t>Not sent to re-link</t>
        </is>
      </c>
      <c r="L244" t="inlineStr">
        <is>
          <t>Filled</t>
        </is>
      </c>
      <c r="M244" t="inlineStr">
        <is>
          <t>Filled</t>
        </is>
      </c>
      <c r="N244" t="inlineStr">
        <is>
          <t>52416.00 2027</t>
        </is>
      </c>
      <c r="O244" t="n">
        <v>3</v>
      </c>
      <c r="P244" t="inlineStr">
        <is>
          <t>Other</t>
        </is>
      </c>
      <c r="Q244" t="inlineStr">
        <is>
          <t>Filled</t>
        </is>
      </c>
      <c r="R244" t="n">
        <v>6.5</v>
      </c>
      <c r="S244" t="inlineStr">
        <is>
          <t>Central English policy</t>
        </is>
      </c>
      <c r="T244" t="inlineStr">
        <is>
          <t>Level map (Melbourne): not computed per course in this report</t>
        </is>
      </c>
      <c r="U244" t="inlineStr"/>
      <c r="V244" t="inlineStr">
        <is>
          <t>Not stated on course page</t>
        </is>
      </c>
      <c r="W244" t="inlineStr"/>
      <c r="X244" t="inlineStr"/>
      <c r="Y244" t="n">
        <v>0</v>
      </c>
      <c r="Z244" t="inlineStr">
        <is>
          <t>No</t>
        </is>
      </c>
      <c r="AA244" t="inlineStr">
        <is>
          <t>Filled</t>
        </is>
      </c>
      <c r="AB244" t="inlineStr">
        <is>
          <t>on campus</t>
        </is>
      </c>
      <c r="AC244" t="inlineStr"/>
      <c r="AD244" t="n">
        <v>0</v>
      </c>
      <c r="AE244" t="inlineStr"/>
      <c r="AF244" t="inlineStr"/>
      <c r="AG244" t="inlineStr"/>
      <c r="AH244" t="inlineStr"/>
      <c r="AI244" t="inlineStr">
        <is>
          <t>Yes</t>
        </is>
      </c>
      <c r="AJ244" t="inlineStr"/>
      <c r="AK244" t="inlineStr"/>
      <c r="AL244" t="inlineStr"/>
      <c r="AM244" t="inlineStr"/>
    </row>
    <row r="245">
      <c r="A245" t="inlineStr">
        <is>
          <t>0100983</t>
        </is>
      </c>
      <c r="B245" t="inlineStr">
        <is>
          <t>Master of Creative Arts Therapy</t>
        </is>
      </c>
      <c r="C245" t="inlineStr">
        <is>
          <t>Masters Degree (Coursework)</t>
        </is>
      </c>
      <c r="D245" t="inlineStr">
        <is>
          <t>Postgraduate coursework</t>
        </is>
      </c>
      <c r="E245" t="inlineStr">
        <is>
          <t>Advertised: official page in place</t>
        </is>
      </c>
      <c r="F245" t="inlineStr">
        <is>
          <t>https://handbook.unimelb.edu.au/2026/courses/mc-cat</t>
        </is>
      </c>
      <c r="G245" t="inlineStr">
        <is>
          <t>https://handbook.unimelb.edu.au/2026/courses/mc-cat</t>
        </is>
      </c>
      <c r="H245" t="inlineStr">
        <is>
          <t>Read</t>
        </is>
      </c>
      <c r="I245" t="inlineStr">
        <is>
          <t>CRICOS code on page</t>
        </is>
      </c>
      <c r="J245" t="inlineStr"/>
      <c r="K245" t="inlineStr">
        <is>
          <t>Not sent to re-link</t>
        </is>
      </c>
      <c r="L245" t="inlineStr">
        <is>
          <t>Filled</t>
        </is>
      </c>
      <c r="M245" t="inlineStr">
        <is>
          <t>Filled</t>
        </is>
      </c>
      <c r="N245" t="inlineStr">
        <is>
          <t>50720.00 2027</t>
        </is>
      </c>
      <c r="O245" t="n">
        <v>3</v>
      </c>
      <c r="P245" t="inlineStr">
        <is>
          <t>Other</t>
        </is>
      </c>
      <c r="Q245" t="inlineStr">
        <is>
          <t>Filled</t>
        </is>
      </c>
      <c r="R245" t="n">
        <v>6.5</v>
      </c>
      <c r="S245" t="inlineStr">
        <is>
          <t>Central English policy</t>
        </is>
      </c>
      <c r="T245" t="inlineStr">
        <is>
          <t>Level map (Melbourne): not computed per course in this report</t>
        </is>
      </c>
      <c r="U245" t="inlineStr"/>
      <c r="V245" t="inlineStr">
        <is>
          <t>Not stated on course page</t>
        </is>
      </c>
      <c r="W245" t="inlineStr"/>
      <c r="X245" t="inlineStr"/>
      <c r="Y245" t="n">
        <v>0</v>
      </c>
      <c r="Z245" t="inlineStr">
        <is>
          <t>No</t>
        </is>
      </c>
      <c r="AA245" t="inlineStr">
        <is>
          <t>Filled</t>
        </is>
      </c>
      <c r="AB245" t="inlineStr">
        <is>
          <t>blended</t>
        </is>
      </c>
      <c r="AC245" t="inlineStr"/>
      <c r="AD245" t="n">
        <v>0</v>
      </c>
      <c r="AE245" t="inlineStr"/>
      <c r="AF245" t="inlineStr"/>
      <c r="AG245" t="inlineStr"/>
      <c r="AH245" t="inlineStr"/>
      <c r="AI245" t="inlineStr">
        <is>
          <t>Yes</t>
        </is>
      </c>
      <c r="AJ245" t="inlineStr"/>
      <c r="AK245" t="inlineStr"/>
      <c r="AL245" t="inlineStr"/>
      <c r="AM245" t="inlineStr"/>
    </row>
    <row r="246">
      <c r="A246" t="inlineStr">
        <is>
          <t>058718E</t>
        </is>
      </c>
      <c r="B246" t="inlineStr">
        <is>
          <t>Master of Creative Writing, Publishing and Editing</t>
        </is>
      </c>
      <c r="C246" t="inlineStr">
        <is>
          <t>Masters Degree (Coursework)</t>
        </is>
      </c>
      <c r="D246" t="inlineStr">
        <is>
          <t>Postgraduate coursework</t>
        </is>
      </c>
      <c r="E246" t="inlineStr">
        <is>
          <t>Advertised: official page in place</t>
        </is>
      </c>
      <c r="F246" t="inlineStr">
        <is>
          <t>https://handbook.unimelb.edu.au/2026/courses/d01lf</t>
        </is>
      </c>
      <c r="G246" t="inlineStr">
        <is>
          <t>https://handbook.unimelb.edu.au/2026/courses/d01lf</t>
        </is>
      </c>
      <c r="H246" t="inlineStr">
        <is>
          <t>Read</t>
        </is>
      </c>
      <c r="I246" t="inlineStr">
        <is>
          <t>CRICOS code on page</t>
        </is>
      </c>
      <c r="J246" t="inlineStr"/>
      <c r="K246" t="inlineStr">
        <is>
          <t>Not sent to re-link</t>
        </is>
      </c>
      <c r="L246" t="inlineStr">
        <is>
          <t>Filled</t>
        </is>
      </c>
      <c r="M246" t="inlineStr">
        <is>
          <t>Filled</t>
        </is>
      </c>
      <c r="N246" t="inlineStr">
        <is>
          <t>52416.00 2027</t>
        </is>
      </c>
      <c r="O246" t="n">
        <v>3</v>
      </c>
      <c r="P246" t="inlineStr">
        <is>
          <t>Other</t>
        </is>
      </c>
      <c r="Q246" t="inlineStr">
        <is>
          <t>Filled</t>
        </is>
      </c>
      <c r="R246" t="n">
        <v>7</v>
      </c>
      <c r="S246" t="inlineStr">
        <is>
          <t>Central English policy</t>
        </is>
      </c>
      <c r="T246" t="inlineStr">
        <is>
          <t>Level map (Melbourne): not computed per course in this report</t>
        </is>
      </c>
      <c r="U246" t="inlineStr"/>
      <c r="V246" t="inlineStr">
        <is>
          <t>Not stated on course page</t>
        </is>
      </c>
      <c r="W246" t="inlineStr"/>
      <c r="X246" t="inlineStr"/>
      <c r="Y246" t="n">
        <v>0</v>
      </c>
      <c r="Z246" t="inlineStr">
        <is>
          <t>No</t>
        </is>
      </c>
      <c r="AA246" t="inlineStr">
        <is>
          <t>Filled</t>
        </is>
      </c>
      <c r="AB246" t="inlineStr">
        <is>
          <t>on campus</t>
        </is>
      </c>
      <c r="AC246" t="inlineStr"/>
      <c r="AD246" t="n">
        <v>0</v>
      </c>
      <c r="AE246" t="inlineStr"/>
      <c r="AF246" t="inlineStr"/>
      <c r="AG246" t="inlineStr"/>
      <c r="AH246" t="inlineStr"/>
      <c r="AI246" t="inlineStr">
        <is>
          <t>Yes</t>
        </is>
      </c>
      <c r="AJ246" t="inlineStr"/>
      <c r="AK246" t="inlineStr"/>
      <c r="AL246" t="inlineStr"/>
      <c r="AM246" t="inlineStr"/>
    </row>
    <row r="247">
      <c r="A247" t="inlineStr">
        <is>
          <t>055074E</t>
        </is>
      </c>
      <c r="B247" t="inlineStr">
        <is>
          <t>Master of Criminology</t>
        </is>
      </c>
      <c r="C247" t="inlineStr">
        <is>
          <t>Masters Degree (Coursework)</t>
        </is>
      </c>
      <c r="D247" t="inlineStr">
        <is>
          <t>Postgraduate coursework</t>
        </is>
      </c>
      <c r="E247" t="inlineStr">
        <is>
          <t>Advertised: official page in place</t>
        </is>
      </c>
      <c r="F247" t="inlineStr">
        <is>
          <t>https://handbook.unimelb.edu.au/2026/courses/274ab</t>
        </is>
      </c>
      <c r="G247" t="inlineStr">
        <is>
          <t>https://handbook.unimelb.edu.au/2026/courses/274ab</t>
        </is>
      </c>
      <c r="H247" t="inlineStr">
        <is>
          <t>Read</t>
        </is>
      </c>
      <c r="I247" t="inlineStr">
        <is>
          <t>CRICOS code on page</t>
        </is>
      </c>
      <c r="J247" t="inlineStr"/>
      <c r="K247" t="inlineStr">
        <is>
          <t>Not sent to re-link</t>
        </is>
      </c>
      <c r="L247" t="inlineStr">
        <is>
          <t>Filled</t>
        </is>
      </c>
      <c r="M247" t="inlineStr">
        <is>
          <t>Filled</t>
        </is>
      </c>
      <c r="N247" t="inlineStr">
        <is>
          <t>52416.00 2027</t>
        </is>
      </c>
      <c r="O247" t="n">
        <v>3</v>
      </c>
      <c r="P247" t="inlineStr">
        <is>
          <t>Other</t>
        </is>
      </c>
      <c r="Q247" t="inlineStr">
        <is>
          <t>Filled</t>
        </is>
      </c>
      <c r="R247" t="n">
        <v>6.5</v>
      </c>
      <c r="S247" t="inlineStr">
        <is>
          <t>Central English policy</t>
        </is>
      </c>
      <c r="T247" t="inlineStr">
        <is>
          <t>Level map (Melbourne): not computed per course in this report</t>
        </is>
      </c>
      <c r="U247" t="inlineStr"/>
      <c r="V247" t="inlineStr">
        <is>
          <t>Not stated on course page</t>
        </is>
      </c>
      <c r="W247" t="inlineStr"/>
      <c r="X247" t="inlineStr"/>
      <c r="Y247" t="n">
        <v>0</v>
      </c>
      <c r="Z247" t="inlineStr">
        <is>
          <t>No</t>
        </is>
      </c>
      <c r="AA247" t="inlineStr">
        <is>
          <t>Filled</t>
        </is>
      </c>
      <c r="AB247" t="inlineStr">
        <is>
          <t>on campus</t>
        </is>
      </c>
      <c r="AC247" t="inlineStr"/>
      <c r="AD247" t="n">
        <v>0</v>
      </c>
      <c r="AE247" t="inlineStr"/>
      <c r="AF247" t="inlineStr"/>
      <c r="AG247" t="inlineStr"/>
      <c r="AH247" t="inlineStr"/>
      <c r="AI247" t="inlineStr">
        <is>
          <t>Yes</t>
        </is>
      </c>
      <c r="AJ247" t="inlineStr"/>
      <c r="AK247" t="inlineStr"/>
      <c r="AL247" t="inlineStr"/>
      <c r="AM247" t="inlineStr"/>
    </row>
    <row r="248">
      <c r="A248" t="inlineStr">
        <is>
          <t>061638A</t>
        </is>
      </c>
      <c r="B248" t="inlineStr">
        <is>
          <t>Master of Cultural Material Conservation</t>
        </is>
      </c>
      <c r="C248" t="inlineStr">
        <is>
          <t>Masters Degree (Coursework)</t>
        </is>
      </c>
      <c r="D248" t="inlineStr">
        <is>
          <t>Postgraduate coursework</t>
        </is>
      </c>
      <c r="E248" t="inlineStr">
        <is>
          <t>Advertised: official page in place</t>
        </is>
      </c>
      <c r="F248" t="inlineStr">
        <is>
          <t>https://handbook.unimelb.edu.au/2026/courses/mc-culmc</t>
        </is>
      </c>
      <c r="G248" t="inlineStr">
        <is>
          <t>https://handbook.unimelb.edu.au/2026/courses/mc-culmc</t>
        </is>
      </c>
      <c r="H248" t="inlineStr">
        <is>
          <t>Read</t>
        </is>
      </c>
      <c r="I248" t="inlineStr">
        <is>
          <t>CRICOS code on page</t>
        </is>
      </c>
      <c r="J248" t="inlineStr"/>
      <c r="K248" t="inlineStr">
        <is>
          <t>Not sent to re-link</t>
        </is>
      </c>
      <c r="L248" t="inlineStr">
        <is>
          <t>Filled</t>
        </is>
      </c>
      <c r="M248" t="inlineStr">
        <is>
          <t>Filled</t>
        </is>
      </c>
      <c r="N248" t="inlineStr">
        <is>
          <t>52416.00 2027</t>
        </is>
      </c>
      <c r="O248" t="n">
        <v>3</v>
      </c>
      <c r="P248" t="inlineStr">
        <is>
          <t>Other</t>
        </is>
      </c>
      <c r="Q248" t="inlineStr">
        <is>
          <t>Not stated on course page</t>
        </is>
      </c>
      <c r="S248" t="inlineStr"/>
      <c r="T248" t="inlineStr">
        <is>
          <t>Level map (Melbourne): not computed per course in this report</t>
        </is>
      </c>
      <c r="U248" t="inlineStr"/>
      <c r="V248" t="inlineStr">
        <is>
          <t>Not stated on course page</t>
        </is>
      </c>
      <c r="W248" t="inlineStr"/>
      <c r="X248" t="inlineStr"/>
      <c r="Y248" t="n">
        <v>0</v>
      </c>
      <c r="Z248" t="inlineStr">
        <is>
          <t>No</t>
        </is>
      </c>
      <c r="AA248" t="inlineStr">
        <is>
          <t>Filled</t>
        </is>
      </c>
      <c r="AB248" t="inlineStr">
        <is>
          <t>on campus</t>
        </is>
      </c>
      <c r="AC248" t="inlineStr"/>
      <c r="AD248" t="n">
        <v>0</v>
      </c>
      <c r="AE248" t="inlineStr"/>
      <c r="AF248" t="inlineStr"/>
      <c r="AG248" t="inlineStr"/>
      <c r="AH248" t="inlineStr"/>
      <c r="AI248" t="inlineStr">
        <is>
          <t>Yes</t>
        </is>
      </c>
      <c r="AJ248" t="inlineStr"/>
      <c r="AK248" t="inlineStr"/>
      <c r="AL248" t="inlineStr"/>
      <c r="AM248" t="inlineStr"/>
    </row>
    <row r="249">
      <c r="A249" t="inlineStr">
        <is>
          <t>085430G</t>
        </is>
      </c>
      <c r="B249" t="inlineStr">
        <is>
          <t>Master of Dance</t>
        </is>
      </c>
      <c r="C249" t="inlineStr">
        <is>
          <t>Masters Degree (Coursework)</t>
        </is>
      </c>
      <c r="D249" t="inlineStr">
        <is>
          <t>Postgraduate coursework</t>
        </is>
      </c>
      <c r="E249" t="inlineStr">
        <is>
          <t>Advertised: official page in place</t>
        </is>
      </c>
      <c r="F249" t="inlineStr">
        <is>
          <t>https://study.unimelb.edu.au/find/courses/graduate/master-of-dance/</t>
        </is>
      </c>
      <c r="G249" t="inlineStr">
        <is>
          <t>https://study.unimelb.edu.au/find/courses/graduate/master-of-dance/</t>
        </is>
      </c>
      <c r="H249" t="inlineStr">
        <is>
          <t>Read</t>
        </is>
      </c>
      <c r="I249" t="inlineStr">
        <is>
          <t>Exact title match</t>
        </is>
      </c>
      <c r="J249" t="inlineStr"/>
      <c r="K249" t="inlineStr">
        <is>
          <t>Not sent to re-link</t>
        </is>
      </c>
      <c r="L249" t="inlineStr">
        <is>
          <t>Filled</t>
        </is>
      </c>
      <c r="M249" t="inlineStr">
        <is>
          <t>Filled</t>
        </is>
      </c>
      <c r="N249" t="inlineStr">
        <is>
          <t>46976.00 2026</t>
        </is>
      </c>
      <c r="O249" t="n">
        <v>0</v>
      </c>
      <c r="P249" t="inlineStr">
        <is>
          <t>University adapter</t>
        </is>
      </c>
      <c r="Q249" t="inlineStr">
        <is>
          <t>Filled</t>
        </is>
      </c>
      <c r="R249" t="n">
        <v>6.5</v>
      </c>
      <c r="S249" t="inlineStr">
        <is>
          <t>University adapter</t>
        </is>
      </c>
      <c r="T249" t="inlineStr">
        <is>
          <t>Level map (Melbourne): not computed per course in this report</t>
        </is>
      </c>
      <c r="U249" t="inlineStr"/>
      <c r="V249" t="inlineStr">
        <is>
          <t>Filled</t>
        </is>
      </c>
      <c r="W249" t="inlineStr">
        <is>
          <t>March</t>
        </is>
      </c>
      <c r="X249" t="inlineStr">
        <is>
          <t>Other</t>
        </is>
      </c>
      <c r="Y249" t="n">
        <v>0</v>
      </c>
      <c r="Z249" t="inlineStr">
        <is>
          <t>No</t>
        </is>
      </c>
      <c r="AA249" t="inlineStr">
        <is>
          <t>Filled</t>
        </is>
      </c>
      <c r="AB249" t="inlineStr">
        <is>
          <t>on campus</t>
        </is>
      </c>
      <c r="AC249" t="inlineStr"/>
      <c r="AD249" t="n">
        <v>0</v>
      </c>
      <c r="AE249" t="inlineStr"/>
      <c r="AF249" t="inlineStr"/>
      <c r="AG249" t="inlineStr"/>
      <c r="AH249" t="inlineStr"/>
      <c r="AI249" t="inlineStr"/>
      <c r="AJ249" t="inlineStr"/>
      <c r="AK249" t="inlineStr"/>
      <c r="AL249" t="inlineStr"/>
      <c r="AM249" t="inlineStr"/>
    </row>
    <row r="250">
      <c r="A250" t="inlineStr">
        <is>
          <t>105697M</t>
        </is>
      </c>
      <c r="B250" t="inlineStr">
        <is>
          <t>Master of Dance</t>
        </is>
      </c>
      <c r="C250" t="inlineStr">
        <is>
          <t>Masters Degree (Coursework)</t>
        </is>
      </c>
      <c r="D250" t="inlineStr">
        <is>
          <t>Postgraduate coursework</t>
        </is>
      </c>
      <c r="E250" t="inlineStr">
        <is>
          <t>Advertised: official page in place</t>
        </is>
      </c>
      <c r="F250" t="inlineStr">
        <is>
          <t>https://study.unimelb.edu.au/find/courses/graduate/master-of-dance/</t>
        </is>
      </c>
      <c r="G250" t="inlineStr">
        <is>
          <t>https://study.unimelb.edu.au/find/courses/graduate/master-of-dance/</t>
        </is>
      </c>
      <c r="H250" t="inlineStr">
        <is>
          <t>Read</t>
        </is>
      </c>
      <c r="I250" t="inlineStr">
        <is>
          <t>CRICOS code on page</t>
        </is>
      </c>
      <c r="J250" t="inlineStr"/>
      <c r="K250" t="inlineStr">
        <is>
          <t>Not sent to re-link</t>
        </is>
      </c>
      <c r="L250" t="inlineStr">
        <is>
          <t>Filled</t>
        </is>
      </c>
      <c r="M250" t="inlineStr">
        <is>
          <t>Filled</t>
        </is>
      </c>
      <c r="N250" t="inlineStr">
        <is>
          <t>50720.00 2027</t>
        </is>
      </c>
      <c r="O250" t="n">
        <v>3</v>
      </c>
      <c r="P250" t="inlineStr">
        <is>
          <t>Other</t>
        </is>
      </c>
      <c r="Q250" t="inlineStr">
        <is>
          <t>Filled</t>
        </is>
      </c>
      <c r="R250" t="n">
        <v>6.5</v>
      </c>
      <c r="S250" t="inlineStr">
        <is>
          <t>University adapter</t>
        </is>
      </c>
      <c r="T250" t="inlineStr">
        <is>
          <t>Level map (Melbourne): not computed per course in this report</t>
        </is>
      </c>
      <c r="U250" t="inlineStr"/>
      <c r="V250" t="inlineStr">
        <is>
          <t>Filled</t>
        </is>
      </c>
      <c r="W250" t="inlineStr">
        <is>
          <t>March</t>
        </is>
      </c>
      <c r="X250" t="inlineStr">
        <is>
          <t>Other</t>
        </is>
      </c>
      <c r="Y250" t="n">
        <v>0</v>
      </c>
      <c r="Z250" t="inlineStr">
        <is>
          <t>No</t>
        </is>
      </c>
      <c r="AA250" t="inlineStr">
        <is>
          <t>Filled</t>
        </is>
      </c>
      <c r="AB250" t="inlineStr">
        <is>
          <t>on campus</t>
        </is>
      </c>
      <c r="AC250" t="inlineStr"/>
      <c r="AD250" t="n">
        <v>0</v>
      </c>
      <c r="AE250" t="inlineStr"/>
      <c r="AF250" t="inlineStr"/>
      <c r="AG250" t="inlineStr"/>
      <c r="AH250" t="inlineStr"/>
      <c r="AI250" t="inlineStr"/>
      <c r="AJ250" t="inlineStr"/>
      <c r="AK250" t="inlineStr"/>
      <c r="AL250" t="inlineStr"/>
      <c r="AM250" t="inlineStr"/>
    </row>
    <row r="251">
      <c r="A251" t="inlineStr">
        <is>
          <t>092791B</t>
        </is>
      </c>
      <c r="B251" t="inlineStr">
        <is>
          <t>Master of Data Science</t>
        </is>
      </c>
      <c r="C251" t="inlineStr">
        <is>
          <t>Masters Degree (Coursework)</t>
        </is>
      </c>
      <c r="D251" t="inlineStr">
        <is>
          <t>Postgraduate coursework</t>
        </is>
      </c>
      <c r="E251" t="inlineStr">
        <is>
          <t>Advertised: official page in place</t>
        </is>
      </c>
      <c r="F251" t="inlineStr">
        <is>
          <t>https://handbook.unimelb.edu.au/2026/courses/mc-datasc</t>
        </is>
      </c>
      <c r="G251" t="inlineStr">
        <is>
          <t>https://handbook.unimelb.edu.au/2026/courses/mc-datasc</t>
        </is>
      </c>
      <c r="H251" t="inlineStr">
        <is>
          <t>Read</t>
        </is>
      </c>
      <c r="I251" t="inlineStr">
        <is>
          <t>CRICOS code on page</t>
        </is>
      </c>
      <c r="J251" t="inlineStr"/>
      <c r="K251" t="inlineStr">
        <is>
          <t>Not sent to re-link</t>
        </is>
      </c>
      <c r="L251" t="inlineStr">
        <is>
          <t>Filled</t>
        </is>
      </c>
      <c r="M251" t="inlineStr">
        <is>
          <t>Filled</t>
        </is>
      </c>
      <c r="N251" t="inlineStr">
        <is>
          <t>61440.00 2027</t>
        </is>
      </c>
      <c r="O251" t="n">
        <v>3</v>
      </c>
      <c r="P251" t="inlineStr">
        <is>
          <t>Other</t>
        </is>
      </c>
      <c r="Q251" t="inlineStr">
        <is>
          <t>Filled</t>
        </is>
      </c>
      <c r="R251" t="n">
        <v>6.5</v>
      </c>
      <c r="S251" t="inlineStr">
        <is>
          <t>Central English policy</t>
        </is>
      </c>
      <c r="T251" t="inlineStr">
        <is>
          <t>Level map (Melbourne): not computed per course in this report</t>
        </is>
      </c>
      <c r="U251" t="inlineStr"/>
      <c r="V251" t="inlineStr">
        <is>
          <t>Not stated on course page</t>
        </is>
      </c>
      <c r="W251" t="inlineStr"/>
      <c r="X251" t="inlineStr"/>
      <c r="Y251" t="n">
        <v>0</v>
      </c>
      <c r="Z251" t="inlineStr">
        <is>
          <t>No</t>
        </is>
      </c>
      <c r="AA251" t="inlineStr">
        <is>
          <t>Filled</t>
        </is>
      </c>
      <c r="AB251" t="inlineStr">
        <is>
          <t>on campus</t>
        </is>
      </c>
      <c r="AC251" t="inlineStr"/>
      <c r="AD251" t="n">
        <v>0</v>
      </c>
      <c r="AE251" t="inlineStr"/>
      <c r="AF251" t="inlineStr"/>
      <c r="AG251" t="inlineStr"/>
      <c r="AH251" t="inlineStr"/>
      <c r="AI251" t="inlineStr">
        <is>
          <t>Yes</t>
        </is>
      </c>
      <c r="AJ251" t="inlineStr"/>
      <c r="AK251" t="inlineStr"/>
      <c r="AL251" t="inlineStr"/>
      <c r="AM251" t="inlineStr"/>
    </row>
    <row r="252">
      <c r="A252" t="inlineStr">
        <is>
          <t>074683M</t>
        </is>
      </c>
      <c r="B252" t="inlineStr">
        <is>
          <t>Master of Design</t>
        </is>
      </c>
      <c r="C252" t="inlineStr">
        <is>
          <t>Masters Degree (Coursework)</t>
        </is>
      </c>
      <c r="D252" t="inlineStr">
        <is>
          <t>Postgraduate coursework</t>
        </is>
      </c>
      <c r="E252" t="inlineStr">
        <is>
          <t>Advertised: official page in place</t>
        </is>
      </c>
      <c r="F252" t="inlineStr">
        <is>
          <t>https://study.unimelb.edu.au/find/courses/graduate/master-of-design-and-production/?residency=international</t>
        </is>
      </c>
      <c r="G252" t="inlineStr">
        <is>
          <t>https://study.unimelb.edu.au/find/courses/graduate/master-of-design-and-production/</t>
        </is>
      </c>
      <c r="H252" t="inlineStr">
        <is>
          <t>Read</t>
        </is>
      </c>
      <c r="I252" t="inlineStr">
        <is>
          <t>Exact title match</t>
        </is>
      </c>
      <c r="J252" t="inlineStr"/>
      <c r="K252" t="inlineStr">
        <is>
          <t>Not sent to re-link</t>
        </is>
      </c>
      <c r="L252" t="inlineStr">
        <is>
          <t>Filled</t>
        </is>
      </c>
      <c r="M252" t="inlineStr">
        <is>
          <t>Filled</t>
        </is>
      </c>
      <c r="N252" t="inlineStr">
        <is>
          <t>46976.00 2026</t>
        </is>
      </c>
      <c r="O252" t="n">
        <v>0</v>
      </c>
      <c r="P252" t="inlineStr">
        <is>
          <t>University adapter</t>
        </is>
      </c>
      <c r="Q252" t="inlineStr">
        <is>
          <t>Filled</t>
        </is>
      </c>
      <c r="R252" t="n">
        <v>6.5</v>
      </c>
      <c r="S252" t="inlineStr">
        <is>
          <t>University adapter</t>
        </is>
      </c>
      <c r="T252" t="inlineStr">
        <is>
          <t>Level map (Melbourne): not computed per course in this report</t>
        </is>
      </c>
      <c r="U252" t="inlineStr"/>
      <c r="V252" t="inlineStr">
        <is>
          <t>Filled</t>
        </is>
      </c>
      <c r="W252" t="inlineStr">
        <is>
          <t>March</t>
        </is>
      </c>
      <c r="X252" t="inlineStr">
        <is>
          <t>University adapter</t>
        </is>
      </c>
      <c r="Y252" t="n">
        <v>0</v>
      </c>
      <c r="Z252" t="inlineStr">
        <is>
          <t>No</t>
        </is>
      </c>
      <c r="AA252" t="inlineStr">
        <is>
          <t>Filled</t>
        </is>
      </c>
      <c r="AB252" t="inlineStr">
        <is>
          <t>on campus</t>
        </is>
      </c>
      <c r="AC252" t="inlineStr"/>
      <c r="AD252" t="n">
        <v>0</v>
      </c>
      <c r="AE252" t="inlineStr"/>
      <c r="AF252" t="inlineStr"/>
      <c r="AG252" t="inlineStr"/>
      <c r="AH252" t="inlineStr"/>
      <c r="AI252" t="inlineStr"/>
      <c r="AJ252" t="inlineStr"/>
      <c r="AK252" t="inlineStr"/>
      <c r="AL252" t="inlineStr"/>
      <c r="AM252" t="inlineStr"/>
    </row>
    <row r="253">
      <c r="A253" t="inlineStr">
        <is>
          <t>103430K</t>
        </is>
      </c>
      <c r="B253" t="inlineStr">
        <is>
          <t>Master of Design and Production</t>
        </is>
      </c>
      <c r="C253" t="inlineStr">
        <is>
          <t>Masters Degree (Coursework)</t>
        </is>
      </c>
      <c r="D253" t="inlineStr">
        <is>
          <t>Postgraduate coursework</t>
        </is>
      </c>
      <c r="E253" t="inlineStr">
        <is>
          <t>Advertised: official page in place</t>
        </is>
      </c>
      <c r="F253" t="inlineStr">
        <is>
          <t>https://study.unimelb.edu.au/find/courses/graduate/master-of-design-and-production/</t>
        </is>
      </c>
      <c r="G253" t="inlineStr">
        <is>
          <t>https://study.unimelb.edu.au/find/courses/graduate/master-of-design-and-production/</t>
        </is>
      </c>
      <c r="H253" t="inlineStr">
        <is>
          <t>Read</t>
        </is>
      </c>
      <c r="I253" t="inlineStr">
        <is>
          <t>CRICOS code on page</t>
        </is>
      </c>
      <c r="J253" t="inlineStr"/>
      <c r="K253" t="inlineStr">
        <is>
          <t>Not sent to re-link</t>
        </is>
      </c>
      <c r="L253" t="inlineStr">
        <is>
          <t>Filled</t>
        </is>
      </c>
      <c r="M253" t="inlineStr">
        <is>
          <t>Filled</t>
        </is>
      </c>
      <c r="N253" t="inlineStr">
        <is>
          <t>50720.00 2027</t>
        </is>
      </c>
      <c r="O253" t="n">
        <v>3</v>
      </c>
      <c r="P253" t="inlineStr">
        <is>
          <t>Other</t>
        </is>
      </c>
      <c r="Q253" t="inlineStr">
        <is>
          <t>Filled</t>
        </is>
      </c>
      <c r="R253" t="n">
        <v>6.5</v>
      </c>
      <c r="S253" t="inlineStr">
        <is>
          <t>University adapter</t>
        </is>
      </c>
      <c r="T253" t="inlineStr">
        <is>
          <t>Level map (Melbourne): not computed per course in this report</t>
        </is>
      </c>
      <c r="U253" t="inlineStr"/>
      <c r="V253" t="inlineStr">
        <is>
          <t>Filled</t>
        </is>
      </c>
      <c r="W253" t="inlineStr">
        <is>
          <t>March</t>
        </is>
      </c>
      <c r="X253" t="inlineStr">
        <is>
          <t>University adapter</t>
        </is>
      </c>
      <c r="Y253" t="n">
        <v>0</v>
      </c>
      <c r="Z253" t="inlineStr">
        <is>
          <t>No</t>
        </is>
      </c>
      <c r="AA253" t="inlineStr">
        <is>
          <t>Filled</t>
        </is>
      </c>
      <c r="AB253" t="inlineStr">
        <is>
          <t>on campus</t>
        </is>
      </c>
      <c r="AC253" t="inlineStr"/>
      <c r="AD253" t="n">
        <v>0</v>
      </c>
      <c r="AE253" t="inlineStr"/>
      <c r="AF253" t="inlineStr"/>
      <c r="AG253" t="inlineStr"/>
      <c r="AH253" t="inlineStr"/>
      <c r="AI253" t="inlineStr"/>
      <c r="AJ253" t="inlineStr"/>
      <c r="AK253" t="inlineStr"/>
      <c r="AL253" t="inlineStr"/>
      <c r="AM253" t="inlineStr"/>
    </row>
    <row r="254">
      <c r="A254" t="inlineStr">
        <is>
          <t>085429A</t>
        </is>
      </c>
      <c r="B254" t="inlineStr">
        <is>
          <t>Master of Design for Performance</t>
        </is>
      </c>
      <c r="C254" t="inlineStr">
        <is>
          <t>Masters Degree (Coursework)</t>
        </is>
      </c>
      <c r="D254" t="inlineStr">
        <is>
          <t>Postgraduate coursework</t>
        </is>
      </c>
      <c r="E254" t="inlineStr">
        <is>
          <t>Advertised: official page in place</t>
        </is>
      </c>
      <c r="F254" t="inlineStr">
        <is>
          <t>https://handbook.unimelb.edu.au/2021/courses/mc-dsnperf</t>
        </is>
      </c>
      <c r="G254" t="inlineStr">
        <is>
          <t>https://handbook.unimelb.edu.au/2026/courses/mc-dsnperf</t>
        </is>
      </c>
      <c r="H254" t="inlineStr">
        <is>
          <t>Needs a rendered read</t>
        </is>
      </c>
      <c r="I254" t="inlineStr"/>
      <c r="J254" t="inlineStr"/>
      <c r="K254" t="inlineStr">
        <is>
          <t>Finished, no page: no address from the university's address forms or stored lis</t>
        </is>
      </c>
      <c r="L254" t="inlineStr">
        <is>
          <t>Filled</t>
        </is>
      </c>
      <c r="M254" t="inlineStr">
        <is>
          <t>Not stated on course page</t>
        </is>
      </c>
      <c r="N254" t="inlineStr"/>
      <c r="O254" t="n">
        <v>0</v>
      </c>
      <c r="P254" t="inlineStr"/>
      <c r="Q254" t="inlineStr">
        <is>
          <t>Not stated on course page</t>
        </is>
      </c>
      <c r="S254" t="inlineStr"/>
      <c r="T254" t="inlineStr">
        <is>
          <t>Level map (Melbourne): not computed per course in this report</t>
        </is>
      </c>
      <c r="U254" t="inlineStr"/>
      <c r="V254" t="inlineStr">
        <is>
          <t>Not stated on course page</t>
        </is>
      </c>
      <c r="W254" t="inlineStr"/>
      <c r="X254" t="inlineStr"/>
      <c r="Y254" t="n">
        <v>0</v>
      </c>
      <c r="Z254" t="inlineStr">
        <is>
          <t>No</t>
        </is>
      </c>
      <c r="AA254" t="inlineStr">
        <is>
          <t>Filled</t>
        </is>
      </c>
      <c r="AB254" t="inlineStr">
        <is>
          <t>on campus</t>
        </is>
      </c>
      <c r="AC254" t="inlineStr"/>
      <c r="AD254" t="n">
        <v>0</v>
      </c>
      <c r="AE254" t="inlineStr">
        <is>
          <t>Yes</t>
        </is>
      </c>
      <c r="AF254" t="inlineStr"/>
      <c r="AG254" t="inlineStr"/>
      <c r="AH254" t="inlineStr"/>
      <c r="AI254" t="inlineStr">
        <is>
          <t>Yes</t>
        </is>
      </c>
      <c r="AJ254" t="inlineStr"/>
      <c r="AK254" t="inlineStr"/>
      <c r="AL254" t="inlineStr"/>
      <c r="AM254" t="inlineStr"/>
    </row>
    <row r="255">
      <c r="A255" t="inlineStr">
        <is>
          <t>031145D</t>
        </is>
      </c>
      <c r="B255" t="inlineStr">
        <is>
          <t>Master of Development Studies</t>
        </is>
      </c>
      <c r="C255" t="inlineStr">
        <is>
          <t>Masters Degree (Coursework)</t>
        </is>
      </c>
      <c r="D255" t="inlineStr">
        <is>
          <t>Postgraduate coursework</t>
        </is>
      </c>
      <c r="E255" t="inlineStr">
        <is>
          <t>Advertised: official page in place</t>
        </is>
      </c>
      <c r="F255" t="inlineStr">
        <is>
          <t>https://study.unimelb.edu.au/find/courses/graduate/master-of-development-studies/</t>
        </is>
      </c>
      <c r="G255" t="inlineStr">
        <is>
          <t>https://study.unimelb.edu.au/find/courses/graduate/master-of-development-studies/</t>
        </is>
      </c>
      <c r="H255" t="inlineStr">
        <is>
          <t>Read</t>
        </is>
      </c>
      <c r="I255" t="inlineStr">
        <is>
          <t>CRICOS code on page</t>
        </is>
      </c>
      <c r="J255" t="inlineStr"/>
      <c r="K255" t="inlineStr">
        <is>
          <t>Not sent to re-link</t>
        </is>
      </c>
      <c r="L255" t="inlineStr">
        <is>
          <t>Filled</t>
        </is>
      </c>
      <c r="M255" t="inlineStr">
        <is>
          <t>Filled</t>
        </is>
      </c>
      <c r="N255" t="inlineStr">
        <is>
          <t>52416.00 2027</t>
        </is>
      </c>
      <c r="O255" t="n">
        <v>3</v>
      </c>
      <c r="P255" t="inlineStr">
        <is>
          <t>Other</t>
        </is>
      </c>
      <c r="Q255" t="inlineStr">
        <is>
          <t>Filled</t>
        </is>
      </c>
      <c r="R255" t="n">
        <v>6.5</v>
      </c>
      <c r="S255" t="inlineStr">
        <is>
          <t>University adapter</t>
        </is>
      </c>
      <c r="T255" t="inlineStr">
        <is>
          <t>Level map (Melbourne): not computed per course in this report</t>
        </is>
      </c>
      <c r="U255" t="inlineStr"/>
      <c r="V255" t="inlineStr">
        <is>
          <t>Filled</t>
        </is>
      </c>
      <c r="W255" t="inlineStr">
        <is>
          <t>March, July</t>
        </is>
      </c>
      <c r="X255" t="inlineStr">
        <is>
          <t>University adapter</t>
        </is>
      </c>
      <c r="Y255" t="n">
        <v>0</v>
      </c>
      <c r="Z255" t="inlineStr">
        <is>
          <t>No</t>
        </is>
      </c>
      <c r="AA255" t="inlineStr">
        <is>
          <t>Filled</t>
        </is>
      </c>
      <c r="AB255" t="inlineStr">
        <is>
          <t>on campus</t>
        </is>
      </c>
      <c r="AC255" t="inlineStr"/>
      <c r="AD255" t="n">
        <v>0</v>
      </c>
      <c r="AE255" t="inlineStr"/>
      <c r="AF255" t="inlineStr"/>
      <c r="AG255" t="inlineStr"/>
      <c r="AH255" t="inlineStr"/>
      <c r="AI255" t="inlineStr"/>
      <c r="AJ255" t="inlineStr"/>
      <c r="AK255" t="inlineStr"/>
      <c r="AL255" t="inlineStr"/>
      <c r="AM255" t="inlineStr"/>
    </row>
    <row r="256">
      <c r="A256" t="inlineStr">
        <is>
          <t>108720D</t>
        </is>
      </c>
      <c r="B256" t="inlineStr">
        <is>
          <t>Master of Digital Infrastructure Engineering</t>
        </is>
      </c>
      <c r="C256" t="inlineStr">
        <is>
          <t>Masters Degree (Coursework)</t>
        </is>
      </c>
      <c r="D256" t="inlineStr">
        <is>
          <t>Postgraduate coursework</t>
        </is>
      </c>
      <c r="E256" t="inlineStr">
        <is>
          <t>Advertised: official page in place</t>
        </is>
      </c>
      <c r="F256" t="inlineStr">
        <is>
          <t>https://study.unimelb.edu.au/find/courses/graduate/master-of-digital-infrastructure-engineering</t>
        </is>
      </c>
      <c r="G256" t="inlineStr">
        <is>
          <t>https://study.unimelb.edu.au/find/courses/graduate/master-of-digital-infrastructure-engineering</t>
        </is>
      </c>
      <c r="H256" t="inlineStr">
        <is>
          <t>Read</t>
        </is>
      </c>
      <c r="I256" t="inlineStr">
        <is>
          <t>CRICOS code on page</t>
        </is>
      </c>
      <c r="J256" t="inlineStr"/>
      <c r="K256" t="inlineStr">
        <is>
          <t>Not sent to re-link</t>
        </is>
      </c>
      <c r="L256" t="inlineStr">
        <is>
          <t>Filled</t>
        </is>
      </c>
      <c r="M256" t="inlineStr">
        <is>
          <t>Filled</t>
        </is>
      </c>
      <c r="N256" t="inlineStr">
        <is>
          <t>66752.00 2027</t>
        </is>
      </c>
      <c r="O256" t="n">
        <v>2</v>
      </c>
      <c r="P256" t="inlineStr">
        <is>
          <t>Other</t>
        </is>
      </c>
      <c r="Q256" t="inlineStr">
        <is>
          <t>Filled</t>
        </is>
      </c>
      <c r="R256" t="n">
        <v>6.5</v>
      </c>
      <c r="S256" t="inlineStr">
        <is>
          <t>University adapter</t>
        </is>
      </c>
      <c r="T256" t="inlineStr">
        <is>
          <t>Level map (Melbourne): not computed per course in this report</t>
        </is>
      </c>
      <c r="U256" t="inlineStr"/>
      <c r="V256" t="inlineStr">
        <is>
          <t>Filled</t>
        </is>
      </c>
      <c r="W256" t="inlineStr">
        <is>
          <t>March, July</t>
        </is>
      </c>
      <c r="X256" t="inlineStr">
        <is>
          <t>Other</t>
        </is>
      </c>
      <c r="Y256" t="n">
        <v>0</v>
      </c>
      <c r="Z256" t="inlineStr">
        <is>
          <t>No</t>
        </is>
      </c>
      <c r="AA256" t="inlineStr">
        <is>
          <t>Filled</t>
        </is>
      </c>
      <c r="AB256" t="inlineStr">
        <is>
          <t>on campus</t>
        </is>
      </c>
      <c r="AC256" t="inlineStr"/>
      <c r="AD256" t="n">
        <v>0</v>
      </c>
      <c r="AE256" t="inlineStr"/>
      <c r="AF256" t="inlineStr"/>
      <c r="AG256" t="inlineStr"/>
      <c r="AH256" t="inlineStr"/>
      <c r="AI256" t="inlineStr"/>
      <c r="AJ256" t="inlineStr"/>
      <c r="AK256" t="inlineStr"/>
      <c r="AL256" t="inlineStr"/>
      <c r="AM256" t="inlineStr"/>
    </row>
    <row r="257">
      <c r="A257" t="inlineStr">
        <is>
          <t>103161D</t>
        </is>
      </c>
      <c r="B257" t="inlineStr">
        <is>
          <t>Master of Digital Marketing</t>
        </is>
      </c>
      <c r="C257" t="inlineStr">
        <is>
          <t>Masters Degree (Coursework)</t>
        </is>
      </c>
      <c r="D257" t="inlineStr">
        <is>
          <t>Postgraduate coursework</t>
        </is>
      </c>
      <c r="E257" t="inlineStr">
        <is>
          <t>Advertised: official page in place</t>
        </is>
      </c>
      <c r="F257" t="inlineStr">
        <is>
          <t>https://handbook.unimelb.edu.au/2026/courses/mc-dmktg</t>
        </is>
      </c>
      <c r="G257" t="inlineStr">
        <is>
          <t>https://handbook.unimelb.edu.au/2026/courses/mc-dmktg</t>
        </is>
      </c>
      <c r="H257" t="inlineStr">
        <is>
          <t>Read</t>
        </is>
      </c>
      <c r="I257" t="inlineStr">
        <is>
          <t>CRICOS code on page</t>
        </is>
      </c>
      <c r="J257" t="inlineStr"/>
      <c r="K257" t="inlineStr">
        <is>
          <t>Not sent to re-link</t>
        </is>
      </c>
      <c r="L257" t="inlineStr">
        <is>
          <t>Filled</t>
        </is>
      </c>
      <c r="M257" t="inlineStr">
        <is>
          <t>Filled</t>
        </is>
      </c>
      <c r="N257" t="inlineStr">
        <is>
          <t>65248.00 2027</t>
        </is>
      </c>
      <c r="O257" t="n">
        <v>3</v>
      </c>
      <c r="P257" t="inlineStr">
        <is>
          <t>Other</t>
        </is>
      </c>
      <c r="Q257" t="inlineStr">
        <is>
          <t>Filled</t>
        </is>
      </c>
      <c r="R257" t="n">
        <v>6.5</v>
      </c>
      <c r="S257" t="inlineStr">
        <is>
          <t>Central English policy</t>
        </is>
      </c>
      <c r="T257" t="inlineStr">
        <is>
          <t>Level map (Melbourne): not computed per course in this report</t>
        </is>
      </c>
      <c r="U257" t="inlineStr"/>
      <c r="V257" t="inlineStr">
        <is>
          <t>Not stated on course page</t>
        </is>
      </c>
      <c r="W257" t="inlineStr"/>
      <c r="X257" t="inlineStr"/>
      <c r="Y257" t="n">
        <v>0</v>
      </c>
      <c r="Z257" t="inlineStr">
        <is>
          <t>No</t>
        </is>
      </c>
      <c r="AA257" t="inlineStr">
        <is>
          <t>Filled</t>
        </is>
      </c>
      <c r="AB257" t="inlineStr">
        <is>
          <t>on campus</t>
        </is>
      </c>
      <c r="AC257" t="inlineStr"/>
      <c r="AD257" t="n">
        <v>0</v>
      </c>
      <c r="AE257" t="inlineStr"/>
      <c r="AF257" t="inlineStr"/>
      <c r="AG257" t="inlineStr"/>
      <c r="AH257" t="inlineStr"/>
      <c r="AI257" t="inlineStr">
        <is>
          <t>Yes</t>
        </is>
      </c>
      <c r="AJ257" t="inlineStr"/>
      <c r="AK257" t="inlineStr"/>
      <c r="AL257" t="inlineStr"/>
      <c r="AM257" t="inlineStr"/>
    </row>
    <row r="258">
      <c r="A258" t="inlineStr">
        <is>
          <t>065396D</t>
        </is>
      </c>
      <c r="B258" t="inlineStr">
        <is>
          <t>Master of Economics</t>
        </is>
      </c>
      <c r="C258" t="inlineStr">
        <is>
          <t>Masters Degree (Coursework)</t>
        </is>
      </c>
      <c r="D258" t="inlineStr">
        <is>
          <t>Postgraduate coursework</t>
        </is>
      </c>
      <c r="E258" t="inlineStr">
        <is>
          <t>Advertised: official page in place</t>
        </is>
      </c>
      <c r="F258" t="inlineStr">
        <is>
          <t>https://handbook.unimelb.edu.au/2026/courses/mc-eco</t>
        </is>
      </c>
      <c r="G258" t="inlineStr">
        <is>
          <t>https://handbook.unimelb.edu.au/2026/courses/mc-eco</t>
        </is>
      </c>
      <c r="H258" t="inlineStr">
        <is>
          <t>Read</t>
        </is>
      </c>
      <c r="I258" t="inlineStr">
        <is>
          <t>CRICOS code on page</t>
        </is>
      </c>
      <c r="J258" t="inlineStr"/>
      <c r="K258" t="inlineStr">
        <is>
          <t>Not sent to re-link</t>
        </is>
      </c>
      <c r="L258" t="inlineStr">
        <is>
          <t>Filled</t>
        </is>
      </c>
      <c r="M258" t="inlineStr">
        <is>
          <t>Filled</t>
        </is>
      </c>
      <c r="N258" t="inlineStr">
        <is>
          <t>64640.00 2027</t>
        </is>
      </c>
      <c r="O258" t="n">
        <v>3</v>
      </c>
      <c r="P258" t="inlineStr">
        <is>
          <t>Other</t>
        </is>
      </c>
      <c r="Q258" t="inlineStr">
        <is>
          <t>Not stated on course page</t>
        </is>
      </c>
      <c r="S258" t="inlineStr"/>
      <c r="T258" t="inlineStr">
        <is>
          <t>Level map (Melbourne): not computed per course in this report</t>
        </is>
      </c>
      <c r="U258" t="inlineStr"/>
      <c r="V258" t="inlineStr">
        <is>
          <t>Not stated on course page</t>
        </is>
      </c>
      <c r="W258" t="inlineStr"/>
      <c r="X258" t="inlineStr"/>
      <c r="Y258" t="n">
        <v>0</v>
      </c>
      <c r="Z258" t="inlineStr">
        <is>
          <t>No</t>
        </is>
      </c>
      <c r="AA258" t="inlineStr">
        <is>
          <t>Filled</t>
        </is>
      </c>
      <c r="AB258" t="inlineStr">
        <is>
          <t>on campus</t>
        </is>
      </c>
      <c r="AC258" t="inlineStr"/>
      <c r="AD258" t="n">
        <v>0</v>
      </c>
      <c r="AE258" t="inlineStr"/>
      <c r="AF258" t="inlineStr"/>
      <c r="AG258" t="inlineStr"/>
      <c r="AH258" t="inlineStr"/>
      <c r="AI258" t="inlineStr">
        <is>
          <t>Yes</t>
        </is>
      </c>
      <c r="AJ258" t="inlineStr"/>
      <c r="AK258" t="inlineStr"/>
      <c r="AL258" t="inlineStr"/>
      <c r="AM258" t="inlineStr"/>
    </row>
    <row r="259">
      <c r="A259" t="inlineStr">
        <is>
          <t>098317B</t>
        </is>
      </c>
      <c r="B259" t="inlineStr">
        <is>
          <t>Master of Ecosystem Management and Conservation</t>
        </is>
      </c>
      <c r="C259" t="inlineStr">
        <is>
          <t>Masters Degree (Coursework)</t>
        </is>
      </c>
      <c r="D259" t="inlineStr">
        <is>
          <t>Postgraduate coursework</t>
        </is>
      </c>
      <c r="E259" t="inlineStr">
        <is>
          <t>Advertised: official page in place</t>
        </is>
      </c>
      <c r="F259" t="inlineStr">
        <is>
          <t>https://handbook.unimelb.edu.au/2026/courses/mc-ecosmc</t>
        </is>
      </c>
      <c r="G259" t="inlineStr">
        <is>
          <t>https://handbook.unimelb.edu.au/2026/courses/mc-ecosmc</t>
        </is>
      </c>
      <c r="H259" t="inlineStr">
        <is>
          <t>Read</t>
        </is>
      </c>
      <c r="I259" t="inlineStr">
        <is>
          <t>CRICOS code on page</t>
        </is>
      </c>
      <c r="J259" t="inlineStr"/>
      <c r="K259" t="inlineStr">
        <is>
          <t>Not sent to re-link</t>
        </is>
      </c>
      <c r="L259" t="inlineStr">
        <is>
          <t>Filled</t>
        </is>
      </c>
      <c r="M259" t="inlineStr">
        <is>
          <t>Filled</t>
        </is>
      </c>
      <c r="N259" t="inlineStr">
        <is>
          <t>64640.00 2027</t>
        </is>
      </c>
      <c r="O259" t="n">
        <v>3</v>
      </c>
      <c r="P259" t="inlineStr">
        <is>
          <t>Other</t>
        </is>
      </c>
      <c r="Q259" t="inlineStr">
        <is>
          <t>Filled</t>
        </is>
      </c>
      <c r="R259" t="n">
        <v>6.5</v>
      </c>
      <c r="S259" t="inlineStr">
        <is>
          <t>Central English policy</t>
        </is>
      </c>
      <c r="T259" t="inlineStr">
        <is>
          <t>Level map (Melbourne): not computed per course in this report</t>
        </is>
      </c>
      <c r="U259" t="inlineStr"/>
      <c r="V259" t="inlineStr">
        <is>
          <t>Not stated on course page</t>
        </is>
      </c>
      <c r="W259" t="inlineStr"/>
      <c r="X259" t="inlineStr"/>
      <c r="Y259" t="n">
        <v>0</v>
      </c>
      <c r="Z259" t="inlineStr">
        <is>
          <t>No</t>
        </is>
      </c>
      <c r="AA259" t="inlineStr">
        <is>
          <t>Filled</t>
        </is>
      </c>
      <c r="AB259" t="inlineStr">
        <is>
          <t>on campus</t>
        </is>
      </c>
      <c r="AC259" t="inlineStr"/>
      <c r="AD259" t="n">
        <v>0</v>
      </c>
      <c r="AE259" t="inlineStr"/>
      <c r="AF259" t="inlineStr"/>
      <c r="AG259" t="inlineStr"/>
      <c r="AH259" t="inlineStr"/>
      <c r="AI259" t="inlineStr">
        <is>
          <t>Yes</t>
        </is>
      </c>
      <c r="AJ259" t="inlineStr"/>
      <c r="AK259" t="inlineStr"/>
      <c r="AL259" t="inlineStr"/>
      <c r="AM259" t="inlineStr"/>
    </row>
    <row r="260">
      <c r="A260" t="inlineStr">
        <is>
          <t>002127B</t>
        </is>
      </c>
      <c r="B260" t="inlineStr">
        <is>
          <t>Master of Education</t>
        </is>
      </c>
      <c r="C260" t="inlineStr">
        <is>
          <t>Masters Degree (Research)</t>
        </is>
      </c>
      <c r="D260" t="inlineStr">
        <is>
          <t>Research degree</t>
        </is>
      </c>
      <c r="E260" t="inlineStr">
        <is>
          <t>Advertised: official page in place</t>
        </is>
      </c>
      <c r="F260" t="inlineStr">
        <is>
          <t>https://handbook.unimelb.edu.au/2026/courses/960ba</t>
        </is>
      </c>
      <c r="G260" t="inlineStr">
        <is>
          <t>https://handbook.unimelb.edu.au/2026/courses/960ba</t>
        </is>
      </c>
      <c r="H260" t="inlineStr">
        <is>
          <t>Read</t>
        </is>
      </c>
      <c r="I260" t="inlineStr">
        <is>
          <t>CRICOS code on page</t>
        </is>
      </c>
      <c r="J260" t="inlineStr"/>
      <c r="K260" t="inlineStr">
        <is>
          <t>Not sent to re-link</t>
        </is>
      </c>
      <c r="L260" t="inlineStr">
        <is>
          <t>Filled</t>
        </is>
      </c>
      <c r="M260" t="inlineStr">
        <is>
          <t>Filled</t>
        </is>
      </c>
      <c r="N260" t="inlineStr">
        <is>
          <t>52960.00 2027</t>
        </is>
      </c>
      <c r="O260" t="n">
        <v>3</v>
      </c>
      <c r="P260" t="inlineStr">
        <is>
          <t>Other</t>
        </is>
      </c>
      <c r="Q260" t="inlineStr">
        <is>
          <t>Not stated on course page</t>
        </is>
      </c>
      <c r="S260" t="inlineStr"/>
      <c r="T260" t="inlineStr">
        <is>
          <t>Level map (Melbourne): not computed per course in this report</t>
        </is>
      </c>
      <c r="U260" t="inlineStr"/>
      <c r="V260" t="inlineStr">
        <is>
          <t>Not stated on course page</t>
        </is>
      </c>
      <c r="W260" t="inlineStr"/>
      <c r="X260" t="inlineStr"/>
      <c r="Y260" t="n">
        <v>0</v>
      </c>
      <c r="Z260" t="inlineStr">
        <is>
          <t>No</t>
        </is>
      </c>
      <c r="AA260" t="inlineStr">
        <is>
          <t>Filled</t>
        </is>
      </c>
      <c r="AB260" t="inlineStr">
        <is>
          <t>on campus</t>
        </is>
      </c>
      <c r="AC260" t="inlineStr"/>
      <c r="AD260" t="n">
        <v>0</v>
      </c>
      <c r="AE260" t="inlineStr"/>
      <c r="AF260" t="inlineStr"/>
      <c r="AG260" t="inlineStr"/>
      <c r="AH260" t="inlineStr"/>
      <c r="AI260" t="inlineStr">
        <is>
          <t>Yes</t>
        </is>
      </c>
      <c r="AJ260" t="inlineStr"/>
      <c r="AK260" t="inlineStr"/>
      <c r="AL260" t="inlineStr"/>
      <c r="AM260" t="inlineStr"/>
    </row>
    <row r="261">
      <c r="A261" t="inlineStr">
        <is>
          <t>095802B</t>
        </is>
      </c>
      <c r="B261" t="inlineStr">
        <is>
          <t>Master of Education</t>
        </is>
      </c>
      <c r="C261" t="inlineStr">
        <is>
          <t>Masters Degree (Coursework)</t>
        </is>
      </c>
      <c r="D261" t="inlineStr">
        <is>
          <t>Postgraduate coursework</t>
        </is>
      </c>
      <c r="E261" t="inlineStr">
        <is>
          <t>Advertised: official page in place</t>
        </is>
      </c>
      <c r="F261" t="inlineStr">
        <is>
          <t>https://handbook.unimelb.edu.au/2026/courses/mc-ed</t>
        </is>
      </c>
      <c r="G261" t="inlineStr">
        <is>
          <t>https://handbook.unimelb.edu.au/2026/courses/mc-ed</t>
        </is>
      </c>
      <c r="H261" t="inlineStr">
        <is>
          <t>Read</t>
        </is>
      </c>
      <c r="I261" t="inlineStr">
        <is>
          <t>CRICOS code on page</t>
        </is>
      </c>
      <c r="J261" t="inlineStr"/>
      <c r="K261" t="inlineStr">
        <is>
          <t>Not sent to re-link</t>
        </is>
      </c>
      <c r="L261" t="inlineStr">
        <is>
          <t>Filled</t>
        </is>
      </c>
      <c r="M261" t="inlineStr">
        <is>
          <t>Filled</t>
        </is>
      </c>
      <c r="N261" t="inlineStr">
        <is>
          <t>52960.00 2027</t>
        </is>
      </c>
      <c r="O261" t="n">
        <v>3</v>
      </c>
      <c r="P261" t="inlineStr">
        <is>
          <t>Other</t>
        </is>
      </c>
      <c r="Q261" t="inlineStr">
        <is>
          <t>Filled</t>
        </is>
      </c>
      <c r="R261" t="n">
        <v>6.5</v>
      </c>
      <c r="S261" t="inlineStr">
        <is>
          <t>Central English policy</t>
        </is>
      </c>
      <c r="T261" t="inlineStr">
        <is>
          <t>Level map (Melbourne): not computed per course in this report</t>
        </is>
      </c>
      <c r="U261" t="inlineStr"/>
      <c r="V261" t="inlineStr">
        <is>
          <t>Not stated on course page</t>
        </is>
      </c>
      <c r="W261" t="inlineStr"/>
      <c r="X261" t="inlineStr"/>
      <c r="Y261" t="n">
        <v>0</v>
      </c>
      <c r="Z261" t="inlineStr">
        <is>
          <t>No</t>
        </is>
      </c>
      <c r="AA261" t="inlineStr">
        <is>
          <t>Filled</t>
        </is>
      </c>
      <c r="AB261" t="inlineStr">
        <is>
          <t>on campus</t>
        </is>
      </c>
      <c r="AC261" t="inlineStr"/>
      <c r="AD261" t="n">
        <v>0</v>
      </c>
      <c r="AE261" t="inlineStr"/>
      <c r="AF261" t="inlineStr"/>
      <c r="AG261" t="inlineStr"/>
      <c r="AH261" t="inlineStr"/>
      <c r="AI261" t="inlineStr">
        <is>
          <t>Yes</t>
        </is>
      </c>
      <c r="AJ261" t="inlineStr"/>
      <c r="AK261" t="inlineStr"/>
      <c r="AL261" t="inlineStr"/>
      <c r="AM261" t="inlineStr"/>
    </row>
    <row r="262">
      <c r="A262" t="inlineStr">
        <is>
          <t>106106J</t>
        </is>
      </c>
      <c r="B262" t="inlineStr">
        <is>
          <t>Master of Electrical Engineering</t>
        </is>
      </c>
      <c r="C262" t="inlineStr">
        <is>
          <t>Masters Degree (Coursework)</t>
        </is>
      </c>
      <c r="D262" t="inlineStr">
        <is>
          <t>Postgraduate coursework</t>
        </is>
      </c>
      <c r="E262" t="inlineStr">
        <is>
          <t>Advertised: official page in place</t>
        </is>
      </c>
      <c r="F262" t="inlineStr">
        <is>
          <t>https://study.unimelb.edu.au/find/courses/graduate/master-of-electrical-engineering/</t>
        </is>
      </c>
      <c r="G262" t="inlineStr">
        <is>
          <t>https://study.unimelb.edu.au/find/courses/graduate/master-of-electrical-engineering/</t>
        </is>
      </c>
      <c r="H262" t="inlineStr">
        <is>
          <t>Read</t>
        </is>
      </c>
      <c r="I262" t="inlineStr">
        <is>
          <t>CRICOS code on page</t>
        </is>
      </c>
      <c r="J262" t="inlineStr"/>
      <c r="K262" t="inlineStr">
        <is>
          <t>Not sent to re-link</t>
        </is>
      </c>
      <c r="L262" t="inlineStr">
        <is>
          <t>Filled</t>
        </is>
      </c>
      <c r="M262" t="inlineStr">
        <is>
          <t>Filled</t>
        </is>
      </c>
      <c r="N262" t="inlineStr">
        <is>
          <t>66752.00 2027</t>
        </is>
      </c>
      <c r="O262" t="n">
        <v>2</v>
      </c>
      <c r="P262" t="inlineStr">
        <is>
          <t>Other</t>
        </is>
      </c>
      <c r="Q262" t="inlineStr">
        <is>
          <t>Filled</t>
        </is>
      </c>
      <c r="R262" t="n">
        <v>6.5</v>
      </c>
      <c r="S262" t="inlineStr">
        <is>
          <t>University adapter</t>
        </is>
      </c>
      <c r="T262" t="inlineStr">
        <is>
          <t>Level map (Melbourne): not computed per course in this report</t>
        </is>
      </c>
      <c r="U262" t="inlineStr"/>
      <c r="V262" t="inlineStr">
        <is>
          <t>Filled</t>
        </is>
      </c>
      <c r="W262" t="inlineStr">
        <is>
          <t>March, July</t>
        </is>
      </c>
      <c r="X262" t="inlineStr">
        <is>
          <t>Other</t>
        </is>
      </c>
      <c r="Y262" t="n">
        <v>0</v>
      </c>
      <c r="Z262" t="inlineStr">
        <is>
          <t>No</t>
        </is>
      </c>
      <c r="AA262" t="inlineStr">
        <is>
          <t>Filled</t>
        </is>
      </c>
      <c r="AB262" t="inlineStr">
        <is>
          <t>on campus</t>
        </is>
      </c>
      <c r="AC262" t="inlineStr"/>
      <c r="AD262" t="n">
        <v>0</v>
      </c>
      <c r="AE262" t="inlineStr"/>
      <c r="AF262" t="inlineStr"/>
      <c r="AG262" t="inlineStr"/>
      <c r="AH262" t="inlineStr"/>
      <c r="AI262" t="inlineStr"/>
      <c r="AJ262" t="inlineStr"/>
      <c r="AK262" t="inlineStr"/>
      <c r="AL262" t="inlineStr"/>
      <c r="AM262" t="inlineStr"/>
    </row>
    <row r="263">
      <c r="A263" t="inlineStr">
        <is>
          <t>074995F</t>
        </is>
      </c>
      <c r="B263" t="inlineStr">
        <is>
          <t>Master of Employment and Labour Relations Law</t>
        </is>
      </c>
      <c r="C263" t="inlineStr">
        <is>
          <t>Masters Degree (Coursework)</t>
        </is>
      </c>
      <c r="D263" t="inlineStr">
        <is>
          <t>Postgraduate coursework</t>
        </is>
      </c>
      <c r="E263" t="inlineStr">
        <is>
          <t>Advertised: official page in place</t>
        </is>
      </c>
      <c r="F263" t="inlineStr">
        <is>
          <t>https://study.unimelb.edu.au/find/courses/graduate/master-of-employment-and-labour-relations-law/</t>
        </is>
      </c>
      <c r="G263" t="inlineStr">
        <is>
          <t>https://study.unimelb.edu.au/find/courses/graduate/master-of-employment-and-labour-relations-law/</t>
        </is>
      </c>
      <c r="H263" t="inlineStr">
        <is>
          <t>Read</t>
        </is>
      </c>
      <c r="I263" t="inlineStr">
        <is>
          <t>CRICOS code on page</t>
        </is>
      </c>
      <c r="J263" t="inlineStr"/>
      <c r="K263" t="inlineStr">
        <is>
          <t>Not sent to re-link</t>
        </is>
      </c>
      <c r="L263" t="inlineStr">
        <is>
          <t>Filled</t>
        </is>
      </c>
      <c r="M263" t="inlineStr">
        <is>
          <t>Filled</t>
        </is>
      </c>
      <c r="N263" t="inlineStr">
        <is>
          <t>67072.00 2027</t>
        </is>
      </c>
      <c r="O263" t="n">
        <v>3</v>
      </c>
      <c r="P263" t="inlineStr">
        <is>
          <t>Other</t>
        </is>
      </c>
      <c r="Q263" t="inlineStr">
        <is>
          <t>Filled</t>
        </is>
      </c>
      <c r="R263" t="n">
        <v>6.5</v>
      </c>
      <c r="S263" t="inlineStr">
        <is>
          <t>University adapter</t>
        </is>
      </c>
      <c r="T263" t="inlineStr">
        <is>
          <t>Level map (Melbourne): not computed per course in this report</t>
        </is>
      </c>
      <c r="U263" t="inlineStr"/>
      <c r="V263" t="inlineStr">
        <is>
          <t>Filled</t>
        </is>
      </c>
      <c r="W263" t="inlineStr">
        <is>
          <t>March, July</t>
        </is>
      </c>
      <c r="X263" t="inlineStr">
        <is>
          <t>University adapter</t>
        </is>
      </c>
      <c r="Y263" t="n">
        <v>0</v>
      </c>
      <c r="Z263" t="inlineStr">
        <is>
          <t>No</t>
        </is>
      </c>
      <c r="AA263" t="inlineStr">
        <is>
          <t>Filled</t>
        </is>
      </c>
      <c r="AB263" t="inlineStr">
        <is>
          <t>on campus</t>
        </is>
      </c>
      <c r="AC263" t="inlineStr"/>
      <c r="AD263" t="n">
        <v>0</v>
      </c>
      <c r="AE263" t="inlineStr"/>
      <c r="AF263" t="inlineStr"/>
      <c r="AG263" t="inlineStr"/>
      <c r="AH263" t="inlineStr"/>
      <c r="AI263" t="inlineStr"/>
      <c r="AJ263" t="inlineStr"/>
      <c r="AK263" t="inlineStr"/>
      <c r="AL263" t="inlineStr"/>
      <c r="AM263" t="inlineStr"/>
    </row>
    <row r="264">
      <c r="A264" t="inlineStr">
        <is>
          <t>077729M</t>
        </is>
      </c>
      <c r="B264" t="inlineStr">
        <is>
          <t>Master of Energy and Resources Law</t>
        </is>
      </c>
      <c r="C264" t="inlineStr">
        <is>
          <t>Masters Degree (Coursework)</t>
        </is>
      </c>
      <c r="D264" t="inlineStr">
        <is>
          <t>Postgraduate coursework</t>
        </is>
      </c>
      <c r="E264" t="inlineStr">
        <is>
          <t>Advertised: official page in place</t>
        </is>
      </c>
      <c r="F264" t="inlineStr">
        <is>
          <t>https://study.unimelb.edu.au/find/courses/graduate/master-of-energy-and-resources-law/</t>
        </is>
      </c>
      <c r="G264" t="inlineStr">
        <is>
          <t>https://study.unimelb.edu.au/find/courses/graduate/master-of-energy-and-resources-law/</t>
        </is>
      </c>
      <c r="H264" t="inlineStr">
        <is>
          <t>Read</t>
        </is>
      </c>
      <c r="I264" t="inlineStr">
        <is>
          <t>CRICOS code on page</t>
        </is>
      </c>
      <c r="J264" t="inlineStr"/>
      <c r="K264" t="inlineStr">
        <is>
          <t>Not sent to re-link</t>
        </is>
      </c>
      <c r="L264" t="inlineStr">
        <is>
          <t>Filled</t>
        </is>
      </c>
      <c r="M264" t="inlineStr">
        <is>
          <t>Filled</t>
        </is>
      </c>
      <c r="N264" t="inlineStr">
        <is>
          <t>67072.00 2027</t>
        </is>
      </c>
      <c r="O264" t="n">
        <v>3</v>
      </c>
      <c r="P264" t="inlineStr">
        <is>
          <t>Other</t>
        </is>
      </c>
      <c r="Q264" t="inlineStr">
        <is>
          <t>Filled</t>
        </is>
      </c>
      <c r="R264" t="n">
        <v>6.5</v>
      </c>
      <c r="S264" t="inlineStr">
        <is>
          <t>University adapter</t>
        </is>
      </c>
      <c r="T264" t="inlineStr">
        <is>
          <t>Level map (Melbourne): not computed per course in this report</t>
        </is>
      </c>
      <c r="U264" t="inlineStr"/>
      <c r="V264" t="inlineStr">
        <is>
          <t>Filled</t>
        </is>
      </c>
      <c r="W264" t="inlineStr">
        <is>
          <t>March, July</t>
        </is>
      </c>
      <c r="X264" t="inlineStr">
        <is>
          <t>University adapter</t>
        </is>
      </c>
      <c r="Y264" t="n">
        <v>3</v>
      </c>
      <c r="Z264" t="inlineStr">
        <is>
          <t>No</t>
        </is>
      </c>
      <c r="AA264" t="inlineStr">
        <is>
          <t>Filled</t>
        </is>
      </c>
      <c r="AB264" t="inlineStr">
        <is>
          <t>on campus</t>
        </is>
      </c>
      <c r="AC264" t="inlineStr"/>
      <c r="AD264" t="n">
        <v>0</v>
      </c>
      <c r="AE264" t="inlineStr"/>
      <c r="AF264" t="inlineStr"/>
      <c r="AG264" t="inlineStr"/>
      <c r="AH264" t="inlineStr"/>
      <c r="AI264" t="inlineStr"/>
      <c r="AJ264" t="inlineStr"/>
      <c r="AK264" t="inlineStr"/>
      <c r="AL264" t="inlineStr"/>
      <c r="AM264" t="inlineStr"/>
    </row>
    <row r="265">
      <c r="A265" t="inlineStr">
        <is>
          <t>075124A</t>
        </is>
      </c>
      <c r="B265" t="inlineStr">
        <is>
          <t>Master of Energy Systems</t>
        </is>
      </c>
      <c r="C265" t="inlineStr">
        <is>
          <t>Masters Degree (Coursework)</t>
        </is>
      </c>
      <c r="D265" t="inlineStr">
        <is>
          <t>Postgraduate coursework</t>
        </is>
      </c>
      <c r="E265" t="inlineStr">
        <is>
          <t>Advertised: official page in place</t>
        </is>
      </c>
      <c r="F265" t="inlineStr">
        <is>
          <t>https://handbook.unimelb.edu.au/2026/courses/mc-engysys</t>
        </is>
      </c>
      <c r="G265" t="inlineStr">
        <is>
          <t>https://handbook.unimelb.edu.au/2026/courses/mc-engysys</t>
        </is>
      </c>
      <c r="H265" t="inlineStr">
        <is>
          <t>Read</t>
        </is>
      </c>
      <c r="I265" t="inlineStr">
        <is>
          <t>CRICOS code on page</t>
        </is>
      </c>
      <c r="J265" t="inlineStr"/>
      <c r="K265" t="inlineStr">
        <is>
          <t>Not sent to re-link</t>
        </is>
      </c>
      <c r="L265" t="inlineStr">
        <is>
          <t>Filled</t>
        </is>
      </c>
      <c r="M265" t="inlineStr">
        <is>
          <t>Filled</t>
        </is>
      </c>
      <c r="N265" t="inlineStr">
        <is>
          <t>66752.00 2027</t>
        </is>
      </c>
      <c r="O265" t="n">
        <v>3</v>
      </c>
      <c r="P265" t="inlineStr">
        <is>
          <t>Other</t>
        </is>
      </c>
      <c r="Q265" t="inlineStr">
        <is>
          <t>Filled</t>
        </is>
      </c>
      <c r="R265" t="n">
        <v>6.5</v>
      </c>
      <c r="S265" t="inlineStr">
        <is>
          <t>Central English policy</t>
        </is>
      </c>
      <c r="T265" t="inlineStr">
        <is>
          <t>Level map (Melbourne): not computed per course in this report</t>
        </is>
      </c>
      <c r="U265" t="inlineStr"/>
      <c r="V265" t="inlineStr">
        <is>
          <t>Not stated on course page</t>
        </is>
      </c>
      <c r="W265" t="inlineStr"/>
      <c r="X265" t="inlineStr"/>
      <c r="Y265" t="n">
        <v>0</v>
      </c>
      <c r="Z265" t="inlineStr">
        <is>
          <t>No</t>
        </is>
      </c>
      <c r="AA265" t="inlineStr">
        <is>
          <t>Filled</t>
        </is>
      </c>
      <c r="AB265" t="inlineStr">
        <is>
          <t>on campus</t>
        </is>
      </c>
      <c r="AC265" t="inlineStr"/>
      <c r="AD265" t="n">
        <v>0</v>
      </c>
      <c r="AE265" t="inlineStr"/>
      <c r="AF265" t="inlineStr"/>
      <c r="AG265" t="inlineStr"/>
      <c r="AH265" t="inlineStr"/>
      <c r="AI265" t="inlineStr">
        <is>
          <t>Yes</t>
        </is>
      </c>
      <c r="AJ265" t="inlineStr"/>
      <c r="AK265" t="inlineStr"/>
      <c r="AL265" t="inlineStr"/>
      <c r="AM265" t="inlineStr"/>
    </row>
    <row r="266">
      <c r="A266" t="inlineStr">
        <is>
          <t>065142D</t>
        </is>
      </c>
      <c r="B266" t="inlineStr">
        <is>
          <t>Master of Engineering</t>
        </is>
      </c>
      <c r="C266" t="inlineStr">
        <is>
          <t>Masters Degree (Coursework)</t>
        </is>
      </c>
      <c r="D266" t="inlineStr">
        <is>
          <t>Postgraduate coursework</t>
        </is>
      </c>
      <c r="E266" t="inlineStr">
        <is>
          <t>Advertised: official page in place</t>
        </is>
      </c>
      <c r="F266" t="inlineStr">
        <is>
          <t>https://study.unimelb.edu.au/find/courses/graduate/master-of-engineering-management/?residency=international</t>
        </is>
      </c>
      <c r="G266" t="inlineStr">
        <is>
          <t>https://study.unimelb.edu.au/find/courses/graduate/master-of-engineering-management/</t>
        </is>
      </c>
      <c r="H266" t="inlineStr">
        <is>
          <t>Read</t>
        </is>
      </c>
      <c r="I266" t="inlineStr">
        <is>
          <t>Exact title match</t>
        </is>
      </c>
      <c r="J266" t="inlineStr"/>
      <c r="K266" t="inlineStr">
        <is>
          <t>Not sent to re-link</t>
        </is>
      </c>
      <c r="L266" t="inlineStr">
        <is>
          <t>Filled</t>
        </is>
      </c>
      <c r="M266" t="inlineStr">
        <is>
          <t>Filled</t>
        </is>
      </c>
      <c r="N266" t="inlineStr">
        <is>
          <t>62976.00 2026</t>
        </is>
      </c>
      <c r="O266" t="n">
        <v>0</v>
      </c>
      <c r="P266" t="inlineStr">
        <is>
          <t>University adapter</t>
        </is>
      </c>
      <c r="Q266" t="inlineStr">
        <is>
          <t>Filled</t>
        </is>
      </c>
      <c r="R266" t="n">
        <v>6.5</v>
      </c>
      <c r="S266" t="inlineStr">
        <is>
          <t>University adapter</t>
        </is>
      </c>
      <c r="T266" t="inlineStr">
        <is>
          <t>Level map (Melbourne): not computed per course in this report</t>
        </is>
      </c>
      <c r="U266" t="inlineStr"/>
      <c r="V266" t="inlineStr">
        <is>
          <t>Filled</t>
        </is>
      </c>
      <c r="W266" t="inlineStr">
        <is>
          <t>March, July</t>
        </is>
      </c>
      <c r="X266" t="inlineStr">
        <is>
          <t>University adapter</t>
        </is>
      </c>
      <c r="Y266" t="n">
        <v>0</v>
      </c>
      <c r="Z266" t="inlineStr">
        <is>
          <t>No</t>
        </is>
      </c>
      <c r="AA266" t="inlineStr">
        <is>
          <t>Filled</t>
        </is>
      </c>
      <c r="AB266" t="inlineStr">
        <is>
          <t>on campus</t>
        </is>
      </c>
      <c r="AC266" t="inlineStr"/>
      <c r="AD266" t="n">
        <v>0</v>
      </c>
      <c r="AE266" t="inlineStr"/>
      <c r="AF266" t="inlineStr"/>
      <c r="AG266" t="inlineStr"/>
      <c r="AH266" t="inlineStr"/>
      <c r="AI266" t="inlineStr"/>
      <c r="AJ266" t="inlineStr"/>
      <c r="AK266" t="inlineStr"/>
      <c r="AL266" t="inlineStr"/>
      <c r="AM266" t="inlineStr"/>
    </row>
    <row r="267">
      <c r="A267" t="inlineStr">
        <is>
          <t>069275C</t>
        </is>
      </c>
      <c r="B267" t="inlineStr">
        <is>
          <t>Master of Engineering</t>
        </is>
      </c>
      <c r="C267" t="inlineStr">
        <is>
          <t>Masters Degree (Coursework)</t>
        </is>
      </c>
      <c r="D267" t="inlineStr">
        <is>
          <t>Postgraduate coursework</t>
        </is>
      </c>
      <c r="E267" t="inlineStr">
        <is>
          <t>Advertised: official page in place</t>
        </is>
      </c>
      <c r="F267" t="inlineStr">
        <is>
          <t>https://handbook.unimelb.edu.au/2026/courses/mc-eng</t>
        </is>
      </c>
      <c r="G267" t="inlineStr">
        <is>
          <t>https://handbook.unimelb.edu.au/2026/courses/mc-eng</t>
        </is>
      </c>
      <c r="H267" t="inlineStr">
        <is>
          <t>Read</t>
        </is>
      </c>
      <c r="I267" t="inlineStr">
        <is>
          <t>CRICOS code on page</t>
        </is>
      </c>
      <c r="J267" t="inlineStr"/>
      <c r="K267" t="inlineStr">
        <is>
          <t>Not sent to re-link</t>
        </is>
      </c>
      <c r="L267" t="inlineStr">
        <is>
          <t>Filled</t>
        </is>
      </c>
      <c r="M267" t="inlineStr">
        <is>
          <t>Filled</t>
        </is>
      </c>
      <c r="N267" t="inlineStr">
        <is>
          <t>66752.00 2027</t>
        </is>
      </c>
      <c r="O267" t="n">
        <v>2</v>
      </c>
      <c r="P267" t="inlineStr">
        <is>
          <t>Other</t>
        </is>
      </c>
      <c r="Q267" t="inlineStr">
        <is>
          <t>Filled</t>
        </is>
      </c>
      <c r="R267" t="n">
        <v>6.5</v>
      </c>
      <c r="S267" t="inlineStr">
        <is>
          <t>Central English policy</t>
        </is>
      </c>
      <c r="T267" t="inlineStr">
        <is>
          <t>Level map (Melbourne): not computed per course in this report</t>
        </is>
      </c>
      <c r="U267" t="inlineStr"/>
      <c r="V267" t="inlineStr">
        <is>
          <t>Not stated on course page</t>
        </is>
      </c>
      <c r="W267" t="inlineStr"/>
      <c r="X267" t="inlineStr"/>
      <c r="Y267" t="n">
        <v>0</v>
      </c>
      <c r="Z267" t="inlineStr">
        <is>
          <t>No</t>
        </is>
      </c>
      <c r="AA267" t="inlineStr">
        <is>
          <t>Filled</t>
        </is>
      </c>
      <c r="AB267" t="inlineStr">
        <is>
          <t>on campus</t>
        </is>
      </c>
      <c r="AC267" t="inlineStr"/>
      <c r="AD267" t="n">
        <v>0</v>
      </c>
      <c r="AE267" t="inlineStr"/>
      <c r="AF267" t="inlineStr"/>
      <c r="AG267" t="inlineStr"/>
      <c r="AH267" t="inlineStr"/>
      <c r="AI267" t="inlineStr">
        <is>
          <t>Yes</t>
        </is>
      </c>
      <c r="AJ267" t="inlineStr"/>
      <c r="AK267" t="inlineStr"/>
      <c r="AL267" t="inlineStr"/>
      <c r="AM267" t="inlineStr"/>
    </row>
    <row r="268">
      <c r="A268" t="inlineStr">
        <is>
          <t>054325K</t>
        </is>
      </c>
      <c r="B268" t="inlineStr">
        <is>
          <t>Master of Engineering Management</t>
        </is>
      </c>
      <c r="C268" t="inlineStr">
        <is>
          <t>Masters Degree (Coursework)</t>
        </is>
      </c>
      <c r="D268" t="inlineStr">
        <is>
          <t>Postgraduate coursework</t>
        </is>
      </c>
      <c r="E268" t="inlineStr">
        <is>
          <t>Advertised: official page in place</t>
        </is>
      </c>
      <c r="F268" t="inlineStr">
        <is>
          <t>https://study.unimelb.edu.au/find/courses/graduate/master-of-engineering-management/</t>
        </is>
      </c>
      <c r="G268" t="inlineStr">
        <is>
          <t>https://study.unimelb.edu.au/find/courses/graduate/master-of-engineering-management/</t>
        </is>
      </c>
      <c r="H268" t="inlineStr">
        <is>
          <t>Read</t>
        </is>
      </c>
      <c r="I268" t="inlineStr">
        <is>
          <t>CRICOS code on page</t>
        </is>
      </c>
      <c r="J268" t="inlineStr"/>
      <c r="K268" t="inlineStr">
        <is>
          <t>Not sent to re-link</t>
        </is>
      </c>
      <c r="L268" t="inlineStr">
        <is>
          <t>Filled</t>
        </is>
      </c>
      <c r="M268" t="inlineStr">
        <is>
          <t>Filled</t>
        </is>
      </c>
      <c r="N268" t="inlineStr">
        <is>
          <t>66752.00 2027</t>
        </is>
      </c>
      <c r="O268" t="n">
        <v>3</v>
      </c>
      <c r="P268" t="inlineStr">
        <is>
          <t>Other</t>
        </is>
      </c>
      <c r="Q268" t="inlineStr">
        <is>
          <t>Filled</t>
        </is>
      </c>
      <c r="R268" t="n">
        <v>6.5</v>
      </c>
      <c r="S268" t="inlineStr">
        <is>
          <t>University adapter</t>
        </is>
      </c>
      <c r="T268" t="inlineStr">
        <is>
          <t>Level map (Melbourne): not computed per course in this report</t>
        </is>
      </c>
      <c r="U268" t="inlineStr"/>
      <c r="V268" t="inlineStr">
        <is>
          <t>Filled</t>
        </is>
      </c>
      <c r="W268" t="inlineStr">
        <is>
          <t>March, July</t>
        </is>
      </c>
      <c r="X268" t="inlineStr">
        <is>
          <t>University adapter</t>
        </is>
      </c>
      <c r="Y268" t="n">
        <v>0</v>
      </c>
      <c r="Z268" t="inlineStr">
        <is>
          <t>No</t>
        </is>
      </c>
      <c r="AA268" t="inlineStr">
        <is>
          <t>Filled</t>
        </is>
      </c>
      <c r="AB268" t="inlineStr">
        <is>
          <t>on campus</t>
        </is>
      </c>
      <c r="AC268" t="inlineStr"/>
      <c r="AD268" t="n">
        <v>0</v>
      </c>
      <c r="AE268" t="inlineStr"/>
      <c r="AF268" t="inlineStr"/>
      <c r="AG268" t="inlineStr"/>
      <c r="AH268" t="inlineStr"/>
      <c r="AI268" t="inlineStr"/>
      <c r="AJ268" t="inlineStr"/>
      <c r="AK268" t="inlineStr"/>
      <c r="AL268" t="inlineStr"/>
      <c r="AM268" t="inlineStr"/>
    </row>
    <row r="269">
      <c r="A269" t="inlineStr">
        <is>
          <t>045957G</t>
        </is>
      </c>
      <c r="B269" t="inlineStr">
        <is>
          <t>Master of Engineering Project Management</t>
        </is>
      </c>
      <c r="C269" t="inlineStr">
        <is>
          <t>Masters Degree (Coursework)</t>
        </is>
      </c>
      <c r="D269" t="inlineStr">
        <is>
          <t>Postgraduate coursework</t>
        </is>
      </c>
      <c r="E269" t="inlineStr">
        <is>
          <t>Advertised: official page in place</t>
        </is>
      </c>
      <c r="F269" t="inlineStr">
        <is>
          <t>https://handbook.unimelb.edu.au/2019/courses/532pm</t>
        </is>
      </c>
      <c r="G269" t="inlineStr">
        <is>
          <t>https://handbook.unimelb.edu.au/2026/courses/532pm</t>
        </is>
      </c>
      <c r="H269" t="inlineStr">
        <is>
          <t>Needs a rendered read</t>
        </is>
      </c>
      <c r="I269" t="inlineStr"/>
      <c r="J269" t="inlineStr"/>
      <c r="K269" t="inlineStr">
        <is>
          <t>Finished, no page: no address from the university's address forms or stored lis</t>
        </is>
      </c>
      <c r="L269" t="inlineStr">
        <is>
          <t>Filled</t>
        </is>
      </c>
      <c r="M269" t="inlineStr">
        <is>
          <t>Not stated on course page</t>
        </is>
      </c>
      <c r="N269" t="inlineStr"/>
      <c r="O269" t="n">
        <v>0</v>
      </c>
      <c r="P269" t="inlineStr"/>
      <c r="Q269" t="inlineStr">
        <is>
          <t>Not stated on course page</t>
        </is>
      </c>
      <c r="S269" t="inlineStr"/>
      <c r="T269" t="inlineStr">
        <is>
          <t>Level map (Melbourne): not computed per course in this report</t>
        </is>
      </c>
      <c r="U269" t="inlineStr"/>
      <c r="V269" t="inlineStr">
        <is>
          <t>Not stated on course page</t>
        </is>
      </c>
      <c r="W269" t="inlineStr"/>
      <c r="X269" t="inlineStr"/>
      <c r="Y269" t="n">
        <v>0</v>
      </c>
      <c r="Z269" t="inlineStr">
        <is>
          <t>No</t>
        </is>
      </c>
      <c r="AA269" t="inlineStr">
        <is>
          <t>Filled</t>
        </is>
      </c>
      <c r="AB269" t="inlineStr">
        <is>
          <t>on campus</t>
        </is>
      </c>
      <c r="AC269" t="inlineStr"/>
      <c r="AD269" t="n">
        <v>0</v>
      </c>
      <c r="AE269" t="inlineStr">
        <is>
          <t>Yes</t>
        </is>
      </c>
      <c r="AF269" t="inlineStr"/>
      <c r="AG269" t="inlineStr"/>
      <c r="AH269" t="inlineStr"/>
      <c r="AI269" t="inlineStr">
        <is>
          <t>Yes</t>
        </is>
      </c>
      <c r="AJ269" t="inlineStr"/>
      <c r="AK269" t="inlineStr"/>
      <c r="AL269" t="inlineStr"/>
      <c r="AM269" t="inlineStr"/>
    </row>
    <row r="270">
      <c r="A270" t="inlineStr">
        <is>
          <t>053355A</t>
        </is>
      </c>
      <c r="B270" t="inlineStr">
        <is>
          <t>Master of Engineering Structures</t>
        </is>
      </c>
      <c r="C270" t="inlineStr">
        <is>
          <t>Masters Degree (Coursework)</t>
        </is>
      </c>
      <c r="D270" t="inlineStr">
        <is>
          <t>Postgraduate coursework</t>
        </is>
      </c>
      <c r="E270" t="inlineStr">
        <is>
          <t>Advertised: official page in place</t>
        </is>
      </c>
      <c r="F270" t="inlineStr">
        <is>
          <t>https://study.unimelb.edu.au/find/courses/graduate/master-of-engineering-structures/</t>
        </is>
      </c>
      <c r="G270" t="inlineStr">
        <is>
          <t>https://study.unimelb.edu.au/find/courses/graduate/master-of-engineering-structures/</t>
        </is>
      </c>
      <c r="H270" t="inlineStr">
        <is>
          <t>Read</t>
        </is>
      </c>
      <c r="I270" t="inlineStr">
        <is>
          <t>CRICOS code on page</t>
        </is>
      </c>
      <c r="J270" t="inlineStr"/>
      <c r="K270" t="inlineStr">
        <is>
          <t>Not sent to re-link</t>
        </is>
      </c>
      <c r="L270" t="inlineStr">
        <is>
          <t>Filled</t>
        </is>
      </c>
      <c r="M270" t="inlineStr">
        <is>
          <t>Filled</t>
        </is>
      </c>
      <c r="N270" t="inlineStr">
        <is>
          <t>66752.00 2027</t>
        </is>
      </c>
      <c r="O270" t="n">
        <v>3</v>
      </c>
      <c r="P270" t="inlineStr">
        <is>
          <t>Other</t>
        </is>
      </c>
      <c r="Q270" t="inlineStr">
        <is>
          <t>Filled</t>
        </is>
      </c>
      <c r="R270" t="n">
        <v>6.5</v>
      </c>
      <c r="S270" t="inlineStr">
        <is>
          <t>University adapter</t>
        </is>
      </c>
      <c r="T270" t="inlineStr">
        <is>
          <t>Level map (Melbourne): not computed per course in this report</t>
        </is>
      </c>
      <c r="U270" t="inlineStr"/>
      <c r="V270" t="inlineStr">
        <is>
          <t>Filled</t>
        </is>
      </c>
      <c r="W270" t="inlineStr">
        <is>
          <t>March, July</t>
        </is>
      </c>
      <c r="X270" t="inlineStr">
        <is>
          <t>University adapter</t>
        </is>
      </c>
      <c r="Y270" t="n">
        <v>0</v>
      </c>
      <c r="Z270" t="inlineStr">
        <is>
          <t>No</t>
        </is>
      </c>
      <c r="AA270" t="inlineStr">
        <is>
          <t>Filled</t>
        </is>
      </c>
      <c r="AB270" t="inlineStr">
        <is>
          <t>on campus</t>
        </is>
      </c>
      <c r="AC270" t="inlineStr"/>
      <c r="AD270" t="n">
        <v>0</v>
      </c>
      <c r="AE270" t="inlineStr"/>
      <c r="AF270" t="inlineStr"/>
      <c r="AG270" t="inlineStr"/>
      <c r="AH270" t="inlineStr"/>
      <c r="AI270" t="inlineStr"/>
      <c r="AJ270" t="inlineStr"/>
      <c r="AK270" t="inlineStr"/>
      <c r="AL270" t="inlineStr"/>
      <c r="AM270" t="inlineStr"/>
    </row>
    <row r="271">
      <c r="A271" t="inlineStr">
        <is>
          <t>077472J</t>
        </is>
      </c>
      <c r="B271" t="inlineStr">
        <is>
          <t>Master of English in a Global Context</t>
        </is>
      </c>
      <c r="C271" t="inlineStr">
        <is>
          <t>Masters Degree (Coursework)</t>
        </is>
      </c>
      <c r="D271" t="inlineStr">
        <is>
          <t>Postgraduate coursework</t>
        </is>
      </c>
      <c r="E271" t="inlineStr">
        <is>
          <t>Advertised: official page in place</t>
        </is>
      </c>
      <c r="F271" t="inlineStr">
        <is>
          <t>https://handbook.unimelb.edu.au/2017/courses/mc-enggc</t>
        </is>
      </c>
      <c r="G271" t="inlineStr">
        <is>
          <t>https://handbook.unimelb.edu.au/2026/courses/mc-enggc</t>
        </is>
      </c>
      <c r="H271" t="inlineStr">
        <is>
          <t>Needs a rendered read</t>
        </is>
      </c>
      <c r="I271" t="inlineStr"/>
      <c r="J271" t="inlineStr"/>
      <c r="K271" t="inlineStr">
        <is>
          <t>Finished, no page: no address from the university's address forms or stored lis</t>
        </is>
      </c>
      <c r="L271" t="inlineStr">
        <is>
          <t>Filled</t>
        </is>
      </c>
      <c r="M271" t="inlineStr">
        <is>
          <t>Not stated on course page</t>
        </is>
      </c>
      <c r="N271" t="inlineStr"/>
      <c r="O271" t="n">
        <v>0</v>
      </c>
      <c r="P271" t="inlineStr"/>
      <c r="Q271" t="inlineStr">
        <is>
          <t>Not stated on course page</t>
        </is>
      </c>
      <c r="S271" t="inlineStr"/>
      <c r="T271" t="inlineStr">
        <is>
          <t>Level map (Melbourne): not computed per course in this report</t>
        </is>
      </c>
      <c r="U271" t="inlineStr"/>
      <c r="V271" t="inlineStr">
        <is>
          <t>Not stated on course page</t>
        </is>
      </c>
      <c r="W271" t="inlineStr"/>
      <c r="X271" t="inlineStr"/>
      <c r="Y271" t="n">
        <v>0</v>
      </c>
      <c r="Z271" t="inlineStr">
        <is>
          <t>No</t>
        </is>
      </c>
      <c r="AA271" t="inlineStr">
        <is>
          <t>Filled</t>
        </is>
      </c>
      <c r="AB271" t="inlineStr">
        <is>
          <t>on campus</t>
        </is>
      </c>
      <c r="AC271" t="inlineStr"/>
      <c r="AD271" t="n">
        <v>0</v>
      </c>
      <c r="AE271" t="inlineStr">
        <is>
          <t>Yes</t>
        </is>
      </c>
      <c r="AF271" t="inlineStr"/>
      <c r="AG271" t="inlineStr"/>
      <c r="AH271" t="inlineStr"/>
      <c r="AI271" t="inlineStr">
        <is>
          <t>Yes</t>
        </is>
      </c>
      <c r="AJ271" t="inlineStr"/>
      <c r="AK271" t="inlineStr"/>
      <c r="AL271" t="inlineStr"/>
      <c r="AM271" t="inlineStr"/>
    </row>
    <row r="272">
      <c r="A272" t="inlineStr">
        <is>
          <t>080338M</t>
        </is>
      </c>
      <c r="B272" t="inlineStr">
        <is>
          <t>Master of Enterprise</t>
        </is>
      </c>
      <c r="C272" t="inlineStr">
        <is>
          <t>Masters Degree (Coursework)</t>
        </is>
      </c>
      <c r="D272" t="inlineStr">
        <is>
          <t>Postgraduate coursework</t>
        </is>
      </c>
      <c r="E272" t="inlineStr">
        <is>
          <t>Page found, needs a rendered read</t>
        </is>
      </c>
      <c r="F272" t="inlineStr"/>
      <c r="G272" t="inlineStr">
        <is>
          <t>https://handbook.unimelb.edu.au/2026/courses/mc-ent</t>
        </is>
      </c>
      <c r="H272" t="inlineStr">
        <is>
          <t>Needs a rendered read</t>
        </is>
      </c>
      <c r="I272" t="inlineStr"/>
      <c r="J272" t="inlineStr"/>
      <c r="K272" t="inlineStr">
        <is>
          <t>Finished, no page: no address from the university's address forms or stored lis</t>
        </is>
      </c>
      <c r="L272" t="inlineStr">
        <is>
          <t>Page found, being read</t>
        </is>
      </c>
      <c r="M272" t="inlineStr">
        <is>
          <t>Page found, being read</t>
        </is>
      </c>
      <c r="N272" t="inlineStr"/>
      <c r="O272" t="n">
        <v>0</v>
      </c>
      <c r="P272" t="inlineStr"/>
      <c r="Q272" t="inlineStr">
        <is>
          <t>Page found, being read</t>
        </is>
      </c>
      <c r="S272" t="inlineStr"/>
      <c r="T272" t="inlineStr">
        <is>
          <t>Level map (Melbourne): not computed per course in this report</t>
        </is>
      </c>
      <c r="U272" t="inlineStr"/>
      <c r="V272" t="inlineStr">
        <is>
          <t>Page found, being read</t>
        </is>
      </c>
      <c r="W272" t="inlineStr"/>
      <c r="X272" t="inlineStr"/>
      <c r="Y272" t="n">
        <v>0</v>
      </c>
      <c r="Z272" t="inlineStr">
        <is>
          <t>No</t>
        </is>
      </c>
      <c r="AA272" t="inlineStr">
        <is>
          <t>Not stated on course page</t>
        </is>
      </c>
      <c r="AB272" t="inlineStr"/>
      <c r="AC272" t="inlineStr">
        <is>
          <t>Skipped: the page does not state it</t>
        </is>
      </c>
      <c r="AD272" t="n">
        <v>0</v>
      </c>
      <c r="AE272" t="inlineStr">
        <is>
          <t>Yes</t>
        </is>
      </c>
      <c r="AF272" t="inlineStr"/>
      <c r="AG272" t="inlineStr"/>
      <c r="AH272" t="inlineStr"/>
      <c r="AI272" t="inlineStr"/>
      <c r="AJ272" t="inlineStr"/>
      <c r="AK272" t="inlineStr"/>
      <c r="AL272" t="inlineStr"/>
      <c r="AM272" t="inlineStr"/>
    </row>
    <row r="273">
      <c r="A273" t="inlineStr">
        <is>
          <t>107114A</t>
        </is>
      </c>
      <c r="B273" t="inlineStr">
        <is>
          <t>Master of Entrepreneurship</t>
        </is>
      </c>
      <c r="C273" t="inlineStr">
        <is>
          <t>Masters Degree (Coursework)</t>
        </is>
      </c>
      <c r="D273" t="inlineStr">
        <is>
          <t>Postgraduate coursework</t>
        </is>
      </c>
      <c r="E273" t="inlineStr">
        <is>
          <t>Advertised: official page in place</t>
        </is>
      </c>
      <c r="F273" t="inlineStr">
        <is>
          <t>https://study.unimelb.edu.au/find/courses/graduate/master-of-entrepreneurship/</t>
        </is>
      </c>
      <c r="G273" t="inlineStr">
        <is>
          <t>https://study.unimelb.edu.au/find/courses/graduate/master-of-entrepreneurship/</t>
        </is>
      </c>
      <c r="H273" t="inlineStr">
        <is>
          <t>Read</t>
        </is>
      </c>
      <c r="I273" t="inlineStr">
        <is>
          <t>CRICOS code on page</t>
        </is>
      </c>
      <c r="J273" t="inlineStr"/>
      <c r="K273" t="inlineStr">
        <is>
          <t>Not sent to re-link</t>
        </is>
      </c>
      <c r="L273" t="inlineStr">
        <is>
          <t>Filled</t>
        </is>
      </c>
      <c r="M273" t="inlineStr">
        <is>
          <t>Filled</t>
        </is>
      </c>
      <c r="N273" t="inlineStr">
        <is>
          <t>64640.00 2027</t>
        </is>
      </c>
      <c r="O273" t="n">
        <v>3</v>
      </c>
      <c r="P273" t="inlineStr">
        <is>
          <t>Other</t>
        </is>
      </c>
      <c r="Q273" t="inlineStr">
        <is>
          <t>Filled</t>
        </is>
      </c>
      <c r="R273" t="n">
        <v>6.5</v>
      </c>
      <c r="S273" t="inlineStr">
        <is>
          <t>University adapter</t>
        </is>
      </c>
      <c r="T273" t="inlineStr">
        <is>
          <t>Level map (Melbourne): not computed per course in this report</t>
        </is>
      </c>
      <c r="U273" t="inlineStr"/>
      <c r="V273" t="inlineStr">
        <is>
          <t>Filled</t>
        </is>
      </c>
      <c r="W273" t="inlineStr">
        <is>
          <t>March</t>
        </is>
      </c>
      <c r="X273" t="inlineStr">
        <is>
          <t>University adapter</t>
        </is>
      </c>
      <c r="Y273" t="n">
        <v>0</v>
      </c>
      <c r="Z273" t="inlineStr">
        <is>
          <t>No</t>
        </is>
      </c>
      <c r="AA273" t="inlineStr">
        <is>
          <t>Filled</t>
        </is>
      </c>
      <c r="AB273" t="inlineStr">
        <is>
          <t>on campus</t>
        </is>
      </c>
      <c r="AC273" t="inlineStr"/>
      <c r="AD273" t="n">
        <v>0</v>
      </c>
      <c r="AE273" t="inlineStr"/>
      <c r="AF273" t="inlineStr"/>
      <c r="AG273" t="inlineStr"/>
      <c r="AH273" t="inlineStr"/>
      <c r="AI273" t="inlineStr"/>
      <c r="AJ273" t="inlineStr"/>
      <c r="AK273" t="inlineStr"/>
      <c r="AL273" t="inlineStr"/>
      <c r="AM273" t="inlineStr"/>
    </row>
    <row r="274">
      <c r="A274" t="inlineStr">
        <is>
          <t>089646D</t>
        </is>
      </c>
      <c r="B274" t="inlineStr">
        <is>
          <t>Master of Entrepreneurship</t>
        </is>
      </c>
      <c r="C274" t="inlineStr">
        <is>
          <t>Masters Degree (Coursework)</t>
        </is>
      </c>
      <c r="D274" t="inlineStr">
        <is>
          <t>Postgraduate coursework</t>
        </is>
      </c>
      <c r="E274" t="inlineStr">
        <is>
          <t>Advertised: official page in place</t>
        </is>
      </c>
      <c r="F274" t="inlineStr">
        <is>
          <t>https://study.unimelb.edu.au/find/courses/graduate/master-of-entrepreneurship/</t>
        </is>
      </c>
      <c r="G274" t="inlineStr">
        <is>
          <t>https://study.unimelb.edu.au/find/courses/graduate/master-of-entrepreneurship/</t>
        </is>
      </c>
      <c r="H274" t="inlineStr">
        <is>
          <t>Read</t>
        </is>
      </c>
      <c r="I274" t="inlineStr">
        <is>
          <t>Exact title match</t>
        </is>
      </c>
      <c r="J274" t="inlineStr"/>
      <c r="K274" t="inlineStr">
        <is>
          <t>Not sent to re-link</t>
        </is>
      </c>
      <c r="L274" t="inlineStr">
        <is>
          <t>Filled</t>
        </is>
      </c>
      <c r="M274" t="inlineStr">
        <is>
          <t>Filled</t>
        </is>
      </c>
      <c r="N274" t="inlineStr">
        <is>
          <t>60992.00 2026</t>
        </is>
      </c>
      <c r="O274" t="n">
        <v>0</v>
      </c>
      <c r="P274" t="inlineStr">
        <is>
          <t>University adapter</t>
        </is>
      </c>
      <c r="Q274" t="inlineStr">
        <is>
          <t>Filled</t>
        </is>
      </c>
      <c r="R274" t="n">
        <v>6.5</v>
      </c>
      <c r="S274" t="inlineStr">
        <is>
          <t>University adapter</t>
        </is>
      </c>
      <c r="T274" t="inlineStr">
        <is>
          <t>Level map (Melbourne): not computed per course in this report</t>
        </is>
      </c>
      <c r="U274" t="inlineStr"/>
      <c r="V274" t="inlineStr">
        <is>
          <t>Filled</t>
        </is>
      </c>
      <c r="W274" t="inlineStr">
        <is>
          <t>March</t>
        </is>
      </c>
      <c r="X274" t="inlineStr">
        <is>
          <t>Other</t>
        </is>
      </c>
      <c r="Y274" t="n">
        <v>0</v>
      </c>
      <c r="Z274" t="inlineStr">
        <is>
          <t>No</t>
        </is>
      </c>
      <c r="AA274" t="inlineStr">
        <is>
          <t>Filled</t>
        </is>
      </c>
      <c r="AB274" t="inlineStr">
        <is>
          <t>on campus</t>
        </is>
      </c>
      <c r="AC274" t="inlineStr"/>
      <c r="AD274" t="n">
        <v>0</v>
      </c>
      <c r="AE274" t="inlineStr"/>
      <c r="AF274" t="inlineStr"/>
      <c r="AG274" t="inlineStr"/>
      <c r="AH274" t="inlineStr"/>
      <c r="AI274" t="inlineStr"/>
      <c r="AJ274" t="inlineStr"/>
      <c r="AK274" t="inlineStr"/>
      <c r="AL274" t="inlineStr"/>
      <c r="AM274" t="inlineStr"/>
    </row>
    <row r="275">
      <c r="A275" t="inlineStr">
        <is>
          <t>107115M</t>
        </is>
      </c>
      <c r="B275" t="inlineStr">
        <is>
          <t>Master of Entrepreneurship (Enhanced)</t>
        </is>
      </c>
      <c r="C275" t="inlineStr">
        <is>
          <t>Masters Degree (Coursework)</t>
        </is>
      </c>
      <c r="D275" t="inlineStr">
        <is>
          <t>Postgraduate coursework</t>
        </is>
      </c>
      <c r="E275" t="inlineStr">
        <is>
          <t>Advertised: official page in place</t>
        </is>
      </c>
      <c r="F275" t="inlineStr">
        <is>
          <t>https://study.unimelb.edu.au/find/courses/graduate/master-of-entrepreneurship-enhanced/</t>
        </is>
      </c>
      <c r="G275" t="inlineStr">
        <is>
          <t>https://study.unimelb.edu.au/find/courses/graduate/master-of-entrepreneurship-enhanced/</t>
        </is>
      </c>
      <c r="H275" t="inlineStr">
        <is>
          <t>Read</t>
        </is>
      </c>
      <c r="I275" t="inlineStr">
        <is>
          <t>CRICOS code on page</t>
        </is>
      </c>
      <c r="J275" t="inlineStr"/>
      <c r="K275" t="inlineStr">
        <is>
          <t>Not sent to re-link</t>
        </is>
      </c>
      <c r="L275" t="inlineStr">
        <is>
          <t>Filled</t>
        </is>
      </c>
      <c r="M275" t="inlineStr">
        <is>
          <t>Filled</t>
        </is>
      </c>
      <c r="N275" t="inlineStr">
        <is>
          <t>64640.00 2027</t>
        </is>
      </c>
      <c r="O275" t="n">
        <v>3</v>
      </c>
      <c r="P275" t="inlineStr">
        <is>
          <t>Other</t>
        </is>
      </c>
      <c r="Q275" t="inlineStr">
        <is>
          <t>Filled</t>
        </is>
      </c>
      <c r="R275" t="n">
        <v>7</v>
      </c>
      <c r="S275" t="inlineStr">
        <is>
          <t>University adapter</t>
        </is>
      </c>
      <c r="T275" t="inlineStr">
        <is>
          <t>Level map (Melbourne): not computed per course in this report</t>
        </is>
      </c>
      <c r="U275" t="inlineStr"/>
      <c r="V275" t="inlineStr">
        <is>
          <t>Not stated on course page</t>
        </is>
      </c>
      <c r="W275" t="inlineStr"/>
      <c r="X275" t="inlineStr"/>
      <c r="Y275" t="n">
        <v>0</v>
      </c>
      <c r="Z275" t="inlineStr">
        <is>
          <t>No</t>
        </is>
      </c>
      <c r="AA275" t="inlineStr">
        <is>
          <t>Filled</t>
        </is>
      </c>
      <c r="AB275" t="inlineStr">
        <is>
          <t>on campus</t>
        </is>
      </c>
      <c r="AC275" t="inlineStr"/>
      <c r="AD275" t="n">
        <v>0</v>
      </c>
      <c r="AE275" t="inlineStr"/>
      <c r="AF275" t="inlineStr"/>
      <c r="AG275" t="inlineStr"/>
      <c r="AH275" t="inlineStr"/>
      <c r="AI275" t="inlineStr">
        <is>
          <t>Yes</t>
        </is>
      </c>
      <c r="AJ275" t="inlineStr"/>
      <c r="AK275" t="inlineStr"/>
      <c r="AL275" t="inlineStr"/>
      <c r="AM275" t="inlineStr"/>
    </row>
    <row r="276">
      <c r="A276" t="inlineStr">
        <is>
          <t>076197J</t>
        </is>
      </c>
      <c r="B276" t="inlineStr">
        <is>
          <t>Master of Environment</t>
        </is>
      </c>
      <c r="C276" t="inlineStr">
        <is>
          <t>Masters Degree (Coursework)</t>
        </is>
      </c>
      <c r="D276" t="inlineStr">
        <is>
          <t>Postgraduate coursework</t>
        </is>
      </c>
      <c r="E276" t="inlineStr">
        <is>
          <t>Advertised: official page in place</t>
        </is>
      </c>
      <c r="F276" t="inlineStr">
        <is>
          <t>https://handbook.unimelb.edu.au/2026/courses/mc-env</t>
        </is>
      </c>
      <c r="G276" t="inlineStr">
        <is>
          <t>https://handbook.unimelb.edu.au/2026/courses/mc-env</t>
        </is>
      </c>
      <c r="H276" t="inlineStr">
        <is>
          <t>Read</t>
        </is>
      </c>
      <c r="I276" t="inlineStr">
        <is>
          <t>CRICOS code on page</t>
        </is>
      </c>
      <c r="J276" t="inlineStr"/>
      <c r="K276" t="inlineStr">
        <is>
          <t>Not sent to re-link</t>
        </is>
      </c>
      <c r="L276" t="inlineStr">
        <is>
          <t>Filled</t>
        </is>
      </c>
      <c r="M276" t="inlineStr">
        <is>
          <t>Filled</t>
        </is>
      </c>
      <c r="N276" t="inlineStr">
        <is>
          <t>62496.00 2027</t>
        </is>
      </c>
      <c r="O276" t="n">
        <v>3</v>
      </c>
      <c r="P276" t="inlineStr">
        <is>
          <t>Other</t>
        </is>
      </c>
      <c r="Q276" t="inlineStr">
        <is>
          <t>Filled</t>
        </is>
      </c>
      <c r="R276" t="n">
        <v>6.5</v>
      </c>
      <c r="S276" t="inlineStr">
        <is>
          <t>Central English policy</t>
        </is>
      </c>
      <c r="T276" t="inlineStr">
        <is>
          <t>Level map (Melbourne): not computed per course in this report</t>
        </is>
      </c>
      <c r="U276" t="inlineStr"/>
      <c r="V276" t="inlineStr">
        <is>
          <t>Not stated on course page</t>
        </is>
      </c>
      <c r="W276" t="inlineStr"/>
      <c r="X276" t="inlineStr"/>
      <c r="Y276" t="n">
        <v>0</v>
      </c>
      <c r="Z276" t="inlineStr">
        <is>
          <t>No</t>
        </is>
      </c>
      <c r="AA276" t="inlineStr">
        <is>
          <t>Filled</t>
        </is>
      </c>
      <c r="AB276" t="inlineStr">
        <is>
          <t>on campus</t>
        </is>
      </c>
      <c r="AC276" t="inlineStr"/>
      <c r="AD276" t="n">
        <v>0</v>
      </c>
      <c r="AE276" t="inlineStr"/>
      <c r="AF276" t="inlineStr"/>
      <c r="AG276" t="inlineStr"/>
      <c r="AH276" t="inlineStr"/>
      <c r="AI276" t="inlineStr">
        <is>
          <t>Yes</t>
        </is>
      </c>
      <c r="AJ276" t="inlineStr"/>
      <c r="AK276" t="inlineStr"/>
      <c r="AL276" t="inlineStr"/>
      <c r="AM276" t="inlineStr"/>
    </row>
    <row r="277">
      <c r="A277" t="inlineStr">
        <is>
          <t>032293F</t>
        </is>
      </c>
      <c r="B277" t="inlineStr">
        <is>
          <t>Master of Environmental Engineering</t>
        </is>
      </c>
      <c r="C277" t="inlineStr">
        <is>
          <t>Masters Degree (Coursework)</t>
        </is>
      </c>
      <c r="D277" t="inlineStr">
        <is>
          <t>Postgraduate coursework</t>
        </is>
      </c>
      <c r="E277" t="inlineStr">
        <is>
          <t>Advertised: official page in place</t>
        </is>
      </c>
      <c r="F277" t="inlineStr">
        <is>
          <t>https://study.unimelb.edu.au/find/courses/graduate/master-of-environmental-engineering/</t>
        </is>
      </c>
      <c r="G277" t="inlineStr">
        <is>
          <t>https://study.unimelb.edu.au/find/courses/graduate/master-of-environmental-engineering/</t>
        </is>
      </c>
      <c r="H277" t="inlineStr">
        <is>
          <t>Read</t>
        </is>
      </c>
      <c r="I277" t="inlineStr">
        <is>
          <t>Exact title match</t>
        </is>
      </c>
      <c r="J277" t="inlineStr"/>
      <c r="K277" t="inlineStr">
        <is>
          <t>Not sent to re-link</t>
        </is>
      </c>
      <c r="L277" t="inlineStr">
        <is>
          <t>Filled</t>
        </is>
      </c>
      <c r="M277" t="inlineStr">
        <is>
          <t>Filled</t>
        </is>
      </c>
      <c r="N277" t="inlineStr">
        <is>
          <t>62976.00 2026</t>
        </is>
      </c>
      <c r="O277" t="n">
        <v>0</v>
      </c>
      <c r="P277" t="inlineStr">
        <is>
          <t>University adapter</t>
        </is>
      </c>
      <c r="Q277" t="inlineStr">
        <is>
          <t>Filled</t>
        </is>
      </c>
      <c r="R277" t="n">
        <v>6.5</v>
      </c>
      <c r="S277" t="inlineStr">
        <is>
          <t>University adapter</t>
        </is>
      </c>
      <c r="T277" t="inlineStr">
        <is>
          <t>Level map (Melbourne): not computed per course in this report</t>
        </is>
      </c>
      <c r="U277" t="inlineStr"/>
      <c r="V277" t="inlineStr">
        <is>
          <t>Filled</t>
        </is>
      </c>
      <c r="W277" t="inlineStr">
        <is>
          <t>March, July</t>
        </is>
      </c>
      <c r="X277" t="inlineStr">
        <is>
          <t>Other</t>
        </is>
      </c>
      <c r="Y277" t="n">
        <v>0</v>
      </c>
      <c r="Z277" t="inlineStr">
        <is>
          <t>No</t>
        </is>
      </c>
      <c r="AA277" t="inlineStr">
        <is>
          <t>Filled</t>
        </is>
      </c>
      <c r="AB277" t="inlineStr">
        <is>
          <t>on campus</t>
        </is>
      </c>
      <c r="AC277" t="inlineStr"/>
      <c r="AD277" t="n">
        <v>0</v>
      </c>
      <c r="AE277" t="inlineStr"/>
      <c r="AF277" t="inlineStr"/>
      <c r="AG277" t="inlineStr"/>
      <c r="AH277" t="inlineStr"/>
      <c r="AI277" t="inlineStr"/>
      <c r="AJ277" t="inlineStr"/>
      <c r="AK277" t="inlineStr"/>
      <c r="AL277" t="inlineStr"/>
      <c r="AM277" t="inlineStr"/>
    </row>
    <row r="278">
      <c r="A278" t="inlineStr">
        <is>
          <t>106107H</t>
        </is>
      </c>
      <c r="B278" t="inlineStr">
        <is>
          <t>Master of Environmental Engineering</t>
        </is>
      </c>
      <c r="C278" t="inlineStr">
        <is>
          <t>Masters Degree (Coursework)</t>
        </is>
      </c>
      <c r="D278" t="inlineStr">
        <is>
          <t>Postgraduate coursework</t>
        </is>
      </c>
      <c r="E278" t="inlineStr">
        <is>
          <t>Advertised: official page in place</t>
        </is>
      </c>
      <c r="F278" t="inlineStr">
        <is>
          <t>https://study.unimelb.edu.au/find/courses/graduate/master-of-environmental-engineering/</t>
        </is>
      </c>
      <c r="G278" t="inlineStr">
        <is>
          <t>https://study.unimelb.edu.au/find/courses/graduate/master-of-environmental-engineering/</t>
        </is>
      </c>
      <c r="H278" t="inlineStr">
        <is>
          <t>Read</t>
        </is>
      </c>
      <c r="I278" t="inlineStr">
        <is>
          <t>CRICOS code on page</t>
        </is>
      </c>
      <c r="J278" t="inlineStr"/>
      <c r="K278" t="inlineStr">
        <is>
          <t>Not sent to re-link</t>
        </is>
      </c>
      <c r="L278" t="inlineStr">
        <is>
          <t>Filled</t>
        </is>
      </c>
      <c r="M278" t="inlineStr">
        <is>
          <t>Filled</t>
        </is>
      </c>
      <c r="N278" t="inlineStr">
        <is>
          <t>66752.00 2027</t>
        </is>
      </c>
      <c r="O278" t="n">
        <v>2</v>
      </c>
      <c r="P278" t="inlineStr">
        <is>
          <t>Other</t>
        </is>
      </c>
      <c r="Q278" t="inlineStr">
        <is>
          <t>Filled</t>
        </is>
      </c>
      <c r="R278" t="n">
        <v>6.5</v>
      </c>
      <c r="S278" t="inlineStr">
        <is>
          <t>University adapter</t>
        </is>
      </c>
      <c r="T278" t="inlineStr">
        <is>
          <t>Level map (Melbourne): not computed per course in this report</t>
        </is>
      </c>
      <c r="U278" t="inlineStr"/>
      <c r="V278" t="inlineStr">
        <is>
          <t>Filled</t>
        </is>
      </c>
      <c r="W278" t="inlineStr">
        <is>
          <t>March, July</t>
        </is>
      </c>
      <c r="X278" t="inlineStr">
        <is>
          <t>Other</t>
        </is>
      </c>
      <c r="Y278" t="n">
        <v>0</v>
      </c>
      <c r="Z278" t="inlineStr">
        <is>
          <t>No</t>
        </is>
      </c>
      <c r="AA278" t="inlineStr">
        <is>
          <t>Filled</t>
        </is>
      </c>
      <c r="AB278" t="inlineStr">
        <is>
          <t>on campus</t>
        </is>
      </c>
      <c r="AC278" t="inlineStr"/>
      <c r="AD278" t="n">
        <v>0</v>
      </c>
      <c r="AE278" t="inlineStr"/>
      <c r="AF278" t="inlineStr"/>
      <c r="AG278" t="inlineStr"/>
      <c r="AH278" t="inlineStr"/>
      <c r="AI278" t="inlineStr"/>
      <c r="AJ278" t="inlineStr"/>
      <c r="AK278" t="inlineStr"/>
      <c r="AL278" t="inlineStr"/>
      <c r="AM278" t="inlineStr"/>
    </row>
    <row r="279">
      <c r="A279" t="inlineStr">
        <is>
          <t>077728A</t>
        </is>
      </c>
      <c r="B279" t="inlineStr">
        <is>
          <t>Master of Environmental Law</t>
        </is>
      </c>
      <c r="C279" t="inlineStr">
        <is>
          <t>Masters Degree (Coursework)</t>
        </is>
      </c>
      <c r="D279" t="inlineStr">
        <is>
          <t>Postgraduate coursework</t>
        </is>
      </c>
      <c r="E279" t="inlineStr">
        <is>
          <t>Advertised: official page in place</t>
        </is>
      </c>
      <c r="F279" t="inlineStr">
        <is>
          <t>https://study.unimelb.edu.au/find/courses/graduate/master-of-environmental-law/</t>
        </is>
      </c>
      <c r="G279" t="inlineStr">
        <is>
          <t>https://study.unimelb.edu.au/find/courses/graduate/master-of-environmental-law/</t>
        </is>
      </c>
      <c r="H279" t="inlineStr">
        <is>
          <t>Read</t>
        </is>
      </c>
      <c r="I279" t="inlineStr">
        <is>
          <t>CRICOS code on page</t>
        </is>
      </c>
      <c r="J279" t="inlineStr"/>
      <c r="K279" t="inlineStr">
        <is>
          <t>Not sent to re-link</t>
        </is>
      </c>
      <c r="L279" t="inlineStr">
        <is>
          <t>Filled</t>
        </is>
      </c>
      <c r="M279" t="inlineStr">
        <is>
          <t>Filled</t>
        </is>
      </c>
      <c r="N279" t="inlineStr">
        <is>
          <t>67072.00 2027</t>
        </is>
      </c>
      <c r="O279" t="n">
        <v>3</v>
      </c>
      <c r="P279" t="inlineStr">
        <is>
          <t>Other</t>
        </is>
      </c>
      <c r="Q279" t="inlineStr">
        <is>
          <t>Filled</t>
        </is>
      </c>
      <c r="R279" t="n">
        <v>6.5</v>
      </c>
      <c r="S279" t="inlineStr">
        <is>
          <t>University adapter</t>
        </is>
      </c>
      <c r="T279" t="inlineStr">
        <is>
          <t>Level map (Melbourne): not computed per course in this report</t>
        </is>
      </c>
      <c r="U279" t="inlineStr"/>
      <c r="V279" t="inlineStr">
        <is>
          <t>Filled</t>
        </is>
      </c>
      <c r="W279" t="inlineStr">
        <is>
          <t>March</t>
        </is>
      </c>
      <c r="X279" t="inlineStr">
        <is>
          <t>University adapter</t>
        </is>
      </c>
      <c r="Y279" t="n">
        <v>0</v>
      </c>
      <c r="Z279" t="inlineStr">
        <is>
          <t>No</t>
        </is>
      </c>
      <c r="AA279" t="inlineStr">
        <is>
          <t>Filled</t>
        </is>
      </c>
      <c r="AB279" t="inlineStr">
        <is>
          <t>on campus</t>
        </is>
      </c>
      <c r="AC279" t="inlineStr"/>
      <c r="AD279" t="n">
        <v>0</v>
      </c>
      <c r="AE279" t="inlineStr"/>
      <c r="AF279" t="inlineStr"/>
      <c r="AG279" t="inlineStr"/>
      <c r="AH279" t="inlineStr"/>
      <c r="AI279" t="inlineStr"/>
      <c r="AJ279" t="inlineStr"/>
      <c r="AK279" t="inlineStr"/>
      <c r="AL279" t="inlineStr"/>
      <c r="AM279" t="inlineStr"/>
    </row>
    <row r="280">
      <c r="A280" t="inlineStr">
        <is>
          <t>092793M</t>
        </is>
      </c>
      <c r="B280" t="inlineStr">
        <is>
          <t>Master of Environmental Science</t>
        </is>
      </c>
      <c r="C280" t="inlineStr">
        <is>
          <t>Masters Degree (Coursework)</t>
        </is>
      </c>
      <c r="D280" t="inlineStr">
        <is>
          <t>Postgraduate coursework</t>
        </is>
      </c>
      <c r="E280" t="inlineStr">
        <is>
          <t>Advertised: official page in place</t>
        </is>
      </c>
      <c r="F280" t="inlineStr">
        <is>
          <t>https://handbook.unimelb.edu.au/2026/courses/mc-envsc</t>
        </is>
      </c>
      <c r="G280" t="inlineStr">
        <is>
          <t>https://handbook.unimelb.edu.au/2026/courses/mc-envsc</t>
        </is>
      </c>
      <c r="H280" t="inlineStr">
        <is>
          <t>Read</t>
        </is>
      </c>
      <c r="I280" t="inlineStr">
        <is>
          <t>CRICOS code on page</t>
        </is>
      </c>
      <c r="J280" t="inlineStr"/>
      <c r="K280" t="inlineStr">
        <is>
          <t>Not sent to re-link</t>
        </is>
      </c>
      <c r="L280" t="inlineStr">
        <is>
          <t>Filled</t>
        </is>
      </c>
      <c r="M280" t="inlineStr">
        <is>
          <t>Filled</t>
        </is>
      </c>
      <c r="N280" t="inlineStr">
        <is>
          <t>62496.00 2027</t>
        </is>
      </c>
      <c r="O280" t="n">
        <v>3</v>
      </c>
      <c r="P280" t="inlineStr">
        <is>
          <t>Other</t>
        </is>
      </c>
      <c r="Q280" t="inlineStr">
        <is>
          <t>Filled</t>
        </is>
      </c>
      <c r="R280" t="n">
        <v>6.5</v>
      </c>
      <c r="S280" t="inlineStr">
        <is>
          <t>Central English policy</t>
        </is>
      </c>
      <c r="T280" t="inlineStr">
        <is>
          <t>Level map (Melbourne): not computed per course in this report</t>
        </is>
      </c>
      <c r="U280" t="inlineStr"/>
      <c r="V280" t="inlineStr">
        <is>
          <t>Not stated on course page</t>
        </is>
      </c>
      <c r="W280" t="inlineStr"/>
      <c r="X280" t="inlineStr"/>
      <c r="Y280" t="n">
        <v>0</v>
      </c>
      <c r="Z280" t="inlineStr">
        <is>
          <t>No</t>
        </is>
      </c>
      <c r="AA280" t="inlineStr">
        <is>
          <t>Filled</t>
        </is>
      </c>
      <c r="AB280" t="inlineStr">
        <is>
          <t>on campus</t>
        </is>
      </c>
      <c r="AC280" t="inlineStr"/>
      <c r="AD280" t="n">
        <v>0</v>
      </c>
      <c r="AE280" t="inlineStr"/>
      <c r="AF280" t="inlineStr"/>
      <c r="AG280" t="inlineStr"/>
      <c r="AH280" t="inlineStr"/>
      <c r="AI280" t="inlineStr">
        <is>
          <t>Yes</t>
        </is>
      </c>
      <c r="AJ280" t="inlineStr"/>
      <c r="AK280" t="inlineStr"/>
      <c r="AL280" t="inlineStr"/>
      <c r="AM280" t="inlineStr"/>
    </row>
    <row r="281">
      <c r="A281" t="inlineStr">
        <is>
          <t>106187C</t>
        </is>
      </c>
      <c r="B281" t="inlineStr">
        <is>
          <t>Master of Environmental Systems Engineering</t>
        </is>
      </c>
      <c r="C281" t="inlineStr">
        <is>
          <t>Masters Degree (Coursework)</t>
        </is>
      </c>
      <c r="D281" t="inlineStr">
        <is>
          <t>Postgraduate coursework</t>
        </is>
      </c>
      <c r="E281" t="inlineStr">
        <is>
          <t>Advertised: official page in place</t>
        </is>
      </c>
      <c r="F281" t="inlineStr">
        <is>
          <t>https://handbook.unimelb.edu.au/2026/courses/mc-ensysen</t>
        </is>
      </c>
      <c r="G281" t="inlineStr">
        <is>
          <t>https://handbook.unimelb.edu.au/2026/courses/mc-ensysen</t>
        </is>
      </c>
      <c r="H281" t="inlineStr">
        <is>
          <t>Read</t>
        </is>
      </c>
      <c r="I281" t="inlineStr">
        <is>
          <t>CRICOS code on page</t>
        </is>
      </c>
      <c r="J281" t="inlineStr"/>
      <c r="K281" t="inlineStr">
        <is>
          <t>Not sent to re-link</t>
        </is>
      </c>
      <c r="L281" t="inlineStr">
        <is>
          <t>Filled</t>
        </is>
      </c>
      <c r="M281" t="inlineStr">
        <is>
          <t>Filled</t>
        </is>
      </c>
      <c r="N281" t="inlineStr">
        <is>
          <t>66752.00 2027</t>
        </is>
      </c>
      <c r="O281" t="n">
        <v>3</v>
      </c>
      <c r="P281" t="inlineStr">
        <is>
          <t>Other</t>
        </is>
      </c>
      <c r="Q281" t="inlineStr">
        <is>
          <t>Filled</t>
        </is>
      </c>
      <c r="R281" t="n">
        <v>6.5</v>
      </c>
      <c r="S281" t="inlineStr">
        <is>
          <t>Central English policy</t>
        </is>
      </c>
      <c r="T281" t="inlineStr">
        <is>
          <t>Level map (Melbourne): not computed per course in this report</t>
        </is>
      </c>
      <c r="U281" t="inlineStr"/>
      <c r="V281" t="inlineStr">
        <is>
          <t>Not stated on course page</t>
        </is>
      </c>
      <c r="W281" t="inlineStr"/>
      <c r="X281" t="inlineStr"/>
      <c r="Y281" t="n">
        <v>0</v>
      </c>
      <c r="Z281" t="inlineStr">
        <is>
          <t>No</t>
        </is>
      </c>
      <c r="AA281" t="inlineStr">
        <is>
          <t>Filled</t>
        </is>
      </c>
      <c r="AB281" t="inlineStr">
        <is>
          <t>on campus</t>
        </is>
      </c>
      <c r="AC281" t="inlineStr"/>
      <c r="AD281" t="n">
        <v>0</v>
      </c>
      <c r="AE281" t="inlineStr"/>
      <c r="AF281" t="inlineStr"/>
      <c r="AG281" t="inlineStr"/>
      <c r="AH281" t="inlineStr"/>
      <c r="AI281" t="inlineStr">
        <is>
          <t>Yes</t>
        </is>
      </c>
      <c r="AJ281" t="inlineStr"/>
      <c r="AK281" t="inlineStr"/>
      <c r="AL281" t="inlineStr"/>
      <c r="AM281" t="inlineStr"/>
    </row>
    <row r="282">
      <c r="A282" t="inlineStr">
        <is>
          <t>073590B</t>
        </is>
      </c>
      <c r="B282" t="inlineStr">
        <is>
          <t>Master of Evaluation</t>
        </is>
      </c>
      <c r="C282" t="inlineStr">
        <is>
          <t>Masters Degree (Research)</t>
        </is>
      </c>
      <c r="D282" t="inlineStr">
        <is>
          <t>Research degree</t>
        </is>
      </c>
      <c r="E282" t="inlineStr">
        <is>
          <t>Advertised: official page in place</t>
        </is>
      </c>
      <c r="F282" t="inlineStr">
        <is>
          <t>https://study.unimelb.edu.au/find/courses/graduate/master-of-evaluation/</t>
        </is>
      </c>
      <c r="G282" t="inlineStr">
        <is>
          <t>https://study.unimelb.edu.au/find/courses/graduate/master-of-evaluation/</t>
        </is>
      </c>
      <c r="H282" t="inlineStr">
        <is>
          <t>Read</t>
        </is>
      </c>
      <c r="I282" t="inlineStr">
        <is>
          <t>Exact title match</t>
        </is>
      </c>
      <c r="J282" t="inlineStr"/>
      <c r="K282" t="inlineStr">
        <is>
          <t>Not sent to re-link</t>
        </is>
      </c>
      <c r="L282" t="inlineStr">
        <is>
          <t>Filled</t>
        </is>
      </c>
      <c r="M282" t="inlineStr">
        <is>
          <t>Filled</t>
        </is>
      </c>
      <c r="N282" t="inlineStr">
        <is>
          <t>37984.00 2026</t>
        </is>
      </c>
      <c r="O282" t="n">
        <v>0</v>
      </c>
      <c r="P282" t="inlineStr">
        <is>
          <t>Other</t>
        </is>
      </c>
      <c r="Q282" t="inlineStr">
        <is>
          <t>Filled</t>
        </is>
      </c>
      <c r="R282" t="n">
        <v>6.5</v>
      </c>
      <c r="S282" t="inlineStr">
        <is>
          <t>Other</t>
        </is>
      </c>
      <c r="T282" t="inlineStr">
        <is>
          <t>Level map (Melbourne): not computed per course in this report</t>
        </is>
      </c>
      <c r="U282" t="inlineStr"/>
      <c r="V282" t="inlineStr">
        <is>
          <t>Filled</t>
        </is>
      </c>
      <c r="W282" t="inlineStr">
        <is>
          <t>January, April, July, October</t>
        </is>
      </c>
      <c r="X282" t="inlineStr">
        <is>
          <t>Other</t>
        </is>
      </c>
      <c r="Y282" t="n">
        <v>0</v>
      </c>
      <c r="Z282" t="inlineStr">
        <is>
          <t>No</t>
        </is>
      </c>
      <c r="AA282" t="inlineStr">
        <is>
          <t>Filled</t>
        </is>
      </c>
      <c r="AB282" t="inlineStr">
        <is>
          <t>online</t>
        </is>
      </c>
      <c r="AC282" t="inlineStr"/>
      <c r="AD282" t="n">
        <v>0</v>
      </c>
      <c r="AE282" t="inlineStr"/>
      <c r="AF282" t="inlineStr"/>
      <c r="AG282" t="inlineStr"/>
      <c r="AH282" t="inlineStr"/>
      <c r="AI282" t="inlineStr"/>
      <c r="AJ282" t="inlineStr"/>
      <c r="AK282" t="inlineStr"/>
      <c r="AL282" t="inlineStr"/>
      <c r="AM282" t="inlineStr"/>
    </row>
    <row r="283">
      <c r="A283" t="inlineStr">
        <is>
          <t>073589F</t>
        </is>
      </c>
      <c r="B283" t="inlineStr">
        <is>
          <t>Master of Evaluation</t>
        </is>
      </c>
      <c r="C283" t="inlineStr">
        <is>
          <t>Masters Degree (Coursework)</t>
        </is>
      </c>
      <c r="D283" t="inlineStr">
        <is>
          <t>Postgraduate coursework</t>
        </is>
      </c>
      <c r="E283" t="inlineStr">
        <is>
          <t>Advertised: official page in place</t>
        </is>
      </c>
      <c r="F283" t="inlineStr">
        <is>
          <t>https://study.unimelb.edu.au/find/courses/graduate/master-of-evaluation/</t>
        </is>
      </c>
      <c r="G283" t="inlineStr">
        <is>
          <t>https://study.unimelb.edu.au/find/courses/graduate/master-of-evaluation/</t>
        </is>
      </c>
      <c r="H283" t="inlineStr">
        <is>
          <t>Read</t>
        </is>
      </c>
      <c r="I283" t="inlineStr">
        <is>
          <t>Exact title match</t>
        </is>
      </c>
      <c r="J283" t="inlineStr"/>
      <c r="K283" t="inlineStr">
        <is>
          <t>Not sent to re-link</t>
        </is>
      </c>
      <c r="L283" t="inlineStr">
        <is>
          <t>Filled</t>
        </is>
      </c>
      <c r="M283" t="inlineStr">
        <is>
          <t>Filled</t>
        </is>
      </c>
      <c r="N283" t="inlineStr">
        <is>
          <t>37984.00 2026</t>
        </is>
      </c>
      <c r="O283" t="n">
        <v>0</v>
      </c>
      <c r="P283" t="inlineStr">
        <is>
          <t>University adapter</t>
        </is>
      </c>
      <c r="Q283" t="inlineStr">
        <is>
          <t>Filled</t>
        </is>
      </c>
      <c r="R283" t="n">
        <v>6.5</v>
      </c>
      <c r="S283" t="inlineStr">
        <is>
          <t>University adapter</t>
        </is>
      </c>
      <c r="T283" t="inlineStr">
        <is>
          <t>Level map (Melbourne): not computed per course in this report</t>
        </is>
      </c>
      <c r="U283" t="inlineStr"/>
      <c r="V283" t="inlineStr">
        <is>
          <t>Filled</t>
        </is>
      </c>
      <c r="W283" t="inlineStr">
        <is>
          <t>January, April, July, October</t>
        </is>
      </c>
      <c r="X283" t="inlineStr">
        <is>
          <t>Other</t>
        </is>
      </c>
      <c r="Y283" t="n">
        <v>0</v>
      </c>
      <c r="Z283" t="inlineStr">
        <is>
          <t>No</t>
        </is>
      </c>
      <c r="AA283" t="inlineStr">
        <is>
          <t>Filled</t>
        </is>
      </c>
      <c r="AB283" t="inlineStr">
        <is>
          <t>online</t>
        </is>
      </c>
      <c r="AC283" t="inlineStr"/>
      <c r="AD283" t="n">
        <v>0</v>
      </c>
      <c r="AE283" t="inlineStr"/>
      <c r="AF283" t="inlineStr"/>
      <c r="AG283" t="inlineStr"/>
      <c r="AH283" t="inlineStr"/>
      <c r="AI283" t="inlineStr"/>
      <c r="AJ283" t="inlineStr"/>
      <c r="AK283" t="inlineStr"/>
      <c r="AL283" t="inlineStr"/>
      <c r="AM283" t="inlineStr"/>
    </row>
    <row r="284">
      <c r="A284" t="inlineStr">
        <is>
          <t>075498D</t>
        </is>
      </c>
      <c r="B284" t="inlineStr">
        <is>
          <t>Master of Film and Television</t>
        </is>
      </c>
      <c r="C284" t="inlineStr">
        <is>
          <t>Masters Degree (Coursework)</t>
        </is>
      </c>
      <c r="D284" t="inlineStr">
        <is>
          <t>Postgraduate coursework</t>
        </is>
      </c>
      <c r="E284" t="inlineStr">
        <is>
          <t>Advertised: official page in place</t>
        </is>
      </c>
      <c r="F284" t="inlineStr">
        <is>
          <t>https://study.unimelb.edu.au/find/courses/graduate/master-of-film-and-television/</t>
        </is>
      </c>
      <c r="G284" t="inlineStr">
        <is>
          <t>https://study.unimelb.edu.au/find/courses/graduate/master-of-film-and-television/</t>
        </is>
      </c>
      <c r="H284" t="inlineStr">
        <is>
          <t>Read</t>
        </is>
      </c>
      <c r="I284" t="inlineStr">
        <is>
          <t>CRICOS code on page</t>
        </is>
      </c>
      <c r="J284" t="inlineStr"/>
      <c r="K284" t="inlineStr">
        <is>
          <t>Not sent to re-link</t>
        </is>
      </c>
      <c r="L284" t="inlineStr">
        <is>
          <t>Filled</t>
        </is>
      </c>
      <c r="M284" t="inlineStr">
        <is>
          <t>Filled</t>
        </is>
      </c>
      <c r="N284" t="inlineStr">
        <is>
          <t>50720.00 2027</t>
        </is>
      </c>
      <c r="O284" t="n">
        <v>3</v>
      </c>
      <c r="P284" t="inlineStr">
        <is>
          <t>Other</t>
        </is>
      </c>
      <c r="Q284" t="inlineStr">
        <is>
          <t>Filled</t>
        </is>
      </c>
      <c r="R284" t="n">
        <v>6.5</v>
      </c>
      <c r="S284" t="inlineStr">
        <is>
          <t>University adapter</t>
        </is>
      </c>
      <c r="T284" t="inlineStr">
        <is>
          <t>Level map (Melbourne): not computed per course in this report</t>
        </is>
      </c>
      <c r="U284" t="inlineStr"/>
      <c r="V284" t="inlineStr">
        <is>
          <t>Filled</t>
        </is>
      </c>
      <c r="W284" t="inlineStr">
        <is>
          <t>February</t>
        </is>
      </c>
      <c r="X284" t="inlineStr">
        <is>
          <t>University adapter</t>
        </is>
      </c>
      <c r="Y284" t="n">
        <v>0</v>
      </c>
      <c r="Z284" t="inlineStr">
        <is>
          <t>No</t>
        </is>
      </c>
      <c r="AA284" t="inlineStr">
        <is>
          <t>Filled</t>
        </is>
      </c>
      <c r="AB284" t="inlineStr">
        <is>
          <t>on campus</t>
        </is>
      </c>
      <c r="AC284" t="inlineStr"/>
      <c r="AD284" t="n">
        <v>0</v>
      </c>
      <c r="AE284" t="inlineStr"/>
      <c r="AF284" t="inlineStr"/>
      <c r="AG284" t="inlineStr"/>
      <c r="AH284" t="inlineStr"/>
      <c r="AI284" t="inlineStr"/>
      <c r="AJ284" t="inlineStr"/>
      <c r="AK284" t="inlineStr"/>
      <c r="AL284" t="inlineStr"/>
      <c r="AM284" t="inlineStr"/>
    </row>
    <row r="285">
      <c r="A285" t="inlineStr">
        <is>
          <t>0100876</t>
        </is>
      </c>
      <c r="B285" t="inlineStr">
        <is>
          <t>Master of Finance</t>
        </is>
      </c>
      <c r="C285" t="inlineStr">
        <is>
          <t>Masters Degree (Coursework)</t>
        </is>
      </c>
      <c r="D285" t="inlineStr">
        <is>
          <t>Postgraduate coursework</t>
        </is>
      </c>
      <c r="E285" t="inlineStr">
        <is>
          <t>Advertised: official page in place</t>
        </is>
      </c>
      <c r="F285" t="inlineStr">
        <is>
          <t>https://study.unimelb.edu.au/find/courses/graduate/master-of-finance/</t>
        </is>
      </c>
      <c r="G285" t="inlineStr">
        <is>
          <t>https://study.unimelb.edu.au/find/courses/graduate/master-of-finance/</t>
        </is>
      </c>
      <c r="H285" t="inlineStr">
        <is>
          <t>Read</t>
        </is>
      </c>
      <c r="I285" t="inlineStr">
        <is>
          <t>CRICOS code on page</t>
        </is>
      </c>
      <c r="J285" t="inlineStr"/>
      <c r="K285" t="inlineStr">
        <is>
          <t>Not sent to re-link</t>
        </is>
      </c>
      <c r="L285" t="inlineStr">
        <is>
          <t>Filled</t>
        </is>
      </c>
      <c r="M285" t="inlineStr">
        <is>
          <t>Filled</t>
        </is>
      </c>
      <c r="N285" t="inlineStr">
        <is>
          <t>64640.00 2027</t>
        </is>
      </c>
      <c r="O285" t="n">
        <v>3</v>
      </c>
      <c r="P285" t="inlineStr">
        <is>
          <t>Other</t>
        </is>
      </c>
      <c r="Q285" t="inlineStr">
        <is>
          <t>Filled</t>
        </is>
      </c>
      <c r="R285" t="n">
        <v>6.5</v>
      </c>
      <c r="S285" t="inlineStr">
        <is>
          <t>University adapter</t>
        </is>
      </c>
      <c r="T285" t="inlineStr">
        <is>
          <t>Level map (Melbourne): not computed per course in this report</t>
        </is>
      </c>
      <c r="U285" t="inlineStr"/>
      <c r="V285" t="inlineStr">
        <is>
          <t>Filled</t>
        </is>
      </c>
      <c r="W285" t="inlineStr">
        <is>
          <t>March, July</t>
        </is>
      </c>
      <c r="X285" t="inlineStr">
        <is>
          <t>University adapter</t>
        </is>
      </c>
      <c r="Y285" t="n">
        <v>0</v>
      </c>
      <c r="Z285" t="inlineStr">
        <is>
          <t>No</t>
        </is>
      </c>
      <c r="AA285" t="inlineStr">
        <is>
          <t>Filled</t>
        </is>
      </c>
      <c r="AB285" t="inlineStr">
        <is>
          <t>on campus</t>
        </is>
      </c>
      <c r="AC285" t="inlineStr"/>
      <c r="AD285" t="n">
        <v>0</v>
      </c>
      <c r="AE285" t="inlineStr"/>
      <c r="AF285" t="inlineStr"/>
      <c r="AG285" t="inlineStr"/>
      <c r="AH285" t="inlineStr"/>
      <c r="AI285" t="inlineStr"/>
      <c r="AJ285" t="inlineStr"/>
      <c r="AK285" t="inlineStr"/>
      <c r="AL285" t="inlineStr"/>
      <c r="AM285" t="inlineStr"/>
    </row>
    <row r="286">
      <c r="A286" t="inlineStr">
        <is>
          <t>0100877</t>
        </is>
      </c>
      <c r="B286" t="inlineStr">
        <is>
          <t>Master of Finance (Enhanced)</t>
        </is>
      </c>
      <c r="C286" t="inlineStr">
        <is>
          <t>Masters Degree (Coursework)</t>
        </is>
      </c>
      <c r="D286" t="inlineStr">
        <is>
          <t>Postgraduate coursework</t>
        </is>
      </c>
      <c r="E286" t="inlineStr">
        <is>
          <t>Advertised: official page in place</t>
        </is>
      </c>
      <c r="F286" t="inlineStr">
        <is>
          <t>https://study.unimelb.edu.au/find/courses/graduate/master-of-finance-enhanced/</t>
        </is>
      </c>
      <c r="G286" t="inlineStr">
        <is>
          <t>https://study.unimelb.edu.au/find/courses/graduate/master-of-finance-enhanced/</t>
        </is>
      </c>
      <c r="H286" t="inlineStr">
        <is>
          <t>Read</t>
        </is>
      </c>
      <c r="I286" t="inlineStr">
        <is>
          <t>CRICOS code on page</t>
        </is>
      </c>
      <c r="J286" t="inlineStr"/>
      <c r="K286" t="inlineStr">
        <is>
          <t>Not sent to re-link</t>
        </is>
      </c>
      <c r="L286" t="inlineStr">
        <is>
          <t>Filled</t>
        </is>
      </c>
      <c r="M286" t="inlineStr">
        <is>
          <t>Filled</t>
        </is>
      </c>
      <c r="N286" t="inlineStr">
        <is>
          <t>64640.00 2027</t>
        </is>
      </c>
      <c r="O286" t="n">
        <v>3</v>
      </c>
      <c r="P286" t="inlineStr">
        <is>
          <t>Other</t>
        </is>
      </c>
      <c r="Q286" t="inlineStr">
        <is>
          <t>Filled</t>
        </is>
      </c>
      <c r="R286" t="n">
        <v>6.5</v>
      </c>
      <c r="S286" t="inlineStr">
        <is>
          <t>University adapter</t>
        </is>
      </c>
      <c r="T286" t="inlineStr">
        <is>
          <t>Level map (Melbourne): not computed per course in this report</t>
        </is>
      </c>
      <c r="U286" t="inlineStr"/>
      <c r="V286" t="inlineStr">
        <is>
          <t>Filled</t>
        </is>
      </c>
      <c r="W286" t="inlineStr">
        <is>
          <t>March, July</t>
        </is>
      </c>
      <c r="X286" t="inlineStr">
        <is>
          <t>University adapter</t>
        </is>
      </c>
      <c r="Y286" t="n">
        <v>0</v>
      </c>
      <c r="Z286" t="inlineStr">
        <is>
          <t>No</t>
        </is>
      </c>
      <c r="AA286" t="inlineStr">
        <is>
          <t>Filled</t>
        </is>
      </c>
      <c r="AB286" t="inlineStr">
        <is>
          <t>on campus</t>
        </is>
      </c>
      <c r="AC286" t="inlineStr"/>
      <c r="AD286" t="n">
        <v>0</v>
      </c>
      <c r="AE286" t="inlineStr"/>
      <c r="AF286" t="inlineStr"/>
      <c r="AG286" t="inlineStr"/>
      <c r="AH286" t="inlineStr"/>
      <c r="AI286" t="inlineStr"/>
      <c r="AJ286" t="inlineStr"/>
      <c r="AK286" t="inlineStr"/>
      <c r="AL286" t="inlineStr"/>
      <c r="AM286" t="inlineStr"/>
    </row>
    <row r="287">
      <c r="A287" t="inlineStr">
        <is>
          <t>075321G</t>
        </is>
      </c>
      <c r="B287" t="inlineStr">
        <is>
          <t>Master of Fine Arts</t>
        </is>
      </c>
      <c r="C287" t="inlineStr">
        <is>
          <t>Masters Degree (Research)</t>
        </is>
      </c>
      <c r="D287" t="inlineStr">
        <is>
          <t>Research degree</t>
        </is>
      </c>
      <c r="E287" t="inlineStr">
        <is>
          <t>Advertised: official page in place</t>
        </is>
      </c>
      <c r="F287" t="inlineStr">
        <is>
          <t>https://handbook.unimelb.edu.au/2026/courses/mr-facmus</t>
        </is>
      </c>
      <c r="G287" t="inlineStr">
        <is>
          <t>https://handbook.unimelb.edu.au/2026/courses/mr-facmus</t>
        </is>
      </c>
      <c r="H287" t="inlineStr">
        <is>
          <t>Read</t>
        </is>
      </c>
      <c r="I287" t="inlineStr">
        <is>
          <t>CRICOS code on page</t>
        </is>
      </c>
      <c r="J287" t="inlineStr"/>
      <c r="K287" t="inlineStr">
        <is>
          <t>Not sent to re-link</t>
        </is>
      </c>
      <c r="L287" t="inlineStr">
        <is>
          <t>Filled</t>
        </is>
      </c>
      <c r="M287" t="inlineStr">
        <is>
          <t>Not stated on course page</t>
        </is>
      </c>
      <c r="N287" t="inlineStr"/>
      <c r="O287" t="n">
        <v>0</v>
      </c>
      <c r="P287" t="inlineStr"/>
      <c r="Q287" t="inlineStr">
        <is>
          <t>Not stated on course page</t>
        </is>
      </c>
      <c r="S287" t="inlineStr"/>
      <c r="T287" t="inlineStr">
        <is>
          <t>Level map (Melbourne): not computed per course in this report</t>
        </is>
      </c>
      <c r="U287" t="inlineStr"/>
      <c r="V287" t="inlineStr">
        <is>
          <t>Not stated on course page</t>
        </is>
      </c>
      <c r="W287" t="inlineStr"/>
      <c r="X287" t="inlineStr"/>
      <c r="Y287" t="n">
        <v>0</v>
      </c>
      <c r="Z287" t="inlineStr">
        <is>
          <t>No</t>
        </is>
      </c>
      <c r="AA287" t="inlineStr">
        <is>
          <t>Filled</t>
        </is>
      </c>
      <c r="AB287" t="inlineStr">
        <is>
          <t>on campus</t>
        </is>
      </c>
      <c r="AC287" t="inlineStr"/>
      <c r="AD287" t="n">
        <v>0</v>
      </c>
      <c r="AE287" t="inlineStr"/>
      <c r="AF287" t="inlineStr"/>
      <c r="AG287" t="inlineStr"/>
      <c r="AH287" t="inlineStr"/>
      <c r="AI287" t="inlineStr">
        <is>
          <t>Yes</t>
        </is>
      </c>
      <c r="AJ287" t="inlineStr"/>
      <c r="AK287" t="inlineStr"/>
      <c r="AL287" t="inlineStr"/>
      <c r="AM287" t="inlineStr"/>
    </row>
    <row r="288">
      <c r="A288" t="inlineStr">
        <is>
          <t>099324F</t>
        </is>
      </c>
      <c r="B288" t="inlineStr">
        <is>
          <t>Master of Fine Arts</t>
        </is>
      </c>
      <c r="C288" t="inlineStr">
        <is>
          <t>Masters Degree (Research)</t>
        </is>
      </c>
      <c r="D288" t="inlineStr">
        <is>
          <t>Research degree</t>
        </is>
      </c>
      <c r="E288" t="inlineStr">
        <is>
          <t>Advertised: official page in place</t>
        </is>
      </c>
      <c r="F288" t="inlineStr">
        <is>
          <t>https://handbook.unimelb.edu.au/2026/courses/mr-fa</t>
        </is>
      </c>
      <c r="G288" t="inlineStr">
        <is>
          <t>https://handbook.unimelb.edu.au/2026/courses/mr-fa</t>
        </is>
      </c>
      <c r="H288" t="inlineStr">
        <is>
          <t>Read</t>
        </is>
      </c>
      <c r="I288" t="inlineStr">
        <is>
          <t>CRICOS code on page</t>
        </is>
      </c>
      <c r="J288" t="inlineStr"/>
      <c r="K288" t="inlineStr">
        <is>
          <t>Not sent to re-link</t>
        </is>
      </c>
      <c r="L288" t="inlineStr">
        <is>
          <t>Filled</t>
        </is>
      </c>
      <c r="M288" t="inlineStr">
        <is>
          <t>Filled</t>
        </is>
      </c>
      <c r="N288" t="inlineStr">
        <is>
          <t>50720.00 2027</t>
        </is>
      </c>
      <c r="O288" t="n">
        <v>3</v>
      </c>
      <c r="P288" t="inlineStr">
        <is>
          <t>Other</t>
        </is>
      </c>
      <c r="Q288" t="inlineStr">
        <is>
          <t>Not stated on course page</t>
        </is>
      </c>
      <c r="S288" t="inlineStr"/>
      <c r="T288" t="inlineStr">
        <is>
          <t>Level map (Melbourne): not computed per course in this report</t>
        </is>
      </c>
      <c r="U288" t="inlineStr"/>
      <c r="V288" t="inlineStr">
        <is>
          <t>Not stated on course page</t>
        </is>
      </c>
      <c r="W288" t="inlineStr"/>
      <c r="X288" t="inlineStr"/>
      <c r="Y288" t="n">
        <v>0</v>
      </c>
      <c r="Z288" t="inlineStr">
        <is>
          <t>No</t>
        </is>
      </c>
      <c r="AA288" t="inlineStr">
        <is>
          <t>Filled</t>
        </is>
      </c>
      <c r="AB288" t="inlineStr">
        <is>
          <t>on campus</t>
        </is>
      </c>
      <c r="AC288" t="inlineStr"/>
      <c r="AD288" t="n">
        <v>0</v>
      </c>
      <c r="AE288" t="inlineStr"/>
      <c r="AF288" t="inlineStr"/>
      <c r="AG288" t="inlineStr"/>
      <c r="AH288" t="inlineStr"/>
      <c r="AI288" t="inlineStr">
        <is>
          <t>Yes</t>
        </is>
      </c>
      <c r="AJ288" t="inlineStr"/>
      <c r="AK288" t="inlineStr"/>
      <c r="AL288" t="inlineStr"/>
      <c r="AM288" t="inlineStr"/>
    </row>
    <row r="289">
      <c r="A289" t="inlineStr">
        <is>
          <t>093574C</t>
        </is>
      </c>
      <c r="B289" t="inlineStr">
        <is>
          <t>Master of Fine Arts (Dance)</t>
        </is>
      </c>
      <c r="C289" t="inlineStr">
        <is>
          <t>Masters Degree (Research)</t>
        </is>
      </c>
      <c r="D289" t="inlineStr">
        <is>
          <t>Research degree</t>
        </is>
      </c>
      <c r="E289" t="inlineStr">
        <is>
          <t>Advertised: official page in place</t>
        </is>
      </c>
      <c r="F289" t="inlineStr">
        <is>
          <t>https://handbook.unimelb.edu.au/2018/courses/mr-fadance</t>
        </is>
      </c>
      <c r="G289" t="inlineStr">
        <is>
          <t>https://handbook.unimelb.edu.au/2026/courses/mr-fadance</t>
        </is>
      </c>
      <c r="H289" t="inlineStr">
        <is>
          <t>Needs a rendered read</t>
        </is>
      </c>
      <c r="I289" t="inlineStr"/>
      <c r="J289" t="inlineStr"/>
      <c r="K289" t="inlineStr">
        <is>
          <t>Finished, no page: no address from the university's address forms or stored lis</t>
        </is>
      </c>
      <c r="L289" t="inlineStr">
        <is>
          <t>Filled</t>
        </is>
      </c>
      <c r="M289" t="inlineStr">
        <is>
          <t>Not stated on course page</t>
        </is>
      </c>
      <c r="N289" t="inlineStr"/>
      <c r="O289" t="n">
        <v>0</v>
      </c>
      <c r="P289" t="inlineStr"/>
      <c r="Q289" t="inlineStr">
        <is>
          <t>Not stated on course page</t>
        </is>
      </c>
      <c r="S289" t="inlineStr"/>
      <c r="T289" t="inlineStr">
        <is>
          <t>Level map (Melbourne): not computed per course in this report</t>
        </is>
      </c>
      <c r="U289" t="inlineStr"/>
      <c r="V289" t="inlineStr">
        <is>
          <t>Not stated on course page</t>
        </is>
      </c>
      <c r="W289" t="inlineStr"/>
      <c r="X289" t="inlineStr"/>
      <c r="Y289" t="n">
        <v>0</v>
      </c>
      <c r="Z289" t="inlineStr">
        <is>
          <t>No</t>
        </is>
      </c>
      <c r="AA289" t="inlineStr">
        <is>
          <t>Filled</t>
        </is>
      </c>
      <c r="AB289" t="inlineStr">
        <is>
          <t>on campus</t>
        </is>
      </c>
      <c r="AC289" t="inlineStr"/>
      <c r="AD289" t="n">
        <v>0</v>
      </c>
      <c r="AE289" t="inlineStr">
        <is>
          <t>Yes</t>
        </is>
      </c>
      <c r="AF289" t="inlineStr"/>
      <c r="AG289" t="inlineStr"/>
      <c r="AH289" t="inlineStr"/>
      <c r="AI289" t="inlineStr">
        <is>
          <t>Yes</t>
        </is>
      </c>
      <c r="AJ289" t="inlineStr"/>
      <c r="AK289" t="inlineStr"/>
      <c r="AL289" t="inlineStr"/>
      <c r="AM289" t="inlineStr"/>
    </row>
    <row r="290">
      <c r="A290" t="inlineStr">
        <is>
          <t>093575B</t>
        </is>
      </c>
      <c r="B290" t="inlineStr">
        <is>
          <t>Master of Fine Arts (Film and Television)</t>
        </is>
      </c>
      <c r="C290" t="inlineStr">
        <is>
          <t>Masters Degree (Research)</t>
        </is>
      </c>
      <c r="D290" t="inlineStr">
        <is>
          <t>Research degree</t>
        </is>
      </c>
      <c r="E290" t="inlineStr">
        <is>
          <t>Advertised: official page in place</t>
        </is>
      </c>
      <c r="F290" t="inlineStr">
        <is>
          <t>https://handbook.unimelb.edu.au/2020/courses/mr-faftv</t>
        </is>
      </c>
      <c r="G290" t="inlineStr">
        <is>
          <t>https://handbook.unimelb.edu.au/2026/courses/mr-faftv</t>
        </is>
      </c>
      <c r="H290" t="inlineStr">
        <is>
          <t>Needs a rendered read</t>
        </is>
      </c>
      <c r="I290" t="inlineStr"/>
      <c r="J290" t="inlineStr"/>
      <c r="K290" t="inlineStr">
        <is>
          <t>Finished, no page: no address from the university's address forms or stored lis</t>
        </is>
      </c>
      <c r="L290" t="inlineStr">
        <is>
          <t>Filled</t>
        </is>
      </c>
      <c r="M290" t="inlineStr">
        <is>
          <t>Not stated on course page</t>
        </is>
      </c>
      <c r="N290" t="inlineStr"/>
      <c r="O290" t="n">
        <v>0</v>
      </c>
      <c r="P290" t="inlineStr"/>
      <c r="Q290" t="inlineStr">
        <is>
          <t>Not stated on course page</t>
        </is>
      </c>
      <c r="S290" t="inlineStr"/>
      <c r="T290" t="inlineStr">
        <is>
          <t>Level map (Melbourne): not computed per course in this report</t>
        </is>
      </c>
      <c r="U290" t="inlineStr"/>
      <c r="V290" t="inlineStr">
        <is>
          <t>Not stated on course page</t>
        </is>
      </c>
      <c r="W290" t="inlineStr"/>
      <c r="X290" t="inlineStr"/>
      <c r="Y290" t="n">
        <v>0</v>
      </c>
      <c r="Z290" t="inlineStr">
        <is>
          <t>No</t>
        </is>
      </c>
      <c r="AA290" t="inlineStr">
        <is>
          <t>Filled</t>
        </is>
      </c>
      <c r="AB290" t="inlineStr">
        <is>
          <t>on campus</t>
        </is>
      </c>
      <c r="AC290" t="inlineStr"/>
      <c r="AD290" t="n">
        <v>0</v>
      </c>
      <c r="AE290" t="inlineStr">
        <is>
          <t>Yes</t>
        </is>
      </c>
      <c r="AF290" t="inlineStr"/>
      <c r="AG290" t="inlineStr"/>
      <c r="AH290" t="inlineStr"/>
      <c r="AI290" t="inlineStr">
        <is>
          <t>Yes</t>
        </is>
      </c>
      <c r="AJ290" t="inlineStr"/>
      <c r="AK290" t="inlineStr"/>
      <c r="AL290" t="inlineStr"/>
      <c r="AM290" t="inlineStr"/>
    </row>
    <row r="291">
      <c r="A291" t="inlineStr">
        <is>
          <t>093576A</t>
        </is>
      </c>
      <c r="B291" t="inlineStr">
        <is>
          <t>Master of Fine Arts (Indigenous Arts and Culture)</t>
        </is>
      </c>
      <c r="C291" t="inlineStr">
        <is>
          <t>Masters Degree (Research)</t>
        </is>
      </c>
      <c r="D291" t="inlineStr">
        <is>
          <t>Research degree</t>
        </is>
      </c>
      <c r="E291" t="inlineStr">
        <is>
          <t>Advertised: official page in place</t>
        </is>
      </c>
      <c r="F291" t="inlineStr">
        <is>
          <t>https://handbook.unimelb.edu.au/2019/courses/mr-faiac</t>
        </is>
      </c>
      <c r="G291" t="inlineStr">
        <is>
          <t>https://handbook.unimelb.edu.au/2026/courses/mr-faiac</t>
        </is>
      </c>
      <c r="H291" t="inlineStr">
        <is>
          <t>Needs a rendered read</t>
        </is>
      </c>
      <c r="I291" t="inlineStr"/>
      <c r="J291" t="inlineStr"/>
      <c r="K291" t="inlineStr">
        <is>
          <t>Finished, no page: no address from the university's address forms or stored lis</t>
        </is>
      </c>
      <c r="L291" t="inlineStr">
        <is>
          <t>Filled</t>
        </is>
      </c>
      <c r="M291" t="inlineStr">
        <is>
          <t>Not stated on course page</t>
        </is>
      </c>
      <c r="N291" t="inlineStr"/>
      <c r="O291" t="n">
        <v>0</v>
      </c>
      <c r="P291" t="inlineStr"/>
      <c r="Q291" t="inlineStr">
        <is>
          <t>Not stated on course page</t>
        </is>
      </c>
      <c r="S291" t="inlineStr"/>
      <c r="T291" t="inlineStr">
        <is>
          <t>Level map (Melbourne): not computed per course in this report</t>
        </is>
      </c>
      <c r="U291" t="inlineStr"/>
      <c r="V291" t="inlineStr">
        <is>
          <t>Not stated on course page</t>
        </is>
      </c>
      <c r="W291" t="inlineStr"/>
      <c r="X291" t="inlineStr"/>
      <c r="Y291" t="n">
        <v>0</v>
      </c>
      <c r="Z291" t="inlineStr">
        <is>
          <t>No</t>
        </is>
      </c>
      <c r="AA291" t="inlineStr">
        <is>
          <t>Filled</t>
        </is>
      </c>
      <c r="AB291" t="inlineStr">
        <is>
          <t>on campus</t>
        </is>
      </c>
      <c r="AC291" t="inlineStr"/>
      <c r="AD291" t="n">
        <v>0</v>
      </c>
      <c r="AE291" t="inlineStr">
        <is>
          <t>Yes</t>
        </is>
      </c>
      <c r="AF291" t="inlineStr"/>
      <c r="AG291" t="inlineStr"/>
      <c r="AH291" t="inlineStr"/>
      <c r="AI291" t="inlineStr">
        <is>
          <t>Yes</t>
        </is>
      </c>
      <c r="AJ291" t="inlineStr"/>
      <c r="AK291" t="inlineStr"/>
      <c r="AL291" t="inlineStr"/>
      <c r="AM291" t="inlineStr"/>
    </row>
    <row r="292">
      <c r="A292" t="inlineStr">
        <is>
          <t>093578K</t>
        </is>
      </c>
      <c r="B292" t="inlineStr">
        <is>
          <t>Master of Fine Arts (Interdisciplinary Arts Practice)</t>
        </is>
      </c>
      <c r="C292" t="inlineStr">
        <is>
          <t>Masters Degree (Research)</t>
        </is>
      </c>
      <c r="D292" t="inlineStr">
        <is>
          <t>Research degree</t>
        </is>
      </c>
      <c r="E292" t="inlineStr">
        <is>
          <t>Advertised: official page in place</t>
        </is>
      </c>
      <c r="F292" t="inlineStr">
        <is>
          <t>https://handbook.unimelb.edu.au/courses/mr-faiap</t>
        </is>
      </c>
      <c r="G292" t="inlineStr">
        <is>
          <t>https://handbook.unimelb.edu.au/courses/mr-faiap</t>
        </is>
      </c>
      <c r="H292" t="inlineStr">
        <is>
          <t>Read</t>
        </is>
      </c>
      <c r="I292" t="inlineStr">
        <is>
          <t>CRICOS code on page</t>
        </is>
      </c>
      <c r="J292" t="inlineStr"/>
      <c r="K292" t="inlineStr">
        <is>
          <t>Not sent to re-link</t>
        </is>
      </c>
      <c r="L292" t="inlineStr">
        <is>
          <t>Filled</t>
        </is>
      </c>
      <c r="M292" t="inlineStr">
        <is>
          <t>Not stated on course page</t>
        </is>
      </c>
      <c r="N292" t="inlineStr"/>
      <c r="O292" t="n">
        <v>0</v>
      </c>
      <c r="P292" t="inlineStr"/>
      <c r="Q292" t="inlineStr">
        <is>
          <t>Not stated on course page</t>
        </is>
      </c>
      <c r="S292" t="inlineStr"/>
      <c r="T292" t="inlineStr">
        <is>
          <t>Level map (Melbourne): not computed per course in this report</t>
        </is>
      </c>
      <c r="U292" t="inlineStr"/>
      <c r="V292" t="inlineStr">
        <is>
          <t>Not stated on course page</t>
        </is>
      </c>
      <c r="W292" t="inlineStr"/>
      <c r="X292" t="inlineStr"/>
      <c r="Y292" t="n">
        <v>0</v>
      </c>
      <c r="Z292" t="inlineStr">
        <is>
          <t>No</t>
        </is>
      </c>
      <c r="AA292" t="inlineStr">
        <is>
          <t>Filled</t>
        </is>
      </c>
      <c r="AB292" t="inlineStr">
        <is>
          <t>on campus</t>
        </is>
      </c>
      <c r="AC292" t="inlineStr"/>
      <c r="AD292" t="n">
        <v>0</v>
      </c>
      <c r="AE292" t="inlineStr"/>
      <c r="AF292" t="inlineStr"/>
      <c r="AG292" t="inlineStr"/>
      <c r="AH292" t="inlineStr"/>
      <c r="AI292" t="inlineStr">
        <is>
          <t>Yes</t>
        </is>
      </c>
      <c r="AJ292" t="inlineStr"/>
      <c r="AK292" t="inlineStr"/>
      <c r="AL292" t="inlineStr"/>
      <c r="AM292" t="inlineStr"/>
    </row>
    <row r="293">
      <c r="A293" t="inlineStr">
        <is>
          <t>093577M</t>
        </is>
      </c>
      <c r="B293" t="inlineStr">
        <is>
          <t>Master of Fine Arts (Music Theatre)</t>
        </is>
      </c>
      <c r="C293" t="inlineStr">
        <is>
          <t>Masters Degree (Research)</t>
        </is>
      </c>
      <c r="D293" t="inlineStr">
        <is>
          <t>Research degree</t>
        </is>
      </c>
      <c r="E293" t="inlineStr">
        <is>
          <t>Advertised: official page in place</t>
        </is>
      </c>
      <c r="F293" t="inlineStr">
        <is>
          <t>https://handbook.unimelb.edu.au/2018/courses/mr-famusth</t>
        </is>
      </c>
      <c r="G293" t="inlineStr">
        <is>
          <t>https://handbook.unimelb.edu.au/2026/courses/mr-famusth</t>
        </is>
      </c>
      <c r="H293" t="inlineStr">
        <is>
          <t>Needs a rendered read</t>
        </is>
      </c>
      <c r="I293" t="inlineStr"/>
      <c r="J293" t="inlineStr"/>
      <c r="K293" t="inlineStr">
        <is>
          <t>Finished, no page: no address from the university's address forms or stored lis</t>
        </is>
      </c>
      <c r="L293" t="inlineStr">
        <is>
          <t>Filled</t>
        </is>
      </c>
      <c r="M293" t="inlineStr">
        <is>
          <t>Not stated on course page</t>
        </is>
      </c>
      <c r="N293" t="inlineStr"/>
      <c r="O293" t="n">
        <v>0</v>
      </c>
      <c r="P293" t="inlineStr"/>
      <c r="Q293" t="inlineStr">
        <is>
          <t>Not stated on course page</t>
        </is>
      </c>
      <c r="S293" t="inlineStr"/>
      <c r="T293" t="inlineStr">
        <is>
          <t>Level map (Melbourne): not computed per course in this report</t>
        </is>
      </c>
      <c r="U293" t="inlineStr"/>
      <c r="V293" t="inlineStr">
        <is>
          <t>Not stated on course page</t>
        </is>
      </c>
      <c r="W293" t="inlineStr"/>
      <c r="X293" t="inlineStr"/>
      <c r="Y293" t="n">
        <v>0</v>
      </c>
      <c r="Z293" t="inlineStr">
        <is>
          <t>No</t>
        </is>
      </c>
      <c r="AA293" t="inlineStr">
        <is>
          <t>Filled</t>
        </is>
      </c>
      <c r="AB293" t="inlineStr">
        <is>
          <t>on campus</t>
        </is>
      </c>
      <c r="AC293" t="inlineStr"/>
      <c r="AD293" t="n">
        <v>0</v>
      </c>
      <c r="AE293" t="inlineStr">
        <is>
          <t>Yes</t>
        </is>
      </c>
      <c r="AF293" t="inlineStr"/>
      <c r="AG293" t="inlineStr"/>
      <c r="AH293" t="inlineStr"/>
      <c r="AI293" t="inlineStr">
        <is>
          <t>Yes</t>
        </is>
      </c>
      <c r="AJ293" t="inlineStr"/>
      <c r="AK293" t="inlineStr"/>
      <c r="AL293" t="inlineStr"/>
      <c r="AM293" t="inlineStr"/>
    </row>
    <row r="294">
      <c r="A294" t="inlineStr">
        <is>
          <t>093579J</t>
        </is>
      </c>
      <c r="B294" t="inlineStr">
        <is>
          <t>Master of Fine Arts (Production)</t>
        </is>
      </c>
      <c r="C294" t="inlineStr">
        <is>
          <t>Masters Degree (Research)</t>
        </is>
      </c>
      <c r="D294" t="inlineStr">
        <is>
          <t>Research degree</t>
        </is>
      </c>
      <c r="E294" t="inlineStr">
        <is>
          <t>Advertised: official page in place</t>
        </is>
      </c>
      <c r="F294" t="inlineStr">
        <is>
          <t>https://handbook.unimelb.edu.au/2021/courses/mr-faprod</t>
        </is>
      </c>
      <c r="G294" t="inlineStr">
        <is>
          <t>https://handbook.unimelb.edu.au/2026/courses/mr-faprod</t>
        </is>
      </c>
      <c r="H294" t="inlineStr">
        <is>
          <t>Needs a rendered read</t>
        </is>
      </c>
      <c r="I294" t="inlineStr"/>
      <c r="J294" t="inlineStr"/>
      <c r="K294" t="inlineStr">
        <is>
          <t>Finished, no page: no address from the university's address forms or stored lis</t>
        </is>
      </c>
      <c r="L294" t="inlineStr">
        <is>
          <t>Filled</t>
        </is>
      </c>
      <c r="M294" t="inlineStr">
        <is>
          <t>Not stated on course page</t>
        </is>
      </c>
      <c r="N294" t="inlineStr"/>
      <c r="O294" t="n">
        <v>0</v>
      </c>
      <c r="P294" t="inlineStr"/>
      <c r="Q294" t="inlineStr">
        <is>
          <t>Not stated on course page</t>
        </is>
      </c>
      <c r="S294" t="inlineStr"/>
      <c r="T294" t="inlineStr">
        <is>
          <t>Level map (Melbourne): not computed per course in this report</t>
        </is>
      </c>
      <c r="U294" t="inlineStr"/>
      <c r="V294" t="inlineStr">
        <is>
          <t>Not stated on course page</t>
        </is>
      </c>
      <c r="W294" t="inlineStr"/>
      <c r="X294" t="inlineStr"/>
      <c r="Y294" t="n">
        <v>0</v>
      </c>
      <c r="Z294" t="inlineStr">
        <is>
          <t>No</t>
        </is>
      </c>
      <c r="AA294" t="inlineStr">
        <is>
          <t>Filled</t>
        </is>
      </c>
      <c r="AB294" t="inlineStr">
        <is>
          <t>on campus</t>
        </is>
      </c>
      <c r="AC294" t="inlineStr"/>
      <c r="AD294" t="n">
        <v>0</v>
      </c>
      <c r="AE294" t="inlineStr">
        <is>
          <t>Yes</t>
        </is>
      </c>
      <c r="AF294" t="inlineStr"/>
      <c r="AG294" t="inlineStr"/>
      <c r="AH294" t="inlineStr"/>
      <c r="AI294" t="inlineStr">
        <is>
          <t>Yes</t>
        </is>
      </c>
      <c r="AJ294" t="inlineStr"/>
      <c r="AK294" t="inlineStr"/>
      <c r="AL294" t="inlineStr"/>
      <c r="AM294" t="inlineStr"/>
    </row>
    <row r="295">
      <c r="A295" t="inlineStr">
        <is>
          <t>093580E</t>
        </is>
      </c>
      <c r="B295" t="inlineStr">
        <is>
          <t>Master of Fine Arts (Theatre)</t>
        </is>
      </c>
      <c r="C295" t="inlineStr">
        <is>
          <t>Masters Degree (Research)</t>
        </is>
      </c>
      <c r="D295" t="inlineStr">
        <is>
          <t>Research degree</t>
        </is>
      </c>
      <c r="E295" t="inlineStr">
        <is>
          <t>Advertised: official page in place</t>
        </is>
      </c>
      <c r="F295" t="inlineStr">
        <is>
          <t>https://handbook.unimelb.edu.au/2017/courses/mr-fathtr</t>
        </is>
      </c>
      <c r="G295" t="inlineStr">
        <is>
          <t>https://handbook.unimelb.edu.au/2026/courses/mr-fathtr</t>
        </is>
      </c>
      <c r="H295" t="inlineStr">
        <is>
          <t>Needs a rendered read</t>
        </is>
      </c>
      <c r="I295" t="inlineStr"/>
      <c r="J295" t="inlineStr"/>
      <c r="K295" t="inlineStr">
        <is>
          <t>Finished, no page: no address from the university's address forms or stored lis</t>
        </is>
      </c>
      <c r="L295" t="inlineStr">
        <is>
          <t>Filled</t>
        </is>
      </c>
      <c r="M295" t="inlineStr">
        <is>
          <t>Not stated on course page</t>
        </is>
      </c>
      <c r="N295" t="inlineStr"/>
      <c r="O295" t="n">
        <v>0</v>
      </c>
      <c r="P295" t="inlineStr"/>
      <c r="Q295" t="inlineStr">
        <is>
          <t>Not stated on course page</t>
        </is>
      </c>
      <c r="S295" t="inlineStr"/>
      <c r="T295" t="inlineStr">
        <is>
          <t>Level map (Melbourne): not computed per course in this report</t>
        </is>
      </c>
      <c r="U295" t="inlineStr"/>
      <c r="V295" t="inlineStr">
        <is>
          <t>Not stated on course page</t>
        </is>
      </c>
      <c r="W295" t="inlineStr"/>
      <c r="X295" t="inlineStr"/>
      <c r="Y295" t="n">
        <v>0</v>
      </c>
      <c r="Z295" t="inlineStr">
        <is>
          <t>No</t>
        </is>
      </c>
      <c r="AA295" t="inlineStr">
        <is>
          <t>Filled</t>
        </is>
      </c>
      <c r="AB295" t="inlineStr">
        <is>
          <t>on campus</t>
        </is>
      </c>
      <c r="AC295" t="inlineStr"/>
      <c r="AD295" t="n">
        <v>0</v>
      </c>
      <c r="AE295" t="inlineStr">
        <is>
          <t>Yes</t>
        </is>
      </c>
      <c r="AF295" t="inlineStr"/>
      <c r="AG295" t="inlineStr"/>
      <c r="AH295" t="inlineStr"/>
      <c r="AI295" t="inlineStr">
        <is>
          <t>Yes</t>
        </is>
      </c>
      <c r="AJ295" t="inlineStr"/>
      <c r="AK295" t="inlineStr"/>
      <c r="AL295" t="inlineStr"/>
      <c r="AM295" t="inlineStr"/>
    </row>
    <row r="296">
      <c r="A296" t="inlineStr">
        <is>
          <t>093581D</t>
        </is>
      </c>
      <c r="B296" t="inlineStr">
        <is>
          <t>Master of Fine Arts (Visual Art)</t>
        </is>
      </c>
      <c r="C296" t="inlineStr">
        <is>
          <t>Masters Degree (Research)</t>
        </is>
      </c>
      <c r="D296" t="inlineStr">
        <is>
          <t>Research degree</t>
        </is>
      </c>
      <c r="E296" t="inlineStr">
        <is>
          <t>Page found, needs a rendered read</t>
        </is>
      </c>
      <c r="F296" t="inlineStr"/>
      <c r="G296" t="inlineStr">
        <is>
          <t>https://handbook.unimelb.edu.au/2026/courses/mr-favisar</t>
        </is>
      </c>
      <c r="H296" t="inlineStr">
        <is>
          <t>Needs a rendered read</t>
        </is>
      </c>
      <c r="I296" t="inlineStr"/>
      <c r="J296" t="inlineStr"/>
      <c r="K296" t="inlineStr">
        <is>
          <t>Finished, no page: no address from the university's address forms or stored lis</t>
        </is>
      </c>
      <c r="L296" t="inlineStr">
        <is>
          <t>Page found, being read</t>
        </is>
      </c>
      <c r="M296" t="inlineStr">
        <is>
          <t>Page found, being read</t>
        </is>
      </c>
      <c r="N296" t="inlineStr"/>
      <c r="O296" t="n">
        <v>0</v>
      </c>
      <c r="P296" t="inlineStr"/>
      <c r="Q296" t="inlineStr">
        <is>
          <t>Page found, being read</t>
        </is>
      </c>
      <c r="S296" t="inlineStr"/>
      <c r="T296" t="inlineStr">
        <is>
          <t>Level map (Melbourne): not computed per course in this report</t>
        </is>
      </c>
      <c r="U296" t="inlineStr"/>
      <c r="V296" t="inlineStr">
        <is>
          <t>Page found, being read</t>
        </is>
      </c>
      <c r="W296" t="inlineStr"/>
      <c r="X296" t="inlineStr"/>
      <c r="Y296" t="n">
        <v>0</v>
      </c>
      <c r="Z296" t="inlineStr">
        <is>
          <t>No</t>
        </is>
      </c>
      <c r="AA296" t="inlineStr">
        <is>
          <t>Not stated on course page</t>
        </is>
      </c>
      <c r="AB296" t="inlineStr"/>
      <c r="AC296" t="inlineStr">
        <is>
          <t>Skipped: the page does not state it</t>
        </is>
      </c>
      <c r="AD296" t="n">
        <v>0</v>
      </c>
      <c r="AE296" t="inlineStr">
        <is>
          <t>Yes</t>
        </is>
      </c>
      <c r="AF296" t="inlineStr"/>
      <c r="AG296" t="inlineStr"/>
      <c r="AH296" t="inlineStr"/>
      <c r="AI296" t="inlineStr"/>
      <c r="AJ296" t="inlineStr"/>
      <c r="AK296" t="inlineStr"/>
      <c r="AL296" t="inlineStr"/>
      <c r="AM296" t="inlineStr"/>
    </row>
    <row r="297">
      <c r="A297" t="inlineStr">
        <is>
          <t>083118K</t>
        </is>
      </c>
      <c r="B297" t="inlineStr">
        <is>
          <t>Master of Food and Packaging Innovation</t>
        </is>
      </c>
      <c r="C297" t="inlineStr">
        <is>
          <t>Masters Degree (Coursework)</t>
        </is>
      </c>
      <c r="D297" t="inlineStr">
        <is>
          <t>Postgraduate coursework</t>
        </is>
      </c>
      <c r="E297" t="inlineStr">
        <is>
          <t>Advertised: official page in place</t>
        </is>
      </c>
      <c r="F297" t="inlineStr">
        <is>
          <t>https://handbook.unimelb.edu.au/2026/courses/mc-foodpi</t>
        </is>
      </c>
      <c r="G297" t="inlineStr">
        <is>
          <t>https://handbook.unimelb.edu.au/2026/courses/mc-foodpi</t>
        </is>
      </c>
      <c r="H297" t="inlineStr">
        <is>
          <t>Read</t>
        </is>
      </c>
      <c r="I297" t="inlineStr">
        <is>
          <t>CRICOS code on page</t>
        </is>
      </c>
      <c r="J297" t="inlineStr"/>
      <c r="K297" t="inlineStr">
        <is>
          <t>Not sent to re-link</t>
        </is>
      </c>
      <c r="L297" t="inlineStr">
        <is>
          <t>Filled</t>
        </is>
      </c>
      <c r="M297" t="inlineStr">
        <is>
          <t>Filled</t>
        </is>
      </c>
      <c r="N297" t="inlineStr">
        <is>
          <t>61440.00 2027</t>
        </is>
      </c>
      <c r="O297" t="n">
        <v>3</v>
      </c>
      <c r="P297" t="inlineStr">
        <is>
          <t>Other</t>
        </is>
      </c>
      <c r="Q297" t="inlineStr">
        <is>
          <t>Filled</t>
        </is>
      </c>
      <c r="R297" t="n">
        <v>6.5</v>
      </c>
      <c r="S297" t="inlineStr">
        <is>
          <t>Central English policy</t>
        </is>
      </c>
      <c r="T297" t="inlineStr">
        <is>
          <t>Level map (Melbourne): not computed per course in this report</t>
        </is>
      </c>
      <c r="U297" t="inlineStr"/>
      <c r="V297" t="inlineStr">
        <is>
          <t>Not stated on course page</t>
        </is>
      </c>
      <c r="W297" t="inlineStr"/>
      <c r="X297" t="inlineStr"/>
      <c r="Y297" t="n">
        <v>0</v>
      </c>
      <c r="Z297" t="inlineStr">
        <is>
          <t>No</t>
        </is>
      </c>
      <c r="AA297" t="inlineStr">
        <is>
          <t>Filled</t>
        </is>
      </c>
      <c r="AB297" t="inlineStr">
        <is>
          <t>on campus</t>
        </is>
      </c>
      <c r="AC297" t="inlineStr"/>
      <c r="AD297" t="n">
        <v>0</v>
      </c>
      <c r="AE297" t="inlineStr"/>
      <c r="AF297" t="inlineStr"/>
      <c r="AG297" t="inlineStr"/>
      <c r="AH297" t="inlineStr"/>
      <c r="AI297" t="inlineStr">
        <is>
          <t>Yes</t>
        </is>
      </c>
      <c r="AJ297" t="inlineStr"/>
      <c r="AK297" t="inlineStr"/>
      <c r="AL297" t="inlineStr"/>
      <c r="AM297" t="inlineStr"/>
    </row>
    <row r="298">
      <c r="A298" t="inlineStr">
        <is>
          <t>061970M</t>
        </is>
      </c>
      <c r="B298" t="inlineStr">
        <is>
          <t>Master of Food Science</t>
        </is>
      </c>
      <c r="C298" t="inlineStr">
        <is>
          <t>Masters Degree (Coursework)</t>
        </is>
      </c>
      <c r="D298" t="inlineStr">
        <is>
          <t>Postgraduate coursework</t>
        </is>
      </c>
      <c r="E298" t="inlineStr">
        <is>
          <t>Advertised: official page in place</t>
        </is>
      </c>
      <c r="F298" t="inlineStr">
        <is>
          <t>https://handbook.unimelb.edu.au/2026/courses/439fs</t>
        </is>
      </c>
      <c r="G298" t="inlineStr">
        <is>
          <t>https://handbook.unimelb.edu.au/2026/courses/439fs</t>
        </is>
      </c>
      <c r="H298" t="inlineStr">
        <is>
          <t>Read</t>
        </is>
      </c>
      <c r="I298" t="inlineStr">
        <is>
          <t>CRICOS code on page</t>
        </is>
      </c>
      <c r="J298" t="inlineStr"/>
      <c r="K298" t="inlineStr">
        <is>
          <t>Not sent to re-link</t>
        </is>
      </c>
      <c r="L298" t="inlineStr">
        <is>
          <t>Filled</t>
        </is>
      </c>
      <c r="M298" t="inlineStr">
        <is>
          <t>Filled</t>
        </is>
      </c>
      <c r="N298" t="inlineStr">
        <is>
          <t>59360.00 2027</t>
        </is>
      </c>
      <c r="O298" t="n">
        <v>3</v>
      </c>
      <c r="P298" t="inlineStr">
        <is>
          <t>Other</t>
        </is>
      </c>
      <c r="Q298" t="inlineStr">
        <is>
          <t>Filled</t>
        </is>
      </c>
      <c r="R298" t="n">
        <v>6.5</v>
      </c>
      <c r="S298" t="inlineStr">
        <is>
          <t>Central English policy</t>
        </is>
      </c>
      <c r="T298" t="inlineStr">
        <is>
          <t>Level map (Melbourne): not computed per course in this report</t>
        </is>
      </c>
      <c r="U298" t="inlineStr"/>
      <c r="V298" t="inlineStr">
        <is>
          <t>Not stated on course page</t>
        </is>
      </c>
      <c r="W298" t="inlineStr"/>
      <c r="X298" t="inlineStr"/>
      <c r="Y298" t="n">
        <v>0</v>
      </c>
      <c r="Z298" t="inlineStr">
        <is>
          <t>No</t>
        </is>
      </c>
      <c r="AA298" t="inlineStr">
        <is>
          <t>Filled</t>
        </is>
      </c>
      <c r="AB298" t="inlineStr">
        <is>
          <t>on campus</t>
        </is>
      </c>
      <c r="AC298" t="inlineStr"/>
      <c r="AD298" t="n">
        <v>0</v>
      </c>
      <c r="AE298" t="inlineStr"/>
      <c r="AF298" t="inlineStr"/>
      <c r="AG298" t="inlineStr"/>
      <c r="AH298" t="inlineStr"/>
      <c r="AI298" t="inlineStr">
        <is>
          <t>Yes</t>
        </is>
      </c>
      <c r="AJ298" t="inlineStr"/>
      <c r="AK298" t="inlineStr"/>
      <c r="AL298" t="inlineStr"/>
      <c r="AM298" t="inlineStr"/>
    </row>
    <row r="299">
      <c r="A299" t="inlineStr">
        <is>
          <t>061969D</t>
        </is>
      </c>
      <c r="B299" t="inlineStr">
        <is>
          <t>Master of Genetic Counselling</t>
        </is>
      </c>
      <c r="C299" t="inlineStr">
        <is>
          <t>Masters Degree (Coursework)</t>
        </is>
      </c>
      <c r="D299" t="inlineStr">
        <is>
          <t>Postgraduate coursework</t>
        </is>
      </c>
      <c r="E299" t="inlineStr">
        <is>
          <t>Advertised: official page in place</t>
        </is>
      </c>
      <c r="F299" t="inlineStr">
        <is>
          <t>https://study.unimelb.edu.au/find/courses/graduate/master-of-genetic-counselling/</t>
        </is>
      </c>
      <c r="G299" t="inlineStr">
        <is>
          <t>https://study.unimelb.edu.au/find/courses/graduate/master-of-genetic-counselling/</t>
        </is>
      </c>
      <c r="H299" t="inlineStr">
        <is>
          <t>Read</t>
        </is>
      </c>
      <c r="I299" t="inlineStr">
        <is>
          <t>CRICOS code on page</t>
        </is>
      </c>
      <c r="J299" t="inlineStr"/>
      <c r="K299" t="inlineStr">
        <is>
          <t>Not sent to re-link</t>
        </is>
      </c>
      <c r="L299" t="inlineStr">
        <is>
          <t>Filled</t>
        </is>
      </c>
      <c r="M299" t="inlineStr">
        <is>
          <t>Filled</t>
        </is>
      </c>
      <c r="N299" t="inlineStr">
        <is>
          <t>79200.00 2027</t>
        </is>
      </c>
      <c r="O299" t="n">
        <v>3</v>
      </c>
      <c r="P299" t="inlineStr">
        <is>
          <t>Other</t>
        </is>
      </c>
      <c r="Q299" t="inlineStr">
        <is>
          <t>Filled</t>
        </is>
      </c>
      <c r="R299" t="n">
        <v>7</v>
      </c>
      <c r="S299" t="inlineStr">
        <is>
          <t>University adapter</t>
        </is>
      </c>
      <c r="T299" t="inlineStr">
        <is>
          <t>Level map (Melbourne): not computed per course in this report</t>
        </is>
      </c>
      <c r="U299" t="inlineStr"/>
      <c r="V299" t="inlineStr">
        <is>
          <t>Filled</t>
        </is>
      </c>
      <c r="W299" t="inlineStr">
        <is>
          <t>February</t>
        </is>
      </c>
      <c r="X299" t="inlineStr">
        <is>
          <t>Other</t>
        </is>
      </c>
      <c r="Y299" t="n">
        <v>0</v>
      </c>
      <c r="Z299" t="inlineStr">
        <is>
          <t>No</t>
        </is>
      </c>
      <c r="AA299" t="inlineStr">
        <is>
          <t>Filled</t>
        </is>
      </c>
      <c r="AB299" t="inlineStr">
        <is>
          <t>on campus</t>
        </is>
      </c>
      <c r="AC299" t="inlineStr"/>
      <c r="AD299" t="n">
        <v>0</v>
      </c>
      <c r="AE299" t="inlineStr"/>
      <c r="AF299" t="inlineStr"/>
      <c r="AG299" t="inlineStr"/>
      <c r="AH299" t="inlineStr"/>
      <c r="AI299" t="inlineStr"/>
      <c r="AJ299" t="inlineStr"/>
      <c r="AK299" t="inlineStr"/>
      <c r="AL299" t="inlineStr"/>
      <c r="AM299" t="inlineStr"/>
    </row>
    <row r="300">
      <c r="A300" t="inlineStr">
        <is>
          <t>096349K</t>
        </is>
      </c>
      <c r="B300" t="inlineStr">
        <is>
          <t>Master of Genomics and Health</t>
        </is>
      </c>
      <c r="C300" t="inlineStr">
        <is>
          <t>Masters Degree (Coursework)</t>
        </is>
      </c>
      <c r="D300" t="inlineStr">
        <is>
          <t>Postgraduate coursework</t>
        </is>
      </c>
      <c r="E300" t="inlineStr">
        <is>
          <t>Advertised: official page in place</t>
        </is>
      </c>
      <c r="F300" t="inlineStr">
        <is>
          <t>https://study.unimelb.edu.au/find/courses/graduate/master-of-genomics-and-health/</t>
        </is>
      </c>
      <c r="G300" t="inlineStr">
        <is>
          <t>https://study.unimelb.edu.au/find/courses/graduate/master-of-genomics-and-health/</t>
        </is>
      </c>
      <c r="H300" t="inlineStr">
        <is>
          <t>Read</t>
        </is>
      </c>
      <c r="I300" t="inlineStr">
        <is>
          <t>CRICOS code on page</t>
        </is>
      </c>
      <c r="J300" t="inlineStr"/>
      <c r="K300" t="inlineStr">
        <is>
          <t>Not sent to re-link</t>
        </is>
      </c>
      <c r="L300" t="inlineStr">
        <is>
          <t>Filled</t>
        </is>
      </c>
      <c r="M300" t="inlineStr">
        <is>
          <t>Filled</t>
        </is>
      </c>
      <c r="N300" t="inlineStr">
        <is>
          <t>72064.00 2027</t>
        </is>
      </c>
      <c r="O300" t="n">
        <v>3</v>
      </c>
      <c r="P300" t="inlineStr">
        <is>
          <t>Other</t>
        </is>
      </c>
      <c r="Q300" t="inlineStr">
        <is>
          <t>Filled</t>
        </is>
      </c>
      <c r="R300" t="n">
        <v>7</v>
      </c>
      <c r="S300" t="inlineStr">
        <is>
          <t>University adapter</t>
        </is>
      </c>
      <c r="T300" t="inlineStr">
        <is>
          <t>Level map (Melbourne): not computed per course in this report</t>
        </is>
      </c>
      <c r="U300" t="inlineStr"/>
      <c r="V300" t="inlineStr">
        <is>
          <t>Filled</t>
        </is>
      </c>
      <c r="W300" t="inlineStr">
        <is>
          <t>March</t>
        </is>
      </c>
      <c r="X300" t="inlineStr">
        <is>
          <t>University adapter</t>
        </is>
      </c>
      <c r="Y300" t="n">
        <v>0</v>
      </c>
      <c r="Z300" t="inlineStr">
        <is>
          <t>No</t>
        </is>
      </c>
      <c r="AA300" t="inlineStr">
        <is>
          <t>Filled</t>
        </is>
      </c>
      <c r="AB300" t="inlineStr">
        <is>
          <t>on campus</t>
        </is>
      </c>
      <c r="AC300" t="inlineStr"/>
      <c r="AD300" t="n">
        <v>0</v>
      </c>
      <c r="AE300" t="inlineStr"/>
      <c r="AF300" t="inlineStr"/>
      <c r="AG300" t="inlineStr"/>
      <c r="AH300" t="inlineStr"/>
      <c r="AI300" t="inlineStr"/>
      <c r="AJ300" t="inlineStr"/>
      <c r="AK300" t="inlineStr"/>
      <c r="AL300" t="inlineStr"/>
      <c r="AM300" t="inlineStr"/>
    </row>
    <row r="301">
      <c r="A301" t="inlineStr">
        <is>
          <t>092792A</t>
        </is>
      </c>
      <c r="B301" t="inlineStr">
        <is>
          <t>Master of Geography</t>
        </is>
      </c>
      <c r="C301" t="inlineStr">
        <is>
          <t>Masters Degree (Coursework)</t>
        </is>
      </c>
      <c r="D301" t="inlineStr">
        <is>
          <t>Postgraduate coursework</t>
        </is>
      </c>
      <c r="E301" t="inlineStr">
        <is>
          <t>Advertised: official page in place</t>
        </is>
      </c>
      <c r="F301" t="inlineStr">
        <is>
          <t>https://handbook.unimelb.edu.au/2026/courses/mc-geog</t>
        </is>
      </c>
      <c r="G301" t="inlineStr">
        <is>
          <t>https://handbook.unimelb.edu.au/2026/courses/mc-geog</t>
        </is>
      </c>
      <c r="H301" t="inlineStr">
        <is>
          <t>Read</t>
        </is>
      </c>
      <c r="I301" t="inlineStr">
        <is>
          <t>CRICOS code on page</t>
        </is>
      </c>
      <c r="J301" t="inlineStr"/>
      <c r="K301" t="inlineStr">
        <is>
          <t>Not sent to re-link</t>
        </is>
      </c>
      <c r="L301" t="inlineStr">
        <is>
          <t>Filled</t>
        </is>
      </c>
      <c r="M301" t="inlineStr">
        <is>
          <t>Filled</t>
        </is>
      </c>
      <c r="N301" t="inlineStr">
        <is>
          <t>64640.00 2027</t>
        </is>
      </c>
      <c r="O301" t="n">
        <v>3</v>
      </c>
      <c r="P301" t="inlineStr">
        <is>
          <t>Other</t>
        </is>
      </c>
      <c r="Q301" t="inlineStr">
        <is>
          <t>Filled</t>
        </is>
      </c>
      <c r="R301" t="n">
        <v>6.5</v>
      </c>
      <c r="S301" t="inlineStr">
        <is>
          <t>Central English policy</t>
        </is>
      </c>
      <c r="T301" t="inlineStr">
        <is>
          <t>Level map (Melbourne): not computed per course in this report</t>
        </is>
      </c>
      <c r="U301" t="inlineStr"/>
      <c r="V301" t="inlineStr">
        <is>
          <t>Not stated on course page</t>
        </is>
      </c>
      <c r="W301" t="inlineStr"/>
      <c r="X301" t="inlineStr"/>
      <c r="Y301" t="n">
        <v>0</v>
      </c>
      <c r="Z301" t="inlineStr">
        <is>
          <t>No</t>
        </is>
      </c>
      <c r="AA301" t="inlineStr">
        <is>
          <t>Filled</t>
        </is>
      </c>
      <c r="AB301" t="inlineStr">
        <is>
          <t>on campus</t>
        </is>
      </c>
      <c r="AC301" t="inlineStr"/>
      <c r="AD301" t="n">
        <v>0</v>
      </c>
      <c r="AE301" t="inlineStr"/>
      <c r="AF301" t="inlineStr"/>
      <c r="AG301" t="inlineStr"/>
      <c r="AH301" t="inlineStr"/>
      <c r="AI301" t="inlineStr">
        <is>
          <t>Yes</t>
        </is>
      </c>
      <c r="AJ301" t="inlineStr"/>
      <c r="AK301" t="inlineStr"/>
      <c r="AL301" t="inlineStr"/>
      <c r="AM301" t="inlineStr"/>
    </row>
    <row r="302">
      <c r="A302" t="inlineStr">
        <is>
          <t>089358A</t>
        </is>
      </c>
      <c r="B302" t="inlineStr">
        <is>
          <t>Master of Geoscience</t>
        </is>
      </c>
      <c r="C302" t="inlineStr">
        <is>
          <t>Masters Degree (Coursework)</t>
        </is>
      </c>
      <c r="D302" t="inlineStr">
        <is>
          <t>Postgraduate coursework</t>
        </is>
      </c>
      <c r="E302" t="inlineStr">
        <is>
          <t>Advertised: official page in place</t>
        </is>
      </c>
      <c r="F302" t="inlineStr">
        <is>
          <t>https://handbook.unimelb.edu.au/2026/courses/mc-geosc</t>
        </is>
      </c>
      <c r="G302" t="inlineStr">
        <is>
          <t>https://handbook.unimelb.edu.au/2026/courses/mc-geosc</t>
        </is>
      </c>
      <c r="H302" t="inlineStr">
        <is>
          <t>Read</t>
        </is>
      </c>
      <c r="I302" t="inlineStr">
        <is>
          <t>CRICOS code on page</t>
        </is>
      </c>
      <c r="J302" t="inlineStr"/>
      <c r="K302" t="inlineStr">
        <is>
          <t>Not sent to re-link</t>
        </is>
      </c>
      <c r="L302" t="inlineStr">
        <is>
          <t>Filled</t>
        </is>
      </c>
      <c r="M302" t="inlineStr">
        <is>
          <t>Filled</t>
        </is>
      </c>
      <c r="N302" t="inlineStr">
        <is>
          <t>64640.00 2027</t>
        </is>
      </c>
      <c r="O302" t="n">
        <v>3</v>
      </c>
      <c r="P302" t="inlineStr">
        <is>
          <t>Other</t>
        </is>
      </c>
      <c r="Q302" t="inlineStr">
        <is>
          <t>Filled</t>
        </is>
      </c>
      <c r="R302" t="n">
        <v>6.5</v>
      </c>
      <c r="S302" t="inlineStr">
        <is>
          <t>Central English policy</t>
        </is>
      </c>
      <c r="T302" t="inlineStr">
        <is>
          <t>Level map (Melbourne): not computed per course in this report</t>
        </is>
      </c>
      <c r="U302" t="inlineStr"/>
      <c r="V302" t="inlineStr">
        <is>
          <t>Not stated on course page</t>
        </is>
      </c>
      <c r="W302" t="inlineStr"/>
      <c r="X302" t="inlineStr"/>
      <c r="Y302" t="n">
        <v>0</v>
      </c>
      <c r="Z302" t="inlineStr">
        <is>
          <t>No</t>
        </is>
      </c>
      <c r="AA302" t="inlineStr">
        <is>
          <t>Filled</t>
        </is>
      </c>
      <c r="AB302" t="inlineStr">
        <is>
          <t>on campus</t>
        </is>
      </c>
      <c r="AC302" t="inlineStr"/>
      <c r="AD302" t="n">
        <v>0</v>
      </c>
      <c r="AE302" t="inlineStr"/>
      <c r="AF302" t="inlineStr"/>
      <c r="AG302" t="inlineStr"/>
      <c r="AH302" t="inlineStr"/>
      <c r="AI302" t="inlineStr">
        <is>
          <t>Yes</t>
        </is>
      </c>
      <c r="AJ302" t="inlineStr"/>
      <c r="AK302" t="inlineStr"/>
      <c r="AL302" t="inlineStr"/>
      <c r="AM302" t="inlineStr"/>
    </row>
    <row r="303">
      <c r="A303" t="inlineStr">
        <is>
          <t>121352C</t>
        </is>
      </c>
      <c r="B303" t="inlineStr">
        <is>
          <t>Master of Global Indigenous Studies</t>
        </is>
      </c>
      <c r="C303" t="inlineStr">
        <is>
          <t>Masters Degree (Coursework)</t>
        </is>
      </c>
      <c r="D303" t="inlineStr">
        <is>
          <t>Postgraduate coursework</t>
        </is>
      </c>
      <c r="E303" t="inlineStr">
        <is>
          <t>Held: page found is for another course</t>
        </is>
      </c>
      <c r="F303" t="inlineStr"/>
      <c r="G303" t="inlineStr">
        <is>
          <t>https://handbook.unimelb.edu.au/2026/courses/mc-ibl</t>
        </is>
      </c>
      <c r="H303" t="inlineStr">
        <is>
          <t>Page is for another course</t>
        </is>
      </c>
      <c r="I303" t="inlineStr"/>
      <c r="J303" t="inlineStr"/>
      <c r="K303" t="inlineStr">
        <is>
          <t>Finished, no page: no address from the university's address forms or stored lis</t>
        </is>
      </c>
      <c r="L303" t="inlineStr">
        <is>
          <t>Searching for course page</t>
        </is>
      </c>
      <c r="M303" t="inlineStr">
        <is>
          <t>Searching for course page</t>
        </is>
      </c>
      <c r="N303" t="inlineStr"/>
      <c r="O303" t="n">
        <v>0</v>
      </c>
      <c r="P303" t="inlineStr"/>
      <c r="Q303" t="inlineStr">
        <is>
          <t>Searching for course page</t>
        </is>
      </c>
      <c r="S303" t="inlineStr"/>
      <c r="T303" t="inlineStr">
        <is>
          <t>Level map (Melbourne): not computed per course in this report</t>
        </is>
      </c>
      <c r="U303" t="inlineStr"/>
      <c r="V303" t="inlineStr">
        <is>
          <t>Searching for course page</t>
        </is>
      </c>
      <c r="W303" t="inlineStr"/>
      <c r="X303" t="inlineStr"/>
      <c r="Y303" t="n">
        <v>0</v>
      </c>
      <c r="Z303" t="inlineStr">
        <is>
          <t>No</t>
        </is>
      </c>
      <c r="AA303" t="inlineStr">
        <is>
          <t>Not stated on course page</t>
        </is>
      </c>
      <c r="AB303" t="inlineStr"/>
      <c r="AC303" t="inlineStr">
        <is>
          <t>Skipped: no correct course page: the page found is for another course</t>
        </is>
      </c>
      <c r="AD303" t="n">
        <v>1</v>
      </c>
      <c r="AE303" t="inlineStr"/>
      <c r="AF303" t="inlineStr"/>
      <c r="AG303" t="inlineStr"/>
      <c r="AH303" t="inlineStr"/>
      <c r="AI303" t="inlineStr"/>
      <c r="AJ303" t="inlineStr"/>
      <c r="AK303" t="inlineStr"/>
      <c r="AL303" t="inlineStr"/>
      <c r="AM303" t="inlineStr"/>
    </row>
    <row r="304">
      <c r="A304" t="inlineStr">
        <is>
          <t>045345C</t>
        </is>
      </c>
      <c r="B304" t="inlineStr">
        <is>
          <t>Master of Global Media Communication</t>
        </is>
      </c>
      <c r="C304" t="inlineStr">
        <is>
          <t>Masters Degree (Coursework)</t>
        </is>
      </c>
      <c r="D304" t="inlineStr">
        <is>
          <t>Postgraduate coursework</t>
        </is>
      </c>
      <c r="E304" t="inlineStr">
        <is>
          <t>Advertised: official page in place</t>
        </is>
      </c>
      <c r="F304" t="inlineStr">
        <is>
          <t>https://handbook.unimelb.edu.au/2026/courses/mc-gmcom</t>
        </is>
      </c>
      <c r="G304" t="inlineStr">
        <is>
          <t>https://handbook.unimelb.edu.au/2026/courses/mc-gmcom</t>
        </is>
      </c>
      <c r="H304" t="inlineStr">
        <is>
          <t>Read</t>
        </is>
      </c>
      <c r="I304" t="inlineStr">
        <is>
          <t>CRICOS code on page</t>
        </is>
      </c>
      <c r="J304" t="inlineStr"/>
      <c r="K304" t="inlineStr">
        <is>
          <t>Not sent to re-link</t>
        </is>
      </c>
      <c r="L304" t="inlineStr">
        <is>
          <t>Filled</t>
        </is>
      </c>
      <c r="M304" t="inlineStr">
        <is>
          <t>Filled</t>
        </is>
      </c>
      <c r="N304" t="inlineStr">
        <is>
          <t>52416.00 2027</t>
        </is>
      </c>
      <c r="O304" t="n">
        <v>3</v>
      </c>
      <c r="P304" t="inlineStr">
        <is>
          <t>Other</t>
        </is>
      </c>
      <c r="Q304" t="inlineStr">
        <is>
          <t>Filled</t>
        </is>
      </c>
      <c r="R304" t="n">
        <v>6.5</v>
      </c>
      <c r="S304" t="inlineStr">
        <is>
          <t>Central English policy</t>
        </is>
      </c>
      <c r="T304" t="inlineStr">
        <is>
          <t>Level map (Melbourne): not computed per course in this report</t>
        </is>
      </c>
      <c r="U304" t="inlineStr"/>
      <c r="V304" t="inlineStr">
        <is>
          <t>Not stated on course page</t>
        </is>
      </c>
      <c r="W304" t="inlineStr"/>
      <c r="X304" t="inlineStr"/>
      <c r="Y304" t="n">
        <v>0</v>
      </c>
      <c r="Z304" t="inlineStr">
        <is>
          <t>No</t>
        </is>
      </c>
      <c r="AA304" t="inlineStr">
        <is>
          <t>Filled</t>
        </is>
      </c>
      <c r="AB304" t="inlineStr">
        <is>
          <t>on campus</t>
        </is>
      </c>
      <c r="AC304" t="inlineStr"/>
      <c r="AD304" t="n">
        <v>0</v>
      </c>
      <c r="AE304" t="inlineStr"/>
      <c r="AF304" t="inlineStr"/>
      <c r="AG304" t="inlineStr"/>
      <c r="AH304" t="inlineStr"/>
      <c r="AI304" t="inlineStr">
        <is>
          <t>Yes</t>
        </is>
      </c>
      <c r="AJ304" t="inlineStr"/>
      <c r="AK304" t="inlineStr"/>
      <c r="AL304" t="inlineStr"/>
      <c r="AM304" t="inlineStr"/>
    </row>
    <row r="305">
      <c r="A305" t="inlineStr">
        <is>
          <t>074999B</t>
        </is>
      </c>
      <c r="B305" t="inlineStr">
        <is>
          <t>Master of Health and Medical Law</t>
        </is>
      </c>
      <c r="C305" t="inlineStr">
        <is>
          <t>Masters Degree (Coursework)</t>
        </is>
      </c>
      <c r="D305" t="inlineStr">
        <is>
          <t>Postgraduate coursework</t>
        </is>
      </c>
      <c r="E305" t="inlineStr">
        <is>
          <t>Advertised: official page in place</t>
        </is>
      </c>
      <c r="F305" t="inlineStr">
        <is>
          <t>https://study.unimelb.edu.au/find/courses/graduate/master-of-health-and-medical-law/</t>
        </is>
      </c>
      <c r="G305" t="inlineStr">
        <is>
          <t>https://study.unimelb.edu.au/find/courses/graduate/master-of-health-and-medical-law/</t>
        </is>
      </c>
      <c r="H305" t="inlineStr">
        <is>
          <t>Read</t>
        </is>
      </c>
      <c r="I305" t="inlineStr">
        <is>
          <t>CRICOS code on page</t>
        </is>
      </c>
      <c r="J305" t="inlineStr"/>
      <c r="K305" t="inlineStr">
        <is>
          <t>Not sent to re-link</t>
        </is>
      </c>
      <c r="L305" t="inlineStr">
        <is>
          <t>Filled</t>
        </is>
      </c>
      <c r="M305" t="inlineStr">
        <is>
          <t>Filled</t>
        </is>
      </c>
      <c r="N305" t="inlineStr">
        <is>
          <t>67072.00 2027</t>
        </is>
      </c>
      <c r="O305" t="n">
        <v>3</v>
      </c>
      <c r="P305" t="inlineStr">
        <is>
          <t>Other</t>
        </is>
      </c>
      <c r="Q305" t="inlineStr">
        <is>
          <t>Filled</t>
        </is>
      </c>
      <c r="R305" t="n">
        <v>6.5</v>
      </c>
      <c r="S305" t="inlineStr">
        <is>
          <t>University adapter</t>
        </is>
      </c>
      <c r="T305" t="inlineStr">
        <is>
          <t>Level map (Melbourne): not computed per course in this report</t>
        </is>
      </c>
      <c r="U305" t="inlineStr"/>
      <c r="V305" t="inlineStr">
        <is>
          <t>Filled</t>
        </is>
      </c>
      <c r="W305" t="inlineStr">
        <is>
          <t>March, July</t>
        </is>
      </c>
      <c r="X305" t="inlineStr">
        <is>
          <t>University adapter</t>
        </is>
      </c>
      <c r="Y305" t="n">
        <v>0</v>
      </c>
      <c r="Z305" t="inlineStr">
        <is>
          <t>No</t>
        </is>
      </c>
      <c r="AA305" t="inlineStr">
        <is>
          <t>Filled</t>
        </is>
      </c>
      <c r="AB305" t="inlineStr">
        <is>
          <t>on campus</t>
        </is>
      </c>
      <c r="AC305" t="inlineStr"/>
      <c r="AD305" t="n">
        <v>0</v>
      </c>
      <c r="AE305" t="inlineStr"/>
      <c r="AF305" t="inlineStr"/>
      <c r="AG305" t="inlineStr"/>
      <c r="AH305" t="inlineStr"/>
      <c r="AI305" t="inlineStr"/>
      <c r="AJ305" t="inlineStr"/>
      <c r="AK305" t="inlineStr"/>
      <c r="AL305" t="inlineStr"/>
      <c r="AM305" t="inlineStr"/>
    </row>
    <row r="306">
      <c r="A306" t="inlineStr">
        <is>
          <t>088072A</t>
        </is>
      </c>
      <c r="B306" t="inlineStr">
        <is>
          <t>Master of Human Rights Law</t>
        </is>
      </c>
      <c r="C306" t="inlineStr">
        <is>
          <t>Masters Degree (Coursework)</t>
        </is>
      </c>
      <c r="D306" t="inlineStr">
        <is>
          <t>Postgraduate coursework</t>
        </is>
      </c>
      <c r="E306" t="inlineStr">
        <is>
          <t>Advertised: official page in place</t>
        </is>
      </c>
      <c r="F306" t="inlineStr">
        <is>
          <t>https://handbook.unimelb.edu.au/2026/courses/mc-humrlaw</t>
        </is>
      </c>
      <c r="G306" t="inlineStr">
        <is>
          <t>https://handbook.unimelb.edu.au/2026/courses/mc-humrlaw</t>
        </is>
      </c>
      <c r="H306" t="inlineStr">
        <is>
          <t>Read</t>
        </is>
      </c>
      <c r="I306" t="inlineStr">
        <is>
          <t>CRICOS code on page</t>
        </is>
      </c>
      <c r="J306" t="inlineStr"/>
      <c r="K306" t="inlineStr">
        <is>
          <t>Not sent to re-link</t>
        </is>
      </c>
      <c r="L306" t="inlineStr">
        <is>
          <t>Filled</t>
        </is>
      </c>
      <c r="M306" t="inlineStr">
        <is>
          <t>Filled</t>
        </is>
      </c>
      <c r="N306" t="inlineStr">
        <is>
          <t>67072.00 2027</t>
        </is>
      </c>
      <c r="O306" t="n">
        <v>3</v>
      </c>
      <c r="P306" t="inlineStr">
        <is>
          <t>Other</t>
        </is>
      </c>
      <c r="Q306" t="inlineStr">
        <is>
          <t>Filled</t>
        </is>
      </c>
      <c r="R306" t="n">
        <v>7</v>
      </c>
      <c r="S306" t="inlineStr">
        <is>
          <t>Central English policy</t>
        </is>
      </c>
      <c r="T306" t="inlineStr">
        <is>
          <t>Level map (Melbourne): not computed per course in this report</t>
        </is>
      </c>
      <c r="U306" t="inlineStr"/>
      <c r="V306" t="inlineStr">
        <is>
          <t>Not stated on course page</t>
        </is>
      </c>
      <c r="W306" t="inlineStr"/>
      <c r="X306" t="inlineStr"/>
      <c r="Y306" t="n">
        <v>0</v>
      </c>
      <c r="Z306" t="inlineStr">
        <is>
          <t>No</t>
        </is>
      </c>
      <c r="AA306" t="inlineStr">
        <is>
          <t>Filled</t>
        </is>
      </c>
      <c r="AB306" t="inlineStr">
        <is>
          <t>on campus</t>
        </is>
      </c>
      <c r="AC306" t="inlineStr"/>
      <c r="AD306" t="n">
        <v>0</v>
      </c>
      <c r="AE306" t="inlineStr"/>
      <c r="AF306" t="inlineStr"/>
      <c r="AG306" t="inlineStr"/>
      <c r="AH306" t="inlineStr"/>
      <c r="AI306" t="inlineStr">
        <is>
          <t>Yes</t>
        </is>
      </c>
      <c r="AJ306" t="inlineStr"/>
      <c r="AK306" t="inlineStr"/>
      <c r="AL306" t="inlineStr"/>
      <c r="AM306" t="inlineStr"/>
    </row>
    <row r="307">
      <c r="A307" t="inlineStr">
        <is>
          <t>102808M</t>
        </is>
      </c>
      <c r="B307" t="inlineStr">
        <is>
          <t>Master of Industrial Engineering</t>
        </is>
      </c>
      <c r="C307" t="inlineStr">
        <is>
          <t>Masters Degree (Coursework)</t>
        </is>
      </c>
      <c r="D307" t="inlineStr">
        <is>
          <t>Postgraduate coursework</t>
        </is>
      </c>
      <c r="E307" t="inlineStr">
        <is>
          <t>Advertised: official page in place</t>
        </is>
      </c>
      <c r="F307" t="inlineStr">
        <is>
          <t>https://study.unimelb.edu.au/find/courses/graduate/master-of-industrial-engineering</t>
        </is>
      </c>
      <c r="G307" t="inlineStr">
        <is>
          <t>https://study.unimelb.edu.au/find/courses/graduate/master-of-industrial-engineering</t>
        </is>
      </c>
      <c r="H307" t="inlineStr">
        <is>
          <t>Read</t>
        </is>
      </c>
      <c r="I307" t="inlineStr">
        <is>
          <t>CRICOS code on page</t>
        </is>
      </c>
      <c r="J307" t="inlineStr"/>
      <c r="K307" t="inlineStr">
        <is>
          <t>Not sent to re-link</t>
        </is>
      </c>
      <c r="L307" t="inlineStr">
        <is>
          <t>Filled</t>
        </is>
      </c>
      <c r="M307" t="inlineStr">
        <is>
          <t>Filled</t>
        </is>
      </c>
      <c r="N307" t="inlineStr">
        <is>
          <t>66752.00 2027</t>
        </is>
      </c>
      <c r="O307" t="n">
        <v>3</v>
      </c>
      <c r="P307" t="inlineStr">
        <is>
          <t>Other</t>
        </is>
      </c>
      <c r="Q307" t="inlineStr">
        <is>
          <t>Filled</t>
        </is>
      </c>
      <c r="R307" t="n">
        <v>6.5</v>
      </c>
      <c r="S307" t="inlineStr">
        <is>
          <t>University adapter</t>
        </is>
      </c>
      <c r="T307" t="inlineStr">
        <is>
          <t>Level map (Melbourne): not computed per course in this report</t>
        </is>
      </c>
      <c r="U307" t="inlineStr"/>
      <c r="V307" t="inlineStr">
        <is>
          <t>Filled</t>
        </is>
      </c>
      <c r="W307" t="inlineStr">
        <is>
          <t>March, July</t>
        </is>
      </c>
      <c r="X307" t="inlineStr">
        <is>
          <t>Other</t>
        </is>
      </c>
      <c r="Y307" t="n">
        <v>0</v>
      </c>
      <c r="Z307" t="inlineStr">
        <is>
          <t>No</t>
        </is>
      </c>
      <c r="AA307" t="inlineStr">
        <is>
          <t>Filled</t>
        </is>
      </c>
      <c r="AB307" t="inlineStr">
        <is>
          <t>on campus</t>
        </is>
      </c>
      <c r="AC307" t="inlineStr"/>
      <c r="AD307" t="n">
        <v>0</v>
      </c>
      <c r="AE307" t="inlineStr"/>
      <c r="AF307" t="inlineStr"/>
      <c r="AG307" t="inlineStr"/>
      <c r="AH307" t="inlineStr"/>
      <c r="AI307" t="inlineStr"/>
      <c r="AJ307" t="inlineStr"/>
      <c r="AK307" t="inlineStr"/>
      <c r="AL307" t="inlineStr"/>
      <c r="AM307" t="inlineStr"/>
    </row>
    <row r="308">
      <c r="A308" t="inlineStr">
        <is>
          <t>098316C</t>
        </is>
      </c>
      <c r="B308" t="inlineStr">
        <is>
          <t>Master of Industrial Research (Chemistry)</t>
        </is>
      </c>
      <c r="C308" t="inlineStr">
        <is>
          <t>Masters Degree (Research)</t>
        </is>
      </c>
      <c r="D308" t="inlineStr">
        <is>
          <t>Research degree</t>
        </is>
      </c>
      <c r="E308" t="inlineStr">
        <is>
          <t>Advertised: official page in place</t>
        </is>
      </c>
      <c r="F308" t="inlineStr">
        <is>
          <t>https://handbook.unimelb.edu.au/2026/courses/mr-irchem</t>
        </is>
      </c>
      <c r="G308" t="inlineStr">
        <is>
          <t>https://handbook.unimelb.edu.au/2026/courses/mr-irchem</t>
        </is>
      </c>
      <c r="H308" t="inlineStr">
        <is>
          <t>Read</t>
        </is>
      </c>
      <c r="I308" t="inlineStr">
        <is>
          <t>CRICOS code on page</t>
        </is>
      </c>
      <c r="J308" t="inlineStr"/>
      <c r="K308" t="inlineStr">
        <is>
          <t>Not sent to re-link</t>
        </is>
      </c>
      <c r="L308" t="inlineStr">
        <is>
          <t>Filled</t>
        </is>
      </c>
      <c r="M308" t="inlineStr">
        <is>
          <t>Filled</t>
        </is>
      </c>
      <c r="N308" t="inlineStr">
        <is>
          <t>62496.00 2027</t>
        </is>
      </c>
      <c r="O308" t="n">
        <v>3</v>
      </c>
      <c r="P308" t="inlineStr">
        <is>
          <t>Other</t>
        </is>
      </c>
      <c r="Q308" t="inlineStr">
        <is>
          <t>Not stated on course page</t>
        </is>
      </c>
      <c r="S308" t="inlineStr"/>
      <c r="T308" t="inlineStr">
        <is>
          <t>Level map (Melbourne): not computed per course in this report</t>
        </is>
      </c>
      <c r="U308" t="inlineStr"/>
      <c r="V308" t="inlineStr">
        <is>
          <t>Not stated on course page</t>
        </is>
      </c>
      <c r="W308" t="inlineStr"/>
      <c r="X308" t="inlineStr"/>
      <c r="Y308" t="n">
        <v>0</v>
      </c>
      <c r="Z308" t="inlineStr">
        <is>
          <t>No</t>
        </is>
      </c>
      <c r="AA308" t="inlineStr">
        <is>
          <t>Filled</t>
        </is>
      </c>
      <c r="AB308" t="inlineStr">
        <is>
          <t>on campus</t>
        </is>
      </c>
      <c r="AC308" t="inlineStr"/>
      <c r="AD308" t="n">
        <v>0</v>
      </c>
      <c r="AE308" t="inlineStr"/>
      <c r="AF308" t="inlineStr"/>
      <c r="AG308" t="inlineStr"/>
      <c r="AH308" t="inlineStr"/>
      <c r="AI308" t="inlineStr">
        <is>
          <t>Yes</t>
        </is>
      </c>
      <c r="AJ308" t="inlineStr"/>
      <c r="AK308" t="inlineStr"/>
      <c r="AL308" t="inlineStr"/>
      <c r="AM308" t="inlineStr"/>
    </row>
    <row r="309">
      <c r="A309" t="inlineStr">
        <is>
          <t>023203K</t>
        </is>
      </c>
      <c r="B309" t="inlineStr">
        <is>
          <t>Master of Information Systems</t>
        </is>
      </c>
      <c r="C309" t="inlineStr">
        <is>
          <t>Masters Degree (Coursework)</t>
        </is>
      </c>
      <c r="D309" t="inlineStr">
        <is>
          <t>Postgraduate coursework</t>
        </is>
      </c>
      <c r="E309" t="inlineStr">
        <is>
          <t>Advertised: official page in place</t>
        </is>
      </c>
      <c r="F309" t="inlineStr">
        <is>
          <t>https://study.unimelb.edu.au/find/courses/graduate/master-of-information-systems/</t>
        </is>
      </c>
      <c r="G309" t="inlineStr">
        <is>
          <t>https://study.unimelb.edu.au/find/courses/graduate/master-of-information-systems/</t>
        </is>
      </c>
      <c r="H309" t="inlineStr">
        <is>
          <t>Read</t>
        </is>
      </c>
      <c r="I309" t="inlineStr">
        <is>
          <t>Exact title match</t>
        </is>
      </c>
      <c r="J309" t="inlineStr"/>
      <c r="K309" t="inlineStr">
        <is>
          <t>Not sent to re-link</t>
        </is>
      </c>
      <c r="L309" t="inlineStr">
        <is>
          <t>Filled</t>
        </is>
      </c>
      <c r="M309" t="inlineStr">
        <is>
          <t>Filled</t>
        </is>
      </c>
      <c r="N309" t="inlineStr">
        <is>
          <t>64000.00 2026</t>
        </is>
      </c>
      <c r="O309" t="n">
        <v>0</v>
      </c>
      <c r="P309" t="inlineStr">
        <is>
          <t>University adapter</t>
        </is>
      </c>
      <c r="Q309" t="inlineStr">
        <is>
          <t>Filled</t>
        </is>
      </c>
      <c r="R309" t="n">
        <v>6.5</v>
      </c>
      <c r="S309" t="inlineStr">
        <is>
          <t>University adapter</t>
        </is>
      </c>
      <c r="T309" t="inlineStr">
        <is>
          <t>Level map (Melbourne): not computed per course in this report</t>
        </is>
      </c>
      <c r="U309" t="inlineStr"/>
      <c r="V309" t="inlineStr">
        <is>
          <t>Filled</t>
        </is>
      </c>
      <c r="W309" t="inlineStr">
        <is>
          <t>March, July</t>
        </is>
      </c>
      <c r="X309" t="inlineStr">
        <is>
          <t>Other</t>
        </is>
      </c>
      <c r="Y309" t="n">
        <v>0</v>
      </c>
      <c r="Z309" t="inlineStr">
        <is>
          <t>No</t>
        </is>
      </c>
      <c r="AA309" t="inlineStr">
        <is>
          <t>Filled</t>
        </is>
      </c>
      <c r="AB309" t="inlineStr">
        <is>
          <t>on campus</t>
        </is>
      </c>
      <c r="AC309" t="inlineStr"/>
      <c r="AD309" t="n">
        <v>0</v>
      </c>
      <c r="AE309" t="inlineStr"/>
      <c r="AF309" t="inlineStr"/>
      <c r="AG309" t="inlineStr"/>
      <c r="AH309" t="inlineStr"/>
      <c r="AI309" t="inlineStr"/>
      <c r="AJ309" t="inlineStr"/>
      <c r="AK309" t="inlineStr"/>
      <c r="AL309" t="inlineStr"/>
      <c r="AM309" t="inlineStr"/>
    </row>
    <row r="310">
      <c r="A310" t="inlineStr">
        <is>
          <t>055846K</t>
        </is>
      </c>
      <c r="B310" t="inlineStr">
        <is>
          <t>Master of Information Systems</t>
        </is>
      </c>
      <c r="C310" t="inlineStr">
        <is>
          <t>Masters Degree (Coursework)</t>
        </is>
      </c>
      <c r="D310" t="inlineStr">
        <is>
          <t>Postgraduate coursework</t>
        </is>
      </c>
      <c r="E310" t="inlineStr">
        <is>
          <t>Advertised: official page in place</t>
        </is>
      </c>
      <c r="F310" t="inlineStr">
        <is>
          <t>https://study.unimelb.edu.au/find/courses/graduate/master-of-information-systems/</t>
        </is>
      </c>
      <c r="G310" t="inlineStr">
        <is>
          <t>https://study.unimelb.edu.au/find/courses/graduate/master-of-information-systems/</t>
        </is>
      </c>
      <c r="H310" t="inlineStr">
        <is>
          <t>Read</t>
        </is>
      </c>
      <c r="I310" t="inlineStr">
        <is>
          <t>Exact title match</t>
        </is>
      </c>
      <c r="J310" t="inlineStr"/>
      <c r="K310" t="inlineStr">
        <is>
          <t>Not sent to re-link</t>
        </is>
      </c>
      <c r="L310" t="inlineStr">
        <is>
          <t>Filled</t>
        </is>
      </c>
      <c r="M310" t="inlineStr">
        <is>
          <t>Filled</t>
        </is>
      </c>
      <c r="N310" t="inlineStr">
        <is>
          <t>64000.00 2026</t>
        </is>
      </c>
      <c r="O310" t="n">
        <v>0</v>
      </c>
      <c r="P310" t="inlineStr">
        <is>
          <t>University adapter</t>
        </is>
      </c>
      <c r="Q310" t="inlineStr">
        <is>
          <t>Filled</t>
        </is>
      </c>
      <c r="R310" t="n">
        <v>6.5</v>
      </c>
      <c r="S310" t="inlineStr">
        <is>
          <t>University adapter</t>
        </is>
      </c>
      <c r="T310" t="inlineStr">
        <is>
          <t>Level map (Melbourne): not computed per course in this report</t>
        </is>
      </c>
      <c r="U310" t="inlineStr"/>
      <c r="V310" t="inlineStr">
        <is>
          <t>Filled</t>
        </is>
      </c>
      <c r="W310" t="inlineStr">
        <is>
          <t>March, July</t>
        </is>
      </c>
      <c r="X310" t="inlineStr">
        <is>
          <t>Other</t>
        </is>
      </c>
      <c r="Y310" t="n">
        <v>0</v>
      </c>
      <c r="Z310" t="inlineStr">
        <is>
          <t>No</t>
        </is>
      </c>
      <c r="AA310" t="inlineStr">
        <is>
          <t>Filled</t>
        </is>
      </c>
      <c r="AB310" t="inlineStr">
        <is>
          <t>on campus</t>
        </is>
      </c>
      <c r="AC310" t="inlineStr"/>
      <c r="AD310" t="n">
        <v>0</v>
      </c>
      <c r="AE310" t="inlineStr"/>
      <c r="AF310" t="inlineStr"/>
      <c r="AG310" t="inlineStr"/>
      <c r="AH310" t="inlineStr"/>
      <c r="AI310" t="inlineStr"/>
      <c r="AJ310" t="inlineStr"/>
      <c r="AK310" t="inlineStr"/>
      <c r="AL310" t="inlineStr"/>
      <c r="AM310" t="inlineStr"/>
    </row>
    <row r="311">
      <c r="A311" t="inlineStr">
        <is>
          <t>055847J</t>
        </is>
      </c>
      <c r="B311" t="inlineStr">
        <is>
          <t>Master of Information Systems</t>
        </is>
      </c>
      <c r="C311" t="inlineStr">
        <is>
          <t>Masters Degree (Coursework)</t>
        </is>
      </c>
      <c r="D311" t="inlineStr">
        <is>
          <t>Postgraduate coursework</t>
        </is>
      </c>
      <c r="E311" t="inlineStr">
        <is>
          <t>Advertised: official page in place</t>
        </is>
      </c>
      <c r="F311" t="inlineStr">
        <is>
          <t>https://study.unimelb.edu.au/find/courses/graduate/master-of-information-systems/</t>
        </is>
      </c>
      <c r="G311" t="inlineStr">
        <is>
          <t>https://study.unimelb.edu.au/find/courses/graduate/master-of-information-systems/</t>
        </is>
      </c>
      <c r="H311" t="inlineStr">
        <is>
          <t>Read</t>
        </is>
      </c>
      <c r="I311" t="inlineStr">
        <is>
          <t>CRICOS code on page</t>
        </is>
      </c>
      <c r="J311" t="inlineStr"/>
      <c r="K311" t="inlineStr">
        <is>
          <t>Not sent to re-link</t>
        </is>
      </c>
      <c r="L311" t="inlineStr">
        <is>
          <t>Filled</t>
        </is>
      </c>
      <c r="M311" t="inlineStr">
        <is>
          <t>Filled</t>
        </is>
      </c>
      <c r="N311" t="inlineStr">
        <is>
          <t>68480.00 2027</t>
        </is>
      </c>
      <c r="O311" t="n">
        <v>3</v>
      </c>
      <c r="P311" t="inlineStr">
        <is>
          <t>Other</t>
        </is>
      </c>
      <c r="Q311" t="inlineStr">
        <is>
          <t>Filled</t>
        </is>
      </c>
      <c r="R311" t="n">
        <v>6.5</v>
      </c>
      <c r="S311" t="inlineStr">
        <is>
          <t>Other</t>
        </is>
      </c>
      <c r="T311" t="inlineStr">
        <is>
          <t>Level map (Melbourne): not computed per course in this report</t>
        </is>
      </c>
      <c r="U311" t="inlineStr"/>
      <c r="V311" t="inlineStr">
        <is>
          <t>Filled</t>
        </is>
      </c>
      <c r="W311" t="inlineStr">
        <is>
          <t>March, July</t>
        </is>
      </c>
      <c r="X311" t="inlineStr">
        <is>
          <t>Other</t>
        </is>
      </c>
      <c r="Y311" t="n">
        <v>0</v>
      </c>
      <c r="Z311" t="inlineStr">
        <is>
          <t>No</t>
        </is>
      </c>
      <c r="AA311" t="inlineStr">
        <is>
          <t>Filled</t>
        </is>
      </c>
      <c r="AB311" t="inlineStr">
        <is>
          <t>on campus</t>
        </is>
      </c>
      <c r="AC311" t="inlineStr"/>
      <c r="AD311" t="n">
        <v>0</v>
      </c>
      <c r="AE311" t="inlineStr"/>
      <c r="AF311" t="inlineStr"/>
      <c r="AG311" t="inlineStr"/>
      <c r="AH311" t="inlineStr"/>
      <c r="AI311" t="inlineStr"/>
      <c r="AJ311" t="inlineStr"/>
      <c r="AK311" t="inlineStr"/>
      <c r="AL311" t="inlineStr"/>
      <c r="AM311" t="inlineStr"/>
    </row>
    <row r="312">
      <c r="A312" t="inlineStr">
        <is>
          <t>077766F</t>
        </is>
      </c>
      <c r="B312" t="inlineStr">
        <is>
          <t>Master of Information Technology</t>
        </is>
      </c>
      <c r="C312" t="inlineStr">
        <is>
          <t>Masters Degree (Coursework)</t>
        </is>
      </c>
      <c r="D312" t="inlineStr">
        <is>
          <t>Postgraduate coursework</t>
        </is>
      </c>
      <c r="E312" t="inlineStr">
        <is>
          <t>Advertised: official page in place</t>
        </is>
      </c>
      <c r="F312" t="inlineStr">
        <is>
          <t>https://study.unimelb.edu.au/find/courses/graduate/master-of-information-technology/</t>
        </is>
      </c>
      <c r="G312" t="inlineStr">
        <is>
          <t>https://study.unimelb.edu.au/find/courses/graduate/master-of-information-technology/</t>
        </is>
      </c>
      <c r="H312" t="inlineStr">
        <is>
          <t>Read</t>
        </is>
      </c>
      <c r="I312" t="inlineStr">
        <is>
          <t>Exact title match</t>
        </is>
      </c>
      <c r="J312" t="inlineStr"/>
      <c r="K312" t="inlineStr">
        <is>
          <t>Not sent to re-link</t>
        </is>
      </c>
      <c r="L312" t="inlineStr">
        <is>
          <t>Filled</t>
        </is>
      </c>
      <c r="M312" t="inlineStr">
        <is>
          <t>Filled</t>
        </is>
      </c>
      <c r="N312" t="inlineStr">
        <is>
          <t>64000.00 2026</t>
        </is>
      </c>
      <c r="O312" t="n">
        <v>0</v>
      </c>
      <c r="P312" t="inlineStr">
        <is>
          <t>University adapter</t>
        </is>
      </c>
      <c r="Q312" t="inlineStr">
        <is>
          <t>Filled</t>
        </is>
      </c>
      <c r="R312" t="n">
        <v>6.5</v>
      </c>
      <c r="S312" t="inlineStr">
        <is>
          <t>University adapter</t>
        </is>
      </c>
      <c r="T312" t="inlineStr">
        <is>
          <t>Level map (Melbourne): not computed per course in this report</t>
        </is>
      </c>
      <c r="U312" t="inlineStr"/>
      <c r="V312" t="inlineStr">
        <is>
          <t>Filled</t>
        </is>
      </c>
      <c r="W312" t="inlineStr">
        <is>
          <t>March, July</t>
        </is>
      </c>
      <c r="X312" t="inlineStr">
        <is>
          <t>Other</t>
        </is>
      </c>
      <c r="Y312" t="n">
        <v>0</v>
      </c>
      <c r="Z312" t="inlineStr">
        <is>
          <t>No</t>
        </is>
      </c>
      <c r="AA312" t="inlineStr">
        <is>
          <t>Filled</t>
        </is>
      </c>
      <c r="AB312" t="inlineStr">
        <is>
          <t>on campus</t>
        </is>
      </c>
      <c r="AC312" t="inlineStr"/>
      <c r="AD312" t="n">
        <v>0</v>
      </c>
      <c r="AE312" t="inlineStr"/>
      <c r="AF312" t="inlineStr"/>
      <c r="AG312" t="inlineStr"/>
      <c r="AH312" t="inlineStr"/>
      <c r="AI312" t="inlineStr"/>
      <c r="AJ312" t="inlineStr"/>
      <c r="AK312" t="inlineStr"/>
      <c r="AL312" t="inlineStr"/>
      <c r="AM312" t="inlineStr"/>
    </row>
    <row r="313">
      <c r="A313" t="inlineStr">
        <is>
          <t>077475F</t>
        </is>
      </c>
      <c r="B313" t="inlineStr">
        <is>
          <t>Master of Information Technology</t>
        </is>
      </c>
      <c r="C313" t="inlineStr">
        <is>
          <t>Masters Degree (Coursework)</t>
        </is>
      </c>
      <c r="D313" t="inlineStr">
        <is>
          <t>Postgraduate coursework</t>
        </is>
      </c>
      <c r="E313" t="inlineStr">
        <is>
          <t>Advertised: official page in place</t>
        </is>
      </c>
      <c r="F313" t="inlineStr">
        <is>
          <t>https://study.unimelb.edu.au/find/courses/graduate/master-of-information-technology/</t>
        </is>
      </c>
      <c r="G313" t="inlineStr">
        <is>
          <t>https://study.unimelb.edu.au/find/courses/graduate/master-of-information-technology/</t>
        </is>
      </c>
      <c r="H313" t="inlineStr">
        <is>
          <t>Read</t>
        </is>
      </c>
      <c r="I313" t="inlineStr">
        <is>
          <t>CRICOS code on page</t>
        </is>
      </c>
      <c r="J313" t="inlineStr"/>
      <c r="K313" t="inlineStr">
        <is>
          <t>Not sent to re-link</t>
        </is>
      </c>
      <c r="L313" t="inlineStr">
        <is>
          <t>Filled</t>
        </is>
      </c>
      <c r="M313" t="inlineStr">
        <is>
          <t>Filled</t>
        </is>
      </c>
      <c r="N313" t="inlineStr">
        <is>
          <t>68480.00 2027</t>
        </is>
      </c>
      <c r="O313" t="n">
        <v>3</v>
      </c>
      <c r="P313" t="inlineStr">
        <is>
          <t>Other</t>
        </is>
      </c>
      <c r="Q313" t="inlineStr">
        <is>
          <t>Filled</t>
        </is>
      </c>
      <c r="R313" t="n">
        <v>6.5</v>
      </c>
      <c r="S313" t="inlineStr">
        <is>
          <t>University adapter</t>
        </is>
      </c>
      <c r="T313" t="inlineStr">
        <is>
          <t>Level map (Melbourne): not computed per course in this report</t>
        </is>
      </c>
      <c r="U313" t="inlineStr"/>
      <c r="V313" t="inlineStr">
        <is>
          <t>Filled</t>
        </is>
      </c>
      <c r="W313" t="inlineStr">
        <is>
          <t>March, July</t>
        </is>
      </c>
      <c r="X313" t="inlineStr">
        <is>
          <t>Other</t>
        </is>
      </c>
      <c r="Y313" t="n">
        <v>0</v>
      </c>
      <c r="Z313" t="inlineStr">
        <is>
          <t>No</t>
        </is>
      </c>
      <c r="AA313" t="inlineStr">
        <is>
          <t>Filled</t>
        </is>
      </c>
      <c r="AB313" t="inlineStr">
        <is>
          <t>on campus</t>
        </is>
      </c>
      <c r="AC313" t="inlineStr"/>
      <c r="AD313" t="n">
        <v>0</v>
      </c>
      <c r="AE313" t="inlineStr"/>
      <c r="AF313" t="inlineStr"/>
      <c r="AG313" t="inlineStr"/>
      <c r="AH313" t="inlineStr"/>
      <c r="AI313" t="inlineStr"/>
      <c r="AJ313" t="inlineStr"/>
      <c r="AK313" t="inlineStr"/>
      <c r="AL313" t="inlineStr"/>
      <c r="AM313" t="inlineStr"/>
    </row>
    <row r="314">
      <c r="A314" t="inlineStr">
        <is>
          <t>077764G</t>
        </is>
      </c>
      <c r="B314" t="inlineStr">
        <is>
          <t>Master of Information Technology</t>
        </is>
      </c>
      <c r="C314" t="inlineStr">
        <is>
          <t>Masters Degree (Coursework)</t>
        </is>
      </c>
      <c r="D314" t="inlineStr">
        <is>
          <t>Postgraduate coursework</t>
        </is>
      </c>
      <c r="E314" t="inlineStr">
        <is>
          <t>Advertised: official page in place</t>
        </is>
      </c>
      <c r="F314" t="inlineStr">
        <is>
          <t>https://study.unimelb.edu.au/find/courses/graduate/master-of-information-technology/</t>
        </is>
      </c>
      <c r="G314" t="inlineStr">
        <is>
          <t>https://study.unimelb.edu.au/find/courses/graduate/master-of-information-technology/</t>
        </is>
      </c>
      <c r="H314" t="inlineStr">
        <is>
          <t>Read</t>
        </is>
      </c>
      <c r="I314" t="inlineStr">
        <is>
          <t>Exact title match</t>
        </is>
      </c>
      <c r="J314" t="inlineStr"/>
      <c r="K314" t="inlineStr">
        <is>
          <t>Not sent to re-link</t>
        </is>
      </c>
      <c r="L314" t="inlineStr">
        <is>
          <t>Filled</t>
        </is>
      </c>
      <c r="M314" t="inlineStr">
        <is>
          <t>Filled</t>
        </is>
      </c>
      <c r="N314" t="inlineStr">
        <is>
          <t>64000.00 2026</t>
        </is>
      </c>
      <c r="O314" t="n">
        <v>0</v>
      </c>
      <c r="P314" t="inlineStr">
        <is>
          <t>University adapter</t>
        </is>
      </c>
      <c r="Q314" t="inlineStr">
        <is>
          <t>Filled</t>
        </is>
      </c>
      <c r="R314" t="n">
        <v>6.5</v>
      </c>
      <c r="S314" t="inlineStr">
        <is>
          <t>University adapter</t>
        </is>
      </c>
      <c r="T314" t="inlineStr">
        <is>
          <t>Level map (Melbourne): not computed per course in this report</t>
        </is>
      </c>
      <c r="U314" t="inlineStr"/>
      <c r="V314" t="inlineStr">
        <is>
          <t>Filled</t>
        </is>
      </c>
      <c r="W314" t="inlineStr">
        <is>
          <t>March, July</t>
        </is>
      </c>
      <c r="X314" t="inlineStr">
        <is>
          <t>Other</t>
        </is>
      </c>
      <c r="Y314" t="n">
        <v>0</v>
      </c>
      <c r="Z314" t="inlineStr">
        <is>
          <t>No</t>
        </is>
      </c>
      <c r="AA314" t="inlineStr">
        <is>
          <t>Filled</t>
        </is>
      </c>
      <c r="AB314" t="inlineStr">
        <is>
          <t>on campus</t>
        </is>
      </c>
      <c r="AC314" t="inlineStr"/>
      <c r="AD314" t="n">
        <v>0</v>
      </c>
      <c r="AE314" t="inlineStr"/>
      <c r="AF314" t="inlineStr"/>
      <c r="AG314" t="inlineStr"/>
      <c r="AH314" t="inlineStr"/>
      <c r="AI314" t="inlineStr"/>
      <c r="AJ314" t="inlineStr"/>
      <c r="AK314" t="inlineStr"/>
      <c r="AL314" t="inlineStr"/>
      <c r="AM314" t="inlineStr"/>
    </row>
    <row r="315">
      <c r="A315" t="inlineStr">
        <is>
          <t>084959E</t>
        </is>
      </c>
      <c r="B315" t="inlineStr">
        <is>
          <t>Master of Instructional Leadership</t>
        </is>
      </c>
      <c r="C315" t="inlineStr">
        <is>
          <t>Masters Degree (Coursework)</t>
        </is>
      </c>
      <c r="D315" t="inlineStr">
        <is>
          <t>Postgraduate coursework</t>
        </is>
      </c>
      <c r="E315" t="inlineStr">
        <is>
          <t>Advertised: official page in place</t>
        </is>
      </c>
      <c r="F315" t="inlineStr">
        <is>
          <t>https://handbook.unimelb.edu.au/2026/courses/mc-inslead</t>
        </is>
      </c>
      <c r="G315" t="inlineStr">
        <is>
          <t>https://handbook.unimelb.edu.au/2026/courses/mc-inslead</t>
        </is>
      </c>
      <c r="H315" t="inlineStr">
        <is>
          <t>Read</t>
        </is>
      </c>
      <c r="I315" t="inlineStr">
        <is>
          <t>CRICOS code on page</t>
        </is>
      </c>
      <c r="J315" t="inlineStr"/>
      <c r="K315" t="inlineStr">
        <is>
          <t>Not sent to re-link</t>
        </is>
      </c>
      <c r="L315" t="inlineStr">
        <is>
          <t>Filled</t>
        </is>
      </c>
      <c r="M315" t="inlineStr">
        <is>
          <t>Filled</t>
        </is>
      </c>
      <c r="N315" t="inlineStr">
        <is>
          <t>52960.00 2027</t>
        </is>
      </c>
      <c r="O315" t="n">
        <v>3</v>
      </c>
      <c r="P315" t="inlineStr">
        <is>
          <t>Other</t>
        </is>
      </c>
      <c r="Q315" t="inlineStr">
        <is>
          <t>Filled</t>
        </is>
      </c>
      <c r="R315" t="n">
        <v>7</v>
      </c>
      <c r="S315" t="inlineStr">
        <is>
          <t>Central English policy</t>
        </is>
      </c>
      <c r="T315" t="inlineStr">
        <is>
          <t>Level map (Melbourne): not computed per course in this report</t>
        </is>
      </c>
      <c r="U315" t="inlineStr"/>
      <c r="V315" t="inlineStr">
        <is>
          <t>Not stated on course page</t>
        </is>
      </c>
      <c r="W315" t="inlineStr"/>
      <c r="X315" t="inlineStr"/>
      <c r="Y315" t="n">
        <v>0</v>
      </c>
      <c r="Z315" t="inlineStr">
        <is>
          <t>No</t>
        </is>
      </c>
      <c r="AA315" t="inlineStr">
        <is>
          <t>Filled</t>
        </is>
      </c>
      <c r="AB315" t="inlineStr">
        <is>
          <t>blended</t>
        </is>
      </c>
      <c r="AC315" t="inlineStr"/>
      <c r="AD315" t="n">
        <v>0</v>
      </c>
      <c r="AE315" t="inlineStr"/>
      <c r="AF315" t="inlineStr"/>
      <c r="AG315" t="inlineStr"/>
      <c r="AH315" t="inlineStr"/>
      <c r="AI315" t="inlineStr">
        <is>
          <t>Yes</t>
        </is>
      </c>
      <c r="AJ315" t="inlineStr"/>
      <c r="AK315" t="inlineStr"/>
      <c r="AL315" t="inlineStr"/>
      <c r="AM315" t="inlineStr"/>
    </row>
    <row r="316">
      <c r="A316" t="inlineStr">
        <is>
          <t>075000B</t>
        </is>
      </c>
      <c r="B316" t="inlineStr">
        <is>
          <t>Master of Intellectual Property Law</t>
        </is>
      </c>
      <c r="C316" t="inlineStr">
        <is>
          <t>Masters Degree (Coursework)</t>
        </is>
      </c>
      <c r="D316" t="inlineStr">
        <is>
          <t>Postgraduate coursework</t>
        </is>
      </c>
      <c r="E316" t="inlineStr">
        <is>
          <t>Advertised: official page in place</t>
        </is>
      </c>
      <c r="F316" t="inlineStr">
        <is>
          <t>https://handbook.unimelb.edu.au/2026/courses/277aa</t>
        </is>
      </c>
      <c r="G316" t="inlineStr">
        <is>
          <t>https://handbook.unimelb.edu.au/2026/courses/277aa</t>
        </is>
      </c>
      <c r="H316" t="inlineStr">
        <is>
          <t>Read</t>
        </is>
      </c>
      <c r="I316" t="inlineStr">
        <is>
          <t>CRICOS code on page</t>
        </is>
      </c>
      <c r="J316" t="inlineStr"/>
      <c r="K316" t="inlineStr">
        <is>
          <t>Not sent to re-link</t>
        </is>
      </c>
      <c r="L316" t="inlineStr">
        <is>
          <t>Filled</t>
        </is>
      </c>
      <c r="M316" t="inlineStr">
        <is>
          <t>Filled</t>
        </is>
      </c>
      <c r="N316" t="inlineStr">
        <is>
          <t>67072.00 2027</t>
        </is>
      </c>
      <c r="O316" t="n">
        <v>3</v>
      </c>
      <c r="P316" t="inlineStr">
        <is>
          <t>Other</t>
        </is>
      </c>
      <c r="Q316" t="inlineStr">
        <is>
          <t>Filled</t>
        </is>
      </c>
      <c r="R316" t="n">
        <v>7</v>
      </c>
      <c r="S316" t="inlineStr">
        <is>
          <t>Central English policy</t>
        </is>
      </c>
      <c r="T316" t="inlineStr">
        <is>
          <t>Level map (Melbourne): not computed per course in this report</t>
        </is>
      </c>
      <c r="U316" t="inlineStr"/>
      <c r="V316" t="inlineStr">
        <is>
          <t>Not stated on course page</t>
        </is>
      </c>
      <c r="W316" t="inlineStr"/>
      <c r="X316" t="inlineStr"/>
      <c r="Y316" t="n">
        <v>0</v>
      </c>
      <c r="Z316" t="inlineStr">
        <is>
          <t>No</t>
        </is>
      </c>
      <c r="AA316" t="inlineStr">
        <is>
          <t>Filled</t>
        </is>
      </c>
      <c r="AB316" t="inlineStr">
        <is>
          <t>on campus</t>
        </is>
      </c>
      <c r="AC316" t="inlineStr"/>
      <c r="AD316" t="n">
        <v>0</v>
      </c>
      <c r="AE316" t="inlineStr"/>
      <c r="AF316" t="inlineStr"/>
      <c r="AG316" t="inlineStr"/>
      <c r="AH316" t="inlineStr"/>
      <c r="AI316" t="inlineStr">
        <is>
          <t>Yes</t>
        </is>
      </c>
      <c r="AJ316" t="inlineStr"/>
      <c r="AK316" t="inlineStr"/>
      <c r="AL316" t="inlineStr"/>
      <c r="AM316" t="inlineStr"/>
    </row>
    <row r="317">
      <c r="A317" t="inlineStr">
        <is>
          <t>080608E</t>
        </is>
      </c>
      <c r="B317" t="inlineStr">
        <is>
          <t>Master of International Business</t>
        </is>
      </c>
      <c r="C317" t="inlineStr">
        <is>
          <t>Masters Degree (Coursework)</t>
        </is>
      </c>
      <c r="D317" t="inlineStr">
        <is>
          <t>Postgraduate coursework</t>
        </is>
      </c>
      <c r="E317" t="inlineStr">
        <is>
          <t>Advertised: official page in place</t>
        </is>
      </c>
      <c r="F317" t="inlineStr">
        <is>
          <t>https://study.unimelb.edu.au/find/courses/graduate/master-of-international-business/</t>
        </is>
      </c>
      <c r="G317" t="inlineStr">
        <is>
          <t>https://study.unimelb.edu.au/find/courses/graduate/master-of-international-business/</t>
        </is>
      </c>
      <c r="H317" t="inlineStr">
        <is>
          <t>Read</t>
        </is>
      </c>
      <c r="I317" t="inlineStr">
        <is>
          <t>CRICOS code on page</t>
        </is>
      </c>
      <c r="J317" t="inlineStr"/>
      <c r="K317" t="inlineStr">
        <is>
          <t>Not sent to re-link</t>
        </is>
      </c>
      <c r="L317" t="inlineStr">
        <is>
          <t>Filled</t>
        </is>
      </c>
      <c r="M317" t="inlineStr">
        <is>
          <t>Filled</t>
        </is>
      </c>
      <c r="N317" t="inlineStr">
        <is>
          <t>65248.00 2027</t>
        </is>
      </c>
      <c r="O317" t="n">
        <v>3</v>
      </c>
      <c r="P317" t="inlineStr">
        <is>
          <t>Other</t>
        </is>
      </c>
      <c r="Q317" t="inlineStr">
        <is>
          <t>Filled</t>
        </is>
      </c>
      <c r="R317" t="n">
        <v>6.5</v>
      </c>
      <c r="S317" t="inlineStr">
        <is>
          <t>University adapter</t>
        </is>
      </c>
      <c r="T317" t="inlineStr">
        <is>
          <t>Level map (Melbourne): not computed per course in this report</t>
        </is>
      </c>
      <c r="U317" t="inlineStr"/>
      <c r="V317" t="inlineStr">
        <is>
          <t>Filled</t>
        </is>
      </c>
      <c r="W317" t="inlineStr">
        <is>
          <t>March, July</t>
        </is>
      </c>
      <c r="X317" t="inlineStr">
        <is>
          <t>University adapter</t>
        </is>
      </c>
      <c r="Y317" t="n">
        <v>0</v>
      </c>
      <c r="Z317" t="inlineStr">
        <is>
          <t>No</t>
        </is>
      </c>
      <c r="AA317" t="inlineStr">
        <is>
          <t>Filled</t>
        </is>
      </c>
      <c r="AB317" t="inlineStr">
        <is>
          <t>on campus</t>
        </is>
      </c>
      <c r="AC317" t="inlineStr"/>
      <c r="AD317" t="n">
        <v>0</v>
      </c>
      <c r="AE317" t="inlineStr"/>
      <c r="AF317" t="inlineStr"/>
      <c r="AG317" t="inlineStr"/>
      <c r="AH317" t="inlineStr"/>
      <c r="AI317" t="inlineStr"/>
      <c r="AJ317" t="inlineStr"/>
      <c r="AK317" t="inlineStr"/>
      <c r="AL317" t="inlineStr"/>
      <c r="AM317" t="inlineStr"/>
    </row>
    <row r="318">
      <c r="A318" t="inlineStr">
        <is>
          <t>096334F</t>
        </is>
      </c>
      <c r="B318" t="inlineStr">
        <is>
          <t>Master of International Journalism</t>
        </is>
      </c>
      <c r="C318" t="inlineStr">
        <is>
          <t>Masters Degree (Coursework)</t>
        </is>
      </c>
      <c r="D318" t="inlineStr">
        <is>
          <t>Postgraduate coursework</t>
        </is>
      </c>
      <c r="E318" t="inlineStr">
        <is>
          <t>Advertised: official page in place</t>
        </is>
      </c>
      <c r="F318" t="inlineStr">
        <is>
          <t>https://study.unimelb.edu.au/find/courses/graduate/master-of-international-journalism/</t>
        </is>
      </c>
      <c r="G318" t="inlineStr">
        <is>
          <t>https://study.unimelb.edu.au/find/courses/graduate/master-of-international-journalism/</t>
        </is>
      </c>
      <c r="H318" t="inlineStr">
        <is>
          <t>Read</t>
        </is>
      </c>
      <c r="I318" t="inlineStr">
        <is>
          <t>CRICOS code on page</t>
        </is>
      </c>
      <c r="J318" t="inlineStr"/>
      <c r="K318" t="inlineStr">
        <is>
          <t>Not sent to re-link</t>
        </is>
      </c>
      <c r="L318" t="inlineStr">
        <is>
          <t>Filled</t>
        </is>
      </c>
      <c r="M318" t="inlineStr">
        <is>
          <t>Filled</t>
        </is>
      </c>
      <c r="N318" t="inlineStr">
        <is>
          <t>52416.00 2027</t>
        </is>
      </c>
      <c r="O318" t="n">
        <v>3</v>
      </c>
      <c r="P318" t="inlineStr">
        <is>
          <t>Other</t>
        </is>
      </c>
      <c r="Q318" t="inlineStr">
        <is>
          <t>Filled</t>
        </is>
      </c>
      <c r="R318" t="n">
        <v>6.5</v>
      </c>
      <c r="S318" t="inlineStr">
        <is>
          <t>University adapter</t>
        </is>
      </c>
      <c r="T318" t="inlineStr">
        <is>
          <t>Level map (Melbourne): not computed per course in this report</t>
        </is>
      </c>
      <c r="U318" t="inlineStr"/>
      <c r="V318" t="inlineStr">
        <is>
          <t>Filled</t>
        </is>
      </c>
      <c r="W318" t="inlineStr">
        <is>
          <t>March, July</t>
        </is>
      </c>
      <c r="X318" t="inlineStr">
        <is>
          <t>Other</t>
        </is>
      </c>
      <c r="Y318" t="n">
        <v>0</v>
      </c>
      <c r="Z318" t="inlineStr">
        <is>
          <t>No</t>
        </is>
      </c>
      <c r="AA318" t="inlineStr">
        <is>
          <t>Filled</t>
        </is>
      </c>
      <c r="AB318" t="inlineStr">
        <is>
          <t>on campus</t>
        </is>
      </c>
      <c r="AC318" t="inlineStr"/>
      <c r="AD318" t="n">
        <v>0</v>
      </c>
      <c r="AE318" t="inlineStr"/>
      <c r="AF318" t="inlineStr"/>
      <c r="AG318" t="inlineStr"/>
      <c r="AH318" t="inlineStr"/>
      <c r="AI318" t="inlineStr"/>
      <c r="AJ318" t="inlineStr"/>
      <c r="AK318" t="inlineStr"/>
      <c r="AL318" t="inlineStr"/>
      <c r="AM318" t="inlineStr"/>
    </row>
    <row r="319">
      <c r="A319" t="inlineStr">
        <is>
          <t>068096C</t>
        </is>
      </c>
      <c r="B319" t="inlineStr">
        <is>
          <t>Master of International Relations</t>
        </is>
      </c>
      <c r="C319" t="inlineStr">
        <is>
          <t>Masters Degree (Coursework)</t>
        </is>
      </c>
      <c r="D319" t="inlineStr">
        <is>
          <t>Postgraduate coursework</t>
        </is>
      </c>
      <c r="E319" t="inlineStr">
        <is>
          <t>Advertised: official page in place</t>
        </is>
      </c>
      <c r="F319" t="inlineStr">
        <is>
          <t>https://handbook.unimelb.edu.au/2026/courses/mc-ir</t>
        </is>
      </c>
      <c r="G319" t="inlineStr">
        <is>
          <t>https://handbook.unimelb.edu.au/2026/courses/mc-ir</t>
        </is>
      </c>
      <c r="H319" t="inlineStr">
        <is>
          <t>Read</t>
        </is>
      </c>
      <c r="I319" t="inlineStr">
        <is>
          <t>CRICOS code on page</t>
        </is>
      </c>
      <c r="J319" t="inlineStr"/>
      <c r="K319" t="inlineStr">
        <is>
          <t>Not sent to re-link</t>
        </is>
      </c>
      <c r="L319" t="inlineStr">
        <is>
          <t>Filled</t>
        </is>
      </c>
      <c r="M319" t="inlineStr">
        <is>
          <t>Filled</t>
        </is>
      </c>
      <c r="N319" t="inlineStr">
        <is>
          <t>52416.00 2027</t>
        </is>
      </c>
      <c r="O319" t="n">
        <v>3</v>
      </c>
      <c r="P319" t="inlineStr">
        <is>
          <t>Other</t>
        </is>
      </c>
      <c r="Q319" t="inlineStr">
        <is>
          <t>Filled</t>
        </is>
      </c>
      <c r="R319" t="n">
        <v>6.5</v>
      </c>
      <c r="S319" t="inlineStr">
        <is>
          <t>Central English policy</t>
        </is>
      </c>
      <c r="T319" t="inlineStr">
        <is>
          <t>Level map (Melbourne): not computed per course in this report</t>
        </is>
      </c>
      <c r="U319" t="inlineStr"/>
      <c r="V319" t="inlineStr">
        <is>
          <t>Not stated on course page</t>
        </is>
      </c>
      <c r="W319" t="inlineStr"/>
      <c r="X319" t="inlineStr"/>
      <c r="Y319" t="n">
        <v>0</v>
      </c>
      <c r="Z319" t="inlineStr">
        <is>
          <t>No</t>
        </is>
      </c>
      <c r="AA319" t="inlineStr">
        <is>
          <t>Filled</t>
        </is>
      </c>
      <c r="AB319" t="inlineStr">
        <is>
          <t>on campus</t>
        </is>
      </c>
      <c r="AC319" t="inlineStr"/>
      <c r="AD319" t="n">
        <v>0</v>
      </c>
      <c r="AE319" t="inlineStr"/>
      <c r="AF319" t="inlineStr"/>
      <c r="AG319" t="inlineStr"/>
      <c r="AH319" t="inlineStr"/>
      <c r="AI319" t="inlineStr">
        <is>
          <t>Yes</t>
        </is>
      </c>
      <c r="AJ319" t="inlineStr"/>
      <c r="AK319" t="inlineStr"/>
      <c r="AL319" t="inlineStr"/>
      <c r="AM319" t="inlineStr"/>
    </row>
    <row r="320">
      <c r="A320" t="inlineStr">
        <is>
          <t>031950G</t>
        </is>
      </c>
      <c r="B320" t="inlineStr">
        <is>
          <t>Master of International Tax</t>
        </is>
      </c>
      <c r="C320" t="inlineStr">
        <is>
          <t>Masters Degree (Coursework)</t>
        </is>
      </c>
      <c r="D320" t="inlineStr">
        <is>
          <t>Postgraduate coursework</t>
        </is>
      </c>
      <c r="E320" t="inlineStr">
        <is>
          <t>Advertised: official page in place</t>
        </is>
      </c>
      <c r="F320" t="inlineStr">
        <is>
          <t>https://study.unimelb.edu.au/find/courses/graduate/master-of-international-tax/</t>
        </is>
      </c>
      <c r="G320" t="inlineStr">
        <is>
          <t>https://study.unimelb.edu.au/find/courses/graduate/master-of-international-tax/</t>
        </is>
      </c>
      <c r="H320" t="inlineStr">
        <is>
          <t>Read</t>
        </is>
      </c>
      <c r="I320" t="inlineStr">
        <is>
          <t>CRICOS code on page</t>
        </is>
      </c>
      <c r="J320" t="inlineStr"/>
      <c r="K320" t="inlineStr">
        <is>
          <t>Not sent to re-link</t>
        </is>
      </c>
      <c r="L320" t="inlineStr">
        <is>
          <t>Filled</t>
        </is>
      </c>
      <c r="M320" t="inlineStr">
        <is>
          <t>Filled</t>
        </is>
      </c>
      <c r="N320" t="inlineStr">
        <is>
          <t>67072.00 2027</t>
        </is>
      </c>
      <c r="O320" t="n">
        <v>3</v>
      </c>
      <c r="P320" t="inlineStr">
        <is>
          <t>Other</t>
        </is>
      </c>
      <c r="Q320" t="inlineStr">
        <is>
          <t>Filled</t>
        </is>
      </c>
      <c r="R320" t="n">
        <v>6.5</v>
      </c>
      <c r="S320" t="inlineStr">
        <is>
          <t>University adapter</t>
        </is>
      </c>
      <c r="T320" t="inlineStr">
        <is>
          <t>Level map (Melbourne): not computed per course in this report</t>
        </is>
      </c>
      <c r="U320" t="inlineStr"/>
      <c r="V320" t="inlineStr">
        <is>
          <t>Filled</t>
        </is>
      </c>
      <c r="W320" t="inlineStr">
        <is>
          <t>March, June, July, August, December</t>
        </is>
      </c>
      <c r="X320" t="inlineStr">
        <is>
          <t>Other</t>
        </is>
      </c>
      <c r="Y320" t="n">
        <v>0</v>
      </c>
      <c r="Z320" t="inlineStr">
        <is>
          <t>No</t>
        </is>
      </c>
      <c r="AA320" t="inlineStr">
        <is>
          <t>Filled</t>
        </is>
      </c>
      <c r="AB320" t="inlineStr">
        <is>
          <t>on campus</t>
        </is>
      </c>
      <c r="AC320" t="inlineStr"/>
      <c r="AD320" t="n">
        <v>0</v>
      </c>
      <c r="AE320" t="inlineStr"/>
      <c r="AF320" t="inlineStr"/>
      <c r="AG320" t="inlineStr"/>
      <c r="AH320" t="inlineStr"/>
      <c r="AI320" t="inlineStr"/>
      <c r="AJ320" t="inlineStr"/>
      <c r="AK320" t="inlineStr"/>
      <c r="AL320" t="inlineStr"/>
      <c r="AM320" t="inlineStr"/>
    </row>
    <row r="321">
      <c r="A321" t="inlineStr">
        <is>
          <t>075464C</t>
        </is>
      </c>
      <c r="B321" t="inlineStr">
        <is>
          <t>Master of Journalism</t>
        </is>
      </c>
      <c r="C321" t="inlineStr">
        <is>
          <t>Masters Degree (Coursework)</t>
        </is>
      </c>
      <c r="D321" t="inlineStr">
        <is>
          <t>Postgraduate coursework</t>
        </is>
      </c>
      <c r="E321" t="inlineStr">
        <is>
          <t>Advertised: official page in place</t>
        </is>
      </c>
      <c r="F321" t="inlineStr">
        <is>
          <t>https://handbook.unimelb.edu.au/2026/courses/mc-journ</t>
        </is>
      </c>
      <c r="G321" t="inlineStr">
        <is>
          <t>https://handbook.unimelb.edu.au/2026/courses/mc-journ</t>
        </is>
      </c>
      <c r="H321" t="inlineStr">
        <is>
          <t>Read</t>
        </is>
      </c>
      <c r="I321" t="inlineStr">
        <is>
          <t>CRICOS code on page</t>
        </is>
      </c>
      <c r="J321" t="inlineStr"/>
      <c r="K321" t="inlineStr">
        <is>
          <t>Not sent to re-link</t>
        </is>
      </c>
      <c r="L321" t="inlineStr">
        <is>
          <t>Filled</t>
        </is>
      </c>
      <c r="M321" t="inlineStr">
        <is>
          <t>Filled</t>
        </is>
      </c>
      <c r="N321" t="inlineStr">
        <is>
          <t>52416.00 2027</t>
        </is>
      </c>
      <c r="O321" t="n">
        <v>3</v>
      </c>
      <c r="P321" t="inlineStr">
        <is>
          <t>Other</t>
        </is>
      </c>
      <c r="Q321" t="inlineStr">
        <is>
          <t>Filled</t>
        </is>
      </c>
      <c r="R321" t="n">
        <v>7</v>
      </c>
      <c r="S321" t="inlineStr">
        <is>
          <t>Central English policy</t>
        </is>
      </c>
      <c r="T321" t="inlineStr">
        <is>
          <t>Level map (Melbourne): not computed per course in this report</t>
        </is>
      </c>
      <c r="U321" t="inlineStr"/>
      <c r="V321" t="inlineStr">
        <is>
          <t>Not stated on course page</t>
        </is>
      </c>
      <c r="W321" t="inlineStr"/>
      <c r="X321" t="inlineStr"/>
      <c r="Y321" t="n">
        <v>0</v>
      </c>
      <c r="Z321" t="inlineStr">
        <is>
          <t>No</t>
        </is>
      </c>
      <c r="AA321" t="inlineStr">
        <is>
          <t>Filled</t>
        </is>
      </c>
      <c r="AB321" t="inlineStr">
        <is>
          <t>on campus</t>
        </is>
      </c>
      <c r="AC321" t="inlineStr"/>
      <c r="AD321" t="n">
        <v>0</v>
      </c>
      <c r="AE321" t="inlineStr"/>
      <c r="AF321" t="inlineStr"/>
      <c r="AG321" t="inlineStr"/>
      <c r="AH321" t="inlineStr"/>
      <c r="AI321" t="inlineStr">
        <is>
          <t>Yes</t>
        </is>
      </c>
      <c r="AJ321" t="inlineStr"/>
      <c r="AK321" t="inlineStr"/>
      <c r="AL321" t="inlineStr"/>
      <c r="AM321" t="inlineStr"/>
    </row>
    <row r="322">
      <c r="A322" t="inlineStr">
        <is>
          <t>105521B</t>
        </is>
      </c>
      <c r="B322" t="inlineStr">
        <is>
          <t>Master of Landscape  Architecture / Master of Urban Design</t>
        </is>
      </c>
      <c r="C322" t="inlineStr">
        <is>
          <t>Masters Degree (Coursework)</t>
        </is>
      </c>
      <c r="D322" t="inlineStr">
        <is>
          <t>Postgraduate coursework</t>
        </is>
      </c>
      <c r="E322" t="inlineStr">
        <is>
          <t>Advertised: official page in place</t>
        </is>
      </c>
      <c r="F322" t="inlineStr">
        <is>
          <t>https://study.unimelb.edu.au/find/courses/graduate/master-of-landscape-architecture-master-of-urban-design/</t>
        </is>
      </c>
      <c r="G322" t="inlineStr">
        <is>
          <t>https://study.unimelb.edu.au/find/courses/graduate/master-of-landscape-architecture-master-of-urban-design/</t>
        </is>
      </c>
      <c r="H322" t="inlineStr">
        <is>
          <t>Read</t>
        </is>
      </c>
      <c r="I322" t="inlineStr">
        <is>
          <t>CRICOS code on page</t>
        </is>
      </c>
      <c r="J322" t="inlineStr"/>
      <c r="K322" t="inlineStr">
        <is>
          <t>Not sent to re-link</t>
        </is>
      </c>
      <c r="L322" t="inlineStr">
        <is>
          <t>Filled</t>
        </is>
      </c>
      <c r="M322" t="inlineStr">
        <is>
          <t>Filled</t>
        </is>
      </c>
      <c r="N322" t="inlineStr">
        <is>
          <t>59840.00 2027</t>
        </is>
      </c>
      <c r="O322" t="n">
        <v>2</v>
      </c>
      <c r="P322" t="inlineStr">
        <is>
          <t>Other</t>
        </is>
      </c>
      <c r="Q322" t="inlineStr">
        <is>
          <t>Filled</t>
        </is>
      </c>
      <c r="R322" t="n">
        <v>6.5</v>
      </c>
      <c r="S322" t="inlineStr">
        <is>
          <t>University adapter</t>
        </is>
      </c>
      <c r="T322" t="inlineStr">
        <is>
          <t>Level map (Melbourne): not computed per course in this report</t>
        </is>
      </c>
      <c r="U322" t="inlineStr"/>
      <c r="V322" t="inlineStr">
        <is>
          <t>Filled</t>
        </is>
      </c>
      <c r="W322" t="inlineStr">
        <is>
          <t>March</t>
        </is>
      </c>
      <c r="X322" t="inlineStr">
        <is>
          <t>University adapter</t>
        </is>
      </c>
      <c r="Y322" t="n">
        <v>0</v>
      </c>
      <c r="Z322" t="inlineStr">
        <is>
          <t>No</t>
        </is>
      </c>
      <c r="AA322" t="inlineStr">
        <is>
          <t>Filled</t>
        </is>
      </c>
      <c r="AB322" t="inlineStr">
        <is>
          <t>on campus</t>
        </is>
      </c>
      <c r="AC322" t="inlineStr"/>
      <c r="AD322" t="n">
        <v>0</v>
      </c>
      <c r="AE322" t="inlineStr"/>
      <c r="AF322" t="inlineStr"/>
      <c r="AG322" t="inlineStr"/>
      <c r="AH322" t="inlineStr"/>
      <c r="AI322" t="inlineStr"/>
      <c r="AJ322" t="inlineStr"/>
      <c r="AK322" t="inlineStr"/>
      <c r="AL322" t="inlineStr"/>
      <c r="AM322" t="inlineStr"/>
    </row>
    <row r="323">
      <c r="A323" t="inlineStr">
        <is>
          <t>105522A</t>
        </is>
      </c>
      <c r="B323" t="inlineStr">
        <is>
          <t>Master of Landscape  Architecture / Master of Urban Planning</t>
        </is>
      </c>
      <c r="C323" t="inlineStr">
        <is>
          <t>Masters Degree (Coursework)</t>
        </is>
      </c>
      <c r="D323" t="inlineStr">
        <is>
          <t>Postgraduate coursework</t>
        </is>
      </c>
      <c r="E323" t="inlineStr">
        <is>
          <t>Advertised: official page in place</t>
        </is>
      </c>
      <c r="F323" t="inlineStr">
        <is>
          <t>https://study.unimelb.edu.au/find/courses/graduate/master-of-landscape-architecture-master-of-urban-planning/</t>
        </is>
      </c>
      <c r="G323" t="inlineStr">
        <is>
          <t>https://study.unimelb.edu.au/find/courses/graduate/master-of-landscape-architecture-master-of-urban-planning/</t>
        </is>
      </c>
      <c r="H323" t="inlineStr">
        <is>
          <t>Read</t>
        </is>
      </c>
      <c r="I323" t="inlineStr">
        <is>
          <t>CRICOS code on page</t>
        </is>
      </c>
      <c r="J323" t="inlineStr"/>
      <c r="K323" t="inlineStr">
        <is>
          <t>Not sent to re-link</t>
        </is>
      </c>
      <c r="L323" t="inlineStr">
        <is>
          <t>Filled</t>
        </is>
      </c>
      <c r="M323" t="inlineStr">
        <is>
          <t>Filled</t>
        </is>
      </c>
      <c r="N323" t="inlineStr">
        <is>
          <t>59840.00 2027</t>
        </is>
      </c>
      <c r="O323" t="n">
        <v>2</v>
      </c>
      <c r="P323" t="inlineStr">
        <is>
          <t>Other</t>
        </is>
      </c>
      <c r="Q323" t="inlineStr">
        <is>
          <t>Filled</t>
        </is>
      </c>
      <c r="R323" t="n">
        <v>6.5</v>
      </c>
      <c r="S323" t="inlineStr">
        <is>
          <t>Other</t>
        </is>
      </c>
      <c r="T323" t="inlineStr">
        <is>
          <t>Level map (Melbourne): not computed per course in this report</t>
        </is>
      </c>
      <c r="U323" t="inlineStr"/>
      <c r="V323" t="inlineStr">
        <is>
          <t>Filled</t>
        </is>
      </c>
      <c r="W323" t="inlineStr">
        <is>
          <t>March, July</t>
        </is>
      </c>
      <c r="X323" t="inlineStr">
        <is>
          <t>Other</t>
        </is>
      </c>
      <c r="Y323" t="n">
        <v>0</v>
      </c>
      <c r="Z323" t="inlineStr">
        <is>
          <t>No</t>
        </is>
      </c>
      <c r="AA323" t="inlineStr">
        <is>
          <t>Filled</t>
        </is>
      </c>
      <c r="AB323" t="inlineStr">
        <is>
          <t>on campus</t>
        </is>
      </c>
      <c r="AC323" t="inlineStr"/>
      <c r="AD323" t="n">
        <v>0</v>
      </c>
      <c r="AE323" t="inlineStr"/>
      <c r="AF323" t="inlineStr"/>
      <c r="AG323" t="inlineStr"/>
      <c r="AH323" t="inlineStr"/>
      <c r="AI323" t="inlineStr"/>
      <c r="AJ323" t="inlineStr"/>
      <c r="AK323" t="inlineStr"/>
      <c r="AL323" t="inlineStr"/>
      <c r="AM323" t="inlineStr"/>
    </row>
    <row r="324">
      <c r="A324" t="inlineStr">
        <is>
          <t>061208A</t>
        </is>
      </c>
      <c r="B324" t="inlineStr">
        <is>
          <t>Master of Landscape Architecture</t>
        </is>
      </c>
      <c r="C324" t="inlineStr">
        <is>
          <t>Masters Degree (Coursework)</t>
        </is>
      </c>
      <c r="D324" t="inlineStr">
        <is>
          <t>Postgraduate coursework</t>
        </is>
      </c>
      <c r="E324" t="inlineStr">
        <is>
          <t>Advertised: official page in place</t>
        </is>
      </c>
      <c r="F324" t="inlineStr">
        <is>
          <t>https://study.unimelb.edu.au/find/courses/graduate/master-of-landscape-architecture/</t>
        </is>
      </c>
      <c r="G324" t="inlineStr">
        <is>
          <t>https://study.unimelb.edu.au/find/courses/graduate/master-of-landscape-architecture/</t>
        </is>
      </c>
      <c r="H324" t="inlineStr">
        <is>
          <t>Read</t>
        </is>
      </c>
      <c r="I324" t="inlineStr">
        <is>
          <t>Exact title match</t>
        </is>
      </c>
      <c r="J324" t="inlineStr"/>
      <c r="K324" t="inlineStr">
        <is>
          <t>Not sent to re-link</t>
        </is>
      </c>
      <c r="L324" t="inlineStr">
        <is>
          <t>Filled</t>
        </is>
      </c>
      <c r="M324" t="inlineStr">
        <is>
          <t>Filled</t>
        </is>
      </c>
      <c r="N324" t="inlineStr">
        <is>
          <t>56992.00 2026</t>
        </is>
      </c>
      <c r="O324" t="n">
        <v>0</v>
      </c>
      <c r="P324" t="inlineStr">
        <is>
          <t>University adapter</t>
        </is>
      </c>
      <c r="Q324" t="inlineStr">
        <is>
          <t>Filled</t>
        </is>
      </c>
      <c r="R324" t="n">
        <v>6.5</v>
      </c>
      <c r="S324" t="inlineStr">
        <is>
          <t>University adapter</t>
        </is>
      </c>
      <c r="T324" t="inlineStr">
        <is>
          <t>Level map (Melbourne): not computed per course in this report</t>
        </is>
      </c>
      <c r="U324" t="inlineStr"/>
      <c r="V324" t="inlineStr">
        <is>
          <t>Filled</t>
        </is>
      </c>
      <c r="W324" t="inlineStr">
        <is>
          <t>March, July</t>
        </is>
      </c>
      <c r="X324" t="inlineStr">
        <is>
          <t>Other</t>
        </is>
      </c>
      <c r="Y324" t="n">
        <v>0</v>
      </c>
      <c r="Z324" t="inlineStr">
        <is>
          <t>No</t>
        </is>
      </c>
      <c r="AA324" t="inlineStr">
        <is>
          <t>Filled</t>
        </is>
      </c>
      <c r="AB324" t="inlineStr">
        <is>
          <t>on campus</t>
        </is>
      </c>
      <c r="AC324" t="inlineStr"/>
      <c r="AD324" t="n">
        <v>0</v>
      </c>
      <c r="AE324" t="inlineStr"/>
      <c r="AF324" t="inlineStr"/>
      <c r="AG324" t="inlineStr"/>
      <c r="AH324" t="inlineStr"/>
      <c r="AI324" t="inlineStr"/>
      <c r="AJ324" t="inlineStr"/>
      <c r="AK324" t="inlineStr"/>
      <c r="AL324" t="inlineStr"/>
      <c r="AM324" t="inlineStr"/>
    </row>
    <row r="325">
      <c r="A325" t="inlineStr">
        <is>
          <t>061209M</t>
        </is>
      </c>
      <c r="B325" t="inlineStr">
        <is>
          <t>Master of Landscape Architecture</t>
        </is>
      </c>
      <c r="C325" t="inlineStr">
        <is>
          <t>Masters Degree (Coursework)</t>
        </is>
      </c>
      <c r="D325" t="inlineStr">
        <is>
          <t>Postgraduate coursework</t>
        </is>
      </c>
      <c r="E325" t="inlineStr">
        <is>
          <t>Advertised: official page in place</t>
        </is>
      </c>
      <c r="F325" t="inlineStr">
        <is>
          <t>https://study.unimelb.edu.au/find/courses/graduate/master-of-landscape-architecture/</t>
        </is>
      </c>
      <c r="G325" t="inlineStr">
        <is>
          <t>https://study.unimelb.edu.au/find/courses/graduate/master-of-landscape-architecture/</t>
        </is>
      </c>
      <c r="H325" t="inlineStr">
        <is>
          <t>Read</t>
        </is>
      </c>
      <c r="I325" t="inlineStr">
        <is>
          <t>CRICOS code on page</t>
        </is>
      </c>
      <c r="J325" t="inlineStr"/>
      <c r="K325" t="inlineStr">
        <is>
          <t>Not sent to re-link</t>
        </is>
      </c>
      <c r="L325" t="inlineStr">
        <is>
          <t>Filled</t>
        </is>
      </c>
      <c r="M325" t="inlineStr">
        <is>
          <t>Filled</t>
        </is>
      </c>
      <c r="N325" t="inlineStr">
        <is>
          <t>59840.00 2027</t>
        </is>
      </c>
      <c r="O325" t="n">
        <v>3</v>
      </c>
      <c r="P325" t="inlineStr">
        <is>
          <t>Other</t>
        </is>
      </c>
      <c r="Q325" t="inlineStr">
        <is>
          <t>Filled</t>
        </is>
      </c>
      <c r="R325" t="n">
        <v>6.5</v>
      </c>
      <c r="S325" t="inlineStr">
        <is>
          <t>University adapter</t>
        </is>
      </c>
      <c r="T325" t="inlineStr">
        <is>
          <t>Level map (Melbourne): not computed per course in this report</t>
        </is>
      </c>
      <c r="U325" t="inlineStr"/>
      <c r="V325" t="inlineStr">
        <is>
          <t>Filled</t>
        </is>
      </c>
      <c r="W325" t="inlineStr">
        <is>
          <t>March, July</t>
        </is>
      </c>
      <c r="X325" t="inlineStr">
        <is>
          <t>Other</t>
        </is>
      </c>
      <c r="Y325" t="n">
        <v>0</v>
      </c>
      <c r="Z325" t="inlineStr">
        <is>
          <t>No</t>
        </is>
      </c>
      <c r="AA325" t="inlineStr">
        <is>
          <t>Filled</t>
        </is>
      </c>
      <c r="AB325" t="inlineStr">
        <is>
          <t>on campus</t>
        </is>
      </c>
      <c r="AC325" t="inlineStr"/>
      <c r="AD325" t="n">
        <v>0</v>
      </c>
      <c r="AE325" t="inlineStr"/>
      <c r="AF325" t="inlineStr"/>
      <c r="AG325" t="inlineStr"/>
      <c r="AH325" t="inlineStr"/>
      <c r="AI325" t="inlineStr"/>
      <c r="AJ325" t="inlineStr"/>
      <c r="AK325" t="inlineStr"/>
      <c r="AL325" t="inlineStr"/>
      <c r="AM325" t="inlineStr"/>
    </row>
    <row r="326">
      <c r="A326" t="inlineStr">
        <is>
          <t>057850J</t>
        </is>
      </c>
      <c r="B326" t="inlineStr">
        <is>
          <t>Master of Law (Juris Doctor)/Master of Business Administration</t>
        </is>
      </c>
      <c r="C326" t="inlineStr">
        <is>
          <t>Masters Degree (Coursework)</t>
        </is>
      </c>
      <c r="D326" t="inlineStr">
        <is>
          <t>Postgraduate coursework</t>
        </is>
      </c>
      <c r="E326" t="inlineStr">
        <is>
          <t>Page found, needs a rendered read</t>
        </is>
      </c>
      <c r="F326" t="inlineStr"/>
      <c r="G326" t="inlineStr">
        <is>
          <t>https://handbook.unimelb.edu.au/2026/courses/794nf</t>
        </is>
      </c>
      <c r="H326" t="inlineStr">
        <is>
          <t>Needs a rendered read</t>
        </is>
      </c>
      <c r="I326" t="inlineStr"/>
      <c r="J326" t="inlineStr"/>
      <c r="K326" t="inlineStr">
        <is>
          <t>Finished, no page: no address from the university's address forms or stored lis</t>
        </is>
      </c>
      <c r="L326" t="inlineStr">
        <is>
          <t>Page found, being read</t>
        </is>
      </c>
      <c r="M326" t="inlineStr">
        <is>
          <t>Page found, being read</t>
        </is>
      </c>
      <c r="N326" t="inlineStr"/>
      <c r="O326" t="n">
        <v>0</v>
      </c>
      <c r="P326" t="inlineStr"/>
      <c r="Q326" t="inlineStr">
        <is>
          <t>Page found, being read</t>
        </is>
      </c>
      <c r="S326" t="inlineStr"/>
      <c r="T326" t="inlineStr">
        <is>
          <t>Level map (Melbourne): not computed per course in this report</t>
        </is>
      </c>
      <c r="U326" t="inlineStr"/>
      <c r="V326" t="inlineStr">
        <is>
          <t>Page found, being read</t>
        </is>
      </c>
      <c r="W326" t="inlineStr"/>
      <c r="X326" t="inlineStr"/>
      <c r="Y326" t="n">
        <v>0</v>
      </c>
      <c r="Z326" t="inlineStr">
        <is>
          <t>No</t>
        </is>
      </c>
      <c r="AA326" t="inlineStr">
        <is>
          <t>Not stated on course page</t>
        </is>
      </c>
      <c r="AB326" t="inlineStr"/>
      <c r="AC326" t="inlineStr">
        <is>
          <t>Skipped: no allowed source had a value</t>
        </is>
      </c>
      <c r="AD326" t="n">
        <v>1</v>
      </c>
      <c r="AE326" t="inlineStr">
        <is>
          <t>Yes</t>
        </is>
      </c>
      <c r="AF326" t="inlineStr"/>
      <c r="AG326" t="inlineStr"/>
      <c r="AH326" t="inlineStr"/>
      <c r="AI326" t="inlineStr"/>
      <c r="AJ326" t="inlineStr"/>
      <c r="AK326" t="inlineStr"/>
      <c r="AL326" t="inlineStr"/>
      <c r="AM326" t="inlineStr"/>
    </row>
    <row r="327">
      <c r="A327" t="inlineStr">
        <is>
          <t>051271K</t>
        </is>
      </c>
      <c r="B327" t="inlineStr">
        <is>
          <t>Master of Law and Development</t>
        </is>
      </c>
      <c r="C327" t="inlineStr">
        <is>
          <t>Masters Degree (Coursework)</t>
        </is>
      </c>
      <c r="D327" t="inlineStr">
        <is>
          <t>Postgraduate coursework</t>
        </is>
      </c>
      <c r="E327" t="inlineStr">
        <is>
          <t>Advertised: official page in place</t>
        </is>
      </c>
      <c r="F327" t="inlineStr">
        <is>
          <t>https://study.unimelb.edu.au/find/courses/graduate/master-of-law-and-development/</t>
        </is>
      </c>
      <c r="G327" t="inlineStr">
        <is>
          <t>https://study.unimelb.edu.au/find/courses/graduate/master-of-law-and-development/</t>
        </is>
      </c>
      <c r="H327" t="inlineStr">
        <is>
          <t>Read</t>
        </is>
      </c>
      <c r="I327" t="inlineStr">
        <is>
          <t>CRICOS code on page</t>
        </is>
      </c>
      <c r="J327" t="inlineStr"/>
      <c r="K327" t="inlineStr">
        <is>
          <t>Not sent to re-link</t>
        </is>
      </c>
      <c r="L327" t="inlineStr">
        <is>
          <t>Filled</t>
        </is>
      </c>
      <c r="M327" t="inlineStr">
        <is>
          <t>Filled</t>
        </is>
      </c>
      <c r="N327" t="inlineStr">
        <is>
          <t>67072.00 2027</t>
        </is>
      </c>
      <c r="O327" t="n">
        <v>3</v>
      </c>
      <c r="P327" t="inlineStr">
        <is>
          <t>Other</t>
        </is>
      </c>
      <c r="Q327" t="inlineStr">
        <is>
          <t>Filled</t>
        </is>
      </c>
      <c r="R327" t="n">
        <v>6.5</v>
      </c>
      <c r="S327" t="inlineStr">
        <is>
          <t>University adapter</t>
        </is>
      </c>
      <c r="T327" t="inlineStr">
        <is>
          <t>Level map (Melbourne): not computed per course in this report</t>
        </is>
      </c>
      <c r="U327" t="inlineStr"/>
      <c r="V327" t="inlineStr">
        <is>
          <t>Filled</t>
        </is>
      </c>
      <c r="W327" t="inlineStr">
        <is>
          <t>March, July</t>
        </is>
      </c>
      <c r="X327" t="inlineStr">
        <is>
          <t>University adapter</t>
        </is>
      </c>
      <c r="Y327" t="n">
        <v>3</v>
      </c>
      <c r="Z327" t="inlineStr">
        <is>
          <t>No</t>
        </is>
      </c>
      <c r="AA327" t="inlineStr">
        <is>
          <t>Filled</t>
        </is>
      </c>
      <c r="AB327" t="inlineStr">
        <is>
          <t>on campus</t>
        </is>
      </c>
      <c r="AC327" t="inlineStr"/>
      <c r="AD327" t="n">
        <v>0</v>
      </c>
      <c r="AE327" t="inlineStr"/>
      <c r="AF327" t="inlineStr"/>
      <c r="AG327" t="inlineStr"/>
      <c r="AH327" t="inlineStr"/>
      <c r="AI327" t="inlineStr"/>
      <c r="AJ327" t="inlineStr"/>
      <c r="AK327" t="inlineStr"/>
      <c r="AL327" t="inlineStr"/>
      <c r="AM327" t="inlineStr"/>
    </row>
    <row r="328">
      <c r="A328" t="inlineStr">
        <is>
          <t>074996E</t>
        </is>
      </c>
      <c r="B328" t="inlineStr">
        <is>
          <t>Master of Laws</t>
        </is>
      </c>
      <c r="C328" t="inlineStr">
        <is>
          <t>Masters Degree (Coursework)</t>
        </is>
      </c>
      <c r="D328" t="inlineStr">
        <is>
          <t>Postgraduate coursework</t>
        </is>
      </c>
      <c r="E328" t="inlineStr">
        <is>
          <t>Advertised: official page in place</t>
        </is>
      </c>
      <c r="F328" t="inlineStr">
        <is>
          <t>https://study.unimelb.edu.au/find/courses/graduate/master-of-laws/</t>
        </is>
      </c>
      <c r="G328" t="inlineStr">
        <is>
          <t>https://study.unimelb.edu.au/find/courses/graduate/master-of-laws/</t>
        </is>
      </c>
      <c r="H328" t="inlineStr">
        <is>
          <t>Read</t>
        </is>
      </c>
      <c r="I328" t="inlineStr">
        <is>
          <t>CRICOS code on page</t>
        </is>
      </c>
      <c r="J328" t="inlineStr"/>
      <c r="K328" t="inlineStr">
        <is>
          <t>Not sent to re-link</t>
        </is>
      </c>
      <c r="L328" t="inlineStr">
        <is>
          <t>Filled</t>
        </is>
      </c>
      <c r="M328" t="inlineStr">
        <is>
          <t>Filled</t>
        </is>
      </c>
      <c r="N328" t="inlineStr">
        <is>
          <t>67072.00 2027</t>
        </is>
      </c>
      <c r="O328" t="n">
        <v>3</v>
      </c>
      <c r="P328" t="inlineStr">
        <is>
          <t>Other</t>
        </is>
      </c>
      <c r="Q328" t="inlineStr">
        <is>
          <t>Filled</t>
        </is>
      </c>
      <c r="R328" t="n">
        <v>6.5</v>
      </c>
      <c r="S328" t="inlineStr">
        <is>
          <t>University adapter</t>
        </is>
      </c>
      <c r="T328" t="inlineStr">
        <is>
          <t>Level map (Melbourne): not computed per course in this report</t>
        </is>
      </c>
      <c r="U328" t="inlineStr"/>
      <c r="V328" t="inlineStr">
        <is>
          <t>Filled</t>
        </is>
      </c>
      <c r="W328" t="inlineStr">
        <is>
          <t>March, July</t>
        </is>
      </c>
      <c r="X328" t="inlineStr">
        <is>
          <t>University adapter</t>
        </is>
      </c>
      <c r="Y328" t="n">
        <v>0</v>
      </c>
      <c r="Z328" t="inlineStr">
        <is>
          <t>No</t>
        </is>
      </c>
      <c r="AA328" t="inlineStr">
        <is>
          <t>Filled</t>
        </is>
      </c>
      <c r="AB328" t="inlineStr">
        <is>
          <t>on campus</t>
        </is>
      </c>
      <c r="AC328" t="inlineStr"/>
      <c r="AD328" t="n">
        <v>0</v>
      </c>
      <c r="AE328" t="inlineStr"/>
      <c r="AF328" t="inlineStr"/>
      <c r="AG328" t="inlineStr"/>
      <c r="AH328" t="inlineStr"/>
      <c r="AI328" t="inlineStr"/>
      <c r="AJ328" t="inlineStr"/>
      <c r="AK328" t="inlineStr"/>
      <c r="AL328" t="inlineStr"/>
      <c r="AM328" t="inlineStr"/>
    </row>
    <row r="329">
      <c r="A329" t="inlineStr">
        <is>
          <t>085104M</t>
        </is>
      </c>
      <c r="B329" t="inlineStr">
        <is>
          <t>Master of Learning Intervention</t>
        </is>
      </c>
      <c r="C329" t="inlineStr">
        <is>
          <t>Masters Degree (Coursework)</t>
        </is>
      </c>
      <c r="D329" t="inlineStr">
        <is>
          <t>Postgraduate coursework</t>
        </is>
      </c>
      <c r="E329" t="inlineStr">
        <is>
          <t>Advertised: official page in place</t>
        </is>
      </c>
      <c r="F329" t="inlineStr">
        <is>
          <t>https://study.unimelb.edu.au/find/courses/graduate/master-of-learning-intervention/</t>
        </is>
      </c>
      <c r="G329" t="inlineStr">
        <is>
          <t>https://study.unimelb.edu.au/find/courses/graduate/master-of-learning-intervention/</t>
        </is>
      </c>
      <c r="H329" t="inlineStr">
        <is>
          <t>Read</t>
        </is>
      </c>
      <c r="I329" t="inlineStr">
        <is>
          <t>CRICOS code on page</t>
        </is>
      </c>
      <c r="J329" t="inlineStr"/>
      <c r="K329" t="inlineStr">
        <is>
          <t>Not sent to re-link</t>
        </is>
      </c>
      <c r="L329" t="inlineStr">
        <is>
          <t>Filled</t>
        </is>
      </c>
      <c r="M329" t="inlineStr">
        <is>
          <t>Filled</t>
        </is>
      </c>
      <c r="N329" t="inlineStr">
        <is>
          <t>48992.00 2026</t>
        </is>
      </c>
      <c r="O329" t="n">
        <v>0</v>
      </c>
      <c r="P329" t="inlineStr">
        <is>
          <t>University adapter</t>
        </is>
      </c>
      <c r="Q329" t="inlineStr">
        <is>
          <t>Filled</t>
        </is>
      </c>
      <c r="R329" t="n">
        <v>6.5</v>
      </c>
      <c r="S329" t="inlineStr">
        <is>
          <t>University adapter</t>
        </is>
      </c>
      <c r="T329" t="inlineStr">
        <is>
          <t>Level map (Melbourne): not computed per course in this report</t>
        </is>
      </c>
      <c r="U329" t="inlineStr"/>
      <c r="V329" t="inlineStr">
        <is>
          <t>Filled</t>
        </is>
      </c>
      <c r="W329" t="inlineStr">
        <is>
          <t>February, July</t>
        </is>
      </c>
      <c r="X329" t="inlineStr">
        <is>
          <t>University adapter</t>
        </is>
      </c>
      <c r="Y329" t="n">
        <v>0</v>
      </c>
      <c r="Z329" t="inlineStr">
        <is>
          <t>No</t>
        </is>
      </c>
      <c r="AA329" t="inlineStr">
        <is>
          <t>Filled</t>
        </is>
      </c>
      <c r="AB329" t="inlineStr">
        <is>
          <t>online</t>
        </is>
      </c>
      <c r="AC329" t="inlineStr">
        <is>
          <t>Filled</t>
        </is>
      </c>
      <c r="AD329" t="n">
        <v>0</v>
      </c>
      <c r="AE329" t="inlineStr"/>
      <c r="AF329" t="inlineStr"/>
      <c r="AG329" t="inlineStr"/>
      <c r="AH329" t="inlineStr"/>
      <c r="AI329" t="inlineStr"/>
      <c r="AJ329" t="inlineStr"/>
      <c r="AK329" t="inlineStr"/>
      <c r="AL329" t="inlineStr"/>
      <c r="AM329" t="inlineStr"/>
    </row>
    <row r="330">
      <c r="A330" t="inlineStr">
        <is>
          <t>064496G</t>
        </is>
      </c>
      <c r="B330" t="inlineStr">
        <is>
          <t>Master of Management</t>
        </is>
      </c>
      <c r="C330" t="inlineStr">
        <is>
          <t>Masters Degree (Coursework)</t>
        </is>
      </c>
      <c r="D330" t="inlineStr">
        <is>
          <t>Postgraduate coursework</t>
        </is>
      </c>
      <c r="E330" t="inlineStr">
        <is>
          <t>Advertised: official page in place</t>
        </is>
      </c>
      <c r="F330" t="inlineStr">
        <is>
          <t>https://study.unimelb.edu.au/find/courses/graduate/master-of-management/</t>
        </is>
      </c>
      <c r="G330" t="inlineStr">
        <is>
          <t>https://study.unimelb.edu.au/find/courses/graduate/master-of-management/</t>
        </is>
      </c>
      <c r="H330" t="inlineStr">
        <is>
          <t>Read</t>
        </is>
      </c>
      <c r="I330" t="inlineStr">
        <is>
          <t>CRICOS code on page</t>
        </is>
      </c>
      <c r="J330" t="inlineStr"/>
      <c r="K330" t="inlineStr">
        <is>
          <t>Not sent to re-link</t>
        </is>
      </c>
      <c r="L330" t="inlineStr">
        <is>
          <t>Filled</t>
        </is>
      </c>
      <c r="M330" t="inlineStr">
        <is>
          <t>Filled</t>
        </is>
      </c>
      <c r="N330" t="inlineStr">
        <is>
          <t>65248.00 2027</t>
        </is>
      </c>
      <c r="O330" t="n">
        <v>3</v>
      </c>
      <c r="P330" t="inlineStr">
        <is>
          <t>Other</t>
        </is>
      </c>
      <c r="Q330" t="inlineStr">
        <is>
          <t>Filled</t>
        </is>
      </c>
      <c r="R330" t="n">
        <v>6.5</v>
      </c>
      <c r="S330" t="inlineStr">
        <is>
          <t>University adapter</t>
        </is>
      </c>
      <c r="T330" t="inlineStr">
        <is>
          <t>Level map (Melbourne): not computed per course in this report</t>
        </is>
      </c>
      <c r="U330" t="inlineStr"/>
      <c r="V330" t="inlineStr">
        <is>
          <t>Filled</t>
        </is>
      </c>
      <c r="W330" t="inlineStr">
        <is>
          <t>March, July</t>
        </is>
      </c>
      <c r="X330" t="inlineStr">
        <is>
          <t>University adapter</t>
        </is>
      </c>
      <c r="Y330" t="n">
        <v>0</v>
      </c>
      <c r="Z330" t="inlineStr">
        <is>
          <t>No</t>
        </is>
      </c>
      <c r="AA330" t="inlineStr">
        <is>
          <t>Filled</t>
        </is>
      </c>
      <c r="AB330" t="inlineStr">
        <is>
          <t>on campus</t>
        </is>
      </c>
      <c r="AC330" t="inlineStr"/>
      <c r="AD330" t="n">
        <v>0</v>
      </c>
      <c r="AE330" t="inlineStr"/>
      <c r="AF330" t="inlineStr"/>
      <c r="AG330" t="inlineStr"/>
      <c r="AH330" t="inlineStr"/>
      <c r="AI330" t="inlineStr"/>
      <c r="AJ330" t="inlineStr"/>
      <c r="AK330" t="inlineStr"/>
      <c r="AL330" t="inlineStr"/>
      <c r="AM330" t="inlineStr"/>
    </row>
    <row r="331">
      <c r="A331" t="inlineStr">
        <is>
          <t>085103A</t>
        </is>
      </c>
      <c r="B331" t="inlineStr">
        <is>
          <t>Master of Management (Accounting and Finance)</t>
        </is>
      </c>
      <c r="C331" t="inlineStr">
        <is>
          <t>Masters Degree (Coursework)</t>
        </is>
      </c>
      <c r="D331" t="inlineStr">
        <is>
          <t>Postgraduate coursework</t>
        </is>
      </c>
      <c r="E331" t="inlineStr">
        <is>
          <t>Advertised: official page in place</t>
        </is>
      </c>
      <c r="F331" t="inlineStr">
        <is>
          <t>https://study.unimelb.edu.au/find/courses/graduate/master-of-management-accounting-and-finance/</t>
        </is>
      </c>
      <c r="G331" t="inlineStr">
        <is>
          <t>https://study.unimelb.edu.au/find/courses/graduate/master-of-management-accounting-and-finance/</t>
        </is>
      </c>
      <c r="H331" t="inlineStr">
        <is>
          <t>Read</t>
        </is>
      </c>
      <c r="I331" t="inlineStr">
        <is>
          <t>CRICOS code on page</t>
        </is>
      </c>
      <c r="J331" t="inlineStr"/>
      <c r="K331" t="inlineStr">
        <is>
          <t>Not sent to re-link</t>
        </is>
      </c>
      <c r="L331" t="inlineStr">
        <is>
          <t>Filled</t>
        </is>
      </c>
      <c r="M331" t="inlineStr">
        <is>
          <t>Filled</t>
        </is>
      </c>
      <c r="N331" t="inlineStr">
        <is>
          <t>65248.00 2027</t>
        </is>
      </c>
      <c r="O331" t="n">
        <v>3</v>
      </c>
      <c r="P331" t="inlineStr">
        <is>
          <t>Other</t>
        </is>
      </c>
      <c r="Q331" t="inlineStr">
        <is>
          <t>Filled</t>
        </is>
      </c>
      <c r="R331" t="n">
        <v>6.5</v>
      </c>
      <c r="S331" t="inlineStr">
        <is>
          <t>University adapter</t>
        </is>
      </c>
      <c r="T331" t="inlineStr">
        <is>
          <t>Level map (Melbourne): not computed per course in this report</t>
        </is>
      </c>
      <c r="U331" t="inlineStr"/>
      <c r="V331" t="inlineStr">
        <is>
          <t>Filled</t>
        </is>
      </c>
      <c r="W331" t="inlineStr">
        <is>
          <t>March, July</t>
        </is>
      </c>
      <c r="X331" t="inlineStr">
        <is>
          <t>University adapter</t>
        </is>
      </c>
      <c r="Y331" t="n">
        <v>0</v>
      </c>
      <c r="Z331" t="inlineStr">
        <is>
          <t>No</t>
        </is>
      </c>
      <c r="AA331" t="inlineStr">
        <is>
          <t>Filled</t>
        </is>
      </c>
      <c r="AB331" t="inlineStr">
        <is>
          <t>on campus</t>
        </is>
      </c>
      <c r="AC331" t="inlineStr"/>
      <c r="AD331" t="n">
        <v>0</v>
      </c>
      <c r="AE331" t="inlineStr"/>
      <c r="AF331" t="inlineStr"/>
      <c r="AG331" t="inlineStr"/>
      <c r="AH331" t="inlineStr"/>
      <c r="AI331" t="inlineStr"/>
      <c r="AJ331" t="inlineStr"/>
      <c r="AK331" t="inlineStr"/>
      <c r="AL331" t="inlineStr"/>
      <c r="AM331" t="inlineStr"/>
    </row>
    <row r="332">
      <c r="A332" t="inlineStr">
        <is>
          <t>064499E</t>
        </is>
      </c>
      <c r="B332" t="inlineStr">
        <is>
          <t>Master of Management (Accounting)</t>
        </is>
      </c>
      <c r="C332" t="inlineStr">
        <is>
          <t>Masters Degree (Coursework)</t>
        </is>
      </c>
      <c r="D332" t="inlineStr">
        <is>
          <t>Postgraduate coursework</t>
        </is>
      </c>
      <c r="E332" t="inlineStr">
        <is>
          <t>Advertised: official page in place</t>
        </is>
      </c>
      <c r="F332" t="inlineStr">
        <is>
          <t>https://study.unimelb.edu.au/find/courses/graduate/master-of-management-accounting/</t>
        </is>
      </c>
      <c r="G332" t="inlineStr">
        <is>
          <t>https://study.unimelb.edu.au/find/courses/graduate/master-of-management-accounting/</t>
        </is>
      </c>
      <c r="H332" t="inlineStr">
        <is>
          <t>Read</t>
        </is>
      </c>
      <c r="I332" t="inlineStr">
        <is>
          <t>CRICOS code on page</t>
        </is>
      </c>
      <c r="J332" t="inlineStr"/>
      <c r="K332" t="inlineStr">
        <is>
          <t>Not sent to re-link</t>
        </is>
      </c>
      <c r="L332" t="inlineStr">
        <is>
          <t>Filled</t>
        </is>
      </c>
      <c r="M332" t="inlineStr">
        <is>
          <t>Filled</t>
        </is>
      </c>
      <c r="N332" t="inlineStr">
        <is>
          <t>65248.00 2027</t>
        </is>
      </c>
      <c r="O332" t="n">
        <v>3</v>
      </c>
      <c r="P332" t="inlineStr">
        <is>
          <t>Other</t>
        </is>
      </c>
      <c r="Q332" t="inlineStr">
        <is>
          <t>Filled</t>
        </is>
      </c>
      <c r="R332" t="n">
        <v>6.5</v>
      </c>
      <c r="S332" t="inlineStr">
        <is>
          <t>University adapter</t>
        </is>
      </c>
      <c r="T332" t="inlineStr">
        <is>
          <t>Level map (Melbourne): not computed per course in this report</t>
        </is>
      </c>
      <c r="U332" t="inlineStr"/>
      <c r="V332" t="inlineStr">
        <is>
          <t>Filled</t>
        </is>
      </c>
      <c r="W332" t="inlineStr">
        <is>
          <t>March, July</t>
        </is>
      </c>
      <c r="X332" t="inlineStr">
        <is>
          <t>Other</t>
        </is>
      </c>
      <c r="Y332" t="n">
        <v>0</v>
      </c>
      <c r="Z332" t="inlineStr">
        <is>
          <t>No</t>
        </is>
      </c>
      <c r="AA332" t="inlineStr">
        <is>
          <t>Filled</t>
        </is>
      </c>
      <c r="AB332" t="inlineStr">
        <is>
          <t>on campus</t>
        </is>
      </c>
      <c r="AC332" t="inlineStr"/>
      <c r="AD332" t="n">
        <v>0</v>
      </c>
      <c r="AE332" t="inlineStr"/>
      <c r="AF332" t="inlineStr"/>
      <c r="AG332" t="inlineStr"/>
      <c r="AH332" t="inlineStr"/>
      <c r="AI332" t="inlineStr"/>
      <c r="AJ332" t="inlineStr"/>
      <c r="AK332" t="inlineStr"/>
      <c r="AL332" t="inlineStr"/>
      <c r="AM332" t="inlineStr"/>
    </row>
    <row r="333">
      <c r="A333" t="inlineStr">
        <is>
          <t>116966D</t>
        </is>
      </c>
      <c r="B333" t="inlineStr">
        <is>
          <t>Master of Management (Entrepreneurship and Innovation)</t>
        </is>
      </c>
      <c r="C333" t="inlineStr">
        <is>
          <t>Masters Degree (Coursework)</t>
        </is>
      </c>
      <c r="D333" t="inlineStr">
        <is>
          <t>Postgraduate coursework</t>
        </is>
      </c>
      <c r="E333" t="inlineStr">
        <is>
          <t>Advertised: official page in place</t>
        </is>
      </c>
      <c r="F333" t="inlineStr">
        <is>
          <t>https://study.unimelb.edu.au/find/courses/graduate/master-of-management-entrepreneurship-and-innovation/</t>
        </is>
      </c>
      <c r="G333" t="inlineStr">
        <is>
          <t>https://study.unimelb.edu.au/find/courses/graduate/master-of-management-entrepreneurship-and-innovation/</t>
        </is>
      </c>
      <c r="H333" t="inlineStr">
        <is>
          <t>Read</t>
        </is>
      </c>
      <c r="I333" t="inlineStr">
        <is>
          <t>CRICOS code on page</t>
        </is>
      </c>
      <c r="J333" t="inlineStr"/>
      <c r="K333" t="inlineStr">
        <is>
          <t>Not sent to re-link</t>
        </is>
      </c>
      <c r="L333" t="inlineStr">
        <is>
          <t>Filled</t>
        </is>
      </c>
      <c r="M333" t="inlineStr">
        <is>
          <t>Filled</t>
        </is>
      </c>
      <c r="N333" t="inlineStr">
        <is>
          <t>65248.00 2027</t>
        </is>
      </c>
      <c r="O333" t="n">
        <v>3</v>
      </c>
      <c r="P333" t="inlineStr">
        <is>
          <t>Other</t>
        </is>
      </c>
      <c r="Q333" t="inlineStr">
        <is>
          <t>Filled</t>
        </is>
      </c>
      <c r="R333" t="n">
        <v>6.5</v>
      </c>
      <c r="S333" t="inlineStr">
        <is>
          <t>University adapter</t>
        </is>
      </c>
      <c r="T333" t="inlineStr">
        <is>
          <t>Level map (Melbourne): not computed per course in this report</t>
        </is>
      </c>
      <c r="U333" t="inlineStr"/>
      <c r="V333" t="inlineStr">
        <is>
          <t>Filled</t>
        </is>
      </c>
      <c r="W333" t="inlineStr">
        <is>
          <t>March, July</t>
        </is>
      </c>
      <c r="X333" t="inlineStr">
        <is>
          <t>Other</t>
        </is>
      </c>
      <c r="Y333" t="n">
        <v>0</v>
      </c>
      <c r="Z333" t="inlineStr">
        <is>
          <t>No</t>
        </is>
      </c>
      <c r="AA333" t="inlineStr">
        <is>
          <t>Filled</t>
        </is>
      </c>
      <c r="AB333" t="inlineStr">
        <is>
          <t>on campus</t>
        </is>
      </c>
      <c r="AC333" t="inlineStr"/>
      <c r="AD333" t="n">
        <v>0</v>
      </c>
      <c r="AE333" t="inlineStr"/>
      <c r="AF333" t="inlineStr"/>
      <c r="AG333" t="inlineStr"/>
      <c r="AH333" t="inlineStr"/>
      <c r="AI333" t="inlineStr"/>
      <c r="AJ333" t="inlineStr"/>
      <c r="AK333" t="inlineStr"/>
      <c r="AL333" t="inlineStr"/>
      <c r="AM333" t="inlineStr"/>
    </row>
    <row r="334">
      <c r="A334" t="inlineStr">
        <is>
          <t>064502D</t>
        </is>
      </c>
      <c r="B334" t="inlineStr">
        <is>
          <t>Master of Management (Finance)</t>
        </is>
      </c>
      <c r="C334" t="inlineStr">
        <is>
          <t>Masters Degree (Coursework)</t>
        </is>
      </c>
      <c r="D334" t="inlineStr">
        <is>
          <t>Postgraduate coursework</t>
        </is>
      </c>
      <c r="E334" t="inlineStr">
        <is>
          <t>Advertised: official page in place</t>
        </is>
      </c>
      <c r="F334" t="inlineStr">
        <is>
          <t>https://study.unimelb.edu.au/find/courses/graduate/master-of-management-finance/</t>
        </is>
      </c>
      <c r="G334" t="inlineStr">
        <is>
          <t>https://study.unimelb.edu.au/find/courses/graduate/master-of-management-finance/</t>
        </is>
      </c>
      <c r="H334" t="inlineStr">
        <is>
          <t>Read</t>
        </is>
      </c>
      <c r="I334" t="inlineStr">
        <is>
          <t>CRICOS code on page</t>
        </is>
      </c>
      <c r="J334" t="inlineStr"/>
      <c r="K334" t="inlineStr">
        <is>
          <t>Not sent to re-link</t>
        </is>
      </c>
      <c r="L334" t="inlineStr">
        <is>
          <t>Filled</t>
        </is>
      </c>
      <c r="M334" t="inlineStr">
        <is>
          <t>Filled</t>
        </is>
      </c>
      <c r="N334" t="inlineStr">
        <is>
          <t>65248.00 2027</t>
        </is>
      </c>
      <c r="O334" t="n">
        <v>3</v>
      </c>
      <c r="P334" t="inlineStr">
        <is>
          <t>Other</t>
        </is>
      </c>
      <c r="Q334" t="inlineStr">
        <is>
          <t>Filled</t>
        </is>
      </c>
      <c r="R334" t="n">
        <v>6.5</v>
      </c>
      <c r="S334" t="inlineStr">
        <is>
          <t>University adapter</t>
        </is>
      </c>
      <c r="T334" t="inlineStr">
        <is>
          <t>Level map (Melbourne): not computed per course in this report</t>
        </is>
      </c>
      <c r="U334" t="inlineStr"/>
      <c r="V334" t="inlineStr">
        <is>
          <t>Filled</t>
        </is>
      </c>
      <c r="W334" t="inlineStr">
        <is>
          <t>March, July</t>
        </is>
      </c>
      <c r="X334" t="inlineStr">
        <is>
          <t>Other</t>
        </is>
      </c>
      <c r="Y334" t="n">
        <v>0</v>
      </c>
      <c r="Z334" t="inlineStr">
        <is>
          <t>No</t>
        </is>
      </c>
      <c r="AA334" t="inlineStr">
        <is>
          <t>Filled</t>
        </is>
      </c>
      <c r="AB334" t="inlineStr">
        <is>
          <t>on campus</t>
        </is>
      </c>
      <c r="AC334" t="inlineStr"/>
      <c r="AD334" t="n">
        <v>0</v>
      </c>
      <c r="AE334" t="inlineStr"/>
      <c r="AF334" t="inlineStr"/>
      <c r="AG334" t="inlineStr"/>
      <c r="AH334" t="inlineStr"/>
      <c r="AI334" t="inlineStr"/>
      <c r="AJ334" t="inlineStr"/>
      <c r="AK334" t="inlineStr"/>
      <c r="AL334" t="inlineStr"/>
      <c r="AM334" t="inlineStr"/>
    </row>
    <row r="335">
      <c r="A335" t="inlineStr">
        <is>
          <t>092726M</t>
        </is>
      </c>
      <c r="B335" t="inlineStr">
        <is>
          <t>Master of Management (Human Resources)</t>
        </is>
      </c>
      <c r="C335" t="inlineStr">
        <is>
          <t>Masters Degree (Coursework)</t>
        </is>
      </c>
      <c r="D335" t="inlineStr">
        <is>
          <t>Postgraduate coursework</t>
        </is>
      </c>
      <c r="E335" t="inlineStr">
        <is>
          <t>Advertised: official page in place</t>
        </is>
      </c>
      <c r="F335" t="inlineStr">
        <is>
          <t>https://study.unimelb.edu.au/find/courses/graduate/master-of-management-human-resources/</t>
        </is>
      </c>
      <c r="G335" t="inlineStr">
        <is>
          <t>https://study.unimelb.edu.au/find/courses/graduate/master-of-management-human-resources/</t>
        </is>
      </c>
      <c r="H335" t="inlineStr">
        <is>
          <t>Read</t>
        </is>
      </c>
      <c r="I335" t="inlineStr">
        <is>
          <t>CRICOS code on page</t>
        </is>
      </c>
      <c r="J335" t="inlineStr"/>
      <c r="K335" t="inlineStr">
        <is>
          <t>Not sent to re-link</t>
        </is>
      </c>
      <c r="L335" t="inlineStr">
        <is>
          <t>Filled</t>
        </is>
      </c>
      <c r="M335" t="inlineStr">
        <is>
          <t>Filled</t>
        </is>
      </c>
      <c r="N335" t="inlineStr">
        <is>
          <t>65248.00 2027</t>
        </is>
      </c>
      <c r="O335" t="n">
        <v>3</v>
      </c>
      <c r="P335" t="inlineStr">
        <is>
          <t>Other</t>
        </is>
      </c>
      <c r="Q335" t="inlineStr">
        <is>
          <t>Filled</t>
        </is>
      </c>
      <c r="R335" t="n">
        <v>6.5</v>
      </c>
      <c r="S335" t="inlineStr">
        <is>
          <t>University adapter</t>
        </is>
      </c>
      <c r="T335" t="inlineStr">
        <is>
          <t>Level map (Melbourne): not computed per course in this report</t>
        </is>
      </c>
      <c r="U335" t="inlineStr"/>
      <c r="V335" t="inlineStr">
        <is>
          <t>Filled</t>
        </is>
      </c>
      <c r="W335" t="inlineStr">
        <is>
          <t>March, July</t>
        </is>
      </c>
      <c r="X335" t="inlineStr">
        <is>
          <t>Other</t>
        </is>
      </c>
      <c r="Y335" t="n">
        <v>0</v>
      </c>
      <c r="Z335" t="inlineStr">
        <is>
          <t>No</t>
        </is>
      </c>
      <c r="AA335" t="inlineStr">
        <is>
          <t>Filled</t>
        </is>
      </c>
      <c r="AB335" t="inlineStr">
        <is>
          <t>on campus</t>
        </is>
      </c>
      <c r="AC335" t="inlineStr"/>
      <c r="AD335" t="n">
        <v>0</v>
      </c>
      <c r="AE335" t="inlineStr"/>
      <c r="AF335" t="inlineStr"/>
      <c r="AG335" t="inlineStr"/>
      <c r="AH335" t="inlineStr"/>
      <c r="AI335" t="inlineStr"/>
      <c r="AJ335" t="inlineStr"/>
      <c r="AK335" t="inlineStr"/>
      <c r="AL335" t="inlineStr"/>
      <c r="AM335" t="inlineStr"/>
    </row>
    <row r="336">
      <c r="A336" t="inlineStr">
        <is>
          <t>064503C</t>
        </is>
      </c>
      <c r="B336" t="inlineStr">
        <is>
          <t>Master of Management (Marketing)</t>
        </is>
      </c>
      <c r="C336" t="inlineStr">
        <is>
          <t>Masters Degree (Coursework)</t>
        </is>
      </c>
      <c r="D336" t="inlineStr">
        <is>
          <t>Postgraduate coursework</t>
        </is>
      </c>
      <c r="E336" t="inlineStr">
        <is>
          <t>Advertised: official page in place</t>
        </is>
      </c>
      <c r="F336" t="inlineStr">
        <is>
          <t>https://study.unimelb.edu.au/find/courses/graduate/master-of-management-marketing/</t>
        </is>
      </c>
      <c r="G336" t="inlineStr">
        <is>
          <t>https://study.unimelb.edu.au/find/courses/graduate/master-of-management-marketing/</t>
        </is>
      </c>
      <c r="H336" t="inlineStr">
        <is>
          <t>Read</t>
        </is>
      </c>
      <c r="I336" t="inlineStr">
        <is>
          <t>CRICOS code on page</t>
        </is>
      </c>
      <c r="J336" t="inlineStr"/>
      <c r="K336" t="inlineStr">
        <is>
          <t>Not sent to re-link</t>
        </is>
      </c>
      <c r="L336" t="inlineStr">
        <is>
          <t>Filled</t>
        </is>
      </c>
      <c r="M336" t="inlineStr">
        <is>
          <t>Filled</t>
        </is>
      </c>
      <c r="N336" t="inlineStr">
        <is>
          <t>65248.00 2027</t>
        </is>
      </c>
      <c r="O336" t="n">
        <v>3</v>
      </c>
      <c r="P336" t="inlineStr">
        <is>
          <t>Other</t>
        </is>
      </c>
      <c r="Q336" t="inlineStr">
        <is>
          <t>Filled</t>
        </is>
      </c>
      <c r="R336" t="n">
        <v>6.5</v>
      </c>
      <c r="S336" t="inlineStr">
        <is>
          <t>University adapter</t>
        </is>
      </c>
      <c r="T336" t="inlineStr">
        <is>
          <t>Level map (Melbourne): not computed per course in this report</t>
        </is>
      </c>
      <c r="U336" t="inlineStr"/>
      <c r="V336" t="inlineStr">
        <is>
          <t>Filled</t>
        </is>
      </c>
      <c r="W336" t="inlineStr">
        <is>
          <t>March, July</t>
        </is>
      </c>
      <c r="X336" t="inlineStr">
        <is>
          <t>Other</t>
        </is>
      </c>
      <c r="Y336" t="n">
        <v>0</v>
      </c>
      <c r="Z336" t="inlineStr">
        <is>
          <t>No</t>
        </is>
      </c>
      <c r="AA336" t="inlineStr">
        <is>
          <t>Filled</t>
        </is>
      </c>
      <c r="AB336" t="inlineStr">
        <is>
          <t>on campus</t>
        </is>
      </c>
      <c r="AC336" t="inlineStr"/>
      <c r="AD336" t="n">
        <v>0</v>
      </c>
      <c r="AE336" t="inlineStr"/>
      <c r="AF336" t="inlineStr"/>
      <c r="AG336" t="inlineStr"/>
      <c r="AH336" t="inlineStr"/>
      <c r="AI336" t="inlineStr"/>
      <c r="AJ336" t="inlineStr"/>
      <c r="AK336" t="inlineStr"/>
      <c r="AL336" t="inlineStr"/>
      <c r="AM336" t="inlineStr"/>
    </row>
    <row r="337">
      <c r="A337" t="inlineStr">
        <is>
          <t>116967C</t>
        </is>
      </c>
      <c r="B337" t="inlineStr">
        <is>
          <t>Master of Management (Supply Chain Management)</t>
        </is>
      </c>
      <c r="C337" t="inlineStr">
        <is>
          <t>Masters Degree (Coursework)</t>
        </is>
      </c>
      <c r="D337" t="inlineStr">
        <is>
          <t>Postgraduate coursework</t>
        </is>
      </c>
      <c r="E337" t="inlineStr">
        <is>
          <t>Advertised: official page in place</t>
        </is>
      </c>
      <c r="F337" t="inlineStr">
        <is>
          <t>https://study.unimelb.edu.au/find/courses/graduate/master-of-management-supply-chain-management</t>
        </is>
      </c>
      <c r="G337" t="inlineStr">
        <is>
          <t>https://study.unimelb.edu.au/find/courses/graduate/master-of-management-supply-chain-management</t>
        </is>
      </c>
      <c r="H337" t="inlineStr">
        <is>
          <t>Read</t>
        </is>
      </c>
      <c r="I337" t="inlineStr">
        <is>
          <t>CRICOS code on page</t>
        </is>
      </c>
      <c r="J337" t="inlineStr"/>
      <c r="K337" t="inlineStr">
        <is>
          <t>Not sent to re-link</t>
        </is>
      </c>
      <c r="L337" t="inlineStr">
        <is>
          <t>Filled</t>
        </is>
      </c>
      <c r="M337" t="inlineStr">
        <is>
          <t>Filled</t>
        </is>
      </c>
      <c r="N337" t="inlineStr">
        <is>
          <t>65248.00 2027</t>
        </is>
      </c>
      <c r="O337" t="n">
        <v>3</v>
      </c>
      <c r="P337" t="inlineStr">
        <is>
          <t>Other</t>
        </is>
      </c>
      <c r="Q337" t="inlineStr">
        <is>
          <t>Filled</t>
        </is>
      </c>
      <c r="R337" t="n">
        <v>6.5</v>
      </c>
      <c r="S337" t="inlineStr">
        <is>
          <t>University adapter</t>
        </is>
      </c>
      <c r="T337" t="inlineStr">
        <is>
          <t>Level map (Melbourne): not computed per course in this report</t>
        </is>
      </c>
      <c r="U337" t="inlineStr"/>
      <c r="V337" t="inlineStr">
        <is>
          <t>Filled</t>
        </is>
      </c>
      <c r="W337" t="inlineStr">
        <is>
          <t>March, July</t>
        </is>
      </c>
      <c r="X337" t="inlineStr">
        <is>
          <t>Other</t>
        </is>
      </c>
      <c r="Y337" t="n">
        <v>0</v>
      </c>
      <c r="Z337" t="inlineStr">
        <is>
          <t>No</t>
        </is>
      </c>
      <c r="AA337" t="inlineStr">
        <is>
          <t>Filled</t>
        </is>
      </c>
      <c r="AB337" t="inlineStr">
        <is>
          <t>on campus</t>
        </is>
      </c>
      <c r="AC337" t="inlineStr"/>
      <c r="AD337" t="n">
        <v>0</v>
      </c>
      <c r="AE337" t="inlineStr"/>
      <c r="AF337" t="inlineStr"/>
      <c r="AG337" t="inlineStr"/>
      <c r="AH337" t="inlineStr"/>
      <c r="AI337" t="inlineStr"/>
      <c r="AJ337" t="inlineStr"/>
      <c r="AK337" t="inlineStr"/>
      <c r="AL337" t="inlineStr"/>
      <c r="AM337" t="inlineStr"/>
    </row>
    <row r="338">
      <c r="A338" t="inlineStr">
        <is>
          <t>055075D</t>
        </is>
      </c>
      <c r="B338" t="inlineStr">
        <is>
          <t>Master of Marketing</t>
        </is>
      </c>
      <c r="C338" t="inlineStr">
        <is>
          <t>Masters Degree (Coursework)</t>
        </is>
      </c>
      <c r="D338" t="inlineStr">
        <is>
          <t>Postgraduate coursework</t>
        </is>
      </c>
      <c r="E338" t="inlineStr">
        <is>
          <t>Advertised: official page in place</t>
        </is>
      </c>
      <c r="F338" t="inlineStr">
        <is>
          <t>https://study.unimelb.edu.au/find/courses/graduate/master-of-marketing/</t>
        </is>
      </c>
      <c r="G338" t="inlineStr">
        <is>
          <t>https://study.unimelb.edu.au/find/courses/graduate/master-of-marketing/</t>
        </is>
      </c>
      <c r="H338" t="inlineStr">
        <is>
          <t>Read</t>
        </is>
      </c>
      <c r="I338" t="inlineStr">
        <is>
          <t>Exact title match</t>
        </is>
      </c>
      <c r="J338" t="inlineStr"/>
      <c r="K338" t="inlineStr">
        <is>
          <t>Not sent to re-link</t>
        </is>
      </c>
      <c r="L338" t="inlineStr">
        <is>
          <t>Filled</t>
        </is>
      </c>
      <c r="M338" t="inlineStr">
        <is>
          <t>Not stated on course page</t>
        </is>
      </c>
      <c r="N338" t="inlineStr"/>
      <c r="O338" t="n">
        <v>0</v>
      </c>
      <c r="P338" t="inlineStr"/>
      <c r="Q338" t="inlineStr">
        <is>
          <t>Not stated on course page</t>
        </is>
      </c>
      <c r="S338" t="inlineStr"/>
      <c r="T338" t="inlineStr">
        <is>
          <t>Level map (Melbourne): not computed per course in this report</t>
        </is>
      </c>
      <c r="U338" t="inlineStr"/>
      <c r="V338" t="inlineStr">
        <is>
          <t>Not stated on course page</t>
        </is>
      </c>
      <c r="W338" t="inlineStr"/>
      <c r="X338" t="inlineStr"/>
      <c r="Y338" t="n">
        <v>0</v>
      </c>
      <c r="Z338" t="inlineStr">
        <is>
          <t>No</t>
        </is>
      </c>
      <c r="AA338" t="inlineStr">
        <is>
          <t>Filled</t>
        </is>
      </c>
      <c r="AB338" t="inlineStr">
        <is>
          <t>on campus</t>
        </is>
      </c>
      <c r="AC338" t="inlineStr"/>
      <c r="AD338" t="n">
        <v>0</v>
      </c>
      <c r="AE338" t="inlineStr"/>
      <c r="AF338" t="inlineStr"/>
      <c r="AG338" t="inlineStr"/>
      <c r="AH338" t="inlineStr"/>
      <c r="AI338" t="inlineStr">
        <is>
          <t>Yes</t>
        </is>
      </c>
      <c r="AJ338" t="inlineStr"/>
      <c r="AK338" t="inlineStr"/>
      <c r="AL338" t="inlineStr"/>
      <c r="AM338" t="inlineStr"/>
    </row>
    <row r="339">
      <c r="A339" t="inlineStr">
        <is>
          <t>085102B</t>
        </is>
      </c>
      <c r="B339" t="inlineStr">
        <is>
          <t>Master of Marketing Communications</t>
        </is>
      </c>
      <c r="C339" t="inlineStr">
        <is>
          <t>Masters Degree (Coursework)</t>
        </is>
      </c>
      <c r="D339" t="inlineStr">
        <is>
          <t>Postgraduate coursework</t>
        </is>
      </c>
      <c r="E339" t="inlineStr">
        <is>
          <t>Advertised: official page in place</t>
        </is>
      </c>
      <c r="F339" t="inlineStr">
        <is>
          <t>https://study.unimelb.edu.au/find/courses/graduate/master-of-marketing-communications/</t>
        </is>
      </c>
      <c r="G339" t="inlineStr">
        <is>
          <t>https://study.unimelb.edu.au/find/courses/graduate/master-of-marketing-communications/</t>
        </is>
      </c>
      <c r="H339" t="inlineStr">
        <is>
          <t>Read</t>
        </is>
      </c>
      <c r="I339" t="inlineStr">
        <is>
          <t>CRICOS code on page</t>
        </is>
      </c>
      <c r="J339" t="inlineStr"/>
      <c r="K339" t="inlineStr">
        <is>
          <t>Not sent to re-link</t>
        </is>
      </c>
      <c r="L339" t="inlineStr">
        <is>
          <t>Filled</t>
        </is>
      </c>
      <c r="M339" t="inlineStr">
        <is>
          <t>Filled</t>
        </is>
      </c>
      <c r="N339" t="inlineStr">
        <is>
          <t>52416.00 2027</t>
        </is>
      </c>
      <c r="O339" t="n">
        <v>3</v>
      </c>
      <c r="P339" t="inlineStr">
        <is>
          <t>Other</t>
        </is>
      </c>
      <c r="Q339" t="inlineStr">
        <is>
          <t>Filled</t>
        </is>
      </c>
      <c r="R339" t="n">
        <v>6.5</v>
      </c>
      <c r="S339" t="inlineStr">
        <is>
          <t>University adapter</t>
        </is>
      </c>
      <c r="T339" t="inlineStr">
        <is>
          <t>Level map (Melbourne): not computed per course in this report</t>
        </is>
      </c>
      <c r="U339" t="inlineStr"/>
      <c r="V339" t="inlineStr">
        <is>
          <t>Filled</t>
        </is>
      </c>
      <c r="W339" t="inlineStr">
        <is>
          <t>March, July</t>
        </is>
      </c>
      <c r="X339" t="inlineStr">
        <is>
          <t>University adapter</t>
        </is>
      </c>
      <c r="Y339" t="n">
        <v>0</v>
      </c>
      <c r="Z339" t="inlineStr">
        <is>
          <t>No</t>
        </is>
      </c>
      <c r="AA339" t="inlineStr">
        <is>
          <t>Filled</t>
        </is>
      </c>
      <c r="AB339" t="inlineStr">
        <is>
          <t>on campus</t>
        </is>
      </c>
      <c r="AC339" t="inlineStr"/>
      <c r="AD339" t="n">
        <v>0</v>
      </c>
      <c r="AE339" t="inlineStr"/>
      <c r="AF339" t="inlineStr"/>
      <c r="AG339" t="inlineStr"/>
      <c r="AH339" t="inlineStr"/>
      <c r="AI339" t="inlineStr"/>
      <c r="AJ339" t="inlineStr"/>
      <c r="AK339" t="inlineStr"/>
      <c r="AL339" t="inlineStr"/>
      <c r="AM339" t="inlineStr"/>
    </row>
    <row r="340">
      <c r="A340" t="inlineStr">
        <is>
          <t>106108G</t>
        </is>
      </c>
      <c r="B340" t="inlineStr">
        <is>
          <t>Master of Mechanical Engineering</t>
        </is>
      </c>
      <c r="C340" t="inlineStr">
        <is>
          <t>Masters Degree (Coursework)</t>
        </is>
      </c>
      <c r="D340" t="inlineStr">
        <is>
          <t>Postgraduate coursework</t>
        </is>
      </c>
      <c r="E340" t="inlineStr">
        <is>
          <t>Advertised: official page in place</t>
        </is>
      </c>
      <c r="F340" t="inlineStr">
        <is>
          <t>https://study.unimelb.edu.au/find/courses/graduate/master-of-mechanical-engineering/</t>
        </is>
      </c>
      <c r="G340" t="inlineStr">
        <is>
          <t>https://study.unimelb.edu.au/find/courses/graduate/master-of-mechanical-engineering/</t>
        </is>
      </c>
      <c r="H340" t="inlineStr">
        <is>
          <t>Read</t>
        </is>
      </c>
      <c r="I340" t="inlineStr">
        <is>
          <t>CRICOS code on page</t>
        </is>
      </c>
      <c r="J340" t="inlineStr"/>
      <c r="K340" t="inlineStr">
        <is>
          <t>Not sent to re-link</t>
        </is>
      </c>
      <c r="L340" t="inlineStr">
        <is>
          <t>Filled</t>
        </is>
      </c>
      <c r="M340" t="inlineStr">
        <is>
          <t>Filled</t>
        </is>
      </c>
      <c r="N340" t="inlineStr">
        <is>
          <t>66752.00 2027</t>
        </is>
      </c>
      <c r="O340" t="n">
        <v>2</v>
      </c>
      <c r="P340" t="inlineStr">
        <is>
          <t>Other</t>
        </is>
      </c>
      <c r="Q340" t="inlineStr">
        <is>
          <t>Filled</t>
        </is>
      </c>
      <c r="R340" t="n">
        <v>6.5</v>
      </c>
      <c r="S340" t="inlineStr">
        <is>
          <t>University adapter</t>
        </is>
      </c>
      <c r="T340" t="inlineStr">
        <is>
          <t>Level map (Melbourne): not computed per course in this report</t>
        </is>
      </c>
      <c r="U340" t="inlineStr"/>
      <c r="V340" t="inlineStr">
        <is>
          <t>Filled</t>
        </is>
      </c>
      <c r="W340" t="inlineStr">
        <is>
          <t>March, July</t>
        </is>
      </c>
      <c r="X340" t="inlineStr">
        <is>
          <t>Other</t>
        </is>
      </c>
      <c r="Y340" t="n">
        <v>0</v>
      </c>
      <c r="Z340" t="inlineStr">
        <is>
          <t>No</t>
        </is>
      </c>
      <c r="AA340" t="inlineStr">
        <is>
          <t>Filled</t>
        </is>
      </c>
      <c r="AB340" t="inlineStr">
        <is>
          <t>on campus</t>
        </is>
      </c>
      <c r="AC340" t="inlineStr"/>
      <c r="AD340" t="n">
        <v>0</v>
      </c>
      <c r="AE340" t="inlineStr"/>
      <c r="AF340" t="inlineStr"/>
      <c r="AG340" t="inlineStr"/>
      <c r="AH340" t="inlineStr"/>
      <c r="AI340" t="inlineStr"/>
      <c r="AJ340" t="inlineStr"/>
      <c r="AK340" t="inlineStr"/>
      <c r="AL340" t="inlineStr"/>
      <c r="AM340" t="inlineStr"/>
    </row>
    <row r="341">
      <c r="A341" t="inlineStr">
        <is>
          <t>106109F</t>
        </is>
      </c>
      <c r="B341" t="inlineStr">
        <is>
          <t>Master of Mechatronics Engineering</t>
        </is>
      </c>
      <c r="C341" t="inlineStr">
        <is>
          <t>Masters Degree (Coursework)</t>
        </is>
      </c>
      <c r="D341" t="inlineStr">
        <is>
          <t>Postgraduate coursework</t>
        </is>
      </c>
      <c r="E341" t="inlineStr">
        <is>
          <t>Advertised: official page in place</t>
        </is>
      </c>
      <c r="F341" t="inlineStr">
        <is>
          <t>https://handbook.unimelb.edu.au/2026/courses/mc-mtrneng</t>
        </is>
      </c>
      <c r="G341" t="inlineStr">
        <is>
          <t>https://handbook.unimelb.edu.au/2026/courses/mc-mtrneng</t>
        </is>
      </c>
      <c r="H341" t="inlineStr">
        <is>
          <t>Read</t>
        </is>
      </c>
      <c r="I341" t="inlineStr">
        <is>
          <t>CRICOS code on page</t>
        </is>
      </c>
      <c r="J341" t="inlineStr"/>
      <c r="K341" t="inlineStr">
        <is>
          <t>Not sent to re-link</t>
        </is>
      </c>
      <c r="L341" t="inlineStr">
        <is>
          <t>Filled</t>
        </is>
      </c>
      <c r="M341" t="inlineStr">
        <is>
          <t>Filled</t>
        </is>
      </c>
      <c r="N341" t="inlineStr">
        <is>
          <t>66752.00 2027</t>
        </is>
      </c>
      <c r="O341" t="n">
        <v>2</v>
      </c>
      <c r="P341" t="inlineStr">
        <is>
          <t>Other</t>
        </is>
      </c>
      <c r="Q341" t="inlineStr">
        <is>
          <t>Filled</t>
        </is>
      </c>
      <c r="R341" t="n">
        <v>6.5</v>
      </c>
      <c r="S341" t="inlineStr">
        <is>
          <t>Central English policy</t>
        </is>
      </c>
      <c r="T341" t="inlineStr">
        <is>
          <t>Level map (Melbourne): not computed per course in this report</t>
        </is>
      </c>
      <c r="U341" t="inlineStr"/>
      <c r="V341" t="inlineStr">
        <is>
          <t>Not stated on course page</t>
        </is>
      </c>
      <c r="W341" t="inlineStr"/>
      <c r="X341" t="inlineStr"/>
      <c r="Y341" t="n">
        <v>0</v>
      </c>
      <c r="Z341" t="inlineStr">
        <is>
          <t>No</t>
        </is>
      </c>
      <c r="AA341" t="inlineStr">
        <is>
          <t>Filled</t>
        </is>
      </c>
      <c r="AB341" t="inlineStr">
        <is>
          <t>on campus</t>
        </is>
      </c>
      <c r="AC341" t="inlineStr"/>
      <c r="AD341" t="n">
        <v>0</v>
      </c>
      <c r="AE341" t="inlineStr"/>
      <c r="AF341" t="inlineStr"/>
      <c r="AG341" t="inlineStr"/>
      <c r="AH341" t="inlineStr"/>
      <c r="AI341" t="inlineStr">
        <is>
          <t>Yes</t>
        </is>
      </c>
      <c r="AJ341" t="inlineStr"/>
      <c r="AK341" t="inlineStr"/>
      <c r="AL341" t="inlineStr"/>
      <c r="AM341" t="inlineStr"/>
    </row>
    <row r="342">
      <c r="A342" t="inlineStr">
        <is>
          <t>119131A</t>
        </is>
      </c>
      <c r="B342" t="inlineStr">
        <is>
          <t>Master of Medical Studies (Enhanced)</t>
        </is>
      </c>
      <c r="C342" t="inlineStr">
        <is>
          <t>Masters Degree (Coursework)</t>
        </is>
      </c>
      <c r="D342" t="inlineStr">
        <is>
          <t>Postgraduate coursework</t>
        </is>
      </c>
      <c r="E342" t="inlineStr">
        <is>
          <t>Advertised: official page in place</t>
        </is>
      </c>
      <c r="F342" t="inlineStr">
        <is>
          <t>https://handbook.unimelb.edu.au/2026/courses/mc-mse</t>
        </is>
      </c>
      <c r="G342" t="inlineStr">
        <is>
          <t>https://handbook.unimelb.edu.au/2026/courses/mc-mse</t>
        </is>
      </c>
      <c r="H342" t="inlineStr">
        <is>
          <t>Read</t>
        </is>
      </c>
      <c r="I342" t="inlineStr">
        <is>
          <t>CRICOS code on page</t>
        </is>
      </c>
      <c r="J342" t="inlineStr"/>
      <c r="K342" t="inlineStr">
        <is>
          <t>Not sent to re-link</t>
        </is>
      </c>
      <c r="L342" t="inlineStr">
        <is>
          <t>Filled</t>
        </is>
      </c>
      <c r="M342" t="inlineStr">
        <is>
          <t>Not stated on course page</t>
        </is>
      </c>
      <c r="N342" t="inlineStr"/>
      <c r="O342" t="n">
        <v>0</v>
      </c>
      <c r="P342" t="inlineStr"/>
      <c r="Q342" t="inlineStr">
        <is>
          <t>Not stated on course page</t>
        </is>
      </c>
      <c r="S342" t="inlineStr"/>
      <c r="T342" t="inlineStr">
        <is>
          <t>Level map (Melbourne): not computed per course in this report</t>
        </is>
      </c>
      <c r="U342" t="inlineStr"/>
      <c r="V342" t="inlineStr">
        <is>
          <t>Not stated on course page</t>
        </is>
      </c>
      <c r="W342" t="inlineStr"/>
      <c r="X342" t="inlineStr"/>
      <c r="Y342" t="n">
        <v>0</v>
      </c>
      <c r="Z342" t="inlineStr">
        <is>
          <t>No</t>
        </is>
      </c>
      <c r="AA342" t="inlineStr">
        <is>
          <t>Filled</t>
        </is>
      </c>
      <c r="AB342" t="inlineStr">
        <is>
          <t>on campus</t>
        </is>
      </c>
      <c r="AC342" t="inlineStr"/>
      <c r="AD342" t="n">
        <v>0</v>
      </c>
      <c r="AE342" t="inlineStr"/>
      <c r="AF342" t="inlineStr"/>
      <c r="AG342" t="inlineStr"/>
      <c r="AH342" t="inlineStr"/>
      <c r="AI342" t="inlineStr">
        <is>
          <t>Yes</t>
        </is>
      </c>
      <c r="AJ342" t="inlineStr"/>
      <c r="AK342" t="inlineStr"/>
      <c r="AL342" t="inlineStr"/>
      <c r="AM342" t="inlineStr"/>
    </row>
    <row r="343">
      <c r="A343" t="inlineStr">
        <is>
          <t>119130B</t>
        </is>
      </c>
      <c r="B343" t="inlineStr">
        <is>
          <t>Master of Medical Studies (Exit Only)</t>
        </is>
      </c>
      <c r="C343" t="inlineStr">
        <is>
          <t>Masters Degree (Coursework)</t>
        </is>
      </c>
      <c r="D343" t="inlineStr">
        <is>
          <t>Postgraduate coursework</t>
        </is>
      </c>
      <c r="E343" t="inlineStr">
        <is>
          <t>Advertised: official page in place</t>
        </is>
      </c>
      <c r="F343" t="inlineStr">
        <is>
          <t>https://handbook.unimelb.edu.au/2026/courses/mc-ms</t>
        </is>
      </c>
      <c r="G343" t="inlineStr">
        <is>
          <t>https://handbook.unimelb.edu.au/2026/courses/mc-ms</t>
        </is>
      </c>
      <c r="H343" t="inlineStr">
        <is>
          <t>Read</t>
        </is>
      </c>
      <c r="I343" t="inlineStr">
        <is>
          <t>CRICOS code on page</t>
        </is>
      </c>
      <c r="J343" t="inlineStr"/>
      <c r="K343" t="inlineStr">
        <is>
          <t>Not sent to re-link</t>
        </is>
      </c>
      <c r="L343" t="inlineStr">
        <is>
          <t>Filled</t>
        </is>
      </c>
      <c r="M343" t="inlineStr">
        <is>
          <t>Not stated on course page</t>
        </is>
      </c>
      <c r="N343" t="inlineStr"/>
      <c r="O343" t="n">
        <v>0</v>
      </c>
      <c r="P343" t="inlineStr"/>
      <c r="Q343" t="inlineStr">
        <is>
          <t>Not stated on course page</t>
        </is>
      </c>
      <c r="S343" t="inlineStr"/>
      <c r="T343" t="inlineStr">
        <is>
          <t>Level map (Melbourne): not computed per course in this report</t>
        </is>
      </c>
      <c r="U343" t="inlineStr"/>
      <c r="V343" t="inlineStr">
        <is>
          <t>Not stated on course page</t>
        </is>
      </c>
      <c r="W343" t="inlineStr"/>
      <c r="X343" t="inlineStr"/>
      <c r="Y343" t="n">
        <v>0</v>
      </c>
      <c r="Z343" t="inlineStr">
        <is>
          <t>No</t>
        </is>
      </c>
      <c r="AA343" t="inlineStr">
        <is>
          <t>Filled</t>
        </is>
      </c>
      <c r="AB343" t="inlineStr">
        <is>
          <t>on campus</t>
        </is>
      </c>
      <c r="AC343" t="inlineStr"/>
      <c r="AD343" t="n">
        <v>0</v>
      </c>
      <c r="AE343" t="inlineStr"/>
      <c r="AF343" t="inlineStr"/>
      <c r="AG343" t="inlineStr"/>
      <c r="AH343" t="inlineStr"/>
      <c r="AI343" t="inlineStr">
        <is>
          <t>Yes</t>
        </is>
      </c>
      <c r="AJ343" t="inlineStr"/>
      <c r="AK343" t="inlineStr"/>
      <c r="AL343" t="inlineStr"/>
      <c r="AM343" t="inlineStr"/>
    </row>
    <row r="344">
      <c r="A344" t="inlineStr">
        <is>
          <t>121224M</t>
        </is>
      </c>
      <c r="B344" t="inlineStr">
        <is>
          <t>Master of Medical Technology Innovation</t>
        </is>
      </c>
      <c r="C344" t="inlineStr">
        <is>
          <t>Masters Degree (Coursework)</t>
        </is>
      </c>
      <c r="D344" t="inlineStr">
        <is>
          <t>Postgraduate coursework</t>
        </is>
      </c>
      <c r="E344" t="inlineStr">
        <is>
          <t>Advertised: official page in place</t>
        </is>
      </c>
      <c r="F344" t="inlineStr">
        <is>
          <t>https://handbook.unimelb.edu.au/2026/courses/mc-mti</t>
        </is>
      </c>
      <c r="G344" t="inlineStr">
        <is>
          <t>https://handbook.unimelb.edu.au/2026/courses/mc-mti</t>
        </is>
      </c>
      <c r="H344" t="inlineStr">
        <is>
          <t>Read</t>
        </is>
      </c>
      <c r="I344" t="inlineStr">
        <is>
          <t>CRICOS code on page</t>
        </is>
      </c>
      <c r="J344" t="inlineStr"/>
      <c r="K344" t="inlineStr">
        <is>
          <t>Not sent to re-link</t>
        </is>
      </c>
      <c r="L344" t="inlineStr">
        <is>
          <t>Filled</t>
        </is>
      </c>
      <c r="M344" t="inlineStr">
        <is>
          <t>Not stated on course page</t>
        </is>
      </c>
      <c r="N344" t="inlineStr"/>
      <c r="O344" t="n">
        <v>0</v>
      </c>
      <c r="P344" t="inlineStr"/>
      <c r="Q344" t="inlineStr">
        <is>
          <t>Filled</t>
        </is>
      </c>
      <c r="R344" t="n">
        <v>6.5</v>
      </c>
      <c r="S344" t="inlineStr">
        <is>
          <t>Central English policy</t>
        </is>
      </c>
      <c r="T344" t="inlineStr">
        <is>
          <t>Level map (Melbourne): not computed per course in this report</t>
        </is>
      </c>
      <c r="U344" t="inlineStr"/>
      <c r="V344" t="inlineStr">
        <is>
          <t>Not stated on course page</t>
        </is>
      </c>
      <c r="W344" t="inlineStr"/>
      <c r="X344" t="inlineStr"/>
      <c r="Y344" t="n">
        <v>0</v>
      </c>
      <c r="Z344" t="inlineStr">
        <is>
          <t>No</t>
        </is>
      </c>
      <c r="AA344" t="inlineStr">
        <is>
          <t>Filled</t>
        </is>
      </c>
      <c r="AB344" t="inlineStr">
        <is>
          <t>on campus</t>
        </is>
      </c>
      <c r="AC344" t="inlineStr"/>
      <c r="AD344" t="n">
        <v>0</v>
      </c>
      <c r="AE344" t="inlineStr"/>
      <c r="AF344" t="inlineStr"/>
      <c r="AG344" t="inlineStr"/>
      <c r="AH344" t="inlineStr"/>
      <c r="AI344" t="inlineStr">
        <is>
          <t>Yes</t>
        </is>
      </c>
      <c r="AJ344" t="inlineStr"/>
      <c r="AK344" t="inlineStr"/>
      <c r="AL344" t="inlineStr"/>
      <c r="AM344" t="inlineStr"/>
    </row>
    <row r="345">
      <c r="A345" t="inlineStr">
        <is>
          <t>007317M</t>
        </is>
      </c>
      <c r="B345" t="inlineStr">
        <is>
          <t>Master of Medicine</t>
        </is>
      </c>
      <c r="C345" t="inlineStr">
        <is>
          <t>Masters Degree (Research)</t>
        </is>
      </c>
      <c r="D345" t="inlineStr">
        <is>
          <t>Research degree</t>
        </is>
      </c>
      <c r="E345" t="inlineStr">
        <is>
          <t>Advertised: official page in place</t>
        </is>
      </c>
      <c r="F345" t="inlineStr">
        <is>
          <t>https://study.unimelb.edu.au/find/courses/graduate/master-of-medicine/</t>
        </is>
      </c>
      <c r="G345" t="inlineStr">
        <is>
          <t>https://study.unimelb.edu.au/find/courses/graduate/master-of-medicine/</t>
        </is>
      </c>
      <c r="H345" t="inlineStr">
        <is>
          <t>Read</t>
        </is>
      </c>
      <c r="I345" t="inlineStr">
        <is>
          <t>CRICOS code on page</t>
        </is>
      </c>
      <c r="J345" t="inlineStr"/>
      <c r="K345" t="inlineStr">
        <is>
          <t>Not sent to re-link</t>
        </is>
      </c>
      <c r="L345" t="inlineStr">
        <is>
          <t>Filled</t>
        </is>
      </c>
      <c r="M345" t="inlineStr">
        <is>
          <t>Filled</t>
        </is>
      </c>
      <c r="N345" t="inlineStr">
        <is>
          <t>64640.00 2027</t>
        </is>
      </c>
      <c r="O345" t="n">
        <v>3</v>
      </c>
      <c r="P345" t="inlineStr">
        <is>
          <t>Other</t>
        </is>
      </c>
      <c r="Q345" t="inlineStr">
        <is>
          <t>Not stated on course page</t>
        </is>
      </c>
      <c r="S345" t="inlineStr"/>
      <c r="T345" t="inlineStr">
        <is>
          <t>Level map (Melbourne): not computed per course in this report</t>
        </is>
      </c>
      <c r="U345" t="inlineStr"/>
      <c r="V345" t="inlineStr">
        <is>
          <t>Waiting for Layer 4 review</t>
        </is>
      </c>
      <c r="W345" t="inlineStr"/>
      <c r="X345" t="inlineStr"/>
      <c r="Y345" t="n">
        <v>0</v>
      </c>
      <c r="Z345" t="inlineStr">
        <is>
          <t>No</t>
        </is>
      </c>
      <c r="AA345" t="inlineStr">
        <is>
          <t>Filled</t>
        </is>
      </c>
      <c r="AB345" t="inlineStr">
        <is>
          <t>on campus</t>
        </is>
      </c>
      <c r="AC345" t="inlineStr"/>
      <c r="AD345" t="n">
        <v>0</v>
      </c>
      <c r="AE345" t="inlineStr"/>
      <c r="AF345" t="inlineStr">
        <is>
          <t>Yes</t>
        </is>
      </c>
      <c r="AG345" t="inlineStr"/>
      <c r="AH345" t="inlineStr"/>
      <c r="AI345" t="inlineStr">
        <is>
          <t>Yes</t>
        </is>
      </c>
      <c r="AJ345" t="inlineStr"/>
      <c r="AK345" t="inlineStr"/>
      <c r="AL345" t="inlineStr"/>
      <c r="AM345" t="inlineStr"/>
    </row>
    <row r="346">
      <c r="A346" t="inlineStr">
        <is>
          <t>095990D</t>
        </is>
      </c>
      <c r="B346" t="inlineStr">
        <is>
          <t>Master of Modern Languages Education</t>
        </is>
      </c>
      <c r="C346" t="inlineStr">
        <is>
          <t>Masters Degree (Coursework)</t>
        </is>
      </c>
      <c r="D346" t="inlineStr">
        <is>
          <t>Postgraduate coursework</t>
        </is>
      </c>
      <c r="E346" t="inlineStr">
        <is>
          <t>Advertised: official page in place</t>
        </is>
      </c>
      <c r="F346" t="inlineStr">
        <is>
          <t>https://handbook.unimelb.edu.au/2026/courses/mc-mled</t>
        </is>
      </c>
      <c r="G346" t="inlineStr">
        <is>
          <t>https://handbook.unimelb.edu.au/2026/courses/mc-mled</t>
        </is>
      </c>
      <c r="H346" t="inlineStr">
        <is>
          <t>Read</t>
        </is>
      </c>
      <c r="I346" t="inlineStr">
        <is>
          <t>CRICOS code on page</t>
        </is>
      </c>
      <c r="J346" t="inlineStr"/>
      <c r="K346" t="inlineStr">
        <is>
          <t>Not sent to re-link</t>
        </is>
      </c>
      <c r="L346" t="inlineStr">
        <is>
          <t>Filled</t>
        </is>
      </c>
      <c r="M346" t="inlineStr">
        <is>
          <t>Filled</t>
        </is>
      </c>
      <c r="N346" t="inlineStr">
        <is>
          <t>52960.00 2027</t>
        </is>
      </c>
      <c r="O346" t="n">
        <v>3</v>
      </c>
      <c r="P346" t="inlineStr">
        <is>
          <t>Other</t>
        </is>
      </c>
      <c r="Q346" t="inlineStr">
        <is>
          <t>Filled</t>
        </is>
      </c>
      <c r="R346" t="n">
        <v>7</v>
      </c>
      <c r="S346" t="inlineStr">
        <is>
          <t>Central English policy</t>
        </is>
      </c>
      <c r="T346" t="inlineStr">
        <is>
          <t>Level map (Melbourne): not computed per course in this report</t>
        </is>
      </c>
      <c r="U346" t="inlineStr"/>
      <c r="V346" t="inlineStr">
        <is>
          <t>Not stated on course page</t>
        </is>
      </c>
      <c r="W346" t="inlineStr"/>
      <c r="X346" t="inlineStr"/>
      <c r="Y346" t="n">
        <v>0</v>
      </c>
      <c r="Z346" t="inlineStr">
        <is>
          <t>No</t>
        </is>
      </c>
      <c r="AA346" t="inlineStr">
        <is>
          <t>Filled</t>
        </is>
      </c>
      <c r="AB346" t="inlineStr">
        <is>
          <t>on campus</t>
        </is>
      </c>
      <c r="AC346" t="inlineStr"/>
      <c r="AD346" t="n">
        <v>0</v>
      </c>
      <c r="AE346" t="inlineStr"/>
      <c r="AF346" t="inlineStr"/>
      <c r="AG346" t="inlineStr"/>
      <c r="AH346" t="inlineStr"/>
      <c r="AI346" t="inlineStr">
        <is>
          <t>Yes</t>
        </is>
      </c>
      <c r="AJ346" t="inlineStr"/>
      <c r="AK346" t="inlineStr"/>
      <c r="AL346" t="inlineStr"/>
      <c r="AM346" t="inlineStr"/>
    </row>
    <row r="347">
      <c r="A347" t="inlineStr">
        <is>
          <t>006671A</t>
        </is>
      </c>
      <c r="B347" t="inlineStr">
        <is>
          <t>Master of Music</t>
        </is>
      </c>
      <c r="C347" t="inlineStr">
        <is>
          <t>Masters Degree (Research)</t>
        </is>
      </c>
      <c r="D347" t="inlineStr">
        <is>
          <t>Research degree</t>
        </is>
      </c>
      <c r="E347" t="inlineStr">
        <is>
          <t>Advertised: official page in place</t>
        </is>
      </c>
      <c r="F347" t="inlineStr">
        <is>
          <t>https://study.unimelb.edu.au/find/courses/graduate/master-of-music-performance-teaching/?residency=international</t>
        </is>
      </c>
      <c r="G347" t="inlineStr">
        <is>
          <t>https://study.unimelb.edu.au/find/courses/graduate/master-of-music-performance-teaching/</t>
        </is>
      </c>
      <c r="H347" t="inlineStr">
        <is>
          <t>Read</t>
        </is>
      </c>
      <c r="I347" t="inlineStr">
        <is>
          <t>Exact title match</t>
        </is>
      </c>
      <c r="J347" t="inlineStr"/>
      <c r="K347" t="inlineStr">
        <is>
          <t>Not sent to re-link</t>
        </is>
      </c>
      <c r="L347" t="inlineStr">
        <is>
          <t>Filled</t>
        </is>
      </c>
      <c r="M347" t="inlineStr">
        <is>
          <t>Filled</t>
        </is>
      </c>
      <c r="N347" t="inlineStr">
        <is>
          <t>46976.00 2026</t>
        </is>
      </c>
      <c r="O347" t="n">
        <v>0</v>
      </c>
      <c r="P347" t="inlineStr">
        <is>
          <t>University adapter</t>
        </is>
      </c>
      <c r="Q347" t="inlineStr">
        <is>
          <t>Filled</t>
        </is>
      </c>
      <c r="R347" t="n">
        <v>6.5</v>
      </c>
      <c r="S347" t="inlineStr">
        <is>
          <t>University adapter</t>
        </is>
      </c>
      <c r="T347" t="inlineStr">
        <is>
          <t>Level map (Melbourne): not computed per course in this report</t>
        </is>
      </c>
      <c r="U347" t="inlineStr"/>
      <c r="V347" t="inlineStr">
        <is>
          <t>Filled</t>
        </is>
      </c>
      <c r="W347" t="inlineStr">
        <is>
          <t>March, July</t>
        </is>
      </c>
      <c r="X347" t="inlineStr">
        <is>
          <t>University adapter</t>
        </is>
      </c>
      <c r="Y347" t="n">
        <v>1</v>
      </c>
      <c r="Z347" t="inlineStr">
        <is>
          <t>No</t>
        </is>
      </c>
      <c r="AA347" t="inlineStr">
        <is>
          <t>Filled</t>
        </is>
      </c>
      <c r="AB347" t="inlineStr">
        <is>
          <t>on campus</t>
        </is>
      </c>
      <c r="AC347" t="inlineStr"/>
      <c r="AD347" t="n">
        <v>0</v>
      </c>
      <c r="AE347" t="inlineStr"/>
      <c r="AF347" t="inlineStr"/>
      <c r="AG347" t="inlineStr"/>
      <c r="AH347" t="inlineStr"/>
      <c r="AI347" t="inlineStr"/>
      <c r="AJ347" t="inlineStr"/>
      <c r="AK347" t="inlineStr"/>
      <c r="AL347" t="inlineStr"/>
      <c r="AM347" t="inlineStr"/>
    </row>
    <row r="348">
      <c r="A348" t="inlineStr">
        <is>
          <t>076225K</t>
        </is>
      </c>
      <c r="B348" t="inlineStr">
        <is>
          <t>Master of Music (Opera Performance)</t>
        </is>
      </c>
      <c r="C348" t="inlineStr">
        <is>
          <t>Masters Degree (Coursework)</t>
        </is>
      </c>
      <c r="D348" t="inlineStr">
        <is>
          <t>Postgraduate coursework</t>
        </is>
      </c>
      <c r="E348" t="inlineStr">
        <is>
          <t>Advertised: official page in place</t>
        </is>
      </c>
      <c r="F348" t="inlineStr">
        <is>
          <t>https://study.unimelb.edu.au/find/courses/graduate/master-of-music-opera-performance/</t>
        </is>
      </c>
      <c r="G348" t="inlineStr">
        <is>
          <t>https://study.unimelb.edu.au/find/courses/graduate/master-of-music-opera-performance/</t>
        </is>
      </c>
      <c r="H348" t="inlineStr">
        <is>
          <t>Read</t>
        </is>
      </c>
      <c r="I348" t="inlineStr">
        <is>
          <t>CRICOS code on page</t>
        </is>
      </c>
      <c r="J348" t="inlineStr"/>
      <c r="K348" t="inlineStr">
        <is>
          <t>Not sent to re-link</t>
        </is>
      </c>
      <c r="L348" t="inlineStr">
        <is>
          <t>Filled</t>
        </is>
      </c>
      <c r="M348" t="inlineStr">
        <is>
          <t>Filled</t>
        </is>
      </c>
      <c r="N348" t="inlineStr">
        <is>
          <t>50720.00 2027</t>
        </is>
      </c>
      <c r="O348" t="n">
        <v>3</v>
      </c>
      <c r="P348" t="inlineStr">
        <is>
          <t>Other</t>
        </is>
      </c>
      <c r="Q348" t="inlineStr">
        <is>
          <t>Filled</t>
        </is>
      </c>
      <c r="R348" t="n">
        <v>6.5</v>
      </c>
      <c r="S348" t="inlineStr">
        <is>
          <t>University adapter</t>
        </is>
      </c>
      <c r="T348" t="inlineStr">
        <is>
          <t>Level map (Melbourne): not computed per course in this report</t>
        </is>
      </c>
      <c r="U348" t="inlineStr"/>
      <c r="V348" t="inlineStr">
        <is>
          <t>Filled</t>
        </is>
      </c>
      <c r="W348" t="inlineStr">
        <is>
          <t>February</t>
        </is>
      </c>
      <c r="X348" t="inlineStr">
        <is>
          <t>University adapter</t>
        </is>
      </c>
      <c r="Y348" t="n">
        <v>0</v>
      </c>
      <c r="Z348" t="inlineStr">
        <is>
          <t>No</t>
        </is>
      </c>
      <c r="AA348" t="inlineStr">
        <is>
          <t>Filled</t>
        </is>
      </c>
      <c r="AB348" t="inlineStr">
        <is>
          <t>on campus</t>
        </is>
      </c>
      <c r="AC348" t="inlineStr"/>
      <c r="AD348" t="n">
        <v>0</v>
      </c>
      <c r="AE348" t="inlineStr"/>
      <c r="AF348" t="inlineStr"/>
      <c r="AG348" t="inlineStr"/>
      <c r="AH348" t="inlineStr"/>
      <c r="AI348" t="inlineStr"/>
      <c r="AJ348" t="inlineStr"/>
      <c r="AK348" t="inlineStr"/>
      <c r="AL348" t="inlineStr"/>
      <c r="AM348" t="inlineStr"/>
    </row>
    <row r="349">
      <c r="A349" t="inlineStr">
        <is>
          <t>094859D</t>
        </is>
      </c>
      <c r="B349" t="inlineStr">
        <is>
          <t>Master of Music (Orchestral Performance)</t>
        </is>
      </c>
      <c r="C349" t="inlineStr">
        <is>
          <t>Masters Degree (Coursework)</t>
        </is>
      </c>
      <c r="D349" t="inlineStr">
        <is>
          <t>Postgraduate coursework</t>
        </is>
      </c>
      <c r="E349" t="inlineStr">
        <is>
          <t>Advertised: official page in place</t>
        </is>
      </c>
      <c r="F349" t="inlineStr">
        <is>
          <t>https://study.unimelb.edu.au/find/courses/graduate/master-of-music-orchestral-performance/</t>
        </is>
      </c>
      <c r="G349" t="inlineStr">
        <is>
          <t>https://study.unimelb.edu.au/find/courses/graduate/master-of-music-orchestral-performance/</t>
        </is>
      </c>
      <c r="H349" t="inlineStr">
        <is>
          <t>Read</t>
        </is>
      </c>
      <c r="I349" t="inlineStr">
        <is>
          <t>CRICOS code on page</t>
        </is>
      </c>
      <c r="J349" t="inlineStr"/>
      <c r="K349" t="inlineStr">
        <is>
          <t>Not sent to re-link</t>
        </is>
      </c>
      <c r="L349" t="inlineStr">
        <is>
          <t>Filled</t>
        </is>
      </c>
      <c r="M349" t="inlineStr">
        <is>
          <t>Filled</t>
        </is>
      </c>
      <c r="N349" t="inlineStr">
        <is>
          <t>50720.00 2027</t>
        </is>
      </c>
      <c r="O349" t="n">
        <v>3</v>
      </c>
      <c r="P349" t="inlineStr">
        <is>
          <t>Other</t>
        </is>
      </c>
      <c r="Q349" t="inlineStr">
        <is>
          <t>Filled</t>
        </is>
      </c>
      <c r="R349" t="n">
        <v>6.5</v>
      </c>
      <c r="S349" t="inlineStr">
        <is>
          <t>University adapter</t>
        </is>
      </c>
      <c r="T349" t="inlineStr">
        <is>
          <t>Level map (Melbourne): not computed per course in this report</t>
        </is>
      </c>
      <c r="U349" t="inlineStr"/>
      <c r="V349" t="inlineStr">
        <is>
          <t>Filled</t>
        </is>
      </c>
      <c r="W349" t="inlineStr">
        <is>
          <t>March</t>
        </is>
      </c>
      <c r="X349" t="inlineStr">
        <is>
          <t>University adapter</t>
        </is>
      </c>
      <c r="Y349" t="n">
        <v>0</v>
      </c>
      <c r="Z349" t="inlineStr">
        <is>
          <t>No</t>
        </is>
      </c>
      <c r="AA349" t="inlineStr">
        <is>
          <t>Filled</t>
        </is>
      </c>
      <c r="AB349" t="inlineStr">
        <is>
          <t>on campus</t>
        </is>
      </c>
      <c r="AC349" t="inlineStr"/>
      <c r="AD349" t="n">
        <v>0</v>
      </c>
      <c r="AE349" t="inlineStr"/>
      <c r="AF349" t="inlineStr"/>
      <c r="AG349" t="inlineStr"/>
      <c r="AH349" t="inlineStr"/>
      <c r="AI349" t="inlineStr"/>
      <c r="AJ349" t="inlineStr"/>
      <c r="AK349" t="inlineStr"/>
      <c r="AL349" t="inlineStr"/>
      <c r="AM349" t="inlineStr"/>
    </row>
    <row r="350">
      <c r="A350" t="inlineStr">
        <is>
          <t>076226J</t>
        </is>
      </c>
      <c r="B350" t="inlineStr">
        <is>
          <t>Master of Music (Performance Teaching)</t>
        </is>
      </c>
      <c r="C350" t="inlineStr">
        <is>
          <t>Masters Degree (Coursework)</t>
        </is>
      </c>
      <c r="D350" t="inlineStr">
        <is>
          <t>Postgraduate coursework</t>
        </is>
      </c>
      <c r="E350" t="inlineStr">
        <is>
          <t>Advertised: official page in place</t>
        </is>
      </c>
      <c r="F350" t="inlineStr">
        <is>
          <t>https://study.unimelb.edu.au/find/courses/graduate/master-of-music-performance-teaching/</t>
        </is>
      </c>
      <c r="G350" t="inlineStr">
        <is>
          <t>https://study.unimelb.edu.au/find/courses/graduate/master-of-music-performance-teaching/</t>
        </is>
      </c>
      <c r="H350" t="inlineStr">
        <is>
          <t>Read</t>
        </is>
      </c>
      <c r="I350" t="inlineStr">
        <is>
          <t>CRICOS code on page</t>
        </is>
      </c>
      <c r="J350" t="inlineStr"/>
      <c r="K350" t="inlineStr">
        <is>
          <t>Not sent to re-link</t>
        </is>
      </c>
      <c r="L350" t="inlineStr">
        <is>
          <t>Filled</t>
        </is>
      </c>
      <c r="M350" t="inlineStr">
        <is>
          <t>Filled</t>
        </is>
      </c>
      <c r="N350" t="inlineStr">
        <is>
          <t>50720.00 2027</t>
        </is>
      </c>
      <c r="O350" t="n">
        <v>3</v>
      </c>
      <c r="P350" t="inlineStr">
        <is>
          <t>Other</t>
        </is>
      </c>
      <c r="Q350" t="inlineStr">
        <is>
          <t>Filled</t>
        </is>
      </c>
      <c r="R350" t="n">
        <v>6.5</v>
      </c>
      <c r="S350" t="inlineStr">
        <is>
          <t>University adapter</t>
        </is>
      </c>
      <c r="T350" t="inlineStr">
        <is>
          <t>Level map (Melbourne): not computed per course in this report</t>
        </is>
      </c>
      <c r="U350" t="inlineStr"/>
      <c r="V350" t="inlineStr">
        <is>
          <t>Filled</t>
        </is>
      </c>
      <c r="W350" t="inlineStr">
        <is>
          <t>March, July</t>
        </is>
      </c>
      <c r="X350" t="inlineStr">
        <is>
          <t>Other</t>
        </is>
      </c>
      <c r="Y350" t="n">
        <v>0</v>
      </c>
      <c r="Z350" t="inlineStr">
        <is>
          <t>No</t>
        </is>
      </c>
      <c r="AA350" t="inlineStr">
        <is>
          <t>Filled</t>
        </is>
      </c>
      <c r="AB350" t="inlineStr">
        <is>
          <t>on campus</t>
        </is>
      </c>
      <c r="AC350" t="inlineStr"/>
      <c r="AD350" t="n">
        <v>0</v>
      </c>
      <c r="AE350" t="inlineStr"/>
      <c r="AF350" t="inlineStr"/>
      <c r="AG350" t="inlineStr"/>
      <c r="AH350" t="inlineStr"/>
      <c r="AI350" t="inlineStr"/>
      <c r="AJ350" t="inlineStr"/>
      <c r="AK350" t="inlineStr"/>
      <c r="AL350" t="inlineStr"/>
      <c r="AM350" t="inlineStr"/>
    </row>
    <row r="351">
      <c r="A351" t="inlineStr">
        <is>
          <t>099325E</t>
        </is>
      </c>
      <c r="B351" t="inlineStr">
        <is>
          <t>Master of Music (Research)</t>
        </is>
      </c>
      <c r="C351" t="inlineStr">
        <is>
          <t>Masters Degree (Research)</t>
        </is>
      </c>
      <c r="D351" t="inlineStr">
        <is>
          <t>Research degree</t>
        </is>
      </c>
      <c r="E351" t="inlineStr">
        <is>
          <t>Advertised: official page in place</t>
        </is>
      </c>
      <c r="F351" t="inlineStr">
        <is>
          <t>https://study.unimelb.edu.au/find/courses/graduate/master-of-music-research/</t>
        </is>
      </c>
      <c r="G351" t="inlineStr">
        <is>
          <t>https://study.unimelb.edu.au/find/courses/graduate/master-of-music-research/</t>
        </is>
      </c>
      <c r="H351" t="inlineStr">
        <is>
          <t>Read</t>
        </is>
      </c>
      <c r="I351" t="inlineStr">
        <is>
          <t>CRICOS code on page</t>
        </is>
      </c>
      <c r="J351" t="inlineStr"/>
      <c r="K351" t="inlineStr">
        <is>
          <t>Not sent to re-link</t>
        </is>
      </c>
      <c r="L351" t="inlineStr">
        <is>
          <t>Filled</t>
        </is>
      </c>
      <c r="M351" t="inlineStr">
        <is>
          <t>Filled</t>
        </is>
      </c>
      <c r="N351" t="inlineStr">
        <is>
          <t>50720.00 2027</t>
        </is>
      </c>
      <c r="O351" t="n">
        <v>3</v>
      </c>
      <c r="P351" t="inlineStr">
        <is>
          <t>Other</t>
        </is>
      </c>
      <c r="Q351" t="inlineStr">
        <is>
          <t>Not stated on course page</t>
        </is>
      </c>
      <c r="S351" t="inlineStr"/>
      <c r="T351" t="inlineStr">
        <is>
          <t>Level map (Melbourne): not computed per course in this report</t>
        </is>
      </c>
      <c r="U351" t="inlineStr"/>
      <c r="V351" t="inlineStr">
        <is>
          <t>Filled</t>
        </is>
      </c>
      <c r="W351" t="inlineStr">
        <is>
          <t>March</t>
        </is>
      </c>
      <c r="X351" t="inlineStr">
        <is>
          <t>Other</t>
        </is>
      </c>
      <c r="Y351" t="n">
        <v>0</v>
      </c>
      <c r="Z351" t="inlineStr">
        <is>
          <t>No</t>
        </is>
      </c>
      <c r="AA351" t="inlineStr">
        <is>
          <t>Filled</t>
        </is>
      </c>
      <c r="AB351" t="inlineStr">
        <is>
          <t>on campus</t>
        </is>
      </c>
      <c r="AC351" t="inlineStr"/>
      <c r="AD351" t="n">
        <v>0</v>
      </c>
      <c r="AE351" t="inlineStr"/>
      <c r="AF351" t="inlineStr"/>
      <c r="AG351" t="inlineStr"/>
      <c r="AH351" t="inlineStr"/>
      <c r="AI351" t="inlineStr"/>
      <c r="AJ351" t="inlineStr"/>
      <c r="AK351" t="inlineStr"/>
      <c r="AL351" t="inlineStr"/>
      <c r="AM351" t="inlineStr"/>
    </row>
    <row r="352">
      <c r="A352" t="inlineStr">
        <is>
          <t>055550D</t>
        </is>
      </c>
      <c r="B352" t="inlineStr">
        <is>
          <t>Master of Music Therapy</t>
        </is>
      </c>
      <c r="C352" t="inlineStr">
        <is>
          <t>Masters Degree (Coursework)</t>
        </is>
      </c>
      <c r="D352" t="inlineStr">
        <is>
          <t>Postgraduate coursework</t>
        </is>
      </c>
      <c r="E352" t="inlineStr">
        <is>
          <t>Advertised: official page in place</t>
        </is>
      </c>
      <c r="F352" t="inlineStr">
        <is>
          <t>https://study.unimelb.edu.au/find/courses/graduate/master-of-music-therapy/</t>
        </is>
      </c>
      <c r="G352" t="inlineStr">
        <is>
          <t>https://study.unimelb.edu.au/find/courses/graduate/master-of-music-therapy/</t>
        </is>
      </c>
      <c r="H352" t="inlineStr">
        <is>
          <t>Read</t>
        </is>
      </c>
      <c r="I352" t="inlineStr">
        <is>
          <t>CRICOS code on page</t>
        </is>
      </c>
      <c r="J352" t="inlineStr"/>
      <c r="K352" t="inlineStr">
        <is>
          <t>Not sent to re-link</t>
        </is>
      </c>
      <c r="L352" t="inlineStr">
        <is>
          <t>Filled</t>
        </is>
      </c>
      <c r="M352" t="inlineStr">
        <is>
          <t>Filled</t>
        </is>
      </c>
      <c r="N352" t="inlineStr">
        <is>
          <t>50720.00 2027</t>
        </is>
      </c>
      <c r="O352" t="n">
        <v>3</v>
      </c>
      <c r="P352" t="inlineStr">
        <is>
          <t>Other</t>
        </is>
      </c>
      <c r="Q352" t="inlineStr">
        <is>
          <t>Filled</t>
        </is>
      </c>
      <c r="R352" t="n">
        <v>6.5</v>
      </c>
      <c r="S352" t="inlineStr">
        <is>
          <t>University adapter</t>
        </is>
      </c>
      <c r="T352" t="inlineStr">
        <is>
          <t>Level map (Melbourne): not computed per course in this report</t>
        </is>
      </c>
      <c r="U352" t="inlineStr"/>
      <c r="V352" t="inlineStr">
        <is>
          <t>Filled</t>
        </is>
      </c>
      <c r="W352" t="inlineStr">
        <is>
          <t>February</t>
        </is>
      </c>
      <c r="X352" t="inlineStr">
        <is>
          <t>Other</t>
        </is>
      </c>
      <c r="Y352" t="n">
        <v>0</v>
      </c>
      <c r="Z352" t="inlineStr">
        <is>
          <t>No</t>
        </is>
      </c>
      <c r="AA352" t="inlineStr">
        <is>
          <t>Filled</t>
        </is>
      </c>
      <c r="AB352" t="inlineStr">
        <is>
          <t>blended</t>
        </is>
      </c>
      <c r="AC352" t="inlineStr"/>
      <c r="AD352" t="n">
        <v>0</v>
      </c>
      <c r="AE352" t="inlineStr"/>
      <c r="AF352" t="inlineStr"/>
      <c r="AG352" t="inlineStr"/>
      <c r="AH352" t="inlineStr"/>
      <c r="AI352" t="inlineStr"/>
      <c r="AJ352" t="inlineStr"/>
      <c r="AK352" t="inlineStr"/>
      <c r="AL352" t="inlineStr"/>
      <c r="AM352" t="inlineStr"/>
    </row>
    <row r="353">
      <c r="A353" t="inlineStr">
        <is>
          <t>061211F</t>
        </is>
      </c>
      <c r="B353" t="inlineStr">
        <is>
          <t>Master of Nursing Science</t>
        </is>
      </c>
      <c r="C353" t="inlineStr">
        <is>
          <t>Masters Degree (Coursework)</t>
        </is>
      </c>
      <c r="D353" t="inlineStr">
        <is>
          <t>Postgraduate coursework</t>
        </is>
      </c>
      <c r="E353" t="inlineStr">
        <is>
          <t>Advertised: official page in place</t>
        </is>
      </c>
      <c r="F353" t="inlineStr">
        <is>
          <t>https://handbook.unimelb.edu.au/2026/courses/mc-nursc</t>
        </is>
      </c>
      <c r="G353" t="inlineStr">
        <is>
          <t>https://handbook.unimelb.edu.au/2026/courses/mc-nursc</t>
        </is>
      </c>
      <c r="H353" t="inlineStr">
        <is>
          <t>Read</t>
        </is>
      </c>
      <c r="I353" t="inlineStr">
        <is>
          <t>CRICOS code on page</t>
        </is>
      </c>
      <c r="J353" t="inlineStr"/>
      <c r="K353" t="inlineStr">
        <is>
          <t>Not sent to re-link</t>
        </is>
      </c>
      <c r="L353" t="inlineStr">
        <is>
          <t>Filled</t>
        </is>
      </c>
      <c r="M353" t="inlineStr">
        <is>
          <t>Filled</t>
        </is>
      </c>
      <c r="N353" t="inlineStr">
        <is>
          <t>46624.00 2027</t>
        </is>
      </c>
      <c r="O353" t="n">
        <v>3</v>
      </c>
      <c r="P353" t="inlineStr">
        <is>
          <t>Other</t>
        </is>
      </c>
      <c r="Q353" t="inlineStr">
        <is>
          <t>Filled</t>
        </is>
      </c>
      <c r="R353" t="n">
        <v>7</v>
      </c>
      <c r="S353" t="inlineStr">
        <is>
          <t>Central English policy</t>
        </is>
      </c>
      <c r="T353" t="inlineStr">
        <is>
          <t>Level map (Melbourne): not computed per course in this report</t>
        </is>
      </c>
      <c r="U353" t="inlineStr"/>
      <c r="V353" t="inlineStr">
        <is>
          <t>Not stated on course page</t>
        </is>
      </c>
      <c r="W353" t="inlineStr"/>
      <c r="X353" t="inlineStr"/>
      <c r="Y353" t="n">
        <v>0</v>
      </c>
      <c r="Z353" t="inlineStr">
        <is>
          <t>No</t>
        </is>
      </c>
      <c r="AA353" t="inlineStr">
        <is>
          <t>Filled</t>
        </is>
      </c>
      <c r="AB353" t="inlineStr">
        <is>
          <t>blended</t>
        </is>
      </c>
      <c r="AC353" t="inlineStr"/>
      <c r="AD353" t="n">
        <v>0</v>
      </c>
      <c r="AE353" t="inlineStr"/>
      <c r="AF353" t="inlineStr"/>
      <c r="AG353" t="inlineStr"/>
      <c r="AH353" t="inlineStr"/>
      <c r="AI353" t="inlineStr">
        <is>
          <t>Yes</t>
        </is>
      </c>
      <c r="AJ353" t="inlineStr"/>
      <c r="AK353" t="inlineStr"/>
      <c r="AL353" t="inlineStr"/>
      <c r="AM353" t="inlineStr"/>
    </row>
    <row r="354">
      <c r="A354" t="inlineStr">
        <is>
          <t>061966G</t>
        </is>
      </c>
      <c r="B354" t="inlineStr">
        <is>
          <t>Master of Philosophy - Agricultural Sciences</t>
        </is>
      </c>
      <c r="C354" t="inlineStr">
        <is>
          <t>Masters Degree (Research)</t>
        </is>
      </c>
      <c r="D354" t="inlineStr">
        <is>
          <t>Research degree</t>
        </is>
      </c>
      <c r="E354" t="inlineStr">
        <is>
          <t>Advertised: official page in place</t>
        </is>
      </c>
      <c r="F354" t="inlineStr">
        <is>
          <t>https://handbook.unimelb.edu.au/2026/courses/mr-philagr</t>
        </is>
      </c>
      <c r="G354" t="inlineStr">
        <is>
          <t>https://handbook.unimelb.edu.au/2026/courses/mr-philagr</t>
        </is>
      </c>
      <c r="H354" t="inlineStr">
        <is>
          <t>Read</t>
        </is>
      </c>
      <c r="I354" t="inlineStr">
        <is>
          <t>CRICOS code on page</t>
        </is>
      </c>
      <c r="J354" t="inlineStr"/>
      <c r="K354" t="inlineStr">
        <is>
          <t>Not sent to re-link</t>
        </is>
      </c>
      <c r="L354" t="inlineStr">
        <is>
          <t>Filled</t>
        </is>
      </c>
      <c r="M354" t="inlineStr">
        <is>
          <t>Filled</t>
        </is>
      </c>
      <c r="N354" t="inlineStr">
        <is>
          <t>62496.00 2027</t>
        </is>
      </c>
      <c r="O354" t="n">
        <v>3</v>
      </c>
      <c r="P354" t="inlineStr">
        <is>
          <t>Other</t>
        </is>
      </c>
      <c r="Q354" t="inlineStr">
        <is>
          <t>Not stated on course page</t>
        </is>
      </c>
      <c r="S354" t="inlineStr"/>
      <c r="T354" t="inlineStr">
        <is>
          <t>Level map (Melbourne): not computed per course in this report</t>
        </is>
      </c>
      <c r="U354" t="inlineStr"/>
      <c r="V354" t="inlineStr">
        <is>
          <t>Not stated on course page</t>
        </is>
      </c>
      <c r="W354" t="inlineStr"/>
      <c r="X354" t="inlineStr"/>
      <c r="Y354" t="n">
        <v>0</v>
      </c>
      <c r="Z354" t="inlineStr">
        <is>
          <t>No</t>
        </is>
      </c>
      <c r="AA354" t="inlineStr">
        <is>
          <t>Filled</t>
        </is>
      </c>
      <c r="AB354" t="inlineStr">
        <is>
          <t>on campus</t>
        </is>
      </c>
      <c r="AC354" t="inlineStr"/>
      <c r="AD354" t="n">
        <v>0</v>
      </c>
      <c r="AE354" t="inlineStr"/>
      <c r="AF354" t="inlineStr"/>
      <c r="AG354" t="inlineStr"/>
      <c r="AH354" t="inlineStr"/>
      <c r="AI354" t="inlineStr">
        <is>
          <t>Yes</t>
        </is>
      </c>
      <c r="AJ354" t="inlineStr"/>
      <c r="AK354" t="inlineStr"/>
      <c r="AL354" t="inlineStr"/>
      <c r="AM354" t="inlineStr"/>
    </row>
    <row r="355">
      <c r="A355" t="inlineStr">
        <is>
          <t>061947K</t>
        </is>
      </c>
      <c r="B355" t="inlineStr">
        <is>
          <t>Master of Philosophy - Architecture, Building and Planning</t>
        </is>
      </c>
      <c r="C355" t="inlineStr">
        <is>
          <t>Masters Degree (Research)</t>
        </is>
      </c>
      <c r="D355" t="inlineStr">
        <is>
          <t>Research degree</t>
        </is>
      </c>
      <c r="E355" t="inlineStr">
        <is>
          <t>Advertised: official page in place</t>
        </is>
      </c>
      <c r="F355" t="inlineStr">
        <is>
          <t>https://handbook.unimelb.edu.au/2026/courses/mr-philabp</t>
        </is>
      </c>
      <c r="G355" t="inlineStr">
        <is>
          <t>https://handbook.unimelb.edu.au/2026/courses/mr-philabp</t>
        </is>
      </c>
      <c r="H355" t="inlineStr">
        <is>
          <t>Read</t>
        </is>
      </c>
      <c r="I355" t="inlineStr">
        <is>
          <t>CRICOS code on page</t>
        </is>
      </c>
      <c r="J355" t="inlineStr"/>
      <c r="K355" t="inlineStr">
        <is>
          <t>Not sent to re-link</t>
        </is>
      </c>
      <c r="L355" t="inlineStr">
        <is>
          <t>Filled</t>
        </is>
      </c>
      <c r="M355" t="inlineStr">
        <is>
          <t>Filled</t>
        </is>
      </c>
      <c r="N355" t="inlineStr">
        <is>
          <t>59840.00 2027</t>
        </is>
      </c>
      <c r="O355" t="n">
        <v>3</v>
      </c>
      <c r="P355" t="inlineStr">
        <is>
          <t>Other</t>
        </is>
      </c>
      <c r="Q355" t="inlineStr">
        <is>
          <t>Not stated on course page</t>
        </is>
      </c>
      <c r="S355" t="inlineStr"/>
      <c r="T355" t="inlineStr">
        <is>
          <t>Level map (Melbourne): not computed per course in this report</t>
        </is>
      </c>
      <c r="U355" t="inlineStr"/>
      <c r="V355" t="inlineStr">
        <is>
          <t>Not stated on course page</t>
        </is>
      </c>
      <c r="W355" t="inlineStr"/>
      <c r="X355" t="inlineStr"/>
      <c r="Y355" t="n">
        <v>0</v>
      </c>
      <c r="Z355" t="inlineStr">
        <is>
          <t>No</t>
        </is>
      </c>
      <c r="AA355" t="inlineStr">
        <is>
          <t>Filled</t>
        </is>
      </c>
      <c r="AB355" t="inlineStr">
        <is>
          <t>on campus</t>
        </is>
      </c>
      <c r="AC355" t="inlineStr"/>
      <c r="AD355" t="n">
        <v>0</v>
      </c>
      <c r="AE355" t="inlineStr"/>
      <c r="AF355" t="inlineStr"/>
      <c r="AG355" t="inlineStr"/>
      <c r="AH355" t="inlineStr"/>
      <c r="AI355" t="inlineStr">
        <is>
          <t>Yes</t>
        </is>
      </c>
      <c r="AJ355" t="inlineStr"/>
      <c r="AK355" t="inlineStr"/>
      <c r="AL355" t="inlineStr"/>
      <c r="AM355" t="inlineStr"/>
    </row>
    <row r="356">
      <c r="A356" t="inlineStr">
        <is>
          <t>061961A</t>
        </is>
      </c>
      <c r="B356" t="inlineStr">
        <is>
          <t>Master of Philosophy - Arts</t>
        </is>
      </c>
      <c r="C356" t="inlineStr">
        <is>
          <t>Masters Degree (Research)</t>
        </is>
      </c>
      <c r="D356" t="inlineStr">
        <is>
          <t>Research degree</t>
        </is>
      </c>
      <c r="E356" t="inlineStr">
        <is>
          <t>Page found, needs a rendered read</t>
        </is>
      </c>
      <c r="F356" t="inlineStr"/>
      <c r="G356" t="inlineStr">
        <is>
          <t>https://handbook.unimelb.edu.au/2026/courses/mr-philvca</t>
        </is>
      </c>
      <c r="H356" t="inlineStr">
        <is>
          <t>Needs a rendered read</t>
        </is>
      </c>
      <c r="I356" t="inlineStr"/>
      <c r="J356" t="inlineStr"/>
      <c r="K356" t="inlineStr">
        <is>
          <t>Finished, no page: no address from the university's address forms or stored lis</t>
        </is>
      </c>
      <c r="L356" t="inlineStr">
        <is>
          <t>Page found, being read</t>
        </is>
      </c>
      <c r="M356" t="inlineStr">
        <is>
          <t>Filled</t>
        </is>
      </c>
      <c r="N356" t="inlineStr">
        <is>
          <t>54016.00 2027</t>
        </is>
      </c>
      <c r="O356" t="n">
        <v>3</v>
      </c>
      <c r="P356" t="inlineStr">
        <is>
          <t>Other</t>
        </is>
      </c>
      <c r="Q356" t="inlineStr">
        <is>
          <t>Page found, being read</t>
        </is>
      </c>
      <c r="S356" t="inlineStr"/>
      <c r="T356" t="inlineStr">
        <is>
          <t>Level map (Melbourne): not computed per course in this report</t>
        </is>
      </c>
      <c r="U356" t="inlineStr"/>
      <c r="V356" t="inlineStr">
        <is>
          <t>Page found, being read</t>
        </is>
      </c>
      <c r="W356" t="inlineStr"/>
      <c r="X356" t="inlineStr"/>
      <c r="Y356" t="n">
        <v>0</v>
      </c>
      <c r="Z356" t="inlineStr">
        <is>
          <t>No</t>
        </is>
      </c>
      <c r="AA356" t="inlineStr">
        <is>
          <t>Not stated on course page</t>
        </is>
      </c>
      <c r="AB356" t="inlineStr"/>
      <c r="AC356" t="inlineStr">
        <is>
          <t>Skipped: the page does not state it</t>
        </is>
      </c>
      <c r="AD356" t="n">
        <v>0</v>
      </c>
      <c r="AE356" t="inlineStr">
        <is>
          <t>Yes</t>
        </is>
      </c>
      <c r="AF356" t="inlineStr"/>
      <c r="AG356" t="inlineStr"/>
      <c r="AH356" t="inlineStr"/>
      <c r="AI356" t="inlineStr"/>
      <c r="AJ356" t="inlineStr"/>
      <c r="AK356" t="inlineStr"/>
      <c r="AL356" t="inlineStr"/>
      <c r="AM356" t="inlineStr"/>
    </row>
    <row r="357">
      <c r="A357" t="inlineStr">
        <is>
          <t>061955K</t>
        </is>
      </c>
      <c r="B357" t="inlineStr">
        <is>
          <t>Master of Philosophy - Dental Science</t>
        </is>
      </c>
      <c r="C357" t="inlineStr">
        <is>
          <t>Masters Degree (Research)</t>
        </is>
      </c>
      <c r="D357" t="inlineStr">
        <is>
          <t>Research degree</t>
        </is>
      </c>
      <c r="E357" t="inlineStr">
        <is>
          <t>Advertised: official page in place</t>
        </is>
      </c>
      <c r="F357" t="inlineStr">
        <is>
          <t>https://handbook.unimelb.edu.au/2026/courses/mr-phildsc</t>
        </is>
      </c>
      <c r="G357" t="inlineStr">
        <is>
          <t>https://handbook.unimelb.edu.au/2026/courses/mr-phildsc</t>
        </is>
      </c>
      <c r="H357" t="inlineStr">
        <is>
          <t>Read</t>
        </is>
      </c>
      <c r="I357" t="inlineStr">
        <is>
          <t>CRICOS code on page</t>
        </is>
      </c>
      <c r="J357" t="inlineStr"/>
      <c r="K357" t="inlineStr">
        <is>
          <t>Not sent to re-link</t>
        </is>
      </c>
      <c r="L357" t="inlineStr">
        <is>
          <t>Filled</t>
        </is>
      </c>
      <c r="M357" t="inlineStr">
        <is>
          <t>Filled</t>
        </is>
      </c>
      <c r="N357" t="inlineStr">
        <is>
          <t>64640.00 2027</t>
        </is>
      </c>
      <c r="O357" t="n">
        <v>3</v>
      </c>
      <c r="P357" t="inlineStr">
        <is>
          <t>Other</t>
        </is>
      </c>
      <c r="Q357" t="inlineStr">
        <is>
          <t>Not stated on course page</t>
        </is>
      </c>
      <c r="S357" t="inlineStr"/>
      <c r="T357" t="inlineStr">
        <is>
          <t>Level map (Melbourne): not computed per course in this report</t>
        </is>
      </c>
      <c r="U357" t="inlineStr"/>
      <c r="V357" t="inlineStr">
        <is>
          <t>Filled</t>
        </is>
      </c>
      <c r="W357" t="inlineStr">
        <is>
          <t>February, March, October, November</t>
        </is>
      </c>
      <c r="X357" t="inlineStr">
        <is>
          <t>Page reader</t>
        </is>
      </c>
      <c r="Y357" t="n">
        <v>0</v>
      </c>
      <c r="Z357" t="inlineStr">
        <is>
          <t>No</t>
        </is>
      </c>
      <c r="AA357" t="inlineStr">
        <is>
          <t>Filled</t>
        </is>
      </c>
      <c r="AB357" t="inlineStr">
        <is>
          <t>on campus</t>
        </is>
      </c>
      <c r="AC357" t="inlineStr"/>
      <c r="AD357" t="n">
        <v>0</v>
      </c>
      <c r="AE357" t="inlineStr"/>
      <c r="AF357" t="inlineStr"/>
      <c r="AG357" t="inlineStr"/>
      <c r="AH357" t="inlineStr"/>
      <c r="AI357" t="inlineStr"/>
      <c r="AJ357" t="inlineStr"/>
      <c r="AK357" t="inlineStr"/>
      <c r="AL357" t="inlineStr"/>
      <c r="AM357" t="inlineStr"/>
    </row>
    <row r="358">
      <c r="A358" t="inlineStr">
        <is>
          <t>061949G</t>
        </is>
      </c>
      <c r="B358" t="inlineStr">
        <is>
          <t>Master of Philosophy - Economics and Commerce</t>
        </is>
      </c>
      <c r="C358" t="inlineStr">
        <is>
          <t>Masters Degree (Research)</t>
        </is>
      </c>
      <c r="D358" t="inlineStr">
        <is>
          <t>Research degree</t>
        </is>
      </c>
      <c r="E358" t="inlineStr">
        <is>
          <t>Held: page found is for another course</t>
        </is>
      </c>
      <c r="F358" t="inlineStr"/>
      <c r="G358" t="inlineStr">
        <is>
          <t>https://archive.handbook.unimelb.edu.au/view/2013/mr-philbe/</t>
        </is>
      </c>
      <c r="H358" t="inlineStr">
        <is>
          <t>Not the university site</t>
        </is>
      </c>
      <c r="I358" t="inlineStr"/>
      <c r="J358" t="inlineStr"/>
      <c r="K358" t="inlineStr">
        <is>
          <t>Not sent to re-link</t>
        </is>
      </c>
      <c r="L358" t="inlineStr">
        <is>
          <t>Not stated on course page</t>
        </is>
      </c>
      <c r="M358" t="inlineStr">
        <is>
          <t>Filled</t>
        </is>
      </c>
      <c r="N358" t="inlineStr">
        <is>
          <t>64640.00 2027</t>
        </is>
      </c>
      <c r="O358" t="n">
        <v>3</v>
      </c>
      <c r="P358" t="inlineStr">
        <is>
          <t>Other</t>
        </is>
      </c>
      <c r="Q358" t="inlineStr">
        <is>
          <t>Not stated on course page</t>
        </is>
      </c>
      <c r="S358" t="inlineStr"/>
      <c r="T358" t="inlineStr">
        <is>
          <t>Level map (Melbourne): not computed per course in this report</t>
        </is>
      </c>
      <c r="U358" t="inlineStr"/>
      <c r="V358" t="inlineStr">
        <is>
          <t>Not stated on course page</t>
        </is>
      </c>
      <c r="W358" t="inlineStr"/>
      <c r="X358" t="inlineStr"/>
      <c r="Y358" t="n">
        <v>0</v>
      </c>
      <c r="Z358" t="inlineStr">
        <is>
          <t>No</t>
        </is>
      </c>
      <c r="AA358" t="inlineStr">
        <is>
          <t>Not stated on course page</t>
        </is>
      </c>
      <c r="AB358" t="inlineStr"/>
      <c r="AC358" t="inlineStr">
        <is>
          <t>Skipped: no correct course page: the page found is for another course</t>
        </is>
      </c>
      <c r="AD358" t="n">
        <v>1</v>
      </c>
      <c r="AE358" t="inlineStr"/>
      <c r="AF358" t="inlineStr"/>
      <c r="AG358" t="inlineStr"/>
      <c r="AH358" t="inlineStr"/>
      <c r="AI358" t="inlineStr"/>
      <c r="AJ358" t="inlineStr"/>
      <c r="AK358" t="inlineStr"/>
      <c r="AL358" t="inlineStr"/>
      <c r="AM358" t="inlineStr"/>
    </row>
    <row r="359">
      <c r="A359" t="inlineStr">
        <is>
          <t>061950D</t>
        </is>
      </c>
      <c r="B359" t="inlineStr">
        <is>
          <t>Master of Philosophy - Education</t>
        </is>
      </c>
      <c r="C359" t="inlineStr">
        <is>
          <t>Masters Degree (Research)</t>
        </is>
      </c>
      <c r="D359" t="inlineStr">
        <is>
          <t>Research degree</t>
        </is>
      </c>
      <c r="E359" t="inlineStr">
        <is>
          <t>Advertised: official page in place</t>
        </is>
      </c>
      <c r="F359" t="inlineStr">
        <is>
          <t>https://study.unimelb.edu.au/find/courses/graduate/master-of-philosophy-education/</t>
        </is>
      </c>
      <c r="G359" t="inlineStr">
        <is>
          <t>https://study.unimelb.edu.au/find/courses/graduate/master-of-philosophy-education/</t>
        </is>
      </c>
      <c r="H359" t="inlineStr">
        <is>
          <t>Read</t>
        </is>
      </c>
      <c r="I359" t="inlineStr">
        <is>
          <t>CRICOS code on page</t>
        </is>
      </c>
      <c r="J359" t="inlineStr"/>
      <c r="K359" t="inlineStr">
        <is>
          <t>Not sent to re-link</t>
        </is>
      </c>
      <c r="L359" t="inlineStr">
        <is>
          <t>Filled</t>
        </is>
      </c>
      <c r="M359" t="inlineStr">
        <is>
          <t>Filled</t>
        </is>
      </c>
      <c r="N359" t="inlineStr">
        <is>
          <t>55104.00 2027</t>
        </is>
      </c>
      <c r="O359" t="n">
        <v>3</v>
      </c>
      <c r="P359" t="inlineStr">
        <is>
          <t>Other</t>
        </is>
      </c>
      <c r="Q359" t="inlineStr">
        <is>
          <t>Not stated on course page</t>
        </is>
      </c>
      <c r="S359" t="inlineStr"/>
      <c r="T359" t="inlineStr">
        <is>
          <t>Level map (Melbourne): not computed per course in this report</t>
        </is>
      </c>
      <c r="U359" t="inlineStr"/>
      <c r="V359" t="inlineStr">
        <is>
          <t>Not stated on course page</t>
        </is>
      </c>
      <c r="W359" t="inlineStr"/>
      <c r="X359" t="inlineStr"/>
      <c r="Y359" t="n">
        <v>0</v>
      </c>
      <c r="Z359" t="inlineStr">
        <is>
          <t>No</t>
        </is>
      </c>
      <c r="AA359" t="inlineStr">
        <is>
          <t>Filled</t>
        </is>
      </c>
      <c r="AB359" t="inlineStr">
        <is>
          <t>on campus</t>
        </is>
      </c>
      <c r="AC359" t="inlineStr"/>
      <c r="AD359" t="n">
        <v>0</v>
      </c>
      <c r="AE359" t="inlineStr"/>
      <c r="AF359" t="inlineStr"/>
      <c r="AG359" t="inlineStr"/>
      <c r="AH359" t="inlineStr"/>
      <c r="AI359" t="inlineStr">
        <is>
          <t>Yes</t>
        </is>
      </c>
      <c r="AJ359" t="inlineStr"/>
      <c r="AK359" t="inlineStr"/>
      <c r="AL359" t="inlineStr"/>
      <c r="AM359" t="inlineStr"/>
    </row>
    <row r="360">
      <c r="A360" t="inlineStr">
        <is>
          <t>061951C</t>
        </is>
      </c>
      <c r="B360" t="inlineStr">
        <is>
          <t>Master of Philosophy - Engineering and IT</t>
        </is>
      </c>
      <c r="C360" t="inlineStr">
        <is>
          <t>Masters Degree (Research)</t>
        </is>
      </c>
      <c r="D360" t="inlineStr">
        <is>
          <t>Research degree</t>
        </is>
      </c>
      <c r="E360" t="inlineStr">
        <is>
          <t>Advertised: official page in place</t>
        </is>
      </c>
      <c r="F360" t="inlineStr">
        <is>
          <t>https://study.unimelb.edu.au/find/courses/graduate/master-of-philosophy-engineering-and-it/</t>
        </is>
      </c>
      <c r="G360" t="inlineStr">
        <is>
          <t>https://study.unimelb.edu.au/find/courses/graduate/master-of-philosophy-engineering-and-it/</t>
        </is>
      </c>
      <c r="H360" t="inlineStr">
        <is>
          <t>Read</t>
        </is>
      </c>
      <c r="I360" t="inlineStr">
        <is>
          <t>CRICOS code on page</t>
        </is>
      </c>
      <c r="J360" t="inlineStr"/>
      <c r="K360" t="inlineStr">
        <is>
          <t>Not sent to re-link</t>
        </is>
      </c>
      <c r="L360" t="inlineStr">
        <is>
          <t>Filled</t>
        </is>
      </c>
      <c r="M360" t="inlineStr">
        <is>
          <t>Filled</t>
        </is>
      </c>
      <c r="N360" t="inlineStr">
        <is>
          <t>67840.00 2027</t>
        </is>
      </c>
      <c r="O360" t="n">
        <v>3</v>
      </c>
      <c r="P360" t="inlineStr">
        <is>
          <t>Other</t>
        </is>
      </c>
      <c r="Q360" t="inlineStr">
        <is>
          <t>Not stated on course page</t>
        </is>
      </c>
      <c r="S360" t="inlineStr"/>
      <c r="T360" t="inlineStr">
        <is>
          <t>Level map (Melbourne): not computed per course in this report</t>
        </is>
      </c>
      <c r="U360" t="inlineStr"/>
      <c r="V360" t="inlineStr">
        <is>
          <t>Not stated on course page</t>
        </is>
      </c>
      <c r="W360" t="inlineStr"/>
      <c r="X360" t="inlineStr"/>
      <c r="Y360" t="n">
        <v>0</v>
      </c>
      <c r="Z360" t="inlineStr">
        <is>
          <t>No</t>
        </is>
      </c>
      <c r="AA360" t="inlineStr">
        <is>
          <t>Filled</t>
        </is>
      </c>
      <c r="AB360" t="inlineStr">
        <is>
          <t>on campus</t>
        </is>
      </c>
      <c r="AC360" t="inlineStr"/>
      <c r="AD360" t="n">
        <v>0</v>
      </c>
      <c r="AE360" t="inlineStr"/>
      <c r="AF360" t="inlineStr"/>
      <c r="AG360" t="inlineStr"/>
      <c r="AH360" t="inlineStr"/>
      <c r="AI360" t="inlineStr">
        <is>
          <t>Yes</t>
        </is>
      </c>
      <c r="AJ360" t="inlineStr"/>
      <c r="AK360" t="inlineStr"/>
      <c r="AL360" t="inlineStr"/>
      <c r="AM360" t="inlineStr"/>
    </row>
    <row r="361">
      <c r="A361" t="inlineStr">
        <is>
          <t>065917F</t>
        </is>
      </c>
      <c r="B361" t="inlineStr">
        <is>
          <t>Master of Philosophy - Health Sciences</t>
        </is>
      </c>
      <c r="C361" t="inlineStr">
        <is>
          <t>Masters Degree (Research)</t>
        </is>
      </c>
      <c r="D361" t="inlineStr">
        <is>
          <t>Research degree</t>
        </is>
      </c>
      <c r="E361" t="inlineStr">
        <is>
          <t>Advertised: official page in place</t>
        </is>
      </c>
      <c r="F361" t="inlineStr">
        <is>
          <t>https://handbook.unimelb.edu.au/2026/courses/mr-philhlt</t>
        </is>
      </c>
      <c r="G361" t="inlineStr">
        <is>
          <t>https://handbook.unimelb.edu.au/2026/courses/mr-philhlt</t>
        </is>
      </c>
      <c r="H361" t="inlineStr">
        <is>
          <t>Read</t>
        </is>
      </c>
      <c r="I361" t="inlineStr">
        <is>
          <t>CRICOS code on page</t>
        </is>
      </c>
      <c r="J361" t="inlineStr"/>
      <c r="K361" t="inlineStr">
        <is>
          <t>Not sent to re-link</t>
        </is>
      </c>
      <c r="L361" t="inlineStr">
        <is>
          <t>Filled</t>
        </is>
      </c>
      <c r="M361" t="inlineStr">
        <is>
          <t>Filled</t>
        </is>
      </c>
      <c r="N361" t="inlineStr">
        <is>
          <t>64640.00 2027</t>
        </is>
      </c>
      <c r="O361" t="n">
        <v>3</v>
      </c>
      <c r="P361" t="inlineStr">
        <is>
          <t>Other</t>
        </is>
      </c>
      <c r="Q361" t="inlineStr">
        <is>
          <t>Not stated on course page</t>
        </is>
      </c>
      <c r="S361" t="inlineStr"/>
      <c r="T361" t="inlineStr">
        <is>
          <t>Level map (Melbourne): not computed per course in this report</t>
        </is>
      </c>
      <c r="U361" t="inlineStr"/>
      <c r="V361" t="inlineStr">
        <is>
          <t>Filled</t>
        </is>
      </c>
      <c r="W361" t="inlineStr">
        <is>
          <t>February, March, October, November</t>
        </is>
      </c>
      <c r="X361" t="inlineStr">
        <is>
          <t>Page reader</t>
        </is>
      </c>
      <c r="Y361" t="n">
        <v>0</v>
      </c>
      <c r="Z361" t="inlineStr">
        <is>
          <t>No</t>
        </is>
      </c>
      <c r="AA361" t="inlineStr">
        <is>
          <t>Filled</t>
        </is>
      </c>
      <c r="AB361" t="inlineStr">
        <is>
          <t>on campus</t>
        </is>
      </c>
      <c r="AC361" t="inlineStr"/>
      <c r="AD361" t="n">
        <v>0</v>
      </c>
      <c r="AE361" t="inlineStr"/>
      <c r="AF361" t="inlineStr"/>
      <c r="AG361" t="inlineStr"/>
      <c r="AH361" t="inlineStr"/>
      <c r="AI361" t="inlineStr"/>
      <c r="AJ361" t="inlineStr"/>
      <c r="AK361" t="inlineStr"/>
      <c r="AL361" t="inlineStr"/>
      <c r="AM361" t="inlineStr"/>
    </row>
    <row r="362">
      <c r="A362" t="inlineStr">
        <is>
          <t>061967F</t>
        </is>
      </c>
      <c r="B362" t="inlineStr">
        <is>
          <t>Master of Philosophy - Law</t>
        </is>
      </c>
      <c r="C362" t="inlineStr">
        <is>
          <t>Masters Degree (Research)</t>
        </is>
      </c>
      <c r="D362" t="inlineStr">
        <is>
          <t>Research degree</t>
        </is>
      </c>
      <c r="E362" t="inlineStr">
        <is>
          <t>Advertised: official page in place</t>
        </is>
      </c>
      <c r="F362" t="inlineStr">
        <is>
          <t>https://study.unimelb.edu.au/find/courses/graduate/master-of-philosophy-law</t>
        </is>
      </c>
      <c r="G362" t="inlineStr">
        <is>
          <t>https://study.unimelb.edu.au/find/courses/graduate/master-of-philosophy-law</t>
        </is>
      </c>
      <c r="H362" t="inlineStr">
        <is>
          <t>Read</t>
        </is>
      </c>
      <c r="I362" t="inlineStr">
        <is>
          <t>CRICOS code on page</t>
        </is>
      </c>
      <c r="J362" t="inlineStr"/>
      <c r="K362" t="inlineStr">
        <is>
          <t>Not sent to re-link</t>
        </is>
      </c>
      <c r="L362" t="inlineStr">
        <is>
          <t>Filled</t>
        </is>
      </c>
      <c r="M362" t="inlineStr">
        <is>
          <t>Filled</t>
        </is>
      </c>
      <c r="N362" t="inlineStr">
        <is>
          <t>56064.00 2027</t>
        </is>
      </c>
      <c r="O362" t="n">
        <v>3</v>
      </c>
      <c r="P362" t="inlineStr">
        <is>
          <t>Other</t>
        </is>
      </c>
      <c r="Q362" t="inlineStr">
        <is>
          <t>Not stated on course page</t>
        </is>
      </c>
      <c r="S362" t="inlineStr"/>
      <c r="T362" t="inlineStr">
        <is>
          <t>Level map (Melbourne): not computed per course in this report</t>
        </is>
      </c>
      <c r="U362" t="inlineStr"/>
      <c r="V362" t="inlineStr">
        <is>
          <t>Not stated on course page</t>
        </is>
      </c>
      <c r="W362" t="inlineStr"/>
      <c r="X362" t="inlineStr"/>
      <c r="Y362" t="n">
        <v>0</v>
      </c>
      <c r="Z362" t="inlineStr">
        <is>
          <t>No</t>
        </is>
      </c>
      <c r="AA362" t="inlineStr">
        <is>
          <t>Filled</t>
        </is>
      </c>
      <c r="AB362" t="inlineStr">
        <is>
          <t>on campus</t>
        </is>
      </c>
      <c r="AC362" t="inlineStr"/>
      <c r="AD362" t="n">
        <v>0</v>
      </c>
      <c r="AE362" t="inlineStr"/>
      <c r="AF362" t="inlineStr"/>
      <c r="AG362" t="inlineStr"/>
      <c r="AH362" t="inlineStr"/>
      <c r="AI362" t="inlineStr">
        <is>
          <t>Yes</t>
        </is>
      </c>
      <c r="AJ362" t="inlineStr"/>
      <c r="AK362" t="inlineStr"/>
      <c r="AL362" t="inlineStr"/>
      <c r="AM362" t="inlineStr"/>
    </row>
    <row r="363">
      <c r="A363" t="inlineStr">
        <is>
          <t>061956J</t>
        </is>
      </c>
      <c r="B363" t="inlineStr">
        <is>
          <t>Master of Philosophy - Medicine</t>
        </is>
      </c>
      <c r="C363" t="inlineStr">
        <is>
          <t>Masters Degree (Research)</t>
        </is>
      </c>
      <c r="D363" t="inlineStr">
        <is>
          <t>Research degree</t>
        </is>
      </c>
      <c r="E363" t="inlineStr">
        <is>
          <t>Advertised: official page in place</t>
        </is>
      </c>
      <c r="F363" t="inlineStr">
        <is>
          <t>https://handbook.unimelb.edu.au/2026/courses/mr-philmed</t>
        </is>
      </c>
      <c r="G363" t="inlineStr">
        <is>
          <t>https://handbook.unimelb.edu.au/2026/courses/mr-philmed</t>
        </is>
      </c>
      <c r="H363" t="inlineStr">
        <is>
          <t>Read</t>
        </is>
      </c>
      <c r="I363" t="inlineStr">
        <is>
          <t>CRICOS code on page</t>
        </is>
      </c>
      <c r="J363" t="inlineStr"/>
      <c r="K363" t="inlineStr">
        <is>
          <t>Not sent to re-link</t>
        </is>
      </c>
      <c r="L363" t="inlineStr">
        <is>
          <t>Filled</t>
        </is>
      </c>
      <c r="M363" t="inlineStr">
        <is>
          <t>Filled</t>
        </is>
      </c>
      <c r="N363" t="inlineStr">
        <is>
          <t>64640.00 2027</t>
        </is>
      </c>
      <c r="O363" t="n">
        <v>3</v>
      </c>
      <c r="P363" t="inlineStr">
        <is>
          <t>Other</t>
        </is>
      </c>
      <c r="Q363" t="inlineStr">
        <is>
          <t>Not stated on course page</t>
        </is>
      </c>
      <c r="S363" t="inlineStr"/>
      <c r="T363" t="inlineStr">
        <is>
          <t>Level map (Melbourne): not computed per course in this report</t>
        </is>
      </c>
      <c r="U363" t="inlineStr"/>
      <c r="V363" t="inlineStr">
        <is>
          <t>Filled</t>
        </is>
      </c>
      <c r="W363" t="inlineStr">
        <is>
          <t>February, March, October, November</t>
        </is>
      </c>
      <c r="X363" t="inlineStr">
        <is>
          <t>Page reader</t>
        </is>
      </c>
      <c r="Y363" t="n">
        <v>0</v>
      </c>
      <c r="Z363" t="inlineStr">
        <is>
          <t>No</t>
        </is>
      </c>
      <c r="AA363" t="inlineStr">
        <is>
          <t>Filled</t>
        </is>
      </c>
      <c r="AB363" t="inlineStr">
        <is>
          <t>on campus</t>
        </is>
      </c>
      <c r="AC363" t="inlineStr"/>
      <c r="AD363" t="n">
        <v>0</v>
      </c>
      <c r="AE363" t="inlineStr"/>
      <c r="AF363" t="inlineStr"/>
      <c r="AG363" t="inlineStr"/>
      <c r="AH363" t="inlineStr"/>
      <c r="AI363" t="inlineStr"/>
      <c r="AJ363" t="inlineStr"/>
      <c r="AK363" t="inlineStr"/>
      <c r="AL363" t="inlineStr"/>
      <c r="AM363" t="inlineStr"/>
    </row>
    <row r="364">
      <c r="A364" t="inlineStr">
        <is>
          <t>121351D</t>
        </is>
      </c>
      <c r="B364" t="inlineStr">
        <is>
          <t>Master of Philosophy - Medicine, Dentistry and Health Sciences</t>
        </is>
      </c>
      <c r="C364" t="inlineStr">
        <is>
          <t>Masters Degree (Research)</t>
        </is>
      </c>
      <c r="D364" t="inlineStr">
        <is>
          <t>Research degree</t>
        </is>
      </c>
      <c r="E364" t="inlineStr">
        <is>
          <t>Held: page found is for another course</t>
        </is>
      </c>
      <c r="F364" t="inlineStr"/>
      <c r="G364" t="inlineStr">
        <is>
          <t>https://handbook.unimelb.edu.au/2026/courses/mr-philvet</t>
        </is>
      </c>
      <c r="H364" t="inlineStr">
        <is>
          <t>Page is for another course</t>
        </is>
      </c>
      <c r="I364" t="inlineStr"/>
      <c r="J364" t="inlineStr"/>
      <c r="K364" t="inlineStr">
        <is>
          <t>Finished, no page: no address from the university's address forms or stored lis</t>
        </is>
      </c>
      <c r="L364" t="inlineStr">
        <is>
          <t>Searching for course page</t>
        </is>
      </c>
      <c r="M364" t="inlineStr">
        <is>
          <t>Searching for course page</t>
        </is>
      </c>
      <c r="N364" t="inlineStr"/>
      <c r="O364" t="n">
        <v>0</v>
      </c>
      <c r="P364" t="inlineStr"/>
      <c r="Q364" t="inlineStr">
        <is>
          <t>Searching for course page</t>
        </is>
      </c>
      <c r="S364" t="inlineStr"/>
      <c r="T364" t="inlineStr">
        <is>
          <t>Level map (Melbourne): not computed per course in this report</t>
        </is>
      </c>
      <c r="U364" t="inlineStr"/>
      <c r="V364" t="inlineStr">
        <is>
          <t>Searching for course page</t>
        </is>
      </c>
      <c r="W364" t="inlineStr"/>
      <c r="X364" t="inlineStr"/>
      <c r="Y364" t="n">
        <v>0</v>
      </c>
      <c r="Z364" t="inlineStr">
        <is>
          <t>No</t>
        </is>
      </c>
      <c r="AA364" t="inlineStr">
        <is>
          <t>Not stated on course page</t>
        </is>
      </c>
      <c r="AB364" t="inlineStr"/>
      <c r="AC364" t="inlineStr">
        <is>
          <t>Skipped: no correct course page: the page found is for another course</t>
        </is>
      </c>
      <c r="AD364" t="n">
        <v>1</v>
      </c>
      <c r="AE364" t="inlineStr"/>
      <c r="AF364" t="inlineStr"/>
      <c r="AG364" t="inlineStr"/>
      <c r="AH364" t="inlineStr"/>
      <c r="AI364" t="inlineStr"/>
      <c r="AJ364" t="inlineStr"/>
      <c r="AK364" t="inlineStr"/>
      <c r="AL364" t="inlineStr"/>
      <c r="AM364" t="inlineStr"/>
    </row>
    <row r="365">
      <c r="A365" t="inlineStr">
        <is>
          <t>061957G</t>
        </is>
      </c>
      <c r="B365" t="inlineStr">
        <is>
          <t>Master of Philosophy - Music</t>
        </is>
      </c>
      <c r="C365" t="inlineStr">
        <is>
          <t>Masters Degree (Research)</t>
        </is>
      </c>
      <c r="D365" t="inlineStr">
        <is>
          <t>Research degree</t>
        </is>
      </c>
      <c r="E365" t="inlineStr">
        <is>
          <t>Advertised: official page in place</t>
        </is>
      </c>
      <c r="F365" t="inlineStr">
        <is>
          <t>https://handbook.unimelb.edu.au/2018/courses/mr-philmus</t>
        </is>
      </c>
      <c r="G365" t="inlineStr">
        <is>
          <t>https://handbook.unimelb.edu.au/2026/courses/mr-philmus</t>
        </is>
      </c>
      <c r="H365" t="inlineStr">
        <is>
          <t>Needs a rendered read</t>
        </is>
      </c>
      <c r="I365" t="inlineStr"/>
      <c r="J365" t="inlineStr"/>
      <c r="K365" t="inlineStr">
        <is>
          <t>Finished, no page: no address from the university's address forms or stored lis</t>
        </is>
      </c>
      <c r="L365" t="inlineStr">
        <is>
          <t>Filled</t>
        </is>
      </c>
      <c r="M365" t="inlineStr">
        <is>
          <t>Not stated on course page</t>
        </is>
      </c>
      <c r="N365" t="inlineStr"/>
      <c r="O365" t="n">
        <v>0</v>
      </c>
      <c r="P365" t="inlineStr"/>
      <c r="Q365" t="inlineStr">
        <is>
          <t>Not stated on course page</t>
        </is>
      </c>
      <c r="S365" t="inlineStr"/>
      <c r="T365" t="inlineStr">
        <is>
          <t>Level map (Melbourne): not computed per course in this report</t>
        </is>
      </c>
      <c r="U365" t="inlineStr"/>
      <c r="V365" t="inlineStr">
        <is>
          <t>Not stated on course page</t>
        </is>
      </c>
      <c r="W365" t="inlineStr"/>
      <c r="X365" t="inlineStr"/>
      <c r="Y365" t="n">
        <v>0</v>
      </c>
      <c r="Z365" t="inlineStr">
        <is>
          <t>No</t>
        </is>
      </c>
      <c r="AA365" t="inlineStr">
        <is>
          <t>Filled</t>
        </is>
      </c>
      <c r="AB365" t="inlineStr">
        <is>
          <t>on campus</t>
        </is>
      </c>
      <c r="AC365" t="inlineStr"/>
      <c r="AD365" t="n">
        <v>0</v>
      </c>
      <c r="AE365" t="inlineStr">
        <is>
          <t>Yes</t>
        </is>
      </c>
      <c r="AF365" t="inlineStr"/>
      <c r="AG365" t="inlineStr"/>
      <c r="AH365" t="inlineStr"/>
      <c r="AI365" t="inlineStr">
        <is>
          <t>Yes</t>
        </is>
      </c>
      <c r="AJ365" t="inlineStr"/>
      <c r="AK365" t="inlineStr"/>
      <c r="AL365" t="inlineStr"/>
      <c r="AM365" t="inlineStr"/>
    </row>
    <row r="366">
      <c r="A366" t="inlineStr">
        <is>
          <t>065918E</t>
        </is>
      </c>
      <c r="B366" t="inlineStr">
        <is>
          <t>Master of Philosophy - Population and Global Health</t>
        </is>
      </c>
      <c r="C366" t="inlineStr">
        <is>
          <t>Masters Degree (Research)</t>
        </is>
      </c>
      <c r="D366" t="inlineStr">
        <is>
          <t>Research degree</t>
        </is>
      </c>
      <c r="E366" t="inlineStr">
        <is>
          <t>Advertised: official page in place</t>
        </is>
      </c>
      <c r="F366" t="inlineStr">
        <is>
          <t>https://handbook.unimelb.edu.au/2026/courses/mr-philpgh</t>
        </is>
      </c>
      <c r="G366" t="inlineStr">
        <is>
          <t>https://handbook.unimelb.edu.au/2026/courses/mr-philpgh</t>
        </is>
      </c>
      <c r="H366" t="inlineStr">
        <is>
          <t>Read</t>
        </is>
      </c>
      <c r="I366" t="inlineStr">
        <is>
          <t>CRICOS code on page</t>
        </is>
      </c>
      <c r="J366" t="inlineStr"/>
      <c r="K366" t="inlineStr">
        <is>
          <t>Not sent to re-link</t>
        </is>
      </c>
      <c r="L366" t="inlineStr">
        <is>
          <t>Filled</t>
        </is>
      </c>
      <c r="M366" t="inlineStr">
        <is>
          <t>Filled</t>
        </is>
      </c>
      <c r="N366" t="inlineStr">
        <is>
          <t>64640.00 2027</t>
        </is>
      </c>
      <c r="O366" t="n">
        <v>3</v>
      </c>
      <c r="P366" t="inlineStr">
        <is>
          <t>Other</t>
        </is>
      </c>
      <c r="Q366" t="inlineStr">
        <is>
          <t>Not stated on course page</t>
        </is>
      </c>
      <c r="S366" t="inlineStr"/>
      <c r="T366" t="inlineStr">
        <is>
          <t>Level map (Melbourne): not computed per course in this report</t>
        </is>
      </c>
      <c r="U366" t="inlineStr"/>
      <c r="V366" t="inlineStr">
        <is>
          <t>Filled</t>
        </is>
      </c>
      <c r="W366" t="inlineStr">
        <is>
          <t>February, March, October, November</t>
        </is>
      </c>
      <c r="X366" t="inlineStr">
        <is>
          <t>Page reader</t>
        </is>
      </c>
      <c r="Y366" t="n">
        <v>0</v>
      </c>
      <c r="Z366" t="inlineStr">
        <is>
          <t>No</t>
        </is>
      </c>
      <c r="AA366" t="inlineStr">
        <is>
          <t>Filled</t>
        </is>
      </c>
      <c r="AB366" t="inlineStr">
        <is>
          <t>on campus</t>
        </is>
      </c>
      <c r="AC366" t="inlineStr"/>
      <c r="AD366" t="n">
        <v>0</v>
      </c>
      <c r="AE366" t="inlineStr"/>
      <c r="AF366" t="inlineStr"/>
      <c r="AG366" t="inlineStr"/>
      <c r="AH366" t="inlineStr"/>
      <c r="AI366" t="inlineStr"/>
      <c r="AJ366" t="inlineStr"/>
      <c r="AK366" t="inlineStr"/>
      <c r="AL366" t="inlineStr"/>
      <c r="AM366" t="inlineStr"/>
    </row>
    <row r="367">
      <c r="A367" t="inlineStr">
        <is>
          <t>061954M</t>
        </is>
      </c>
      <c r="B367" t="inlineStr">
        <is>
          <t>Master of Philosophy - Psychological Sciences</t>
        </is>
      </c>
      <c r="C367" t="inlineStr">
        <is>
          <t>Masters Degree (Research)</t>
        </is>
      </c>
      <c r="D367" t="inlineStr">
        <is>
          <t>Research degree</t>
        </is>
      </c>
      <c r="E367" t="inlineStr">
        <is>
          <t>Advertised: official page in place</t>
        </is>
      </c>
      <c r="F367" t="inlineStr">
        <is>
          <t>https://handbook.unimelb.edu.au/2026/courses/mr-philpsy</t>
        </is>
      </c>
      <c r="G367" t="inlineStr">
        <is>
          <t>https://handbook.unimelb.edu.au/2026/courses/mr-philpsy</t>
        </is>
      </c>
      <c r="H367" t="inlineStr">
        <is>
          <t>Read</t>
        </is>
      </c>
      <c r="I367" t="inlineStr">
        <is>
          <t>CRICOS code on page</t>
        </is>
      </c>
      <c r="J367" t="inlineStr"/>
      <c r="K367" t="inlineStr">
        <is>
          <t>Not sent to re-link</t>
        </is>
      </c>
      <c r="L367" t="inlineStr">
        <is>
          <t>Filled</t>
        </is>
      </c>
      <c r="M367" t="inlineStr">
        <is>
          <t>Filled</t>
        </is>
      </c>
      <c r="N367" t="inlineStr">
        <is>
          <t>64640.00 2027</t>
        </is>
      </c>
      <c r="O367" t="n">
        <v>3</v>
      </c>
      <c r="P367" t="inlineStr">
        <is>
          <t>Other</t>
        </is>
      </c>
      <c r="Q367" t="inlineStr">
        <is>
          <t>Not stated on course page</t>
        </is>
      </c>
      <c r="S367" t="inlineStr"/>
      <c r="T367" t="inlineStr">
        <is>
          <t>Level map (Melbourne): not computed per course in this report</t>
        </is>
      </c>
      <c r="U367" t="inlineStr"/>
      <c r="V367" t="inlineStr">
        <is>
          <t>Filled</t>
        </is>
      </c>
      <c r="W367" t="inlineStr">
        <is>
          <t>February, March, October, November</t>
        </is>
      </c>
      <c r="X367" t="inlineStr">
        <is>
          <t>Page reader</t>
        </is>
      </c>
      <c r="Y367" t="n">
        <v>0</v>
      </c>
      <c r="Z367" t="inlineStr">
        <is>
          <t>No</t>
        </is>
      </c>
      <c r="AA367" t="inlineStr">
        <is>
          <t>Filled</t>
        </is>
      </c>
      <c r="AB367" t="inlineStr">
        <is>
          <t>on campus</t>
        </is>
      </c>
      <c r="AC367" t="inlineStr"/>
      <c r="AD367" t="n">
        <v>0</v>
      </c>
      <c r="AE367" t="inlineStr"/>
      <c r="AF367" t="inlineStr"/>
      <c r="AG367" t="inlineStr"/>
      <c r="AH367" t="inlineStr"/>
      <c r="AI367" t="inlineStr"/>
      <c r="AJ367" t="inlineStr"/>
      <c r="AK367" t="inlineStr"/>
      <c r="AL367" t="inlineStr"/>
      <c r="AM367" t="inlineStr"/>
    </row>
    <row r="368">
      <c r="A368" t="inlineStr">
        <is>
          <t>061958G</t>
        </is>
      </c>
      <c r="B368" t="inlineStr">
        <is>
          <t>Master of Philosophy - Science</t>
        </is>
      </c>
      <c r="C368" t="inlineStr">
        <is>
          <t>Masters Degree (Research)</t>
        </is>
      </c>
      <c r="D368" t="inlineStr">
        <is>
          <t>Research degree</t>
        </is>
      </c>
      <c r="E368" t="inlineStr">
        <is>
          <t>Advertised: official page in place</t>
        </is>
      </c>
      <c r="F368" t="inlineStr">
        <is>
          <t>https://study.unimelb.edu.au/find/courses/graduate/master-of-philosophy-science/</t>
        </is>
      </c>
      <c r="G368" t="inlineStr">
        <is>
          <t>https://study.unimelb.edu.au/find/courses/graduate/master-of-philosophy-science/</t>
        </is>
      </c>
      <c r="H368" t="inlineStr">
        <is>
          <t>Read</t>
        </is>
      </c>
      <c r="I368" t="inlineStr">
        <is>
          <t>CRICOS code on page</t>
        </is>
      </c>
      <c r="J368" t="inlineStr"/>
      <c r="K368" t="inlineStr">
        <is>
          <t>Not sent to re-link</t>
        </is>
      </c>
      <c r="L368" t="inlineStr">
        <is>
          <t>Filled</t>
        </is>
      </c>
      <c r="M368" t="inlineStr">
        <is>
          <t>Filled</t>
        </is>
      </c>
      <c r="N368" t="inlineStr">
        <is>
          <t>58272.00 2027</t>
        </is>
      </c>
      <c r="O368" t="n">
        <v>3</v>
      </c>
      <c r="P368" t="inlineStr">
        <is>
          <t>Other</t>
        </is>
      </c>
      <c r="Q368" t="inlineStr">
        <is>
          <t>Not stated on course page</t>
        </is>
      </c>
      <c r="S368" t="inlineStr"/>
      <c r="T368" t="inlineStr">
        <is>
          <t>Level map (Melbourne): not computed per course in this report</t>
        </is>
      </c>
      <c r="U368" t="inlineStr"/>
      <c r="V368" t="inlineStr">
        <is>
          <t>Not stated on course page</t>
        </is>
      </c>
      <c r="W368" t="inlineStr"/>
      <c r="X368" t="inlineStr"/>
      <c r="Y368" t="n">
        <v>0</v>
      </c>
      <c r="Z368" t="inlineStr">
        <is>
          <t>No</t>
        </is>
      </c>
      <c r="AA368" t="inlineStr">
        <is>
          <t>Filled</t>
        </is>
      </c>
      <c r="AB368" t="inlineStr">
        <is>
          <t>on campus</t>
        </is>
      </c>
      <c r="AC368" t="inlineStr"/>
      <c r="AD368" t="n">
        <v>0</v>
      </c>
      <c r="AE368" t="inlineStr"/>
      <c r="AF368" t="inlineStr"/>
      <c r="AG368" t="inlineStr"/>
      <c r="AH368" t="inlineStr"/>
      <c r="AI368" t="inlineStr">
        <is>
          <t>Yes</t>
        </is>
      </c>
      <c r="AJ368" t="inlineStr"/>
      <c r="AK368" t="inlineStr"/>
      <c r="AL368" t="inlineStr"/>
      <c r="AM368" t="inlineStr"/>
    </row>
    <row r="369">
      <c r="A369" t="inlineStr">
        <is>
          <t>067211B</t>
        </is>
      </c>
      <c r="B369" t="inlineStr">
        <is>
          <t>Master of Philosophy - Veterinary Science</t>
        </is>
      </c>
      <c r="C369" t="inlineStr">
        <is>
          <t>Masters Degree (Research)</t>
        </is>
      </c>
      <c r="D369" t="inlineStr">
        <is>
          <t>Research degree</t>
        </is>
      </c>
      <c r="E369" t="inlineStr">
        <is>
          <t>Advertised: official page in place</t>
        </is>
      </c>
      <c r="F369" t="inlineStr">
        <is>
          <t>https://handbook.unimelb.edu.au/2026/courses/mr-philvet</t>
        </is>
      </c>
      <c r="G369" t="inlineStr">
        <is>
          <t>https://handbook.unimelb.edu.au/2026/courses/mr-philvet</t>
        </is>
      </c>
      <c r="H369" t="inlineStr">
        <is>
          <t>Read</t>
        </is>
      </c>
      <c r="I369" t="inlineStr">
        <is>
          <t>CRICOS code on page</t>
        </is>
      </c>
      <c r="J369" t="inlineStr"/>
      <c r="K369" t="inlineStr">
        <is>
          <t>Not sent to re-link</t>
        </is>
      </c>
      <c r="L369" t="inlineStr">
        <is>
          <t>Filled</t>
        </is>
      </c>
      <c r="M369" t="inlineStr">
        <is>
          <t>Filled</t>
        </is>
      </c>
      <c r="N369" t="inlineStr">
        <is>
          <t>62496.00 2027</t>
        </is>
      </c>
      <c r="O369" t="n">
        <v>3</v>
      </c>
      <c r="P369" t="inlineStr">
        <is>
          <t>Other</t>
        </is>
      </c>
      <c r="Q369" t="inlineStr">
        <is>
          <t>Not stated on course page</t>
        </is>
      </c>
      <c r="S369" t="inlineStr"/>
      <c r="T369" t="inlineStr">
        <is>
          <t>Level map (Melbourne): not computed per course in this report</t>
        </is>
      </c>
      <c r="U369" t="inlineStr"/>
      <c r="V369" t="inlineStr">
        <is>
          <t>Not stated on course page</t>
        </is>
      </c>
      <c r="W369" t="inlineStr"/>
      <c r="X369" t="inlineStr"/>
      <c r="Y369" t="n">
        <v>0</v>
      </c>
      <c r="Z369" t="inlineStr">
        <is>
          <t>No</t>
        </is>
      </c>
      <c r="AA369" t="inlineStr">
        <is>
          <t>Filled</t>
        </is>
      </c>
      <c r="AB369" t="inlineStr">
        <is>
          <t>on campus</t>
        </is>
      </c>
      <c r="AC369" t="inlineStr"/>
      <c r="AD369" t="n">
        <v>0</v>
      </c>
      <c r="AE369" t="inlineStr"/>
      <c r="AF369" t="inlineStr"/>
      <c r="AG369" t="inlineStr"/>
      <c r="AH369" t="inlineStr"/>
      <c r="AI369" t="inlineStr">
        <is>
          <t>Yes</t>
        </is>
      </c>
      <c r="AJ369" t="inlineStr"/>
      <c r="AK369" t="inlineStr"/>
      <c r="AL369" t="inlineStr"/>
      <c r="AM369" t="inlineStr"/>
    </row>
    <row r="370">
      <c r="A370" t="inlineStr">
        <is>
          <t>061968E</t>
        </is>
      </c>
      <c r="B370" t="inlineStr">
        <is>
          <t>Master of Philosophy - Victorian College of Arts</t>
        </is>
      </c>
      <c r="C370" t="inlineStr">
        <is>
          <t>Masters Degree (Research)</t>
        </is>
      </c>
      <c r="D370" t="inlineStr">
        <is>
          <t>Research degree</t>
        </is>
      </c>
      <c r="E370" t="inlineStr">
        <is>
          <t>Page found, needs a rendered read</t>
        </is>
      </c>
      <c r="F370" t="inlineStr"/>
      <c r="G370" t="inlineStr">
        <is>
          <t>https://handbook.unimelb.edu.au/2026/courses/mr-philvca</t>
        </is>
      </c>
      <c r="H370" t="inlineStr">
        <is>
          <t>Needs a rendered read</t>
        </is>
      </c>
      <c r="I370" t="inlineStr"/>
      <c r="J370" t="inlineStr"/>
      <c r="K370" t="inlineStr">
        <is>
          <t>Finished, no page: no address from the university's address forms or stored lis</t>
        </is>
      </c>
      <c r="L370" t="inlineStr">
        <is>
          <t>Page found, being read</t>
        </is>
      </c>
      <c r="M370" t="inlineStr">
        <is>
          <t>Page found, being read</t>
        </is>
      </c>
      <c r="N370" t="inlineStr"/>
      <c r="O370" t="n">
        <v>0</v>
      </c>
      <c r="P370" t="inlineStr"/>
      <c r="Q370" t="inlineStr">
        <is>
          <t>Page found, being read</t>
        </is>
      </c>
      <c r="S370" t="inlineStr"/>
      <c r="T370" t="inlineStr">
        <is>
          <t>Level map (Melbourne): not computed per course in this report</t>
        </is>
      </c>
      <c r="U370" t="inlineStr"/>
      <c r="V370" t="inlineStr">
        <is>
          <t>Page found, being read</t>
        </is>
      </c>
      <c r="W370" t="inlineStr"/>
      <c r="X370" t="inlineStr"/>
      <c r="Y370" t="n">
        <v>0</v>
      </c>
      <c r="Z370" t="inlineStr">
        <is>
          <t>No</t>
        </is>
      </c>
      <c r="AA370" t="inlineStr">
        <is>
          <t>Not stated on course page</t>
        </is>
      </c>
      <c r="AB370" t="inlineStr"/>
      <c r="AC370" t="inlineStr">
        <is>
          <t>Skipped: the page does not state it</t>
        </is>
      </c>
      <c r="AD370" t="n">
        <v>0</v>
      </c>
      <c r="AE370" t="inlineStr">
        <is>
          <t>Yes</t>
        </is>
      </c>
      <c r="AF370" t="inlineStr"/>
      <c r="AG370" t="inlineStr"/>
      <c r="AH370" t="inlineStr"/>
      <c r="AI370" t="inlineStr"/>
      <c r="AJ370" t="inlineStr"/>
      <c r="AK370" t="inlineStr"/>
      <c r="AL370" t="inlineStr"/>
      <c r="AM370" t="inlineStr"/>
    </row>
    <row r="371">
      <c r="A371" t="inlineStr">
        <is>
          <t>091556K</t>
        </is>
      </c>
      <c r="B371" t="inlineStr">
        <is>
          <t>Master of Philosophy (Biomedical Science)</t>
        </is>
      </c>
      <c r="C371" t="inlineStr">
        <is>
          <t>Masters Degree (Research)</t>
        </is>
      </c>
      <c r="D371" t="inlineStr">
        <is>
          <t>Research degree</t>
        </is>
      </c>
      <c r="E371" t="inlineStr">
        <is>
          <t>Advertised: official page in place</t>
        </is>
      </c>
      <c r="F371" t="inlineStr">
        <is>
          <t>https://handbook.unimelb.edu.au/courses/mr-philbms</t>
        </is>
      </c>
      <c r="G371" t="inlineStr">
        <is>
          <t>https://handbook.unimelb.edu.au/courses/mr-philbms</t>
        </is>
      </c>
      <c r="H371" t="inlineStr">
        <is>
          <t>Read</t>
        </is>
      </c>
      <c r="I371" t="inlineStr">
        <is>
          <t>CRICOS code on page</t>
        </is>
      </c>
      <c r="J371" t="inlineStr"/>
      <c r="K371" t="inlineStr">
        <is>
          <t>Not sent to re-link</t>
        </is>
      </c>
      <c r="L371" t="inlineStr">
        <is>
          <t>Filled</t>
        </is>
      </c>
      <c r="M371" t="inlineStr">
        <is>
          <t>Filled</t>
        </is>
      </c>
      <c r="N371" t="inlineStr">
        <is>
          <t>64640.00 2027</t>
        </is>
      </c>
      <c r="O371" t="n">
        <v>3</v>
      </c>
      <c r="P371" t="inlineStr">
        <is>
          <t>Other</t>
        </is>
      </c>
      <c r="Q371" t="inlineStr">
        <is>
          <t>Not stated on course page</t>
        </is>
      </c>
      <c r="S371" t="inlineStr"/>
      <c r="T371" t="inlineStr">
        <is>
          <t>Level map (Melbourne): not computed per course in this report</t>
        </is>
      </c>
      <c r="U371" t="inlineStr"/>
      <c r="V371" t="inlineStr">
        <is>
          <t>Filled</t>
        </is>
      </c>
      <c r="W371" t="inlineStr">
        <is>
          <t>February, March, October, November</t>
        </is>
      </c>
      <c r="X371" t="inlineStr">
        <is>
          <t>Page reader</t>
        </is>
      </c>
      <c r="Y371" t="n">
        <v>0</v>
      </c>
      <c r="Z371" t="inlineStr">
        <is>
          <t>No</t>
        </is>
      </c>
      <c r="AA371" t="inlineStr">
        <is>
          <t>Filled</t>
        </is>
      </c>
      <c r="AB371" t="inlineStr">
        <is>
          <t>on campus</t>
        </is>
      </c>
      <c r="AC371" t="inlineStr"/>
      <c r="AD371" t="n">
        <v>0</v>
      </c>
      <c r="AE371" t="inlineStr"/>
      <c r="AF371" t="inlineStr"/>
      <c r="AG371" t="inlineStr"/>
      <c r="AH371" t="inlineStr"/>
      <c r="AI371" t="inlineStr"/>
      <c r="AJ371" t="inlineStr"/>
      <c r="AK371" t="inlineStr"/>
      <c r="AL371" t="inlineStr"/>
      <c r="AM371" t="inlineStr"/>
    </row>
    <row r="372">
      <c r="A372" t="inlineStr">
        <is>
          <t>046262J</t>
        </is>
      </c>
      <c r="B372" t="inlineStr">
        <is>
          <t>Master of Primary Health Care</t>
        </is>
      </c>
      <c r="C372" t="inlineStr">
        <is>
          <t>Masters Degree (Research)</t>
        </is>
      </c>
      <c r="D372" t="inlineStr">
        <is>
          <t>Research degree</t>
        </is>
      </c>
      <c r="E372" t="inlineStr">
        <is>
          <t>Advertised: official page in place</t>
        </is>
      </c>
      <c r="F372" t="inlineStr">
        <is>
          <t>https://handbook.unimelb.edu.au/2020/courses/546aa</t>
        </is>
      </c>
      <c r="G372" t="inlineStr">
        <is>
          <t>https://handbook.unimelb.edu.au/2026/courses/546aa</t>
        </is>
      </c>
      <c r="H372" t="inlineStr">
        <is>
          <t>Needs a rendered read</t>
        </is>
      </c>
      <c r="I372" t="inlineStr"/>
      <c r="J372" t="inlineStr"/>
      <c r="K372" t="inlineStr">
        <is>
          <t>Finished, no page: no address from the university's address forms or stored lis</t>
        </is>
      </c>
      <c r="L372" t="inlineStr">
        <is>
          <t>Filled</t>
        </is>
      </c>
      <c r="M372" t="inlineStr">
        <is>
          <t>Not stated on course page</t>
        </is>
      </c>
      <c r="N372" t="inlineStr"/>
      <c r="O372" t="n">
        <v>0</v>
      </c>
      <c r="P372" t="inlineStr"/>
      <c r="Q372" t="inlineStr">
        <is>
          <t>Not stated on course page</t>
        </is>
      </c>
      <c r="S372" t="inlineStr"/>
      <c r="T372" t="inlineStr">
        <is>
          <t>Level map (Melbourne): not computed per course in this report</t>
        </is>
      </c>
      <c r="U372" t="inlineStr"/>
      <c r="V372" t="inlineStr">
        <is>
          <t>Filled</t>
        </is>
      </c>
      <c r="W372" t="inlineStr">
        <is>
          <t>February, March, November</t>
        </is>
      </c>
      <c r="X372" t="inlineStr">
        <is>
          <t>Other</t>
        </is>
      </c>
      <c r="Y372" t="n">
        <v>0</v>
      </c>
      <c r="Z372" t="inlineStr">
        <is>
          <t>No</t>
        </is>
      </c>
      <c r="AA372" t="inlineStr">
        <is>
          <t>Filled</t>
        </is>
      </c>
      <c r="AB372" t="inlineStr">
        <is>
          <t>on campus</t>
        </is>
      </c>
      <c r="AC372" t="inlineStr"/>
      <c r="AD372" t="n">
        <v>0</v>
      </c>
      <c r="AE372" t="inlineStr">
        <is>
          <t>Yes</t>
        </is>
      </c>
      <c r="AF372" t="inlineStr"/>
      <c r="AG372" t="inlineStr"/>
      <c r="AH372" t="inlineStr"/>
      <c r="AI372" t="inlineStr"/>
      <c r="AJ372" t="inlineStr"/>
      <c r="AK372" t="inlineStr"/>
      <c r="AL372" t="inlineStr"/>
      <c r="AM372" t="inlineStr"/>
    </row>
    <row r="373">
      <c r="A373" t="inlineStr">
        <is>
          <t>076224M</t>
        </is>
      </c>
      <c r="B373" t="inlineStr">
        <is>
          <t>Master of Private Law</t>
        </is>
      </c>
      <c r="C373" t="inlineStr">
        <is>
          <t>Masters Degree (Coursework)</t>
        </is>
      </c>
      <c r="D373" t="inlineStr">
        <is>
          <t>Postgraduate coursework</t>
        </is>
      </c>
      <c r="E373" t="inlineStr">
        <is>
          <t>Advertised: official page in place</t>
        </is>
      </c>
      <c r="F373" t="inlineStr">
        <is>
          <t>https://handbook.unimelb.edu.au/2026/courses/mc-privlaw</t>
        </is>
      </c>
      <c r="G373" t="inlineStr">
        <is>
          <t>https://handbook.unimelb.edu.au/2026/courses/mc-privlaw</t>
        </is>
      </c>
      <c r="H373" t="inlineStr">
        <is>
          <t>Read</t>
        </is>
      </c>
      <c r="I373" t="inlineStr">
        <is>
          <t>CRICOS code on page</t>
        </is>
      </c>
      <c r="J373" t="inlineStr"/>
      <c r="K373" t="inlineStr">
        <is>
          <t>Not sent to re-link</t>
        </is>
      </c>
      <c r="L373" t="inlineStr">
        <is>
          <t>Filled</t>
        </is>
      </c>
      <c r="M373" t="inlineStr">
        <is>
          <t>Filled</t>
        </is>
      </c>
      <c r="N373" t="inlineStr">
        <is>
          <t>67072.00 2027</t>
        </is>
      </c>
      <c r="O373" t="n">
        <v>3</v>
      </c>
      <c r="P373" t="inlineStr">
        <is>
          <t>Other</t>
        </is>
      </c>
      <c r="Q373" t="inlineStr">
        <is>
          <t>Filled</t>
        </is>
      </c>
      <c r="R373" t="n">
        <v>7</v>
      </c>
      <c r="S373" t="inlineStr">
        <is>
          <t>Central English policy</t>
        </is>
      </c>
      <c r="T373" t="inlineStr">
        <is>
          <t>Level map (Melbourne): not computed per course in this report</t>
        </is>
      </c>
      <c r="U373" t="inlineStr"/>
      <c r="V373" t="inlineStr">
        <is>
          <t>Not stated on course page</t>
        </is>
      </c>
      <c r="W373" t="inlineStr"/>
      <c r="X373" t="inlineStr"/>
      <c r="Y373" t="n">
        <v>0</v>
      </c>
      <c r="Z373" t="inlineStr">
        <is>
          <t>No</t>
        </is>
      </c>
      <c r="AA373" t="inlineStr">
        <is>
          <t>Filled</t>
        </is>
      </c>
      <c r="AB373" t="inlineStr">
        <is>
          <t>on campus</t>
        </is>
      </c>
      <c r="AC373" t="inlineStr"/>
      <c r="AD373" t="n">
        <v>0</v>
      </c>
      <c r="AE373" t="inlineStr"/>
      <c r="AF373" t="inlineStr"/>
      <c r="AG373" t="inlineStr"/>
      <c r="AH373" t="inlineStr"/>
      <c r="AI373" t="inlineStr">
        <is>
          <t>Yes</t>
        </is>
      </c>
      <c r="AJ373" t="inlineStr"/>
      <c r="AK373" t="inlineStr"/>
      <c r="AL373" t="inlineStr"/>
      <c r="AM373" t="inlineStr"/>
    </row>
    <row r="374">
      <c r="A374" t="inlineStr">
        <is>
          <t>075500D</t>
        </is>
      </c>
      <c r="B374" t="inlineStr">
        <is>
          <t>Master of Producing</t>
        </is>
      </c>
      <c r="C374" t="inlineStr">
        <is>
          <t>Masters Degree (Coursework)</t>
        </is>
      </c>
      <c r="D374" t="inlineStr">
        <is>
          <t>Postgraduate coursework</t>
        </is>
      </c>
      <c r="E374" t="inlineStr">
        <is>
          <t>Advertised: official page in place</t>
        </is>
      </c>
      <c r="F374" t="inlineStr">
        <is>
          <t>https://handbook.unimelb.edu.au/2023/courses/mc-prod</t>
        </is>
      </c>
      <c r="G374" t="inlineStr">
        <is>
          <t>https://handbook.unimelb.edu.au/2026/courses/mc-prod</t>
        </is>
      </c>
      <c r="H374" t="inlineStr">
        <is>
          <t>Needs a rendered read</t>
        </is>
      </c>
      <c r="I374" t="inlineStr"/>
      <c r="J374" t="inlineStr"/>
      <c r="K374" t="inlineStr">
        <is>
          <t>Finished, no page: no address from the university's address forms or stored lis</t>
        </is>
      </c>
      <c r="L374" t="inlineStr">
        <is>
          <t>Filled</t>
        </is>
      </c>
      <c r="M374" t="inlineStr">
        <is>
          <t>Not stated on course page</t>
        </is>
      </c>
      <c r="N374" t="inlineStr"/>
      <c r="O374" t="n">
        <v>0</v>
      </c>
      <c r="P374" t="inlineStr"/>
      <c r="Q374" t="inlineStr">
        <is>
          <t>Not stated on course page</t>
        </is>
      </c>
      <c r="S374" t="inlineStr"/>
      <c r="T374" t="inlineStr">
        <is>
          <t>Level map (Melbourne): not computed per course in this report</t>
        </is>
      </c>
      <c r="U374" t="inlineStr"/>
      <c r="V374" t="inlineStr">
        <is>
          <t>Not stated on course page</t>
        </is>
      </c>
      <c r="W374" t="inlineStr"/>
      <c r="X374" t="inlineStr"/>
      <c r="Y374" t="n">
        <v>0</v>
      </c>
      <c r="Z374" t="inlineStr">
        <is>
          <t>No</t>
        </is>
      </c>
      <c r="AA374" t="inlineStr">
        <is>
          <t>Filled</t>
        </is>
      </c>
      <c r="AB374" t="inlineStr">
        <is>
          <t>on campus</t>
        </is>
      </c>
      <c r="AC374" t="inlineStr"/>
      <c r="AD374" t="n">
        <v>0</v>
      </c>
      <c r="AE374" t="inlineStr">
        <is>
          <t>Yes</t>
        </is>
      </c>
      <c r="AF374" t="inlineStr"/>
      <c r="AG374" t="inlineStr"/>
      <c r="AH374" t="inlineStr"/>
      <c r="AI374" t="inlineStr">
        <is>
          <t>Yes</t>
        </is>
      </c>
      <c r="AJ374" t="inlineStr"/>
      <c r="AK374" t="inlineStr"/>
      <c r="AL374" t="inlineStr"/>
      <c r="AM374" t="inlineStr"/>
    </row>
    <row r="375">
      <c r="A375" t="inlineStr">
        <is>
          <t>081322M</t>
        </is>
      </c>
      <c r="B375" t="inlineStr">
        <is>
          <t>Master of Production Design for Screen</t>
        </is>
      </c>
      <c r="C375" t="inlineStr">
        <is>
          <t>Masters Degree (Coursework)</t>
        </is>
      </c>
      <c r="D375" t="inlineStr">
        <is>
          <t>Postgraduate coursework</t>
        </is>
      </c>
      <c r="E375" t="inlineStr">
        <is>
          <t>Advertised: official page in place</t>
        </is>
      </c>
      <c r="F375" t="inlineStr">
        <is>
          <t>https://handbook.unimelb.edu.au/2021/courses/mc-proddfs</t>
        </is>
      </c>
      <c r="G375" t="inlineStr">
        <is>
          <t>https://handbook.unimelb.edu.au/2026/courses/mc-proddfs</t>
        </is>
      </c>
      <c r="H375" t="inlineStr">
        <is>
          <t>Needs a rendered read</t>
        </is>
      </c>
      <c r="I375" t="inlineStr"/>
      <c r="J375" t="inlineStr"/>
      <c r="K375" t="inlineStr">
        <is>
          <t>Finished, no page: no address from the university's address forms or stored lis</t>
        </is>
      </c>
      <c r="L375" t="inlineStr">
        <is>
          <t>Filled</t>
        </is>
      </c>
      <c r="M375" t="inlineStr">
        <is>
          <t>Not stated on course page</t>
        </is>
      </c>
      <c r="N375" t="inlineStr"/>
      <c r="O375" t="n">
        <v>0</v>
      </c>
      <c r="P375" t="inlineStr"/>
      <c r="Q375" t="inlineStr">
        <is>
          <t>Not stated on course page</t>
        </is>
      </c>
      <c r="S375" t="inlineStr"/>
      <c r="T375" t="inlineStr">
        <is>
          <t>Level map (Melbourne): not computed per course in this report</t>
        </is>
      </c>
      <c r="U375" t="inlineStr"/>
      <c r="V375" t="inlineStr">
        <is>
          <t>Not stated on course page</t>
        </is>
      </c>
      <c r="W375" t="inlineStr"/>
      <c r="X375" t="inlineStr"/>
      <c r="Y375" t="n">
        <v>0</v>
      </c>
      <c r="Z375" t="inlineStr">
        <is>
          <t>No</t>
        </is>
      </c>
      <c r="AA375" t="inlineStr">
        <is>
          <t>Filled</t>
        </is>
      </c>
      <c r="AB375" t="inlineStr">
        <is>
          <t>on campus</t>
        </is>
      </c>
      <c r="AC375" t="inlineStr"/>
      <c r="AD375" t="n">
        <v>0</v>
      </c>
      <c r="AE375" t="inlineStr">
        <is>
          <t>Yes</t>
        </is>
      </c>
      <c r="AF375" t="inlineStr"/>
      <c r="AG375" t="inlineStr"/>
      <c r="AH375" t="inlineStr"/>
      <c r="AI375" t="inlineStr">
        <is>
          <t>Yes</t>
        </is>
      </c>
      <c r="AJ375" t="inlineStr"/>
      <c r="AK375" t="inlineStr"/>
      <c r="AL375" t="inlineStr"/>
      <c r="AM375" t="inlineStr"/>
    </row>
    <row r="376">
      <c r="A376" t="inlineStr">
        <is>
          <t>061196M</t>
        </is>
      </c>
      <c r="B376" t="inlineStr">
        <is>
          <t>Master of Property</t>
        </is>
      </c>
      <c r="C376" t="inlineStr">
        <is>
          <t>Masters Degree (Coursework)</t>
        </is>
      </c>
      <c r="D376" t="inlineStr">
        <is>
          <t>Postgraduate coursework</t>
        </is>
      </c>
      <c r="E376" t="inlineStr">
        <is>
          <t>Advertised: official page in place</t>
        </is>
      </c>
      <c r="F376" t="inlineStr">
        <is>
          <t>https://study.unimelb.edu.au/find/courses/graduate/master-of-property/</t>
        </is>
      </c>
      <c r="G376" t="inlineStr">
        <is>
          <t>https://study.unimelb.edu.au/find/courses/graduate/master-of-property/</t>
        </is>
      </c>
      <c r="H376" t="inlineStr">
        <is>
          <t>Read</t>
        </is>
      </c>
      <c r="I376" t="inlineStr">
        <is>
          <t>Exact title match</t>
        </is>
      </c>
      <c r="J376" t="inlineStr"/>
      <c r="K376" t="inlineStr">
        <is>
          <t>Not sent to re-link</t>
        </is>
      </c>
      <c r="L376" t="inlineStr">
        <is>
          <t>Filled</t>
        </is>
      </c>
      <c r="M376" t="inlineStr">
        <is>
          <t>Filled</t>
        </is>
      </c>
      <c r="N376" t="inlineStr">
        <is>
          <t>56992.00 2026</t>
        </is>
      </c>
      <c r="O376" t="n">
        <v>0</v>
      </c>
      <c r="P376" t="inlineStr">
        <is>
          <t>University adapter</t>
        </is>
      </c>
      <c r="Q376" t="inlineStr">
        <is>
          <t>Filled</t>
        </is>
      </c>
      <c r="R376" t="n">
        <v>6.5</v>
      </c>
      <c r="S376" t="inlineStr">
        <is>
          <t>University adapter</t>
        </is>
      </c>
      <c r="T376" t="inlineStr">
        <is>
          <t>Level map (Melbourne): not computed per course in this report</t>
        </is>
      </c>
      <c r="U376" t="inlineStr"/>
      <c r="V376" t="inlineStr">
        <is>
          <t>Filled</t>
        </is>
      </c>
      <c r="W376" t="inlineStr">
        <is>
          <t>March, July</t>
        </is>
      </c>
      <c r="X376" t="inlineStr">
        <is>
          <t>Other</t>
        </is>
      </c>
      <c r="Y376" t="n">
        <v>0</v>
      </c>
      <c r="Z376" t="inlineStr">
        <is>
          <t>No</t>
        </is>
      </c>
      <c r="AA376" t="inlineStr">
        <is>
          <t>Filled</t>
        </is>
      </c>
      <c r="AB376" t="inlineStr">
        <is>
          <t>on campus</t>
        </is>
      </c>
      <c r="AC376" t="inlineStr"/>
      <c r="AD376" t="n">
        <v>0</v>
      </c>
      <c r="AE376" t="inlineStr"/>
      <c r="AF376" t="inlineStr"/>
      <c r="AG376" t="inlineStr"/>
      <c r="AH376" t="inlineStr"/>
      <c r="AI376" t="inlineStr"/>
      <c r="AJ376" t="inlineStr"/>
      <c r="AK376" t="inlineStr"/>
      <c r="AL376" t="inlineStr"/>
      <c r="AM376" t="inlineStr"/>
    </row>
    <row r="377">
      <c r="A377" t="inlineStr">
        <is>
          <t>061195A</t>
        </is>
      </c>
      <c r="B377" t="inlineStr">
        <is>
          <t>Master of Property</t>
        </is>
      </c>
      <c r="C377" t="inlineStr">
        <is>
          <t>Masters Degree (Coursework)</t>
        </is>
      </c>
      <c r="D377" t="inlineStr">
        <is>
          <t>Postgraduate coursework</t>
        </is>
      </c>
      <c r="E377" t="inlineStr">
        <is>
          <t>Advertised: official page in place</t>
        </is>
      </c>
      <c r="F377" t="inlineStr">
        <is>
          <t>https://study.unimelb.edu.au/find/courses/graduate/master-of-property/</t>
        </is>
      </c>
      <c r="G377" t="inlineStr">
        <is>
          <t>https://study.unimelb.edu.au/find/courses/graduate/master-of-property/</t>
        </is>
      </c>
      <c r="H377" t="inlineStr">
        <is>
          <t>Read</t>
        </is>
      </c>
      <c r="I377" t="inlineStr">
        <is>
          <t>CRICOS code on page</t>
        </is>
      </c>
      <c r="J377" t="inlineStr"/>
      <c r="K377" t="inlineStr">
        <is>
          <t>Not sent to re-link</t>
        </is>
      </c>
      <c r="L377" t="inlineStr">
        <is>
          <t>Filled</t>
        </is>
      </c>
      <c r="M377" t="inlineStr">
        <is>
          <t>Filled</t>
        </is>
      </c>
      <c r="N377" t="inlineStr">
        <is>
          <t>59840.00 2027</t>
        </is>
      </c>
      <c r="O377" t="n">
        <v>3</v>
      </c>
      <c r="P377" t="inlineStr">
        <is>
          <t>Other</t>
        </is>
      </c>
      <c r="Q377" t="inlineStr">
        <is>
          <t>Filled</t>
        </is>
      </c>
      <c r="R377" t="n">
        <v>6.5</v>
      </c>
      <c r="S377" t="inlineStr">
        <is>
          <t>University adapter</t>
        </is>
      </c>
      <c r="T377" t="inlineStr">
        <is>
          <t>Level map (Melbourne): not computed per course in this report</t>
        </is>
      </c>
      <c r="U377" t="inlineStr"/>
      <c r="V377" t="inlineStr">
        <is>
          <t>Filled</t>
        </is>
      </c>
      <c r="W377" t="inlineStr">
        <is>
          <t>March, July</t>
        </is>
      </c>
      <c r="X377" t="inlineStr">
        <is>
          <t>University adapter</t>
        </is>
      </c>
      <c r="Y377" t="n">
        <v>0</v>
      </c>
      <c r="Z377" t="inlineStr">
        <is>
          <t>No</t>
        </is>
      </c>
      <c r="AA377" t="inlineStr">
        <is>
          <t>Filled</t>
        </is>
      </c>
      <c r="AB377" t="inlineStr">
        <is>
          <t>on campus</t>
        </is>
      </c>
      <c r="AC377" t="inlineStr"/>
      <c r="AD377" t="n">
        <v>0</v>
      </c>
      <c r="AE377" t="inlineStr"/>
      <c r="AF377" t="inlineStr"/>
      <c r="AG377" t="inlineStr"/>
      <c r="AH377" t="inlineStr"/>
      <c r="AI377" t="inlineStr"/>
      <c r="AJ377" t="inlineStr"/>
      <c r="AK377" t="inlineStr"/>
      <c r="AL377" t="inlineStr"/>
      <c r="AM377" t="inlineStr"/>
    </row>
    <row r="378">
      <c r="A378" t="inlineStr">
        <is>
          <t>105518H</t>
        </is>
      </c>
      <c r="B378" t="inlineStr">
        <is>
          <t>Master of Property / Master of Urban Planning</t>
        </is>
      </c>
      <c r="C378" t="inlineStr">
        <is>
          <t>Masters Degree (Coursework)</t>
        </is>
      </c>
      <c r="D378" t="inlineStr">
        <is>
          <t>Postgraduate coursework</t>
        </is>
      </c>
      <c r="E378" t="inlineStr">
        <is>
          <t>Advertised: official page in place</t>
        </is>
      </c>
      <c r="F378" t="inlineStr">
        <is>
          <t>https://study.unimelb.edu.au/find/courses/graduate/master-of-property-master-of-urban-planning/</t>
        </is>
      </c>
      <c r="G378" t="inlineStr">
        <is>
          <t>https://study.unimelb.edu.au/find/courses/graduate/master-of-property-master-of-urban-planning/</t>
        </is>
      </c>
      <c r="H378" t="inlineStr">
        <is>
          <t>Read</t>
        </is>
      </c>
      <c r="I378" t="inlineStr">
        <is>
          <t>CRICOS code on page</t>
        </is>
      </c>
      <c r="J378" t="inlineStr"/>
      <c r="K378" t="inlineStr">
        <is>
          <t>Not sent to re-link</t>
        </is>
      </c>
      <c r="L378" t="inlineStr">
        <is>
          <t>Filled</t>
        </is>
      </c>
      <c r="M378" t="inlineStr">
        <is>
          <t>Filled</t>
        </is>
      </c>
      <c r="N378" t="inlineStr">
        <is>
          <t>59840.00 2027</t>
        </is>
      </c>
      <c r="O378" t="n">
        <v>2</v>
      </c>
      <c r="P378" t="inlineStr">
        <is>
          <t>Other</t>
        </is>
      </c>
      <c r="Q378" t="inlineStr">
        <is>
          <t>Filled</t>
        </is>
      </c>
      <c r="R378" t="n">
        <v>6.5</v>
      </c>
      <c r="S378" t="inlineStr">
        <is>
          <t>University adapter</t>
        </is>
      </c>
      <c r="T378" t="inlineStr">
        <is>
          <t>Level map (Melbourne): not computed per course in this report</t>
        </is>
      </c>
      <c r="U378" t="inlineStr"/>
      <c r="V378" t="inlineStr">
        <is>
          <t>Filled</t>
        </is>
      </c>
      <c r="W378" t="inlineStr">
        <is>
          <t>March, July</t>
        </is>
      </c>
      <c r="X378" t="inlineStr">
        <is>
          <t>Other</t>
        </is>
      </c>
      <c r="Y378" t="n">
        <v>0</v>
      </c>
      <c r="Z378" t="inlineStr">
        <is>
          <t>No</t>
        </is>
      </c>
      <c r="AA378" t="inlineStr">
        <is>
          <t>Filled</t>
        </is>
      </c>
      <c r="AB378" t="inlineStr">
        <is>
          <t>on campus</t>
        </is>
      </c>
      <c r="AC378" t="inlineStr"/>
      <c r="AD378" t="n">
        <v>0</v>
      </c>
      <c r="AE378" t="inlineStr"/>
      <c r="AF378" t="inlineStr"/>
      <c r="AG378" t="inlineStr"/>
      <c r="AH378" t="inlineStr"/>
      <c r="AI378" t="inlineStr"/>
      <c r="AJ378" t="inlineStr"/>
      <c r="AK378" t="inlineStr"/>
      <c r="AL378" t="inlineStr"/>
      <c r="AM378" t="inlineStr"/>
    </row>
    <row r="379">
      <c r="A379" t="inlineStr">
        <is>
          <t>079406C</t>
        </is>
      </c>
      <c r="B379" t="inlineStr">
        <is>
          <t>Master of Psychiatry</t>
        </is>
      </c>
      <c r="C379" t="inlineStr">
        <is>
          <t>Masters Degree (Coursework)</t>
        </is>
      </c>
      <c r="D379" t="inlineStr">
        <is>
          <t>Postgraduate coursework</t>
        </is>
      </c>
      <c r="E379" t="inlineStr">
        <is>
          <t>Advertised: official page in place</t>
        </is>
      </c>
      <c r="F379" t="inlineStr">
        <is>
          <t>https://handbook.unimelb.edu.au/2026/courses/342aa</t>
        </is>
      </c>
      <c r="G379" t="inlineStr">
        <is>
          <t>https://handbook.unimelb.edu.au/2026/courses/342aa</t>
        </is>
      </c>
      <c r="H379" t="inlineStr">
        <is>
          <t>Read</t>
        </is>
      </c>
      <c r="I379" t="inlineStr">
        <is>
          <t>CRICOS code on page</t>
        </is>
      </c>
      <c r="J379" t="inlineStr"/>
      <c r="K379" t="inlineStr">
        <is>
          <t>Not sent to re-link</t>
        </is>
      </c>
      <c r="L379" t="inlineStr">
        <is>
          <t>Filled</t>
        </is>
      </c>
      <c r="M379" t="inlineStr">
        <is>
          <t>Filled</t>
        </is>
      </c>
      <c r="N379" t="inlineStr">
        <is>
          <t>72064.00 2027</t>
        </is>
      </c>
      <c r="O379" t="n">
        <v>3</v>
      </c>
      <c r="P379" t="inlineStr">
        <is>
          <t>Other</t>
        </is>
      </c>
      <c r="Q379" t="inlineStr">
        <is>
          <t>Filled</t>
        </is>
      </c>
      <c r="R379" t="n">
        <v>7</v>
      </c>
      <c r="S379" t="inlineStr">
        <is>
          <t>Central English policy</t>
        </is>
      </c>
      <c r="T379" t="inlineStr">
        <is>
          <t>Level map (Melbourne): not computed per course in this report</t>
        </is>
      </c>
      <c r="U379" t="inlineStr"/>
      <c r="V379" t="inlineStr">
        <is>
          <t>Not stated on course page</t>
        </is>
      </c>
      <c r="W379" t="inlineStr"/>
      <c r="X379" t="inlineStr"/>
      <c r="Y379" t="n">
        <v>0</v>
      </c>
      <c r="Z379" t="inlineStr">
        <is>
          <t>No</t>
        </is>
      </c>
      <c r="AA379" t="inlineStr">
        <is>
          <t>Filled</t>
        </is>
      </c>
      <c r="AB379" t="inlineStr">
        <is>
          <t>on campus</t>
        </is>
      </c>
      <c r="AC379" t="inlineStr"/>
      <c r="AD379" t="n">
        <v>0</v>
      </c>
      <c r="AE379" t="inlineStr"/>
      <c r="AF379" t="inlineStr"/>
      <c r="AG379" t="inlineStr"/>
      <c r="AH379" t="inlineStr"/>
      <c r="AI379" t="inlineStr">
        <is>
          <t>Yes</t>
        </is>
      </c>
      <c r="AJ379" t="inlineStr"/>
      <c r="AK379" t="inlineStr"/>
      <c r="AL379" t="inlineStr"/>
      <c r="AM379" t="inlineStr"/>
    </row>
    <row r="380">
      <c r="A380" t="inlineStr">
        <is>
          <t>009681G</t>
        </is>
      </c>
      <c r="B380" t="inlineStr">
        <is>
          <t>Master of Psychology</t>
        </is>
      </c>
      <c r="C380" t="inlineStr">
        <is>
          <t>Masters Degree (Coursework)</t>
        </is>
      </c>
      <c r="D380" t="inlineStr">
        <is>
          <t>Postgraduate coursework</t>
        </is>
      </c>
      <c r="E380" t="inlineStr">
        <is>
          <t>Advertised: official page in place</t>
        </is>
      </c>
      <c r="F380" t="inlineStr">
        <is>
          <t>https://handbook.unimelb.edu.au/2026/courses/527cn</t>
        </is>
      </c>
      <c r="G380" t="inlineStr">
        <is>
          <t>https://handbook.unimelb.edu.au/2026/courses/527cn</t>
        </is>
      </c>
      <c r="H380" t="inlineStr">
        <is>
          <t>Read</t>
        </is>
      </c>
      <c r="I380" t="inlineStr">
        <is>
          <t>CRICOS code on page</t>
        </is>
      </c>
      <c r="J380" t="inlineStr"/>
      <c r="K380" t="inlineStr">
        <is>
          <t>Not sent to re-link</t>
        </is>
      </c>
      <c r="L380" t="inlineStr">
        <is>
          <t>Filled</t>
        </is>
      </c>
      <c r="M380" t="inlineStr">
        <is>
          <t>Filled</t>
        </is>
      </c>
      <c r="N380" t="inlineStr">
        <is>
          <t>66752.00 2027</t>
        </is>
      </c>
      <c r="O380" t="n">
        <v>3</v>
      </c>
      <c r="P380" t="inlineStr">
        <is>
          <t>Other</t>
        </is>
      </c>
      <c r="Q380" t="inlineStr">
        <is>
          <t>Filled</t>
        </is>
      </c>
      <c r="R380" t="n">
        <v>7</v>
      </c>
      <c r="S380" t="inlineStr">
        <is>
          <t>Central English policy</t>
        </is>
      </c>
      <c r="T380" t="inlineStr">
        <is>
          <t>Level map (Melbourne): not computed per course in this report</t>
        </is>
      </c>
      <c r="U380" t="inlineStr"/>
      <c r="V380" t="inlineStr">
        <is>
          <t>Not stated on course page</t>
        </is>
      </c>
      <c r="W380" t="inlineStr"/>
      <c r="X380" t="inlineStr"/>
      <c r="Y380" t="n">
        <v>0</v>
      </c>
      <c r="Z380" t="inlineStr">
        <is>
          <t>No</t>
        </is>
      </c>
      <c r="AA380" t="inlineStr">
        <is>
          <t>Filled</t>
        </is>
      </c>
      <c r="AB380" t="inlineStr">
        <is>
          <t>on campus</t>
        </is>
      </c>
      <c r="AC380" t="inlineStr"/>
      <c r="AD380" t="n">
        <v>0</v>
      </c>
      <c r="AE380" t="inlineStr"/>
      <c r="AF380" t="inlineStr"/>
      <c r="AG380" t="inlineStr"/>
      <c r="AH380" t="inlineStr"/>
      <c r="AI380" t="inlineStr">
        <is>
          <t>Yes</t>
        </is>
      </c>
      <c r="AJ380" t="inlineStr"/>
      <c r="AK380" t="inlineStr"/>
      <c r="AL380" t="inlineStr"/>
      <c r="AM380" t="inlineStr"/>
    </row>
    <row r="381">
      <c r="A381" t="inlineStr">
        <is>
          <t>118471M</t>
        </is>
      </c>
      <c r="B381" t="inlineStr">
        <is>
          <t>Master of Psychology (Clinical Neuropsychology)/Doctor of Philosophy</t>
        </is>
      </c>
      <c r="C381" t="inlineStr">
        <is>
          <t>Doctorate / PhD</t>
        </is>
      </c>
      <c r="D381" t="inlineStr">
        <is>
          <t>Research degree</t>
        </is>
      </c>
      <c r="E381" t="inlineStr">
        <is>
          <t>Advertised: official page in place</t>
        </is>
      </c>
      <c r="F381" t="inlineStr">
        <is>
          <t>https://handbook.unimelb.edu.au/2026/courses/080cn</t>
        </is>
      </c>
      <c r="G381" t="inlineStr">
        <is>
          <t>https://handbook.unimelb.edu.au/2026/courses/080cn</t>
        </is>
      </c>
      <c r="H381" t="inlineStr">
        <is>
          <t>Read</t>
        </is>
      </c>
      <c r="I381" t="inlineStr">
        <is>
          <t>CRICOS code on page</t>
        </is>
      </c>
      <c r="J381" t="inlineStr"/>
      <c r="K381" t="inlineStr">
        <is>
          <t>Not sent to re-link</t>
        </is>
      </c>
      <c r="L381" t="inlineStr">
        <is>
          <t>Filled</t>
        </is>
      </c>
      <c r="M381" t="inlineStr">
        <is>
          <t>Filled</t>
        </is>
      </c>
      <c r="N381" t="inlineStr">
        <is>
          <t>64640.00 2027</t>
        </is>
      </c>
      <c r="O381" t="n">
        <v>2</v>
      </c>
      <c r="P381" t="inlineStr">
        <is>
          <t>Other</t>
        </is>
      </c>
      <c r="Q381" t="inlineStr">
        <is>
          <t>Not stated on course page</t>
        </is>
      </c>
      <c r="S381" t="inlineStr"/>
      <c r="T381" t="inlineStr">
        <is>
          <t>Level map (Melbourne): not computed per course in this report</t>
        </is>
      </c>
      <c r="U381" t="inlineStr"/>
      <c r="V381" t="inlineStr">
        <is>
          <t>Not stated on course page</t>
        </is>
      </c>
      <c r="W381" t="inlineStr"/>
      <c r="X381" t="inlineStr"/>
      <c r="Y381" t="n">
        <v>0</v>
      </c>
      <c r="Z381" t="inlineStr">
        <is>
          <t>No</t>
        </is>
      </c>
      <c r="AA381" t="inlineStr">
        <is>
          <t>Filled</t>
        </is>
      </c>
      <c r="AB381" t="inlineStr">
        <is>
          <t>on campus</t>
        </is>
      </c>
      <c r="AC381" t="inlineStr"/>
      <c r="AD381" t="n">
        <v>0</v>
      </c>
      <c r="AE381" t="inlineStr"/>
      <c r="AF381" t="inlineStr"/>
      <c r="AG381" t="inlineStr"/>
      <c r="AH381" t="inlineStr"/>
      <c r="AI381" t="inlineStr">
        <is>
          <t>Yes</t>
        </is>
      </c>
      <c r="AJ381" t="inlineStr"/>
      <c r="AK381" t="inlineStr"/>
      <c r="AL381" t="inlineStr"/>
      <c r="AM381" t="inlineStr"/>
    </row>
    <row r="382">
      <c r="A382" t="inlineStr">
        <is>
          <t>037232A</t>
        </is>
      </c>
      <c r="B382" t="inlineStr">
        <is>
          <t>Master of Psychology (Clinical Psychology)/Doctor of Philosophy</t>
        </is>
      </c>
      <c r="C382" t="inlineStr">
        <is>
          <t>Doctorate / PhD</t>
        </is>
      </c>
      <c r="D382" t="inlineStr">
        <is>
          <t>Research degree</t>
        </is>
      </c>
      <c r="E382" t="inlineStr">
        <is>
          <t>Advertised: official page in place</t>
        </is>
      </c>
      <c r="F382" t="inlineStr">
        <is>
          <t>https://handbook.unimelb.edu.au/2026/courses/080cl</t>
        </is>
      </c>
      <c r="G382" t="inlineStr">
        <is>
          <t>https://handbook.unimelb.edu.au/2026/courses/080cl</t>
        </is>
      </c>
      <c r="H382" t="inlineStr">
        <is>
          <t>Read</t>
        </is>
      </c>
      <c r="I382" t="inlineStr">
        <is>
          <t>CRICOS code on page</t>
        </is>
      </c>
      <c r="J382" t="inlineStr"/>
      <c r="K382" t="inlineStr">
        <is>
          <t>Not sent to re-link</t>
        </is>
      </c>
      <c r="L382" t="inlineStr">
        <is>
          <t>Filled</t>
        </is>
      </c>
      <c r="M382" t="inlineStr">
        <is>
          <t>Filled</t>
        </is>
      </c>
      <c r="N382" t="inlineStr">
        <is>
          <t>64640.00 2027</t>
        </is>
      </c>
      <c r="O382" t="n">
        <v>2</v>
      </c>
      <c r="P382" t="inlineStr">
        <is>
          <t>Other</t>
        </is>
      </c>
      <c r="Q382" t="inlineStr">
        <is>
          <t>Not stated on course page</t>
        </is>
      </c>
      <c r="S382" t="inlineStr"/>
      <c r="T382" t="inlineStr">
        <is>
          <t>Level map (Melbourne): not computed per course in this report</t>
        </is>
      </c>
      <c r="U382" t="inlineStr"/>
      <c r="V382" t="inlineStr">
        <is>
          <t>Not stated on course page</t>
        </is>
      </c>
      <c r="W382" t="inlineStr"/>
      <c r="X382" t="inlineStr"/>
      <c r="Y382" t="n">
        <v>0</v>
      </c>
      <c r="Z382" t="inlineStr">
        <is>
          <t>No</t>
        </is>
      </c>
      <c r="AA382" t="inlineStr">
        <is>
          <t>Filled</t>
        </is>
      </c>
      <c r="AB382" t="inlineStr">
        <is>
          <t>on campus</t>
        </is>
      </c>
      <c r="AC382" t="inlineStr"/>
      <c r="AD382" t="n">
        <v>0</v>
      </c>
      <c r="AE382" t="inlineStr"/>
      <c r="AF382" t="inlineStr"/>
      <c r="AG382" t="inlineStr"/>
      <c r="AH382" t="inlineStr"/>
      <c r="AI382" t="inlineStr">
        <is>
          <t>Yes</t>
        </is>
      </c>
      <c r="AJ382" t="inlineStr"/>
      <c r="AK382" t="inlineStr"/>
      <c r="AL382" t="inlineStr"/>
      <c r="AM382" t="inlineStr"/>
    </row>
    <row r="383">
      <c r="A383" t="inlineStr">
        <is>
          <t>053838D</t>
        </is>
      </c>
      <c r="B383" t="inlineStr">
        <is>
          <t>Master of Psychology (Clinical)</t>
        </is>
      </c>
      <c r="C383" t="inlineStr">
        <is>
          <t>Masters Degree (Coursework)</t>
        </is>
      </c>
      <c r="D383" t="inlineStr">
        <is>
          <t>Postgraduate coursework</t>
        </is>
      </c>
      <c r="E383" t="inlineStr">
        <is>
          <t>Advertised: official page in place</t>
        </is>
      </c>
      <c r="F383" t="inlineStr">
        <is>
          <t>https://handbook.unimelb.edu.au/2026/courses/527cl</t>
        </is>
      </c>
      <c r="G383" t="inlineStr">
        <is>
          <t>https://handbook.unimelb.edu.au/2026/courses/527cl</t>
        </is>
      </c>
      <c r="H383" t="inlineStr">
        <is>
          <t>Read</t>
        </is>
      </c>
      <c r="I383" t="inlineStr">
        <is>
          <t>Exact title match</t>
        </is>
      </c>
      <c r="J383" t="inlineStr"/>
      <c r="K383" t="inlineStr">
        <is>
          <t>Not sent to re-link</t>
        </is>
      </c>
      <c r="L383" t="inlineStr">
        <is>
          <t>Filled</t>
        </is>
      </c>
      <c r="M383" t="inlineStr">
        <is>
          <t>Not stated on course page</t>
        </is>
      </c>
      <c r="N383" t="inlineStr"/>
      <c r="O383" t="n">
        <v>0</v>
      </c>
      <c r="P383" t="inlineStr"/>
      <c r="Q383" t="inlineStr">
        <is>
          <t>Filled</t>
        </is>
      </c>
      <c r="R383" t="n">
        <v>7</v>
      </c>
      <c r="S383" t="inlineStr">
        <is>
          <t>Central English policy</t>
        </is>
      </c>
      <c r="T383" t="inlineStr">
        <is>
          <t>Level map (Melbourne): not computed per course in this report</t>
        </is>
      </c>
      <c r="U383" t="inlineStr"/>
      <c r="V383" t="inlineStr">
        <is>
          <t>Not stated on course page</t>
        </is>
      </c>
      <c r="W383" t="inlineStr"/>
      <c r="X383" t="inlineStr"/>
      <c r="Y383" t="n">
        <v>0</v>
      </c>
      <c r="Z383" t="inlineStr">
        <is>
          <t>No</t>
        </is>
      </c>
      <c r="AA383" t="inlineStr">
        <is>
          <t>Filled</t>
        </is>
      </c>
      <c r="AB383" t="inlineStr">
        <is>
          <t>on campus</t>
        </is>
      </c>
      <c r="AC383" t="inlineStr"/>
      <c r="AD383" t="n">
        <v>0</v>
      </c>
      <c r="AE383" t="inlineStr"/>
      <c r="AF383" t="inlineStr"/>
      <c r="AG383" t="inlineStr"/>
      <c r="AH383" t="inlineStr"/>
      <c r="AI383" t="inlineStr">
        <is>
          <t>Yes</t>
        </is>
      </c>
      <c r="AJ383" t="inlineStr"/>
      <c r="AK383" t="inlineStr"/>
      <c r="AL383" t="inlineStr"/>
      <c r="AM383" t="inlineStr"/>
    </row>
    <row r="384">
      <c r="A384" t="inlineStr">
        <is>
          <t>009699J</t>
        </is>
      </c>
      <c r="B384" t="inlineStr">
        <is>
          <t>Master of Psychology (Educational and Developmental)</t>
        </is>
      </c>
      <c r="C384" t="inlineStr">
        <is>
          <t>Masters Degree (Coursework)</t>
        </is>
      </c>
      <c r="D384" t="inlineStr">
        <is>
          <t>Postgraduate coursework</t>
        </is>
      </c>
      <c r="E384" t="inlineStr">
        <is>
          <t>Advertised: official page in place</t>
        </is>
      </c>
      <c r="F384" t="inlineStr">
        <is>
          <t>https://handbook.unimelb.edu.au/2026/courses/mc-psyched</t>
        </is>
      </c>
      <c r="G384" t="inlineStr">
        <is>
          <t>https://handbook.unimelb.edu.au/2026/courses/mc-psyched</t>
        </is>
      </c>
      <c r="H384" t="inlineStr">
        <is>
          <t>Read</t>
        </is>
      </c>
      <c r="I384" t="inlineStr">
        <is>
          <t>CRICOS code on page</t>
        </is>
      </c>
      <c r="J384" t="inlineStr"/>
      <c r="K384" t="inlineStr">
        <is>
          <t>Not sent to re-link</t>
        </is>
      </c>
      <c r="L384" t="inlineStr">
        <is>
          <t>Filled</t>
        </is>
      </c>
      <c r="M384" t="inlineStr">
        <is>
          <t>Filled</t>
        </is>
      </c>
      <c r="N384" t="inlineStr">
        <is>
          <t>61600.00 2027</t>
        </is>
      </c>
      <c r="O384" t="n">
        <v>3</v>
      </c>
      <c r="P384" t="inlineStr">
        <is>
          <t>Other</t>
        </is>
      </c>
      <c r="Q384" t="inlineStr">
        <is>
          <t>Filled</t>
        </is>
      </c>
      <c r="R384" t="n">
        <v>7</v>
      </c>
      <c r="S384" t="inlineStr">
        <is>
          <t>Central English policy</t>
        </is>
      </c>
      <c r="T384" t="inlineStr">
        <is>
          <t>Level map (Melbourne): not computed per course in this report</t>
        </is>
      </c>
      <c r="U384" t="inlineStr"/>
      <c r="V384" t="inlineStr">
        <is>
          <t>Not stated on course page</t>
        </is>
      </c>
      <c r="W384" t="inlineStr"/>
      <c r="X384" t="inlineStr"/>
      <c r="Y384" t="n">
        <v>0</v>
      </c>
      <c r="Z384" t="inlineStr">
        <is>
          <t>No</t>
        </is>
      </c>
      <c r="AA384" t="inlineStr">
        <is>
          <t>Filled</t>
        </is>
      </c>
      <c r="AB384" t="inlineStr">
        <is>
          <t>on campus</t>
        </is>
      </c>
      <c r="AC384" t="inlineStr"/>
      <c r="AD384" t="n">
        <v>0</v>
      </c>
      <c r="AE384" t="inlineStr"/>
      <c r="AF384" t="inlineStr"/>
      <c r="AG384" t="inlineStr"/>
      <c r="AH384" t="inlineStr"/>
      <c r="AI384" t="inlineStr">
        <is>
          <t>Yes</t>
        </is>
      </c>
      <c r="AJ384" t="inlineStr"/>
      <c r="AK384" t="inlineStr"/>
      <c r="AL384" t="inlineStr"/>
      <c r="AM384" t="inlineStr"/>
    </row>
    <row r="385">
      <c r="A385" t="inlineStr">
        <is>
          <t>056962J</t>
        </is>
      </c>
      <c r="B385" t="inlineStr">
        <is>
          <t>Master of Psychology (Educational and Developmental)/Doctor of Philosophy</t>
        </is>
      </c>
      <c r="C385" t="inlineStr">
        <is>
          <t>Doctorate / PhD</t>
        </is>
      </c>
      <c r="D385" t="inlineStr">
        <is>
          <t>Research degree</t>
        </is>
      </c>
      <c r="E385" t="inlineStr">
        <is>
          <t>Advertised: official page in place</t>
        </is>
      </c>
      <c r="F385" t="inlineStr">
        <is>
          <t>https://handbook.unimelb.edu.au/2026/courses/dr-philedp</t>
        </is>
      </c>
      <c r="G385" t="inlineStr">
        <is>
          <t>https://handbook.unimelb.edu.au/2026/courses/dr-philedp</t>
        </is>
      </c>
      <c r="H385" t="inlineStr">
        <is>
          <t>Read</t>
        </is>
      </c>
      <c r="I385" t="inlineStr">
        <is>
          <t>CRICOS code on page</t>
        </is>
      </c>
      <c r="J385" t="inlineStr"/>
      <c r="K385" t="inlineStr">
        <is>
          <t>Not sent to re-link</t>
        </is>
      </c>
      <c r="L385" t="inlineStr">
        <is>
          <t>Filled</t>
        </is>
      </c>
      <c r="M385" t="inlineStr">
        <is>
          <t>Filled</t>
        </is>
      </c>
      <c r="N385" t="inlineStr">
        <is>
          <t>55104.00 2027</t>
        </is>
      </c>
      <c r="O385" t="n">
        <v>2</v>
      </c>
      <c r="P385" t="inlineStr">
        <is>
          <t>Other</t>
        </is>
      </c>
      <c r="Q385" t="inlineStr">
        <is>
          <t>Filled</t>
        </is>
      </c>
      <c r="R385" t="n">
        <v>7</v>
      </c>
      <c r="S385" t="inlineStr">
        <is>
          <t>Central English policy</t>
        </is>
      </c>
      <c r="T385" t="inlineStr">
        <is>
          <t>Level map (Melbourne): not computed per course in this report</t>
        </is>
      </c>
      <c r="U385" t="inlineStr"/>
      <c r="V385" t="inlineStr">
        <is>
          <t>Not stated on course page</t>
        </is>
      </c>
      <c r="W385" t="inlineStr"/>
      <c r="X385" t="inlineStr"/>
      <c r="Y385" t="n">
        <v>0</v>
      </c>
      <c r="Z385" t="inlineStr">
        <is>
          <t>No</t>
        </is>
      </c>
      <c r="AA385" t="inlineStr">
        <is>
          <t>Filled</t>
        </is>
      </c>
      <c r="AB385" t="inlineStr">
        <is>
          <t>on campus</t>
        </is>
      </c>
      <c r="AC385" t="inlineStr"/>
      <c r="AD385" t="n">
        <v>0</v>
      </c>
      <c r="AE385" t="inlineStr"/>
      <c r="AF385" t="inlineStr"/>
      <c r="AG385" t="inlineStr"/>
      <c r="AH385" t="inlineStr"/>
      <c r="AI385" t="inlineStr">
        <is>
          <t>Yes</t>
        </is>
      </c>
      <c r="AJ385" t="inlineStr"/>
      <c r="AK385" t="inlineStr"/>
      <c r="AL385" t="inlineStr"/>
      <c r="AM385" t="inlineStr"/>
    </row>
    <row r="386">
      <c r="A386" t="inlineStr">
        <is>
          <t>075001A</t>
        </is>
      </c>
      <c r="B386" t="inlineStr">
        <is>
          <t>Master of Public and International Law</t>
        </is>
      </c>
      <c r="C386" t="inlineStr">
        <is>
          <t>Masters Degree (Coursework)</t>
        </is>
      </c>
      <c r="D386" t="inlineStr">
        <is>
          <t>Postgraduate coursework</t>
        </is>
      </c>
      <c r="E386" t="inlineStr">
        <is>
          <t>Advertised: official page in place</t>
        </is>
      </c>
      <c r="F386" t="inlineStr">
        <is>
          <t>https://handbook.unimelb.edu.au/2026/courses/511aa</t>
        </is>
      </c>
      <c r="G386" t="inlineStr">
        <is>
          <t>https://handbook.unimelb.edu.au/2026/courses/511aa</t>
        </is>
      </c>
      <c r="H386" t="inlineStr">
        <is>
          <t>Read</t>
        </is>
      </c>
      <c r="I386" t="inlineStr">
        <is>
          <t>CRICOS code on page</t>
        </is>
      </c>
      <c r="J386" t="inlineStr"/>
      <c r="K386" t="inlineStr">
        <is>
          <t>Not sent to re-link</t>
        </is>
      </c>
      <c r="L386" t="inlineStr">
        <is>
          <t>Filled</t>
        </is>
      </c>
      <c r="M386" t="inlineStr">
        <is>
          <t>Filled</t>
        </is>
      </c>
      <c r="N386" t="inlineStr">
        <is>
          <t>67072.00 2027</t>
        </is>
      </c>
      <c r="O386" t="n">
        <v>3</v>
      </c>
      <c r="P386" t="inlineStr">
        <is>
          <t>Other</t>
        </is>
      </c>
      <c r="Q386" t="inlineStr">
        <is>
          <t>Filled</t>
        </is>
      </c>
      <c r="R386" t="n">
        <v>7</v>
      </c>
      <c r="S386" t="inlineStr">
        <is>
          <t>Central English policy</t>
        </is>
      </c>
      <c r="T386" t="inlineStr">
        <is>
          <t>Level map (Melbourne): not computed per course in this report</t>
        </is>
      </c>
      <c r="U386" t="inlineStr"/>
      <c r="V386" t="inlineStr">
        <is>
          <t>Not stated on course page</t>
        </is>
      </c>
      <c r="W386" t="inlineStr"/>
      <c r="X386" t="inlineStr"/>
      <c r="Y386" t="n">
        <v>0</v>
      </c>
      <c r="Z386" t="inlineStr">
        <is>
          <t>No</t>
        </is>
      </c>
      <c r="AA386" t="inlineStr">
        <is>
          <t>Filled</t>
        </is>
      </c>
      <c r="AB386" t="inlineStr">
        <is>
          <t>on campus</t>
        </is>
      </c>
      <c r="AC386" t="inlineStr"/>
      <c r="AD386" t="n">
        <v>0</v>
      </c>
      <c r="AE386" t="inlineStr"/>
      <c r="AF386" t="inlineStr"/>
      <c r="AG386" t="inlineStr"/>
      <c r="AH386" t="inlineStr"/>
      <c r="AI386" t="inlineStr">
        <is>
          <t>Yes</t>
        </is>
      </c>
      <c r="AJ386" t="inlineStr"/>
      <c r="AK386" t="inlineStr"/>
      <c r="AL386" t="inlineStr"/>
      <c r="AM386" t="inlineStr"/>
    </row>
    <row r="387">
      <c r="A387" t="inlineStr">
        <is>
          <t>020358D</t>
        </is>
      </c>
      <c r="B387" t="inlineStr">
        <is>
          <t>Master of Public Health</t>
        </is>
      </c>
      <c r="C387" t="inlineStr">
        <is>
          <t>Masters Degree (Coursework)</t>
        </is>
      </c>
      <c r="D387" t="inlineStr">
        <is>
          <t>Postgraduate coursework</t>
        </is>
      </c>
      <c r="E387" t="inlineStr">
        <is>
          <t>Advertised: official page in place</t>
        </is>
      </c>
      <c r="F387" t="inlineStr">
        <is>
          <t>https://handbook.unimelb.edu.au/2026/courses/244cw</t>
        </is>
      </c>
      <c r="G387" t="inlineStr">
        <is>
          <t>https://handbook.unimelb.edu.au/2026/courses/244cw</t>
        </is>
      </c>
      <c r="H387" t="inlineStr">
        <is>
          <t>Read</t>
        </is>
      </c>
      <c r="I387" t="inlineStr">
        <is>
          <t>CRICOS code on page</t>
        </is>
      </c>
      <c r="J387" t="inlineStr"/>
      <c r="K387" t="inlineStr">
        <is>
          <t>Not sent to re-link</t>
        </is>
      </c>
      <c r="L387" t="inlineStr">
        <is>
          <t>Filled</t>
        </is>
      </c>
      <c r="M387" t="inlineStr">
        <is>
          <t>Filled</t>
        </is>
      </c>
      <c r="N387" t="inlineStr">
        <is>
          <t>70976.00 2027</t>
        </is>
      </c>
      <c r="O387" t="n">
        <v>3</v>
      </c>
      <c r="P387" t="inlineStr">
        <is>
          <t>Other</t>
        </is>
      </c>
      <c r="Q387" t="inlineStr">
        <is>
          <t>Filled</t>
        </is>
      </c>
      <c r="R387" t="n">
        <v>6.5</v>
      </c>
      <c r="S387" t="inlineStr">
        <is>
          <t>Central English policy</t>
        </is>
      </c>
      <c r="T387" t="inlineStr">
        <is>
          <t>Level map (Melbourne): not computed per course in this report</t>
        </is>
      </c>
      <c r="U387" t="inlineStr"/>
      <c r="V387" t="inlineStr">
        <is>
          <t>Not stated on course page</t>
        </is>
      </c>
      <c r="W387" t="inlineStr"/>
      <c r="X387" t="inlineStr"/>
      <c r="Y387" t="n">
        <v>0</v>
      </c>
      <c r="Z387" t="inlineStr">
        <is>
          <t>No</t>
        </is>
      </c>
      <c r="AA387" t="inlineStr">
        <is>
          <t>Filled</t>
        </is>
      </c>
      <c r="AB387" t="inlineStr">
        <is>
          <t>blended</t>
        </is>
      </c>
      <c r="AC387" t="inlineStr"/>
      <c r="AD387" t="n">
        <v>0</v>
      </c>
      <c r="AE387" t="inlineStr"/>
      <c r="AF387" t="inlineStr"/>
      <c r="AG387" t="inlineStr"/>
      <c r="AH387" t="inlineStr"/>
      <c r="AI387" t="inlineStr">
        <is>
          <t>Yes</t>
        </is>
      </c>
      <c r="AJ387" t="inlineStr"/>
      <c r="AK387" t="inlineStr"/>
      <c r="AL387" t="inlineStr"/>
      <c r="AM387" t="inlineStr"/>
    </row>
    <row r="388">
      <c r="A388" t="inlineStr">
        <is>
          <t>020385A</t>
        </is>
      </c>
      <c r="B388" t="inlineStr">
        <is>
          <t>Master of Public Policy and Management</t>
        </is>
      </c>
      <c r="C388" t="inlineStr">
        <is>
          <t>Masters Degree (Coursework)</t>
        </is>
      </c>
      <c r="D388" t="inlineStr">
        <is>
          <t>Postgraduate coursework</t>
        </is>
      </c>
      <c r="E388" t="inlineStr">
        <is>
          <t>Advertised: official page in place</t>
        </is>
      </c>
      <c r="F388" t="inlineStr">
        <is>
          <t>https://handbook.unimelb.edu.au/2026/courses/344ab</t>
        </is>
      </c>
      <c r="G388" t="inlineStr">
        <is>
          <t>https://handbook.unimelb.edu.au/2026/courses/344ab</t>
        </is>
      </c>
      <c r="H388" t="inlineStr">
        <is>
          <t>Read</t>
        </is>
      </c>
      <c r="I388" t="inlineStr">
        <is>
          <t>CRICOS code on page</t>
        </is>
      </c>
      <c r="J388" t="inlineStr"/>
      <c r="K388" t="inlineStr">
        <is>
          <t>Not sent to re-link</t>
        </is>
      </c>
      <c r="L388" t="inlineStr">
        <is>
          <t>Filled</t>
        </is>
      </c>
      <c r="M388" t="inlineStr">
        <is>
          <t>Filled</t>
        </is>
      </c>
      <c r="N388" t="inlineStr">
        <is>
          <t>52416.00 2027</t>
        </is>
      </c>
      <c r="O388" t="n">
        <v>3</v>
      </c>
      <c r="P388" t="inlineStr">
        <is>
          <t>Other</t>
        </is>
      </c>
      <c r="Q388" t="inlineStr">
        <is>
          <t>Filled</t>
        </is>
      </c>
      <c r="R388" t="n">
        <v>6.5</v>
      </c>
      <c r="S388" t="inlineStr">
        <is>
          <t>Central English policy</t>
        </is>
      </c>
      <c r="T388" t="inlineStr">
        <is>
          <t>Level map (Melbourne): not computed per course in this report</t>
        </is>
      </c>
      <c r="U388" t="inlineStr"/>
      <c r="V388" t="inlineStr">
        <is>
          <t>Not stated on course page</t>
        </is>
      </c>
      <c r="W388" t="inlineStr"/>
      <c r="X388" t="inlineStr"/>
      <c r="Y388" t="n">
        <v>0</v>
      </c>
      <c r="Z388" t="inlineStr">
        <is>
          <t>No</t>
        </is>
      </c>
      <c r="AA388" t="inlineStr">
        <is>
          <t>Filled</t>
        </is>
      </c>
      <c r="AB388" t="inlineStr">
        <is>
          <t>on campus</t>
        </is>
      </c>
      <c r="AC388" t="inlineStr"/>
      <c r="AD388" t="n">
        <v>0</v>
      </c>
      <c r="AE388" t="inlineStr"/>
      <c r="AF388" t="inlineStr"/>
      <c r="AG388" t="inlineStr"/>
      <c r="AH388" t="inlineStr"/>
      <c r="AI388" t="inlineStr">
        <is>
          <t>Yes</t>
        </is>
      </c>
      <c r="AJ388" t="inlineStr"/>
      <c r="AK388" t="inlineStr"/>
      <c r="AL388" t="inlineStr"/>
      <c r="AM388" t="inlineStr"/>
    </row>
    <row r="389">
      <c r="A389" t="inlineStr">
        <is>
          <t>061634E</t>
        </is>
      </c>
      <c r="B389" t="inlineStr">
        <is>
          <t>Master of Publishing and Communications</t>
        </is>
      </c>
      <c r="C389" t="inlineStr">
        <is>
          <t>Masters Degree (Coursework)</t>
        </is>
      </c>
      <c r="D389" t="inlineStr">
        <is>
          <t>Postgraduate coursework</t>
        </is>
      </c>
      <c r="E389" t="inlineStr">
        <is>
          <t>Advertised: official page in place</t>
        </is>
      </c>
      <c r="F389" t="inlineStr">
        <is>
          <t>https://study.unimelb.edu.au/find/courses/graduate/master-of-publishing-and-communications/</t>
        </is>
      </c>
      <c r="G389" t="inlineStr">
        <is>
          <t>https://study.unimelb.edu.au/find/courses/graduate/master-of-publishing-and-communications/</t>
        </is>
      </c>
      <c r="H389" t="inlineStr">
        <is>
          <t>Read</t>
        </is>
      </c>
      <c r="I389" t="inlineStr">
        <is>
          <t>CRICOS code on page</t>
        </is>
      </c>
      <c r="J389" t="inlineStr"/>
      <c r="K389" t="inlineStr">
        <is>
          <t>Not sent to re-link</t>
        </is>
      </c>
      <c r="L389" t="inlineStr">
        <is>
          <t>Filled</t>
        </is>
      </c>
      <c r="M389" t="inlineStr">
        <is>
          <t>Filled</t>
        </is>
      </c>
      <c r="N389" t="inlineStr">
        <is>
          <t>52416.00 2027</t>
        </is>
      </c>
      <c r="O389" t="n">
        <v>3</v>
      </c>
      <c r="P389" t="inlineStr">
        <is>
          <t>Other</t>
        </is>
      </c>
      <c r="Q389" t="inlineStr">
        <is>
          <t>Filled</t>
        </is>
      </c>
      <c r="R389" t="n">
        <v>7</v>
      </c>
      <c r="S389" t="inlineStr">
        <is>
          <t>University adapter</t>
        </is>
      </c>
      <c r="T389" t="inlineStr">
        <is>
          <t>Level map (Melbourne): not computed per course in this report</t>
        </is>
      </c>
      <c r="U389" t="inlineStr"/>
      <c r="V389" t="inlineStr">
        <is>
          <t>Filled</t>
        </is>
      </c>
      <c r="W389" t="inlineStr">
        <is>
          <t>March, July</t>
        </is>
      </c>
      <c r="X389" t="inlineStr">
        <is>
          <t>Other</t>
        </is>
      </c>
      <c r="Y389" t="n">
        <v>0</v>
      </c>
      <c r="Z389" t="inlineStr">
        <is>
          <t>No</t>
        </is>
      </c>
      <c r="AA389" t="inlineStr">
        <is>
          <t>Filled</t>
        </is>
      </c>
      <c r="AB389" t="inlineStr">
        <is>
          <t>on campus</t>
        </is>
      </c>
      <c r="AC389" t="inlineStr"/>
      <c r="AD389" t="n">
        <v>0</v>
      </c>
      <c r="AE389" t="inlineStr"/>
      <c r="AF389" t="inlineStr"/>
      <c r="AG389" t="inlineStr"/>
      <c r="AH389" t="inlineStr"/>
      <c r="AI389" t="inlineStr"/>
      <c r="AJ389" t="inlineStr"/>
      <c r="AK389" t="inlineStr"/>
      <c r="AL389" t="inlineStr"/>
      <c r="AM389" t="inlineStr"/>
    </row>
    <row r="390">
      <c r="A390" t="inlineStr">
        <is>
          <t>079645K</t>
        </is>
      </c>
      <c r="B390" t="inlineStr">
        <is>
          <t>Master of Research (Dental Science)</t>
        </is>
      </c>
      <c r="C390" t="inlineStr">
        <is>
          <t>Masters Degree (Research)</t>
        </is>
      </c>
      <c r="D390" t="inlineStr">
        <is>
          <t>Research degree</t>
        </is>
      </c>
      <c r="E390" t="inlineStr">
        <is>
          <t>Held: page found is for another course</t>
        </is>
      </c>
      <c r="F390" t="inlineStr"/>
      <c r="G390" t="inlineStr">
        <is>
          <t>https://handbook.unimelb.edu.au/2026/courses/mr-phildsc</t>
        </is>
      </c>
      <c r="H390" t="inlineStr">
        <is>
          <t>Page is for another course</t>
        </is>
      </c>
      <c r="I390" t="inlineStr"/>
      <c r="J390" t="inlineStr"/>
      <c r="K390" t="inlineStr">
        <is>
          <t>Finished, no page: no address from the university's address forms or stored lis</t>
        </is>
      </c>
      <c r="L390" t="inlineStr">
        <is>
          <t>Searching for course page</t>
        </is>
      </c>
      <c r="M390" t="inlineStr">
        <is>
          <t>Searching for course page</t>
        </is>
      </c>
      <c r="N390" t="inlineStr"/>
      <c r="O390" t="n">
        <v>0</v>
      </c>
      <c r="P390" t="inlineStr"/>
      <c r="Q390" t="inlineStr">
        <is>
          <t>Searching for course page</t>
        </is>
      </c>
      <c r="S390" t="inlineStr"/>
      <c r="T390" t="inlineStr">
        <is>
          <t>Level map (Melbourne): not computed per course in this report</t>
        </is>
      </c>
      <c r="U390" t="inlineStr"/>
      <c r="V390" t="inlineStr">
        <is>
          <t>Searching for course page</t>
        </is>
      </c>
      <c r="W390" t="inlineStr"/>
      <c r="X390" t="inlineStr"/>
      <c r="Y390" t="n">
        <v>0</v>
      </c>
      <c r="Z390" t="inlineStr">
        <is>
          <t>No</t>
        </is>
      </c>
      <c r="AA390" t="inlineStr">
        <is>
          <t>Not stated on course page</t>
        </is>
      </c>
      <c r="AB390" t="inlineStr"/>
      <c r="AC390" t="inlineStr">
        <is>
          <t>Skipped: no correct course page: the page found is for another course</t>
        </is>
      </c>
      <c r="AD390" t="n">
        <v>1</v>
      </c>
      <c r="AE390" t="inlineStr"/>
      <c r="AF390" t="inlineStr"/>
      <c r="AG390" t="inlineStr"/>
      <c r="AH390" t="inlineStr"/>
      <c r="AI390" t="inlineStr"/>
      <c r="AJ390" t="inlineStr"/>
      <c r="AK390" t="inlineStr"/>
      <c r="AL390" t="inlineStr"/>
      <c r="AM390" t="inlineStr"/>
    </row>
    <row r="391">
      <c r="A391" t="inlineStr">
        <is>
          <t>079650B</t>
        </is>
      </c>
      <c r="B391" t="inlineStr">
        <is>
          <t>Master of Research (Health Sciences)</t>
        </is>
      </c>
      <c r="C391" t="inlineStr">
        <is>
          <t>Masters Degree (Research)</t>
        </is>
      </c>
      <c r="D391" t="inlineStr">
        <is>
          <t>Research degree</t>
        </is>
      </c>
      <c r="E391" t="inlineStr">
        <is>
          <t>No-page record (no page), awaiting review</t>
        </is>
      </c>
      <c r="F391" t="inlineStr"/>
      <c r="G391" t="inlineStr">
        <is>
          <t>https://handbook.unimelb.edu.au/2026/courses/mr-philhlt</t>
        </is>
      </c>
      <c r="H391" t="inlineStr">
        <is>
          <t>Page is for another course</t>
        </is>
      </c>
      <c r="I391" t="inlineStr"/>
      <c r="J391" t="inlineStr">
        <is>
          <t>No page (proposed)</t>
        </is>
      </c>
      <c r="K391" t="inlineStr">
        <is>
          <t>Finished, no page: no address from the university's address forms or stored lis</t>
        </is>
      </c>
      <c r="L391" t="inlineStr">
        <is>
          <t>Searching for course page</t>
        </is>
      </c>
      <c r="M391" t="inlineStr">
        <is>
          <t>Searching for course page</t>
        </is>
      </c>
      <c r="N391" t="inlineStr"/>
      <c r="O391" t="n">
        <v>0</v>
      </c>
      <c r="P391" t="inlineStr"/>
      <c r="Q391" t="inlineStr">
        <is>
          <t>Searching for course page</t>
        </is>
      </c>
      <c r="S391" t="inlineStr"/>
      <c r="T391" t="inlineStr">
        <is>
          <t>Level map (Melbourne): not computed per course in this report</t>
        </is>
      </c>
      <c r="U391" t="inlineStr"/>
      <c r="V391" t="inlineStr">
        <is>
          <t>Searching for course page</t>
        </is>
      </c>
      <c r="W391" t="inlineStr"/>
      <c r="X391" t="inlineStr"/>
      <c r="Y391" t="n">
        <v>0</v>
      </c>
      <c r="Z391" t="inlineStr">
        <is>
          <t>No</t>
        </is>
      </c>
      <c r="AA391" t="inlineStr">
        <is>
          <t>Not stated on course page</t>
        </is>
      </c>
      <c r="AB391" t="inlineStr"/>
      <c r="AC391" t="inlineStr">
        <is>
          <t>Skipped: no correct course page: the page found is for another course</t>
        </is>
      </c>
      <c r="AD391" t="n">
        <v>1</v>
      </c>
      <c r="AE391" t="inlineStr"/>
      <c r="AF391" t="inlineStr"/>
      <c r="AG391" t="inlineStr"/>
      <c r="AH391" t="inlineStr"/>
      <c r="AI391" t="inlineStr"/>
      <c r="AJ391" t="inlineStr"/>
      <c r="AK391" t="inlineStr"/>
      <c r="AL391" t="inlineStr"/>
      <c r="AM391" t="inlineStr">
        <is>
          <t>Yes</t>
        </is>
      </c>
    </row>
    <row r="392">
      <c r="A392" t="inlineStr">
        <is>
          <t>079646J</t>
        </is>
      </c>
      <c r="B392" t="inlineStr">
        <is>
          <t>Master of Research (MDHS)</t>
        </is>
      </c>
      <c r="C392" t="inlineStr">
        <is>
          <t>Masters Degree (Research)</t>
        </is>
      </c>
      <c r="D392" t="inlineStr">
        <is>
          <t>Research degree</t>
        </is>
      </c>
      <c r="E392" t="inlineStr">
        <is>
          <t>Advertised: official page in place</t>
        </is>
      </c>
      <c r="F392" t="inlineStr">
        <is>
          <t>https://handbook.unimelb.edu.au/2026/courses/mr-resmed</t>
        </is>
      </c>
      <c r="G392" t="inlineStr">
        <is>
          <t>https://handbook.unimelb.edu.au/2026/courses/mr-resmed</t>
        </is>
      </c>
      <c r="H392" t="inlineStr">
        <is>
          <t>Read</t>
        </is>
      </c>
      <c r="I392" t="inlineStr">
        <is>
          <t>CRICOS code on page</t>
        </is>
      </c>
      <c r="J392" t="inlineStr"/>
      <c r="K392" t="inlineStr">
        <is>
          <t>Not sent to re-link</t>
        </is>
      </c>
      <c r="L392" t="inlineStr">
        <is>
          <t>Filled</t>
        </is>
      </c>
      <c r="M392" t="inlineStr">
        <is>
          <t>Filled</t>
        </is>
      </c>
      <c r="N392" t="inlineStr">
        <is>
          <t>32832.00 2027</t>
        </is>
      </c>
      <c r="O392" t="n">
        <v>3</v>
      </c>
      <c r="P392" t="inlineStr">
        <is>
          <t>Other</t>
        </is>
      </c>
      <c r="Q392" t="inlineStr">
        <is>
          <t>Not stated on course page</t>
        </is>
      </c>
      <c r="S392" t="inlineStr"/>
      <c r="T392" t="inlineStr">
        <is>
          <t>Level map (Melbourne): not computed per course in this report</t>
        </is>
      </c>
      <c r="U392" t="inlineStr"/>
      <c r="V392" t="inlineStr">
        <is>
          <t>Not stated on course page</t>
        </is>
      </c>
      <c r="W392" t="inlineStr"/>
      <c r="X392" t="inlineStr"/>
      <c r="Y392" t="n">
        <v>0</v>
      </c>
      <c r="Z392" t="inlineStr">
        <is>
          <t>No</t>
        </is>
      </c>
      <c r="AA392" t="inlineStr">
        <is>
          <t>Filled</t>
        </is>
      </c>
      <c r="AB392" t="inlineStr">
        <is>
          <t>on campus</t>
        </is>
      </c>
      <c r="AC392" t="inlineStr"/>
      <c r="AD392" t="n">
        <v>0</v>
      </c>
      <c r="AE392" t="inlineStr"/>
      <c r="AF392" t="inlineStr"/>
      <c r="AG392" t="inlineStr"/>
      <c r="AH392" t="inlineStr"/>
      <c r="AI392" t="inlineStr">
        <is>
          <t>Yes</t>
        </is>
      </c>
      <c r="AJ392" t="inlineStr"/>
      <c r="AK392" t="inlineStr"/>
      <c r="AL392" t="inlineStr"/>
      <c r="AM392" t="inlineStr"/>
    </row>
    <row r="393">
      <c r="A393" t="inlineStr">
        <is>
          <t>079651A</t>
        </is>
      </c>
      <c r="B393" t="inlineStr">
        <is>
          <t>Master of Research (Medicine)</t>
        </is>
      </c>
      <c r="C393" t="inlineStr">
        <is>
          <t>Masters Degree (Research)</t>
        </is>
      </c>
      <c r="D393" t="inlineStr">
        <is>
          <t>Research degree</t>
        </is>
      </c>
      <c r="E393" t="inlineStr">
        <is>
          <t>Held: page found is for another course</t>
        </is>
      </c>
      <c r="F393" t="inlineStr"/>
      <c r="G393" t="inlineStr">
        <is>
          <t>https://handbook.unimelb.edu.au/2026/courses/mr-resmed</t>
        </is>
      </c>
      <c r="H393" t="inlineStr">
        <is>
          <t>Page is for another course</t>
        </is>
      </c>
      <c r="I393" t="inlineStr"/>
      <c r="J393" t="inlineStr"/>
      <c r="K393" t="inlineStr">
        <is>
          <t>Finished, no page: no address from the university's address forms or stored lis</t>
        </is>
      </c>
      <c r="L393" t="inlineStr">
        <is>
          <t>Searching for course page</t>
        </is>
      </c>
      <c r="M393" t="inlineStr">
        <is>
          <t>Searching for course page</t>
        </is>
      </c>
      <c r="N393" t="inlineStr"/>
      <c r="O393" t="n">
        <v>0</v>
      </c>
      <c r="P393" t="inlineStr"/>
      <c r="Q393" t="inlineStr">
        <is>
          <t>Searching for course page</t>
        </is>
      </c>
      <c r="S393" t="inlineStr"/>
      <c r="T393" t="inlineStr">
        <is>
          <t>Level map (Melbourne): not computed per course in this report</t>
        </is>
      </c>
      <c r="U393" t="inlineStr"/>
      <c r="V393" t="inlineStr">
        <is>
          <t>Searching for course page</t>
        </is>
      </c>
      <c r="W393" t="inlineStr"/>
      <c r="X393" t="inlineStr"/>
      <c r="Y393" t="n">
        <v>0</v>
      </c>
      <c r="Z393" t="inlineStr">
        <is>
          <t>No</t>
        </is>
      </c>
      <c r="AA393" t="inlineStr">
        <is>
          <t>Not stated on course page</t>
        </is>
      </c>
      <c r="AB393" t="inlineStr"/>
      <c r="AC393" t="inlineStr">
        <is>
          <t>Skipped: no correct course page: the page found is for another course</t>
        </is>
      </c>
      <c r="AD393" t="n">
        <v>1</v>
      </c>
      <c r="AE393" t="inlineStr"/>
      <c r="AF393" t="inlineStr"/>
      <c r="AG393" t="inlineStr"/>
      <c r="AH393" t="inlineStr"/>
      <c r="AI393" t="inlineStr"/>
      <c r="AJ393" t="inlineStr"/>
      <c r="AK393" t="inlineStr"/>
      <c r="AL393" t="inlineStr"/>
      <c r="AM393" t="inlineStr"/>
    </row>
    <row r="394">
      <c r="A394" t="inlineStr">
        <is>
          <t>079649F</t>
        </is>
      </c>
      <c r="B394" t="inlineStr">
        <is>
          <t>Master of Research (Population and Global Health)</t>
        </is>
      </c>
      <c r="C394" t="inlineStr">
        <is>
          <t>Masters Degree (Research)</t>
        </is>
      </c>
      <c r="D394" t="inlineStr">
        <is>
          <t>Research degree</t>
        </is>
      </c>
      <c r="E394" t="inlineStr">
        <is>
          <t>Held: page found is for another course</t>
        </is>
      </c>
      <c r="F394" t="inlineStr"/>
      <c r="G394" t="inlineStr">
        <is>
          <t>https://handbook.unimelb.edu.au/2026/courses/mr-philpgh</t>
        </is>
      </c>
      <c r="H394" t="inlineStr">
        <is>
          <t>Page is for another course</t>
        </is>
      </c>
      <c r="I394" t="inlineStr"/>
      <c r="J394" t="inlineStr"/>
      <c r="K394" t="inlineStr">
        <is>
          <t>Finished, no page: no address from the university's address forms or stored lis</t>
        </is>
      </c>
      <c r="L394" t="inlineStr">
        <is>
          <t>Searching for course page</t>
        </is>
      </c>
      <c r="M394" t="inlineStr">
        <is>
          <t>Searching for course page</t>
        </is>
      </c>
      <c r="N394" t="inlineStr"/>
      <c r="O394" t="n">
        <v>0</v>
      </c>
      <c r="P394" t="inlineStr"/>
      <c r="Q394" t="inlineStr">
        <is>
          <t>Searching for course page</t>
        </is>
      </c>
      <c r="S394" t="inlineStr"/>
      <c r="T394" t="inlineStr">
        <is>
          <t>Level map (Melbourne): not computed per course in this report</t>
        </is>
      </c>
      <c r="U394" t="inlineStr"/>
      <c r="V394" t="inlineStr">
        <is>
          <t>Searching for course page</t>
        </is>
      </c>
      <c r="W394" t="inlineStr"/>
      <c r="X394" t="inlineStr"/>
      <c r="Y394" t="n">
        <v>0</v>
      </c>
      <c r="Z394" t="inlineStr">
        <is>
          <t>No</t>
        </is>
      </c>
      <c r="AA394" t="inlineStr">
        <is>
          <t>Not stated on course page</t>
        </is>
      </c>
      <c r="AB394" t="inlineStr"/>
      <c r="AC394" t="inlineStr">
        <is>
          <t>Skipped: no correct course page: the page found is for another course</t>
        </is>
      </c>
      <c r="AD394" t="n">
        <v>1</v>
      </c>
      <c r="AE394" t="inlineStr"/>
      <c r="AF394" t="inlineStr"/>
      <c r="AG394" t="inlineStr"/>
      <c r="AH394" t="inlineStr"/>
      <c r="AI394" t="inlineStr"/>
      <c r="AJ394" t="inlineStr"/>
      <c r="AK394" t="inlineStr"/>
      <c r="AL394" t="inlineStr"/>
      <c r="AM394" t="inlineStr"/>
    </row>
    <row r="395">
      <c r="A395" t="inlineStr">
        <is>
          <t>079647G</t>
        </is>
      </c>
      <c r="B395" t="inlineStr">
        <is>
          <t>Master of Research (Psychological Sciences)</t>
        </is>
      </c>
      <c r="C395" t="inlineStr">
        <is>
          <t>Masters Degree (Research)</t>
        </is>
      </c>
      <c r="D395" t="inlineStr">
        <is>
          <t>Research degree</t>
        </is>
      </c>
      <c r="E395" t="inlineStr">
        <is>
          <t>Held: page found is for another course</t>
        </is>
      </c>
      <c r="F395" t="inlineStr"/>
      <c r="G395" t="inlineStr">
        <is>
          <t>https://handbook.unimelb.edu.au/2026/courses/mr-philpsy</t>
        </is>
      </c>
      <c r="H395" t="inlineStr">
        <is>
          <t>Page is for another course</t>
        </is>
      </c>
      <c r="I395" t="inlineStr"/>
      <c r="J395" t="inlineStr"/>
      <c r="K395" t="inlineStr">
        <is>
          <t>Finished, no page: no address from the university's address forms or stored lis</t>
        </is>
      </c>
      <c r="L395" t="inlineStr">
        <is>
          <t>Searching for course page</t>
        </is>
      </c>
      <c r="M395" t="inlineStr">
        <is>
          <t>Searching for course page</t>
        </is>
      </c>
      <c r="N395" t="inlineStr"/>
      <c r="O395" t="n">
        <v>0</v>
      </c>
      <c r="P395" t="inlineStr"/>
      <c r="Q395" t="inlineStr">
        <is>
          <t>Searching for course page</t>
        </is>
      </c>
      <c r="S395" t="inlineStr"/>
      <c r="T395" t="inlineStr">
        <is>
          <t>Level map (Melbourne): not computed per course in this report</t>
        </is>
      </c>
      <c r="U395" t="inlineStr"/>
      <c r="V395" t="inlineStr">
        <is>
          <t>Searching for course page</t>
        </is>
      </c>
      <c r="W395" t="inlineStr"/>
      <c r="X395" t="inlineStr"/>
      <c r="Y395" t="n">
        <v>0</v>
      </c>
      <c r="Z395" t="inlineStr">
        <is>
          <t>No</t>
        </is>
      </c>
      <c r="AA395" t="inlineStr">
        <is>
          <t>Not stated on course page</t>
        </is>
      </c>
      <c r="AB395" t="inlineStr"/>
      <c r="AC395" t="inlineStr">
        <is>
          <t>Skipped: no correct course page: the page found is for another course</t>
        </is>
      </c>
      <c r="AD395" t="n">
        <v>1</v>
      </c>
      <c r="AE395" t="inlineStr"/>
      <c r="AF395" t="inlineStr"/>
      <c r="AG395" t="inlineStr"/>
      <c r="AH395" t="inlineStr"/>
      <c r="AI395" t="inlineStr"/>
      <c r="AJ395" t="inlineStr"/>
      <c r="AK395" t="inlineStr"/>
      <c r="AL395" t="inlineStr"/>
      <c r="AM395" t="inlineStr"/>
    </row>
    <row r="396">
      <c r="A396" t="inlineStr">
        <is>
          <t>094592D</t>
        </is>
      </c>
      <c r="B396" t="inlineStr">
        <is>
          <t>Master of Science (Bioinformatics)</t>
        </is>
      </c>
      <c r="C396" t="inlineStr">
        <is>
          <t>Masters Degree (Coursework)</t>
        </is>
      </c>
      <c r="D396" t="inlineStr">
        <is>
          <t>Postgraduate coursework</t>
        </is>
      </c>
      <c r="E396" t="inlineStr">
        <is>
          <t>Advertised: official page in place</t>
        </is>
      </c>
      <c r="F396" t="inlineStr">
        <is>
          <t>https://handbook.unimelb.edu.au/2026/courses/mc-scibif</t>
        </is>
      </c>
      <c r="G396" t="inlineStr">
        <is>
          <t>https://handbook.unimelb.edu.au/2026/courses/mc-scibif</t>
        </is>
      </c>
      <c r="H396" t="inlineStr">
        <is>
          <t>Read</t>
        </is>
      </c>
      <c r="I396" t="inlineStr">
        <is>
          <t>CRICOS code on page</t>
        </is>
      </c>
      <c r="J396" t="inlineStr"/>
      <c r="K396" t="inlineStr">
        <is>
          <t>Not sent to re-link</t>
        </is>
      </c>
      <c r="L396" t="inlineStr">
        <is>
          <t>Filled</t>
        </is>
      </c>
      <c r="M396" t="inlineStr">
        <is>
          <t>Filled</t>
        </is>
      </c>
      <c r="N396" t="inlineStr">
        <is>
          <t>64640.00 2027</t>
        </is>
      </c>
      <c r="O396" t="n">
        <v>3</v>
      </c>
      <c r="P396" t="inlineStr">
        <is>
          <t>Other</t>
        </is>
      </c>
      <c r="Q396" t="inlineStr">
        <is>
          <t>Filled</t>
        </is>
      </c>
      <c r="R396" t="n">
        <v>6.5</v>
      </c>
      <c r="S396" t="inlineStr">
        <is>
          <t>Central English policy</t>
        </is>
      </c>
      <c r="T396" t="inlineStr">
        <is>
          <t>Level map (Melbourne): not computed per course in this report</t>
        </is>
      </c>
      <c r="U396" t="inlineStr"/>
      <c r="V396" t="inlineStr">
        <is>
          <t>Not stated on course page</t>
        </is>
      </c>
      <c r="W396" t="inlineStr"/>
      <c r="X396" t="inlineStr"/>
      <c r="Y396" t="n">
        <v>0</v>
      </c>
      <c r="Z396" t="inlineStr">
        <is>
          <t>No</t>
        </is>
      </c>
      <c r="AA396" t="inlineStr">
        <is>
          <t>Filled</t>
        </is>
      </c>
      <c r="AB396" t="inlineStr">
        <is>
          <t>on campus</t>
        </is>
      </c>
      <c r="AC396" t="inlineStr"/>
      <c r="AD396" t="n">
        <v>0</v>
      </c>
      <c r="AE396" t="inlineStr"/>
      <c r="AF396" t="inlineStr"/>
      <c r="AG396" t="inlineStr"/>
      <c r="AH396" t="inlineStr"/>
      <c r="AI396" t="inlineStr">
        <is>
          <t>Yes</t>
        </is>
      </c>
      <c r="AJ396" t="inlineStr"/>
      <c r="AK396" t="inlineStr"/>
      <c r="AL396" t="inlineStr"/>
      <c r="AM396" t="inlineStr"/>
    </row>
    <row r="397">
      <c r="A397" t="inlineStr">
        <is>
          <t>094593C</t>
        </is>
      </c>
      <c r="B397" t="inlineStr">
        <is>
          <t>Master of Science (Biosciences)</t>
        </is>
      </c>
      <c r="C397" t="inlineStr">
        <is>
          <t>Masters Degree (Coursework)</t>
        </is>
      </c>
      <c r="D397" t="inlineStr">
        <is>
          <t>Postgraduate coursework</t>
        </is>
      </c>
      <c r="E397" t="inlineStr">
        <is>
          <t>Advertised: official page in place</t>
        </is>
      </c>
      <c r="F397" t="inlineStr">
        <is>
          <t>https://handbook.unimelb.edu.au/2026/courses/mc-scibio</t>
        </is>
      </c>
      <c r="G397" t="inlineStr">
        <is>
          <t>https://handbook.unimelb.edu.au/2026/courses/mc-scibio</t>
        </is>
      </c>
      <c r="H397" t="inlineStr">
        <is>
          <t>Read</t>
        </is>
      </c>
      <c r="I397" t="inlineStr">
        <is>
          <t>CRICOS code on page</t>
        </is>
      </c>
      <c r="J397" t="inlineStr"/>
      <c r="K397" t="inlineStr">
        <is>
          <t>Not sent to re-link</t>
        </is>
      </c>
      <c r="L397" t="inlineStr">
        <is>
          <t>Filled</t>
        </is>
      </c>
      <c r="M397" t="inlineStr">
        <is>
          <t>Filled</t>
        </is>
      </c>
      <c r="N397" t="inlineStr">
        <is>
          <t>64640.00 2027</t>
        </is>
      </c>
      <c r="O397" t="n">
        <v>3</v>
      </c>
      <c r="P397" t="inlineStr">
        <is>
          <t>Other</t>
        </is>
      </c>
      <c r="Q397" t="inlineStr">
        <is>
          <t>Filled</t>
        </is>
      </c>
      <c r="R397" t="n">
        <v>6.5</v>
      </c>
      <c r="S397" t="inlineStr">
        <is>
          <t>Central English policy</t>
        </is>
      </c>
      <c r="T397" t="inlineStr">
        <is>
          <t>Level map (Melbourne): not computed per course in this report</t>
        </is>
      </c>
      <c r="U397" t="inlineStr"/>
      <c r="V397" t="inlineStr">
        <is>
          <t>Not stated on course page</t>
        </is>
      </c>
      <c r="W397" t="inlineStr"/>
      <c r="X397" t="inlineStr"/>
      <c r="Y397" t="n">
        <v>0</v>
      </c>
      <c r="Z397" t="inlineStr">
        <is>
          <t>No</t>
        </is>
      </c>
      <c r="AA397" t="inlineStr">
        <is>
          <t>Filled</t>
        </is>
      </c>
      <c r="AB397" t="inlineStr">
        <is>
          <t>on campus</t>
        </is>
      </c>
      <c r="AC397" t="inlineStr"/>
      <c r="AD397" t="n">
        <v>0</v>
      </c>
      <c r="AE397" t="inlineStr"/>
      <c r="AF397" t="inlineStr"/>
      <c r="AG397" t="inlineStr"/>
      <c r="AH397" t="inlineStr"/>
      <c r="AI397" t="inlineStr">
        <is>
          <t>Yes</t>
        </is>
      </c>
      <c r="AJ397" t="inlineStr"/>
      <c r="AK397" t="inlineStr"/>
      <c r="AL397" t="inlineStr"/>
      <c r="AM397" t="inlineStr"/>
    </row>
    <row r="398">
      <c r="A398" t="inlineStr">
        <is>
          <t>094594B</t>
        </is>
      </c>
      <c r="B398" t="inlineStr">
        <is>
          <t>Master of Science (Chemistry)</t>
        </is>
      </c>
      <c r="C398" t="inlineStr">
        <is>
          <t>Masters Degree (Coursework)</t>
        </is>
      </c>
      <c r="D398" t="inlineStr">
        <is>
          <t>Postgraduate coursework</t>
        </is>
      </c>
      <c r="E398" t="inlineStr">
        <is>
          <t>Advertised: official page in place</t>
        </is>
      </c>
      <c r="F398" t="inlineStr">
        <is>
          <t>https://handbook.unimelb.edu.au/2026/courses/mc-sciche</t>
        </is>
      </c>
      <c r="G398" t="inlineStr">
        <is>
          <t>https://handbook.unimelb.edu.au/2026/courses/mc-sciche</t>
        </is>
      </c>
      <c r="H398" t="inlineStr">
        <is>
          <t>Read</t>
        </is>
      </c>
      <c r="I398" t="inlineStr">
        <is>
          <t>CRICOS code on page</t>
        </is>
      </c>
      <c r="J398" t="inlineStr"/>
      <c r="K398" t="inlineStr">
        <is>
          <t>Not sent to re-link</t>
        </is>
      </c>
      <c r="L398" t="inlineStr">
        <is>
          <t>Filled</t>
        </is>
      </c>
      <c r="M398" t="inlineStr">
        <is>
          <t>Filled</t>
        </is>
      </c>
      <c r="N398" t="inlineStr">
        <is>
          <t>64640.00 2027</t>
        </is>
      </c>
      <c r="O398" t="n">
        <v>3</v>
      </c>
      <c r="P398" t="inlineStr">
        <is>
          <t>Other</t>
        </is>
      </c>
      <c r="Q398" t="inlineStr">
        <is>
          <t>Filled</t>
        </is>
      </c>
      <c r="R398" t="n">
        <v>6.5</v>
      </c>
      <c r="S398" t="inlineStr">
        <is>
          <t>Central English policy</t>
        </is>
      </c>
      <c r="T398" t="inlineStr">
        <is>
          <t>Level map (Melbourne): not computed per course in this report</t>
        </is>
      </c>
      <c r="U398" t="inlineStr"/>
      <c r="V398" t="inlineStr">
        <is>
          <t>Not stated on course page</t>
        </is>
      </c>
      <c r="W398" t="inlineStr"/>
      <c r="X398" t="inlineStr"/>
      <c r="Y398" t="n">
        <v>0</v>
      </c>
      <c r="Z398" t="inlineStr">
        <is>
          <t>No</t>
        </is>
      </c>
      <c r="AA398" t="inlineStr">
        <is>
          <t>Filled</t>
        </is>
      </c>
      <c r="AB398" t="inlineStr">
        <is>
          <t>on campus</t>
        </is>
      </c>
      <c r="AC398" t="inlineStr"/>
      <c r="AD398" t="n">
        <v>0</v>
      </c>
      <c r="AE398" t="inlineStr"/>
      <c r="AF398" t="inlineStr"/>
      <c r="AG398" t="inlineStr"/>
      <c r="AH398" t="inlineStr"/>
      <c r="AI398" t="inlineStr">
        <is>
          <t>Yes</t>
        </is>
      </c>
      <c r="AJ398" t="inlineStr"/>
      <c r="AK398" t="inlineStr"/>
      <c r="AL398" t="inlineStr"/>
      <c r="AM398" t="inlineStr"/>
    </row>
    <row r="399">
      <c r="A399" t="inlineStr">
        <is>
          <t>094595A</t>
        </is>
      </c>
      <c r="B399" t="inlineStr">
        <is>
          <t>Master of Science (Computer Science)</t>
        </is>
      </c>
      <c r="C399" t="inlineStr">
        <is>
          <t>Masters Degree (Coursework)</t>
        </is>
      </c>
      <c r="D399" t="inlineStr">
        <is>
          <t>Postgraduate coursework</t>
        </is>
      </c>
      <c r="E399" t="inlineStr">
        <is>
          <t>Advertised: official page in place</t>
        </is>
      </c>
      <c r="F399" t="inlineStr">
        <is>
          <t>https://handbook.unimelb.edu.au/2026/courses/mc-scicmp</t>
        </is>
      </c>
      <c r="G399" t="inlineStr">
        <is>
          <t>https://handbook.unimelb.edu.au/2026/courses/mc-scicmp</t>
        </is>
      </c>
      <c r="H399" t="inlineStr">
        <is>
          <t>Read</t>
        </is>
      </c>
      <c r="I399" t="inlineStr">
        <is>
          <t>CRICOS code on page</t>
        </is>
      </c>
      <c r="J399" t="inlineStr"/>
      <c r="K399" t="inlineStr">
        <is>
          <t>Not sent to re-link</t>
        </is>
      </c>
      <c r="L399" t="inlineStr">
        <is>
          <t>Filled</t>
        </is>
      </c>
      <c r="M399" t="inlineStr">
        <is>
          <t>Filled</t>
        </is>
      </c>
      <c r="N399" t="inlineStr">
        <is>
          <t>67840.00 2027</t>
        </is>
      </c>
      <c r="O399" t="n">
        <v>3</v>
      </c>
      <c r="P399" t="inlineStr">
        <is>
          <t>Other</t>
        </is>
      </c>
      <c r="Q399" t="inlineStr">
        <is>
          <t>Filled</t>
        </is>
      </c>
      <c r="R399" t="n">
        <v>6.5</v>
      </c>
      <c r="S399" t="inlineStr">
        <is>
          <t>Central English policy</t>
        </is>
      </c>
      <c r="T399" t="inlineStr">
        <is>
          <t>Level map (Melbourne): not computed per course in this report</t>
        </is>
      </c>
      <c r="U399" t="inlineStr"/>
      <c r="V399" t="inlineStr">
        <is>
          <t>Not stated on course page</t>
        </is>
      </c>
      <c r="W399" t="inlineStr"/>
      <c r="X399" t="inlineStr"/>
      <c r="Y399" t="n">
        <v>0</v>
      </c>
      <c r="Z399" t="inlineStr">
        <is>
          <t>No</t>
        </is>
      </c>
      <c r="AA399" t="inlineStr">
        <is>
          <t>Filled</t>
        </is>
      </c>
      <c r="AB399" t="inlineStr">
        <is>
          <t>on campus</t>
        </is>
      </c>
      <c r="AC399" t="inlineStr"/>
      <c r="AD399" t="n">
        <v>0</v>
      </c>
      <c r="AE399" t="inlineStr"/>
      <c r="AF399" t="inlineStr"/>
      <c r="AG399" t="inlineStr"/>
      <c r="AH399" t="inlineStr"/>
      <c r="AI399" t="inlineStr">
        <is>
          <t>Yes</t>
        </is>
      </c>
      <c r="AJ399" t="inlineStr"/>
      <c r="AK399" t="inlineStr"/>
      <c r="AL399" t="inlineStr"/>
      <c r="AM399" t="inlineStr"/>
    </row>
    <row r="400">
      <c r="A400" t="inlineStr">
        <is>
          <t>094596M</t>
        </is>
      </c>
      <c r="B400" t="inlineStr">
        <is>
          <t>Master of Science (Earth Sciences)</t>
        </is>
      </c>
      <c r="C400" t="inlineStr">
        <is>
          <t>Masters Degree (Coursework)</t>
        </is>
      </c>
      <c r="D400" t="inlineStr">
        <is>
          <t>Postgraduate coursework</t>
        </is>
      </c>
      <c r="E400" t="inlineStr">
        <is>
          <t>Advertised: official page in place</t>
        </is>
      </c>
      <c r="F400" t="inlineStr">
        <is>
          <t>https://study.unimelb.edu.au/find/courses/graduate/master-of-science-earth-sciences</t>
        </is>
      </c>
      <c r="G400" t="inlineStr">
        <is>
          <t>https://study.unimelb.edu.au/find/courses/graduate/master-of-science-earth-sciences</t>
        </is>
      </c>
      <c r="H400" t="inlineStr">
        <is>
          <t>Read</t>
        </is>
      </c>
      <c r="I400" t="inlineStr">
        <is>
          <t>CRICOS code on page</t>
        </is>
      </c>
      <c r="J400" t="inlineStr"/>
      <c r="K400" t="inlineStr">
        <is>
          <t>Not sent to re-link</t>
        </is>
      </c>
      <c r="L400" t="inlineStr">
        <is>
          <t>Filled</t>
        </is>
      </c>
      <c r="M400" t="inlineStr">
        <is>
          <t>Filled</t>
        </is>
      </c>
      <c r="N400" t="inlineStr">
        <is>
          <t>64640.00 2027</t>
        </is>
      </c>
      <c r="O400" t="n">
        <v>3</v>
      </c>
      <c r="P400" t="inlineStr">
        <is>
          <t>Other</t>
        </is>
      </c>
      <c r="Q400" t="inlineStr">
        <is>
          <t>Filled</t>
        </is>
      </c>
      <c r="R400" t="n">
        <v>6.5</v>
      </c>
      <c r="S400" t="inlineStr">
        <is>
          <t>University adapter</t>
        </is>
      </c>
      <c r="T400" t="inlineStr">
        <is>
          <t>Level map (Melbourne): not computed per course in this report</t>
        </is>
      </c>
      <c r="U400" t="inlineStr"/>
      <c r="V400" t="inlineStr">
        <is>
          <t>Filled</t>
        </is>
      </c>
      <c r="W400" t="inlineStr">
        <is>
          <t>January, July</t>
        </is>
      </c>
      <c r="X400" t="inlineStr">
        <is>
          <t>Other</t>
        </is>
      </c>
      <c r="Y400" t="n">
        <v>0</v>
      </c>
      <c r="Z400" t="inlineStr">
        <is>
          <t>No</t>
        </is>
      </c>
      <c r="AA400" t="inlineStr">
        <is>
          <t>Filled</t>
        </is>
      </c>
      <c r="AB400" t="inlineStr">
        <is>
          <t>on campus</t>
        </is>
      </c>
      <c r="AC400" t="inlineStr"/>
      <c r="AD400" t="n">
        <v>0</v>
      </c>
      <c r="AE400" t="inlineStr"/>
      <c r="AF400" t="inlineStr"/>
      <c r="AG400" t="inlineStr"/>
      <c r="AH400" t="inlineStr"/>
      <c r="AI400" t="inlineStr"/>
      <c r="AJ400" t="inlineStr"/>
      <c r="AK400" t="inlineStr"/>
      <c r="AL400" t="inlineStr"/>
      <c r="AM400" t="inlineStr"/>
    </row>
    <row r="401">
      <c r="A401" t="inlineStr">
        <is>
          <t>094597K</t>
        </is>
      </c>
      <c r="B401" t="inlineStr">
        <is>
          <t>Master of Science (Ecosystem Science)</t>
        </is>
      </c>
      <c r="C401" t="inlineStr">
        <is>
          <t>Masters Degree (Coursework)</t>
        </is>
      </c>
      <c r="D401" t="inlineStr">
        <is>
          <t>Postgraduate coursework</t>
        </is>
      </c>
      <c r="E401" t="inlineStr">
        <is>
          <t>Advertised: official page in place</t>
        </is>
      </c>
      <c r="F401" t="inlineStr">
        <is>
          <t>https://handbook.unimelb.edu.au/2020/courses/mc-scieco</t>
        </is>
      </c>
      <c r="G401" t="inlineStr">
        <is>
          <t>https://handbook.unimelb.edu.au/2026/courses/mc-scieco</t>
        </is>
      </c>
      <c r="H401" t="inlineStr">
        <is>
          <t>Needs a rendered read</t>
        </is>
      </c>
      <c r="I401" t="inlineStr"/>
      <c r="J401" t="inlineStr"/>
      <c r="K401" t="inlineStr">
        <is>
          <t>Finished, no page: no address from the university's address forms or stored lis</t>
        </is>
      </c>
      <c r="L401" t="inlineStr">
        <is>
          <t>Filled</t>
        </is>
      </c>
      <c r="M401" t="inlineStr">
        <is>
          <t>Not stated on course page</t>
        </is>
      </c>
      <c r="N401" t="inlineStr"/>
      <c r="O401" t="n">
        <v>0</v>
      </c>
      <c r="P401" t="inlineStr"/>
      <c r="Q401" t="inlineStr">
        <is>
          <t>Not stated on course page</t>
        </is>
      </c>
      <c r="S401" t="inlineStr"/>
      <c r="T401" t="inlineStr">
        <is>
          <t>Level map (Melbourne): not computed per course in this report</t>
        </is>
      </c>
      <c r="U401" t="inlineStr"/>
      <c r="V401" t="inlineStr">
        <is>
          <t>Not stated on course page</t>
        </is>
      </c>
      <c r="W401" t="inlineStr"/>
      <c r="X401" t="inlineStr"/>
      <c r="Y401" t="n">
        <v>0</v>
      </c>
      <c r="Z401" t="inlineStr">
        <is>
          <t>No</t>
        </is>
      </c>
      <c r="AA401" t="inlineStr">
        <is>
          <t>Filled</t>
        </is>
      </c>
      <c r="AB401" t="inlineStr">
        <is>
          <t>on campus</t>
        </is>
      </c>
      <c r="AC401" t="inlineStr"/>
      <c r="AD401" t="n">
        <v>0</v>
      </c>
      <c r="AE401" t="inlineStr">
        <is>
          <t>Yes</t>
        </is>
      </c>
      <c r="AF401" t="inlineStr"/>
      <c r="AG401" t="inlineStr"/>
      <c r="AH401" t="inlineStr"/>
      <c r="AI401" t="inlineStr">
        <is>
          <t>Yes</t>
        </is>
      </c>
      <c r="AJ401" t="inlineStr"/>
      <c r="AK401" t="inlineStr"/>
      <c r="AL401" t="inlineStr"/>
      <c r="AM401" t="inlineStr"/>
    </row>
    <row r="402">
      <c r="A402" t="inlineStr">
        <is>
          <t>094598J</t>
        </is>
      </c>
      <c r="B402" t="inlineStr">
        <is>
          <t>Master of Science (Epidemiology)</t>
        </is>
      </c>
      <c r="C402" t="inlineStr">
        <is>
          <t>Masters Degree (Coursework)</t>
        </is>
      </c>
      <c r="D402" t="inlineStr">
        <is>
          <t>Postgraduate coursework</t>
        </is>
      </c>
      <c r="E402" t="inlineStr">
        <is>
          <t>Advertised: official page in place</t>
        </is>
      </c>
      <c r="F402" t="inlineStr">
        <is>
          <t>https://handbook.unimelb.edu.au/2026/courses/mc-sciepi</t>
        </is>
      </c>
      <c r="G402" t="inlineStr">
        <is>
          <t>https://handbook.unimelb.edu.au/2026/courses/mc-sciepi</t>
        </is>
      </c>
      <c r="H402" t="inlineStr">
        <is>
          <t>Read</t>
        </is>
      </c>
      <c r="I402" t="inlineStr">
        <is>
          <t>CRICOS code on page</t>
        </is>
      </c>
      <c r="J402" t="inlineStr"/>
      <c r="K402" t="inlineStr">
        <is>
          <t>Not sent to re-link</t>
        </is>
      </c>
      <c r="L402" t="inlineStr">
        <is>
          <t>Filled</t>
        </is>
      </c>
      <c r="M402" t="inlineStr">
        <is>
          <t>Filled</t>
        </is>
      </c>
      <c r="N402" t="inlineStr">
        <is>
          <t>64640.00 2027</t>
        </is>
      </c>
      <c r="O402" t="n">
        <v>3</v>
      </c>
      <c r="P402" t="inlineStr">
        <is>
          <t>Other</t>
        </is>
      </c>
      <c r="Q402" t="inlineStr">
        <is>
          <t>Filled</t>
        </is>
      </c>
      <c r="R402" t="n">
        <v>6.5</v>
      </c>
      <c r="S402" t="inlineStr">
        <is>
          <t>Central English policy</t>
        </is>
      </c>
      <c r="T402" t="inlineStr">
        <is>
          <t>Level map (Melbourne): not computed per course in this report</t>
        </is>
      </c>
      <c r="U402" t="inlineStr"/>
      <c r="V402" t="inlineStr">
        <is>
          <t>Not stated on course page</t>
        </is>
      </c>
      <c r="W402" t="inlineStr"/>
      <c r="X402" t="inlineStr"/>
      <c r="Y402" t="n">
        <v>0</v>
      </c>
      <c r="Z402" t="inlineStr">
        <is>
          <t>No</t>
        </is>
      </c>
      <c r="AA402" t="inlineStr">
        <is>
          <t>Filled</t>
        </is>
      </c>
      <c r="AB402" t="inlineStr">
        <is>
          <t>on campus</t>
        </is>
      </c>
      <c r="AC402" t="inlineStr"/>
      <c r="AD402" t="n">
        <v>0</v>
      </c>
      <c r="AE402" t="inlineStr"/>
      <c r="AF402" t="inlineStr"/>
      <c r="AG402" t="inlineStr"/>
      <c r="AH402" t="inlineStr"/>
      <c r="AI402" t="inlineStr">
        <is>
          <t>Yes</t>
        </is>
      </c>
      <c r="AJ402" t="inlineStr"/>
      <c r="AK402" t="inlineStr"/>
      <c r="AL402" t="inlineStr"/>
      <c r="AM402" t="inlineStr"/>
    </row>
    <row r="403">
      <c r="A403" t="inlineStr">
        <is>
          <t>094599G</t>
        </is>
      </c>
      <c r="B403" t="inlineStr">
        <is>
          <t>Master of Science (Mathematics and Statistics)</t>
        </is>
      </c>
      <c r="C403" t="inlineStr">
        <is>
          <t>Masters Degree (Coursework)</t>
        </is>
      </c>
      <c r="D403" t="inlineStr">
        <is>
          <t>Postgraduate coursework</t>
        </is>
      </c>
      <c r="E403" t="inlineStr">
        <is>
          <t>Advertised: official page in place</t>
        </is>
      </c>
      <c r="F403" t="inlineStr">
        <is>
          <t>https://handbook.unimelb.edu.au/2026/courses/mc-scimat</t>
        </is>
      </c>
      <c r="G403" t="inlineStr">
        <is>
          <t>https://handbook.unimelb.edu.au/2026/courses/mc-scimat</t>
        </is>
      </c>
      <c r="H403" t="inlineStr">
        <is>
          <t>Read</t>
        </is>
      </c>
      <c r="I403" t="inlineStr">
        <is>
          <t>CRICOS code on page</t>
        </is>
      </c>
      <c r="J403" t="inlineStr"/>
      <c r="K403" t="inlineStr">
        <is>
          <t>Not sent to re-link</t>
        </is>
      </c>
      <c r="L403" t="inlineStr">
        <is>
          <t>Filled</t>
        </is>
      </c>
      <c r="M403" t="inlineStr">
        <is>
          <t>Filled</t>
        </is>
      </c>
      <c r="N403" t="inlineStr">
        <is>
          <t>64640.00 2027</t>
        </is>
      </c>
      <c r="O403" t="n">
        <v>3</v>
      </c>
      <c r="P403" t="inlineStr">
        <is>
          <t>Other</t>
        </is>
      </c>
      <c r="Q403" t="inlineStr">
        <is>
          <t>Filled</t>
        </is>
      </c>
      <c r="R403" t="n">
        <v>6.5</v>
      </c>
      <c r="S403" t="inlineStr">
        <is>
          <t>Central English policy</t>
        </is>
      </c>
      <c r="T403" t="inlineStr">
        <is>
          <t>Level map (Melbourne): not computed per course in this report</t>
        </is>
      </c>
      <c r="U403" t="inlineStr"/>
      <c r="V403" t="inlineStr">
        <is>
          <t>Not stated on course page</t>
        </is>
      </c>
      <c r="W403" t="inlineStr"/>
      <c r="X403" t="inlineStr"/>
      <c r="Y403" t="n">
        <v>0</v>
      </c>
      <c r="Z403" t="inlineStr">
        <is>
          <t>No</t>
        </is>
      </c>
      <c r="AA403" t="inlineStr">
        <is>
          <t>Filled</t>
        </is>
      </c>
      <c r="AB403" t="inlineStr">
        <is>
          <t>on campus</t>
        </is>
      </c>
      <c r="AC403" t="inlineStr"/>
      <c r="AD403" t="n">
        <v>0</v>
      </c>
      <c r="AE403" t="inlineStr"/>
      <c r="AF403" t="inlineStr"/>
      <c r="AG403" t="inlineStr"/>
      <c r="AH403" t="inlineStr"/>
      <c r="AI403" t="inlineStr">
        <is>
          <t>Yes</t>
        </is>
      </c>
      <c r="AJ403" t="inlineStr"/>
      <c r="AK403" t="inlineStr"/>
      <c r="AL403" t="inlineStr"/>
      <c r="AM403" t="inlineStr"/>
    </row>
    <row r="404">
      <c r="A404" t="inlineStr">
        <is>
          <t>094600J</t>
        </is>
      </c>
      <c r="B404" t="inlineStr">
        <is>
          <t>Master of Science (Physics)</t>
        </is>
      </c>
      <c r="C404" t="inlineStr">
        <is>
          <t>Masters Degree (Coursework)</t>
        </is>
      </c>
      <c r="D404" t="inlineStr">
        <is>
          <t>Postgraduate coursework</t>
        </is>
      </c>
      <c r="E404" t="inlineStr">
        <is>
          <t>Advertised: official page in place</t>
        </is>
      </c>
      <c r="F404" t="inlineStr">
        <is>
          <t>https://handbook.unimelb.edu.au/2026/courses/mc-sciphy</t>
        </is>
      </c>
      <c r="G404" t="inlineStr">
        <is>
          <t>https://handbook.unimelb.edu.au/2026/courses/mc-sciphy</t>
        </is>
      </c>
      <c r="H404" t="inlineStr">
        <is>
          <t>Read</t>
        </is>
      </c>
      <c r="I404" t="inlineStr">
        <is>
          <t>CRICOS code on page</t>
        </is>
      </c>
      <c r="J404" t="inlineStr"/>
      <c r="K404" t="inlineStr">
        <is>
          <t>Not sent to re-link</t>
        </is>
      </c>
      <c r="L404" t="inlineStr">
        <is>
          <t>Filled</t>
        </is>
      </c>
      <c r="M404" t="inlineStr">
        <is>
          <t>Filled</t>
        </is>
      </c>
      <c r="N404" t="inlineStr">
        <is>
          <t>64640.00 2027</t>
        </is>
      </c>
      <c r="O404" t="n">
        <v>3</v>
      </c>
      <c r="P404" t="inlineStr">
        <is>
          <t>Other</t>
        </is>
      </c>
      <c r="Q404" t="inlineStr">
        <is>
          <t>Filled</t>
        </is>
      </c>
      <c r="R404" t="n">
        <v>6.5</v>
      </c>
      <c r="S404" t="inlineStr">
        <is>
          <t>Central English policy</t>
        </is>
      </c>
      <c r="T404" t="inlineStr">
        <is>
          <t>Level map (Melbourne): not computed per course in this report</t>
        </is>
      </c>
      <c r="U404" t="inlineStr"/>
      <c r="V404" t="inlineStr">
        <is>
          <t>Not stated on course page</t>
        </is>
      </c>
      <c r="W404" t="inlineStr"/>
      <c r="X404" t="inlineStr"/>
      <c r="Y404" t="n">
        <v>0</v>
      </c>
      <c r="Z404" t="inlineStr">
        <is>
          <t>No</t>
        </is>
      </c>
      <c r="AA404" t="inlineStr">
        <is>
          <t>Filled</t>
        </is>
      </c>
      <c r="AB404" t="inlineStr">
        <is>
          <t>on campus</t>
        </is>
      </c>
      <c r="AC404" t="inlineStr"/>
      <c r="AD404" t="n">
        <v>0</v>
      </c>
      <c r="AE404" t="inlineStr"/>
      <c r="AF404" t="inlineStr"/>
      <c r="AG404" t="inlineStr"/>
      <c r="AH404" t="inlineStr"/>
      <c r="AI404" t="inlineStr">
        <is>
          <t>Yes</t>
        </is>
      </c>
      <c r="AJ404" t="inlineStr"/>
      <c r="AK404" t="inlineStr"/>
      <c r="AL404" t="inlineStr"/>
      <c r="AM404" t="inlineStr"/>
    </row>
    <row r="405">
      <c r="A405" t="inlineStr">
        <is>
          <t>110761K</t>
        </is>
      </c>
      <c r="B405" t="inlineStr">
        <is>
          <t>Master of Screen Producing</t>
        </is>
      </c>
      <c r="C405" t="inlineStr">
        <is>
          <t>Masters Degree (Coursework)</t>
        </is>
      </c>
      <c r="D405" t="inlineStr">
        <is>
          <t>Postgraduate coursework</t>
        </is>
      </c>
      <c r="E405" t="inlineStr">
        <is>
          <t>Advertised: official page in place</t>
        </is>
      </c>
      <c r="F405" t="inlineStr">
        <is>
          <t>https://handbook.unimelb.edu.au/2026/courses/mc-scprod</t>
        </is>
      </c>
      <c r="G405" t="inlineStr">
        <is>
          <t>https://handbook.unimelb.edu.au/2026/courses/mc-scprod</t>
        </is>
      </c>
      <c r="H405" t="inlineStr">
        <is>
          <t>Read</t>
        </is>
      </c>
      <c r="I405" t="inlineStr">
        <is>
          <t>CRICOS code on page</t>
        </is>
      </c>
      <c r="J405" t="inlineStr"/>
      <c r="K405" t="inlineStr">
        <is>
          <t>Not sent to re-link</t>
        </is>
      </c>
      <c r="L405" t="inlineStr">
        <is>
          <t>Filled</t>
        </is>
      </c>
      <c r="M405" t="inlineStr">
        <is>
          <t>Not stated on course page</t>
        </is>
      </c>
      <c r="N405" t="inlineStr"/>
      <c r="O405" t="n">
        <v>0</v>
      </c>
      <c r="P405" t="inlineStr"/>
      <c r="Q405" t="inlineStr">
        <is>
          <t>Filled</t>
        </is>
      </c>
      <c r="R405" t="n">
        <v>6.5</v>
      </c>
      <c r="S405" t="inlineStr">
        <is>
          <t>Central English policy</t>
        </is>
      </c>
      <c r="T405" t="inlineStr">
        <is>
          <t>Level map (Melbourne): not computed per course in this report</t>
        </is>
      </c>
      <c r="U405" t="inlineStr"/>
      <c r="V405" t="inlineStr">
        <is>
          <t>Not stated on course page</t>
        </is>
      </c>
      <c r="W405" t="inlineStr"/>
      <c r="X405" t="inlineStr"/>
      <c r="Y405" t="n">
        <v>0</v>
      </c>
      <c r="Z405" t="inlineStr">
        <is>
          <t>No</t>
        </is>
      </c>
      <c r="AA405" t="inlineStr">
        <is>
          <t>Filled</t>
        </is>
      </c>
      <c r="AB405" t="inlineStr">
        <is>
          <t>on campus</t>
        </is>
      </c>
      <c r="AC405" t="inlineStr"/>
      <c r="AD405" t="n">
        <v>0</v>
      </c>
      <c r="AE405" t="inlineStr"/>
      <c r="AF405" t="inlineStr"/>
      <c r="AG405" t="inlineStr"/>
      <c r="AH405" t="inlineStr"/>
      <c r="AI405" t="inlineStr">
        <is>
          <t>Yes</t>
        </is>
      </c>
      <c r="AJ405" t="inlineStr"/>
      <c r="AK405" t="inlineStr"/>
      <c r="AL405" t="inlineStr"/>
      <c r="AM405" t="inlineStr"/>
    </row>
    <row r="406">
      <c r="A406" t="inlineStr">
        <is>
          <t>075501C</t>
        </is>
      </c>
      <c r="B406" t="inlineStr">
        <is>
          <t>Master of Screenwriting</t>
        </is>
      </c>
      <c r="C406" t="inlineStr">
        <is>
          <t>Masters Degree (Coursework)</t>
        </is>
      </c>
      <c r="D406" t="inlineStr">
        <is>
          <t>Postgraduate coursework</t>
        </is>
      </c>
      <c r="E406" t="inlineStr">
        <is>
          <t>Advertised: official page in place</t>
        </is>
      </c>
      <c r="F406" t="inlineStr">
        <is>
          <t>https://handbook.unimelb.edu.au/2026/courses/mc-scwr</t>
        </is>
      </c>
      <c r="G406" t="inlineStr">
        <is>
          <t>https://handbook.unimelb.edu.au/2026/courses/mc-scwr</t>
        </is>
      </c>
      <c r="H406" t="inlineStr">
        <is>
          <t>Read</t>
        </is>
      </c>
      <c r="I406" t="inlineStr">
        <is>
          <t>CRICOS code on page</t>
        </is>
      </c>
      <c r="J406" t="inlineStr"/>
      <c r="K406" t="inlineStr">
        <is>
          <t>Not sent to re-link</t>
        </is>
      </c>
      <c r="L406" t="inlineStr">
        <is>
          <t>Filled</t>
        </is>
      </c>
      <c r="M406" t="inlineStr">
        <is>
          <t>Filled</t>
        </is>
      </c>
      <c r="N406" t="inlineStr">
        <is>
          <t>50720.00 2027</t>
        </is>
      </c>
      <c r="O406" t="n">
        <v>3</v>
      </c>
      <c r="P406" t="inlineStr">
        <is>
          <t>Other</t>
        </is>
      </c>
      <c r="Q406" t="inlineStr">
        <is>
          <t>Filled</t>
        </is>
      </c>
      <c r="R406" t="n">
        <v>6.5</v>
      </c>
      <c r="S406" t="inlineStr">
        <is>
          <t>Central English policy</t>
        </is>
      </c>
      <c r="T406" t="inlineStr">
        <is>
          <t>Level map (Melbourne): not computed per course in this report</t>
        </is>
      </c>
      <c r="U406" t="inlineStr"/>
      <c r="V406" t="inlineStr">
        <is>
          <t>Filled</t>
        </is>
      </c>
      <c r="W406" t="inlineStr">
        <is>
          <t>February</t>
        </is>
      </c>
      <c r="X406" t="inlineStr">
        <is>
          <t>Page reader</t>
        </is>
      </c>
      <c r="Y406" t="n">
        <v>0</v>
      </c>
      <c r="Z406" t="inlineStr">
        <is>
          <t>No</t>
        </is>
      </c>
      <c r="AA406" t="inlineStr">
        <is>
          <t>Filled</t>
        </is>
      </c>
      <c r="AB406" t="inlineStr">
        <is>
          <t>on campus</t>
        </is>
      </c>
      <c r="AC406" t="inlineStr"/>
      <c r="AD406" t="n">
        <v>0</v>
      </c>
      <c r="AE406" t="inlineStr"/>
      <c r="AF406" t="inlineStr"/>
      <c r="AG406" t="inlineStr"/>
      <c r="AH406" t="inlineStr"/>
      <c r="AI406" t="inlineStr"/>
      <c r="AJ406" t="inlineStr"/>
      <c r="AK406" t="inlineStr"/>
      <c r="AL406" t="inlineStr"/>
      <c r="AM406" t="inlineStr"/>
    </row>
    <row r="407">
      <c r="A407" t="inlineStr">
        <is>
          <t>113015J</t>
        </is>
      </c>
      <c r="B407" t="inlineStr">
        <is>
          <t>Master of Social Change Leadership</t>
        </is>
      </c>
      <c r="C407" t="inlineStr">
        <is>
          <t>Masters Degree (Coursework)</t>
        </is>
      </c>
      <c r="D407" t="inlineStr">
        <is>
          <t>Postgraduate coursework</t>
        </is>
      </c>
      <c r="E407" t="inlineStr">
        <is>
          <t>Advertised: official page in place</t>
        </is>
      </c>
      <c r="F407" t="inlineStr">
        <is>
          <t>https://handbook.unimelb.edu.au/2026/courses/mc-scl</t>
        </is>
      </c>
      <c r="G407" t="inlineStr">
        <is>
          <t>https://handbook.unimelb.edu.au/2026/courses/mc-scl</t>
        </is>
      </c>
      <c r="H407" t="inlineStr">
        <is>
          <t>Read</t>
        </is>
      </c>
      <c r="I407" t="inlineStr">
        <is>
          <t>CRICOS code on page</t>
        </is>
      </c>
      <c r="J407" t="inlineStr"/>
      <c r="K407" t="inlineStr">
        <is>
          <t>Not sent to re-link</t>
        </is>
      </c>
      <c r="L407" t="inlineStr">
        <is>
          <t>Filled</t>
        </is>
      </c>
      <c r="M407" t="inlineStr">
        <is>
          <t>Filled</t>
        </is>
      </c>
      <c r="N407" t="inlineStr">
        <is>
          <t>37440.00 2027</t>
        </is>
      </c>
      <c r="O407" t="n">
        <v>3</v>
      </c>
      <c r="P407" t="inlineStr">
        <is>
          <t>Other</t>
        </is>
      </c>
      <c r="Q407" t="inlineStr">
        <is>
          <t>Filled</t>
        </is>
      </c>
      <c r="R407" t="n">
        <v>7</v>
      </c>
      <c r="S407" t="inlineStr">
        <is>
          <t>Central English policy</t>
        </is>
      </c>
      <c r="T407" t="inlineStr">
        <is>
          <t>Level map (Melbourne): not computed per course in this report</t>
        </is>
      </c>
      <c r="U407" t="inlineStr"/>
      <c r="V407" t="inlineStr">
        <is>
          <t>Not stated on course page</t>
        </is>
      </c>
      <c r="W407" t="inlineStr"/>
      <c r="X407" t="inlineStr"/>
      <c r="Y407" t="n">
        <v>0</v>
      </c>
      <c r="Z407" t="inlineStr">
        <is>
          <t>No</t>
        </is>
      </c>
      <c r="AA407" t="inlineStr">
        <is>
          <t>Filled</t>
        </is>
      </c>
      <c r="AB407" t="inlineStr">
        <is>
          <t>on campus</t>
        </is>
      </c>
      <c r="AC407" t="inlineStr"/>
      <c r="AD407" t="n">
        <v>0</v>
      </c>
      <c r="AE407" t="inlineStr"/>
      <c r="AF407" t="inlineStr"/>
      <c r="AG407" t="inlineStr"/>
      <c r="AH407" t="inlineStr"/>
      <c r="AI407" t="inlineStr">
        <is>
          <t>Yes</t>
        </is>
      </c>
      <c r="AJ407" t="inlineStr"/>
      <c r="AK407" t="inlineStr"/>
      <c r="AL407" t="inlineStr"/>
      <c r="AM407" t="inlineStr"/>
    </row>
    <row r="408">
      <c r="A408" t="inlineStr">
        <is>
          <t>049598E</t>
        </is>
      </c>
      <c r="B408" t="inlineStr">
        <is>
          <t>Master of Social Policy</t>
        </is>
      </c>
      <c r="C408" t="inlineStr">
        <is>
          <t>Masters Degree (Coursework)</t>
        </is>
      </c>
      <c r="D408" t="inlineStr">
        <is>
          <t>Postgraduate coursework</t>
        </is>
      </c>
      <c r="E408" t="inlineStr">
        <is>
          <t>Advertised: official page in place</t>
        </is>
      </c>
      <c r="F408" t="inlineStr">
        <is>
          <t>https://study.unimelb.edu.au/find/courses/graduate/master-of-social-policy/</t>
        </is>
      </c>
      <c r="G408" t="inlineStr">
        <is>
          <t>https://study.unimelb.edu.au/find/courses/graduate/master-of-social-policy/</t>
        </is>
      </c>
      <c r="H408" t="inlineStr">
        <is>
          <t>Read</t>
        </is>
      </c>
      <c r="I408" t="inlineStr">
        <is>
          <t>CRICOS code on page</t>
        </is>
      </c>
      <c r="J408" t="inlineStr"/>
      <c r="K408" t="inlineStr">
        <is>
          <t>Not sent to re-link</t>
        </is>
      </c>
      <c r="L408" t="inlineStr">
        <is>
          <t>Filled</t>
        </is>
      </c>
      <c r="M408" t="inlineStr">
        <is>
          <t>Filled</t>
        </is>
      </c>
      <c r="N408" t="inlineStr">
        <is>
          <t>52416.00 2027</t>
        </is>
      </c>
      <c r="O408" t="n">
        <v>3</v>
      </c>
      <c r="P408" t="inlineStr">
        <is>
          <t>Other</t>
        </is>
      </c>
      <c r="Q408" t="inlineStr">
        <is>
          <t>Filled</t>
        </is>
      </c>
      <c r="R408" t="n">
        <v>6.5</v>
      </c>
      <c r="S408" t="inlineStr">
        <is>
          <t>University adapter</t>
        </is>
      </c>
      <c r="T408" t="inlineStr">
        <is>
          <t>Level map (Melbourne): not computed per course in this report</t>
        </is>
      </c>
      <c r="U408" t="inlineStr"/>
      <c r="V408" t="inlineStr">
        <is>
          <t>Filled</t>
        </is>
      </c>
      <c r="W408" t="inlineStr">
        <is>
          <t>March, July</t>
        </is>
      </c>
      <c r="X408" t="inlineStr">
        <is>
          <t>University adapter</t>
        </is>
      </c>
      <c r="Y408" t="n">
        <v>0</v>
      </c>
      <c r="Z408" t="inlineStr">
        <is>
          <t>No</t>
        </is>
      </c>
      <c r="AA408" t="inlineStr">
        <is>
          <t>Filled</t>
        </is>
      </c>
      <c r="AB408" t="inlineStr">
        <is>
          <t>on campus</t>
        </is>
      </c>
      <c r="AC408" t="inlineStr"/>
      <c r="AD408" t="n">
        <v>0</v>
      </c>
      <c r="AE408" t="inlineStr"/>
      <c r="AF408" t="inlineStr"/>
      <c r="AG408" t="inlineStr"/>
      <c r="AH408" t="inlineStr"/>
      <c r="AI408" t="inlineStr"/>
      <c r="AJ408" t="inlineStr"/>
      <c r="AK408" t="inlineStr"/>
      <c r="AL408" t="inlineStr"/>
      <c r="AM408" t="inlineStr"/>
    </row>
    <row r="409">
      <c r="A409" t="inlineStr">
        <is>
          <t>061212E</t>
        </is>
      </c>
      <c r="B409" t="inlineStr">
        <is>
          <t>Master of Social Work</t>
        </is>
      </c>
      <c r="C409" t="inlineStr">
        <is>
          <t>Masters Degree (Coursework)</t>
        </is>
      </c>
      <c r="D409" t="inlineStr">
        <is>
          <t>Postgraduate coursework</t>
        </is>
      </c>
      <c r="E409" t="inlineStr">
        <is>
          <t>Advertised: official page in place</t>
        </is>
      </c>
      <c r="F409" t="inlineStr">
        <is>
          <t>https://study.unimelb.edu.au/find/courses/graduate/master-of-social-work/</t>
        </is>
      </c>
      <c r="G409" t="inlineStr">
        <is>
          <t>https://study.unimelb.edu.au/find/courses/graduate/master-of-social-work/</t>
        </is>
      </c>
      <c r="H409" t="inlineStr">
        <is>
          <t>Read</t>
        </is>
      </c>
      <c r="I409" t="inlineStr">
        <is>
          <t>CRICOS code on page</t>
        </is>
      </c>
      <c r="J409" t="inlineStr"/>
      <c r="K409" t="inlineStr">
        <is>
          <t>Not sent to re-link</t>
        </is>
      </c>
      <c r="L409" t="inlineStr">
        <is>
          <t>Filled</t>
        </is>
      </c>
      <c r="M409" t="inlineStr">
        <is>
          <t>Filled</t>
        </is>
      </c>
      <c r="N409" t="inlineStr">
        <is>
          <t>51904.00 2027</t>
        </is>
      </c>
      <c r="O409" t="n">
        <v>3</v>
      </c>
      <c r="P409" t="inlineStr">
        <is>
          <t>Other</t>
        </is>
      </c>
      <c r="Q409" t="inlineStr">
        <is>
          <t>Filled</t>
        </is>
      </c>
      <c r="R409" t="n">
        <v>7</v>
      </c>
      <c r="S409" t="inlineStr">
        <is>
          <t>University adapter</t>
        </is>
      </c>
      <c r="T409" t="inlineStr">
        <is>
          <t>Level map (Melbourne): not computed per course in this report</t>
        </is>
      </c>
      <c r="U409" t="inlineStr"/>
      <c r="V409" t="inlineStr">
        <is>
          <t>Filled</t>
        </is>
      </c>
      <c r="W409" t="inlineStr">
        <is>
          <t>February, August</t>
        </is>
      </c>
      <c r="X409" t="inlineStr">
        <is>
          <t>University adapter</t>
        </is>
      </c>
      <c r="Y409" t="n">
        <v>0</v>
      </c>
      <c r="Z409" t="inlineStr">
        <is>
          <t>No</t>
        </is>
      </c>
      <c r="AA409" t="inlineStr">
        <is>
          <t>Filled</t>
        </is>
      </c>
      <c r="AB409" t="inlineStr">
        <is>
          <t>on campus</t>
        </is>
      </c>
      <c r="AC409" t="inlineStr"/>
      <c r="AD409" t="n">
        <v>0</v>
      </c>
      <c r="AE409" t="inlineStr"/>
      <c r="AF409" t="inlineStr"/>
      <c r="AG409" t="inlineStr"/>
      <c r="AH409" t="inlineStr"/>
      <c r="AI409" t="inlineStr"/>
      <c r="AJ409" t="inlineStr"/>
      <c r="AK409" t="inlineStr"/>
      <c r="AL409" t="inlineStr"/>
      <c r="AM409" t="inlineStr"/>
    </row>
    <row r="410">
      <c r="A410" t="inlineStr">
        <is>
          <t>061213D</t>
        </is>
      </c>
      <c r="B410" t="inlineStr">
        <is>
          <t>Master of Social Work</t>
        </is>
      </c>
      <c r="C410" t="inlineStr">
        <is>
          <t>Masters Degree (Coursework)</t>
        </is>
      </c>
      <c r="D410" t="inlineStr">
        <is>
          <t>Postgraduate coursework</t>
        </is>
      </c>
      <c r="E410" t="inlineStr">
        <is>
          <t>Advertised: official page in place</t>
        </is>
      </c>
      <c r="F410" t="inlineStr">
        <is>
          <t>https://study.unimelb.edu.au/find/courses/graduate/master-of-social-work/</t>
        </is>
      </c>
      <c r="G410" t="inlineStr">
        <is>
          <t>https://study.unimelb.edu.au/find/courses/graduate/master-of-social-work/</t>
        </is>
      </c>
      <c r="H410" t="inlineStr">
        <is>
          <t>Read</t>
        </is>
      </c>
      <c r="I410" t="inlineStr">
        <is>
          <t>Exact title match</t>
        </is>
      </c>
      <c r="J410" t="inlineStr"/>
      <c r="K410" t="inlineStr">
        <is>
          <t>Not sent to re-link</t>
        </is>
      </c>
      <c r="L410" t="inlineStr">
        <is>
          <t>Filled</t>
        </is>
      </c>
      <c r="M410" t="inlineStr">
        <is>
          <t>Filled</t>
        </is>
      </c>
      <c r="N410" t="inlineStr">
        <is>
          <t>61240.00 2026</t>
        </is>
      </c>
      <c r="O410" t="n">
        <v>0</v>
      </c>
      <c r="P410" t="inlineStr">
        <is>
          <t>University adapter</t>
        </is>
      </c>
      <c r="Q410" t="inlineStr">
        <is>
          <t>Filled</t>
        </is>
      </c>
      <c r="R410" t="n">
        <v>7</v>
      </c>
      <c r="S410" t="inlineStr">
        <is>
          <t>University adapter</t>
        </is>
      </c>
      <c r="T410" t="inlineStr">
        <is>
          <t>Level map (Melbourne): not computed per course in this report</t>
        </is>
      </c>
      <c r="U410" t="inlineStr"/>
      <c r="V410" t="inlineStr">
        <is>
          <t>Filled</t>
        </is>
      </c>
      <c r="W410" t="inlineStr">
        <is>
          <t>February, August</t>
        </is>
      </c>
      <c r="X410" t="inlineStr">
        <is>
          <t>Other</t>
        </is>
      </c>
      <c r="Y410" t="n">
        <v>0</v>
      </c>
      <c r="Z410" t="inlineStr">
        <is>
          <t>No</t>
        </is>
      </c>
      <c r="AA410" t="inlineStr">
        <is>
          <t>Filled</t>
        </is>
      </c>
      <c r="AB410" t="inlineStr">
        <is>
          <t>on campus</t>
        </is>
      </c>
      <c r="AC410" t="inlineStr"/>
      <c r="AD410" t="n">
        <v>0</v>
      </c>
      <c r="AE410" t="inlineStr"/>
      <c r="AF410" t="inlineStr"/>
      <c r="AG410" t="inlineStr"/>
      <c r="AH410" t="inlineStr"/>
      <c r="AI410" t="inlineStr"/>
      <c r="AJ410" t="inlineStr"/>
      <c r="AK410" t="inlineStr"/>
      <c r="AL410" t="inlineStr"/>
      <c r="AM410" t="inlineStr"/>
    </row>
    <row r="411">
      <c r="A411" t="inlineStr">
        <is>
          <t>106110B</t>
        </is>
      </c>
      <c r="B411" t="inlineStr">
        <is>
          <t>Master of Software Engineering</t>
        </is>
      </c>
      <c r="C411" t="inlineStr">
        <is>
          <t>Masters Degree (Coursework)</t>
        </is>
      </c>
      <c r="D411" t="inlineStr">
        <is>
          <t>Postgraduate coursework</t>
        </is>
      </c>
      <c r="E411" t="inlineStr">
        <is>
          <t>Advertised: official page in place</t>
        </is>
      </c>
      <c r="F411" t="inlineStr">
        <is>
          <t>https://handbook.unimelb.edu.au/2026/courses/mc-softeng</t>
        </is>
      </c>
      <c r="G411" t="inlineStr">
        <is>
          <t>https://handbook.unimelb.edu.au/2026/courses/mc-softeng</t>
        </is>
      </c>
      <c r="H411" t="inlineStr">
        <is>
          <t>Read</t>
        </is>
      </c>
      <c r="I411" t="inlineStr">
        <is>
          <t>CRICOS code on page</t>
        </is>
      </c>
      <c r="J411" t="inlineStr"/>
      <c r="K411" t="inlineStr">
        <is>
          <t>Not sent to re-link</t>
        </is>
      </c>
      <c r="L411" t="inlineStr">
        <is>
          <t>Filled</t>
        </is>
      </c>
      <c r="M411" t="inlineStr">
        <is>
          <t>Filled</t>
        </is>
      </c>
      <c r="N411" t="inlineStr">
        <is>
          <t>66752.00 2027</t>
        </is>
      </c>
      <c r="O411" t="n">
        <v>2</v>
      </c>
      <c r="P411" t="inlineStr">
        <is>
          <t>Other</t>
        </is>
      </c>
      <c r="Q411" t="inlineStr">
        <is>
          <t>Filled</t>
        </is>
      </c>
      <c r="R411" t="n">
        <v>6.5</v>
      </c>
      <c r="S411" t="inlineStr">
        <is>
          <t>Central English policy</t>
        </is>
      </c>
      <c r="T411" t="inlineStr">
        <is>
          <t>Level map (Melbourne): not computed per course in this report</t>
        </is>
      </c>
      <c r="U411" t="inlineStr"/>
      <c r="V411" t="inlineStr">
        <is>
          <t>Not stated on course page</t>
        </is>
      </c>
      <c r="W411" t="inlineStr"/>
      <c r="X411" t="inlineStr"/>
      <c r="Y411" t="n">
        <v>0</v>
      </c>
      <c r="Z411" t="inlineStr">
        <is>
          <t>No</t>
        </is>
      </c>
      <c r="AA411" t="inlineStr">
        <is>
          <t>Filled</t>
        </is>
      </c>
      <c r="AB411" t="inlineStr">
        <is>
          <t>on campus</t>
        </is>
      </c>
      <c r="AC411" t="inlineStr"/>
      <c r="AD411" t="n">
        <v>0</v>
      </c>
      <c r="AE411" t="inlineStr"/>
      <c r="AF411" t="inlineStr"/>
      <c r="AG411" t="inlineStr"/>
      <c r="AH411" t="inlineStr"/>
      <c r="AI411" t="inlineStr">
        <is>
          <t>Yes</t>
        </is>
      </c>
      <c r="AJ411" t="inlineStr"/>
      <c r="AK411" t="inlineStr"/>
      <c r="AL411" t="inlineStr"/>
      <c r="AM411" t="inlineStr"/>
    </row>
    <row r="412">
      <c r="A412" t="inlineStr">
        <is>
          <t>106111A</t>
        </is>
      </c>
      <c r="B412" t="inlineStr">
        <is>
          <t>Master of Spatial Engineering</t>
        </is>
      </c>
      <c r="C412" t="inlineStr">
        <is>
          <t>Masters Degree (Coursework)</t>
        </is>
      </c>
      <c r="D412" t="inlineStr">
        <is>
          <t>Postgraduate coursework</t>
        </is>
      </c>
      <c r="E412" t="inlineStr">
        <is>
          <t>Advertised: official page in place</t>
        </is>
      </c>
      <c r="F412" t="inlineStr">
        <is>
          <t>https://handbook.unimelb.edu.au/2026/courses/mc-spateng</t>
        </is>
      </c>
      <c r="G412" t="inlineStr">
        <is>
          <t>https://handbook.unimelb.edu.au/2026/courses/mc-spateng</t>
        </is>
      </c>
      <c r="H412" t="inlineStr">
        <is>
          <t>Read</t>
        </is>
      </c>
      <c r="I412" t="inlineStr">
        <is>
          <t>CRICOS code on page</t>
        </is>
      </c>
      <c r="J412" t="inlineStr"/>
      <c r="K412" t="inlineStr">
        <is>
          <t>Not sent to re-link</t>
        </is>
      </c>
      <c r="L412" t="inlineStr">
        <is>
          <t>Filled</t>
        </is>
      </c>
      <c r="M412" t="inlineStr">
        <is>
          <t>Not stated on course page</t>
        </is>
      </c>
      <c r="N412" t="inlineStr"/>
      <c r="O412" t="n">
        <v>0</v>
      </c>
      <c r="P412" t="inlineStr"/>
      <c r="Q412" t="inlineStr">
        <is>
          <t>Filled</t>
        </is>
      </c>
      <c r="R412" t="n">
        <v>6.5</v>
      </c>
      <c r="S412" t="inlineStr">
        <is>
          <t>Central English policy</t>
        </is>
      </c>
      <c r="T412" t="inlineStr">
        <is>
          <t>Level map (Melbourne): not computed per course in this report</t>
        </is>
      </c>
      <c r="U412" t="inlineStr"/>
      <c r="V412" t="inlineStr">
        <is>
          <t>Not stated on course page</t>
        </is>
      </c>
      <c r="W412" t="inlineStr"/>
      <c r="X412" t="inlineStr"/>
      <c r="Y412" t="n">
        <v>0</v>
      </c>
      <c r="Z412" t="inlineStr">
        <is>
          <t>No</t>
        </is>
      </c>
      <c r="AA412" t="inlineStr">
        <is>
          <t>Filled</t>
        </is>
      </c>
      <c r="AB412" t="inlineStr">
        <is>
          <t>on campus</t>
        </is>
      </c>
      <c r="AC412" t="inlineStr"/>
      <c r="AD412" t="n">
        <v>0</v>
      </c>
      <c r="AE412" t="inlineStr"/>
      <c r="AF412" t="inlineStr"/>
      <c r="AG412" t="inlineStr"/>
      <c r="AH412" t="inlineStr"/>
      <c r="AI412" t="inlineStr">
        <is>
          <t>Yes</t>
        </is>
      </c>
      <c r="AJ412" t="inlineStr"/>
      <c r="AK412" t="inlineStr"/>
      <c r="AL412" t="inlineStr"/>
      <c r="AM412" t="inlineStr"/>
    </row>
    <row r="413">
      <c r="A413" t="inlineStr">
        <is>
          <t>073115G</t>
        </is>
      </c>
      <c r="B413" t="inlineStr">
        <is>
          <t>Master of Speech Pathology</t>
        </is>
      </c>
      <c r="C413" t="inlineStr">
        <is>
          <t>Masters Degree (Coursework)</t>
        </is>
      </c>
      <c r="D413" t="inlineStr">
        <is>
          <t>Postgraduate coursework</t>
        </is>
      </c>
      <c r="E413" t="inlineStr">
        <is>
          <t>Advertised: official page in place</t>
        </is>
      </c>
      <c r="F413" t="inlineStr">
        <is>
          <t>https://handbook.unimelb.edu.au/2026/courses/mc-spchpth</t>
        </is>
      </c>
      <c r="G413" t="inlineStr">
        <is>
          <t>https://handbook.unimelb.edu.au/2026/courses/mc-spchpth</t>
        </is>
      </c>
      <c r="H413" t="inlineStr">
        <is>
          <t>Read</t>
        </is>
      </c>
      <c r="I413" t="inlineStr">
        <is>
          <t>CRICOS code on page</t>
        </is>
      </c>
      <c r="J413" t="inlineStr"/>
      <c r="K413" t="inlineStr">
        <is>
          <t>Not sent to re-link</t>
        </is>
      </c>
      <c r="L413" t="inlineStr">
        <is>
          <t>Filled</t>
        </is>
      </c>
      <c r="M413" t="inlineStr">
        <is>
          <t>Filled</t>
        </is>
      </c>
      <c r="N413" t="inlineStr">
        <is>
          <t>74176.00 2027</t>
        </is>
      </c>
      <c r="O413" t="n">
        <v>3</v>
      </c>
      <c r="P413" t="inlineStr">
        <is>
          <t>Other</t>
        </is>
      </c>
      <c r="Q413" t="inlineStr">
        <is>
          <t>Filled</t>
        </is>
      </c>
      <c r="R413" t="n">
        <v>7</v>
      </c>
      <c r="S413" t="inlineStr">
        <is>
          <t>Central English policy</t>
        </is>
      </c>
      <c r="T413" t="inlineStr">
        <is>
          <t>Level map (Melbourne): not computed per course in this report</t>
        </is>
      </c>
      <c r="U413" t="inlineStr"/>
      <c r="V413" t="inlineStr">
        <is>
          <t>Not stated on course page</t>
        </is>
      </c>
      <c r="W413" t="inlineStr"/>
      <c r="X413" t="inlineStr"/>
      <c r="Y413" t="n">
        <v>0</v>
      </c>
      <c r="Z413" t="inlineStr">
        <is>
          <t>No</t>
        </is>
      </c>
      <c r="AA413" t="inlineStr">
        <is>
          <t>Filled</t>
        </is>
      </c>
      <c r="AB413" t="inlineStr">
        <is>
          <t>on campus</t>
        </is>
      </c>
      <c r="AC413" t="inlineStr"/>
      <c r="AD413" t="n">
        <v>0</v>
      </c>
      <c r="AE413" t="inlineStr"/>
      <c r="AF413" t="inlineStr"/>
      <c r="AG413" t="inlineStr"/>
      <c r="AH413" t="inlineStr"/>
      <c r="AI413" t="inlineStr">
        <is>
          <t>Yes</t>
        </is>
      </c>
      <c r="AJ413" t="inlineStr"/>
      <c r="AK413" t="inlineStr"/>
      <c r="AL413" t="inlineStr"/>
      <c r="AM413" t="inlineStr"/>
    </row>
    <row r="414">
      <c r="A414" t="inlineStr">
        <is>
          <t>006666J</t>
        </is>
      </c>
      <c r="B414" t="inlineStr">
        <is>
          <t>Master of Surgery</t>
        </is>
      </c>
      <c r="C414" t="inlineStr">
        <is>
          <t>Masters Degree (Research)</t>
        </is>
      </c>
      <c r="D414" t="inlineStr">
        <is>
          <t>Research degree</t>
        </is>
      </c>
      <c r="E414" t="inlineStr">
        <is>
          <t>Advertised: official page in place</t>
        </is>
      </c>
      <c r="F414" t="inlineStr">
        <is>
          <t>https://handbook.unimelb.edu.au/2026/courses/552aa</t>
        </is>
      </c>
      <c r="G414" t="inlineStr">
        <is>
          <t>https://handbook.unimelb.edu.au/2026/courses/552aa</t>
        </is>
      </c>
      <c r="H414" t="inlineStr">
        <is>
          <t>Read</t>
        </is>
      </c>
      <c r="I414" t="inlineStr">
        <is>
          <t>CRICOS code on page</t>
        </is>
      </c>
      <c r="J414" t="inlineStr"/>
      <c r="K414" t="inlineStr">
        <is>
          <t>Not sent to re-link</t>
        </is>
      </c>
      <c r="L414" t="inlineStr">
        <is>
          <t>Filled</t>
        </is>
      </c>
      <c r="M414" t="inlineStr">
        <is>
          <t>Filled</t>
        </is>
      </c>
      <c r="N414" t="inlineStr">
        <is>
          <t>64640.00 2027</t>
        </is>
      </c>
      <c r="O414" t="n">
        <v>3</v>
      </c>
      <c r="P414" t="inlineStr">
        <is>
          <t>Other</t>
        </is>
      </c>
      <c r="Q414" t="inlineStr">
        <is>
          <t>Not stated on course page</t>
        </is>
      </c>
      <c r="S414" t="inlineStr"/>
      <c r="T414" t="inlineStr">
        <is>
          <t>Level map (Melbourne): not computed per course in this report</t>
        </is>
      </c>
      <c r="U414" t="inlineStr"/>
      <c r="V414" t="inlineStr">
        <is>
          <t>Filled</t>
        </is>
      </c>
      <c r="W414" t="inlineStr">
        <is>
          <t>February, March, October, November</t>
        </is>
      </c>
      <c r="X414" t="inlineStr">
        <is>
          <t>Page reader</t>
        </is>
      </c>
      <c r="Y414" t="n">
        <v>0</v>
      </c>
      <c r="Z414" t="inlineStr">
        <is>
          <t>No</t>
        </is>
      </c>
      <c r="AA414" t="inlineStr">
        <is>
          <t>Filled</t>
        </is>
      </c>
      <c r="AB414" t="inlineStr">
        <is>
          <t>on campus</t>
        </is>
      </c>
      <c r="AC414" t="inlineStr"/>
      <c r="AD414" t="n">
        <v>0</v>
      </c>
      <c r="AE414" t="inlineStr"/>
      <c r="AF414" t="inlineStr"/>
      <c r="AG414" t="inlineStr"/>
      <c r="AH414" t="inlineStr"/>
      <c r="AI414" t="inlineStr"/>
      <c r="AJ414" t="inlineStr"/>
      <c r="AK414" t="inlineStr"/>
      <c r="AL414" t="inlineStr"/>
      <c r="AM414" t="inlineStr"/>
    </row>
    <row r="415">
      <c r="A415" t="inlineStr">
        <is>
          <t>075002M</t>
        </is>
      </c>
      <c r="B415" t="inlineStr">
        <is>
          <t>Master of Tax</t>
        </is>
      </c>
      <c r="C415" t="inlineStr">
        <is>
          <t>Masters Degree (Coursework)</t>
        </is>
      </c>
      <c r="D415" t="inlineStr">
        <is>
          <t>Postgraduate coursework</t>
        </is>
      </c>
      <c r="E415" t="inlineStr">
        <is>
          <t>Advertised: official page in place</t>
        </is>
      </c>
      <c r="F415" t="inlineStr">
        <is>
          <t>https://study.unimelb.edu.au/find/courses/graduate/master-of-tax/</t>
        </is>
      </c>
      <c r="G415" t="inlineStr">
        <is>
          <t>https://study.unimelb.edu.au/find/courses/graduate/master-of-tax/</t>
        </is>
      </c>
      <c r="H415" t="inlineStr">
        <is>
          <t>Read</t>
        </is>
      </c>
      <c r="I415" t="inlineStr">
        <is>
          <t>CRICOS code on page</t>
        </is>
      </c>
      <c r="J415" t="inlineStr"/>
      <c r="K415" t="inlineStr">
        <is>
          <t>Not sent to re-link</t>
        </is>
      </c>
      <c r="L415" t="inlineStr">
        <is>
          <t>Filled</t>
        </is>
      </c>
      <c r="M415" t="inlineStr">
        <is>
          <t>Filled</t>
        </is>
      </c>
      <c r="N415" t="inlineStr">
        <is>
          <t>67072.00 2027</t>
        </is>
      </c>
      <c r="O415" t="n">
        <v>3</v>
      </c>
      <c r="P415" t="inlineStr">
        <is>
          <t>Other</t>
        </is>
      </c>
      <c r="Q415" t="inlineStr">
        <is>
          <t>Filled</t>
        </is>
      </c>
      <c r="R415" t="n">
        <v>6.5</v>
      </c>
      <c r="S415" t="inlineStr">
        <is>
          <t>University adapter</t>
        </is>
      </c>
      <c r="T415" t="inlineStr">
        <is>
          <t>Level map (Melbourne): not computed per course in this report</t>
        </is>
      </c>
      <c r="U415" t="inlineStr"/>
      <c r="V415" t="inlineStr">
        <is>
          <t>Filled</t>
        </is>
      </c>
      <c r="W415" t="inlineStr">
        <is>
          <t>March, July</t>
        </is>
      </c>
      <c r="X415" t="inlineStr">
        <is>
          <t>University adapter</t>
        </is>
      </c>
      <c r="Y415" t="n">
        <v>0</v>
      </c>
      <c r="Z415" t="inlineStr">
        <is>
          <t>No</t>
        </is>
      </c>
      <c r="AA415" t="inlineStr">
        <is>
          <t>Filled</t>
        </is>
      </c>
      <c r="AB415" t="inlineStr">
        <is>
          <t>on campus</t>
        </is>
      </c>
      <c r="AC415" t="inlineStr"/>
      <c r="AD415" t="n">
        <v>0</v>
      </c>
      <c r="AE415" t="inlineStr"/>
      <c r="AF415" t="inlineStr"/>
      <c r="AG415" t="inlineStr"/>
      <c r="AH415" t="inlineStr"/>
      <c r="AI415" t="inlineStr"/>
      <c r="AJ415" t="inlineStr"/>
      <c r="AK415" t="inlineStr"/>
      <c r="AL415" t="inlineStr"/>
      <c r="AM415" t="inlineStr"/>
    </row>
    <row r="416">
      <c r="A416" t="inlineStr">
        <is>
          <t>093002F</t>
        </is>
      </c>
      <c r="B416" t="inlineStr">
        <is>
          <t>Master of Teaching (Early Childhood and Primary)</t>
        </is>
      </c>
      <c r="C416" t="inlineStr">
        <is>
          <t>Masters Degree (Coursework)</t>
        </is>
      </c>
      <c r="D416" t="inlineStr">
        <is>
          <t>Postgraduate coursework</t>
        </is>
      </c>
      <c r="E416" t="inlineStr">
        <is>
          <t>Advertised: official page in place</t>
        </is>
      </c>
      <c r="F416" t="inlineStr">
        <is>
          <t>https://study.unimelb.edu.au/find/courses/graduate/master-of-teaching-early-childhood-and-primary/</t>
        </is>
      </c>
      <c r="G416" t="inlineStr">
        <is>
          <t>https://study.unimelb.edu.au/find/courses/graduate/master-of-teaching-early-childhood-and-primary/</t>
        </is>
      </c>
      <c r="H416" t="inlineStr">
        <is>
          <t>Read</t>
        </is>
      </c>
      <c r="I416" t="inlineStr">
        <is>
          <t>Exact title match</t>
        </is>
      </c>
      <c r="J416" t="inlineStr"/>
      <c r="K416" t="inlineStr">
        <is>
          <t>Not sent to re-link</t>
        </is>
      </c>
      <c r="L416" t="inlineStr">
        <is>
          <t>Filled</t>
        </is>
      </c>
      <c r="M416" t="inlineStr">
        <is>
          <t>Filled</t>
        </is>
      </c>
      <c r="N416" t="inlineStr">
        <is>
          <t>58500.00 2026</t>
        </is>
      </c>
      <c r="O416" t="n">
        <v>0</v>
      </c>
      <c r="P416" t="inlineStr">
        <is>
          <t>University adapter</t>
        </is>
      </c>
      <c r="Q416" t="inlineStr">
        <is>
          <t>Filled</t>
        </is>
      </c>
      <c r="R416" t="n">
        <v>7</v>
      </c>
      <c r="S416" t="inlineStr">
        <is>
          <t>University adapter</t>
        </is>
      </c>
      <c r="T416" t="inlineStr">
        <is>
          <t>Level map (Melbourne): not computed per course in this report</t>
        </is>
      </c>
      <c r="U416" t="inlineStr"/>
      <c r="V416" t="inlineStr">
        <is>
          <t>Filled</t>
        </is>
      </c>
      <c r="W416" t="inlineStr">
        <is>
          <t>February, July</t>
        </is>
      </c>
      <c r="X416" t="inlineStr">
        <is>
          <t>Other</t>
        </is>
      </c>
      <c r="Y416" t="n">
        <v>0</v>
      </c>
      <c r="Z416" t="inlineStr">
        <is>
          <t>No</t>
        </is>
      </c>
      <c r="AA416" t="inlineStr">
        <is>
          <t>Filled</t>
        </is>
      </c>
      <c r="AB416" t="inlineStr">
        <is>
          <t>on campus</t>
        </is>
      </c>
      <c r="AC416" t="inlineStr"/>
      <c r="AD416" t="n">
        <v>0</v>
      </c>
      <c r="AE416" t="inlineStr"/>
      <c r="AF416" t="inlineStr"/>
      <c r="AG416" t="inlineStr"/>
      <c r="AH416" t="inlineStr"/>
      <c r="AI416" t="inlineStr"/>
      <c r="AJ416" t="inlineStr"/>
      <c r="AK416" t="inlineStr"/>
      <c r="AL416" t="inlineStr"/>
      <c r="AM416" t="inlineStr"/>
    </row>
    <row r="417">
      <c r="A417" t="inlineStr">
        <is>
          <t>107556H</t>
        </is>
      </c>
      <c r="B417" t="inlineStr">
        <is>
          <t>Master of Teaching (Early Childhood and Primary)</t>
        </is>
      </c>
      <c r="C417" t="inlineStr">
        <is>
          <t>Masters Degree (Coursework)</t>
        </is>
      </c>
      <c r="D417" t="inlineStr">
        <is>
          <t>Postgraduate coursework</t>
        </is>
      </c>
      <c r="E417" t="inlineStr">
        <is>
          <t>Advertised: official page in place</t>
        </is>
      </c>
      <c r="F417" t="inlineStr">
        <is>
          <t>https://study.unimelb.edu.au/find/courses/graduate/master-of-teaching-early-childhood-and-primary/</t>
        </is>
      </c>
      <c r="G417" t="inlineStr">
        <is>
          <t>https://study.unimelb.edu.au/find/courses/graduate/master-of-teaching-early-childhood-and-primary/</t>
        </is>
      </c>
      <c r="H417" t="inlineStr">
        <is>
          <t>Read</t>
        </is>
      </c>
      <c r="I417" t="inlineStr">
        <is>
          <t>CRICOS code on page</t>
        </is>
      </c>
      <c r="J417" t="inlineStr"/>
      <c r="K417" t="inlineStr">
        <is>
          <t>Not sent to re-link</t>
        </is>
      </c>
      <c r="L417" t="inlineStr">
        <is>
          <t>Filled</t>
        </is>
      </c>
      <c r="M417" t="inlineStr">
        <is>
          <t>Filled</t>
        </is>
      </c>
      <c r="N417" t="inlineStr">
        <is>
          <t>52960.00 2027</t>
        </is>
      </c>
      <c r="O417" t="n">
        <v>3</v>
      </c>
      <c r="P417" t="inlineStr">
        <is>
          <t>Other</t>
        </is>
      </c>
      <c r="Q417" t="inlineStr">
        <is>
          <t>Filled</t>
        </is>
      </c>
      <c r="R417" t="n">
        <v>7</v>
      </c>
      <c r="S417" t="inlineStr">
        <is>
          <t>University adapter</t>
        </is>
      </c>
      <c r="T417" t="inlineStr">
        <is>
          <t>Level map (Melbourne): not computed per course in this report</t>
        </is>
      </c>
      <c r="U417" t="inlineStr"/>
      <c r="V417" t="inlineStr">
        <is>
          <t>Filled</t>
        </is>
      </c>
      <c r="W417" t="inlineStr">
        <is>
          <t>February, July</t>
        </is>
      </c>
      <c r="X417" t="inlineStr">
        <is>
          <t>Other</t>
        </is>
      </c>
      <c r="Y417" t="n">
        <v>0</v>
      </c>
      <c r="Z417" t="inlineStr">
        <is>
          <t>No</t>
        </is>
      </c>
      <c r="AA417" t="inlineStr">
        <is>
          <t>Filled</t>
        </is>
      </c>
      <c r="AB417" t="inlineStr">
        <is>
          <t>on campus</t>
        </is>
      </c>
      <c r="AC417" t="inlineStr"/>
      <c r="AD417" t="n">
        <v>0</v>
      </c>
      <c r="AE417" t="inlineStr"/>
      <c r="AF417" t="inlineStr"/>
      <c r="AG417" t="inlineStr"/>
      <c r="AH417" t="inlineStr"/>
      <c r="AI417" t="inlineStr"/>
      <c r="AJ417" t="inlineStr"/>
      <c r="AK417" t="inlineStr"/>
      <c r="AL417" t="inlineStr"/>
      <c r="AM417" t="inlineStr"/>
    </row>
    <row r="418">
      <c r="A418" t="inlineStr">
        <is>
          <t>093410A</t>
        </is>
      </c>
      <c r="B418" t="inlineStr">
        <is>
          <t>Master of Teaching (Early Childhood)</t>
        </is>
      </c>
      <c r="C418" t="inlineStr">
        <is>
          <t>Masters Degree (Coursework)</t>
        </is>
      </c>
      <c r="D418" t="inlineStr">
        <is>
          <t>Postgraduate coursework</t>
        </is>
      </c>
      <c r="E418" t="inlineStr">
        <is>
          <t>Advertised: official page in place</t>
        </is>
      </c>
      <c r="F418" t="inlineStr">
        <is>
          <t>https://handbook.unimelb.edu.au/2026/courses/mc-teachec</t>
        </is>
      </c>
      <c r="G418" t="inlineStr">
        <is>
          <t>https://handbook.unimelb.edu.au/2026/courses/mc-teachec</t>
        </is>
      </c>
      <c r="H418" t="inlineStr">
        <is>
          <t>Read</t>
        </is>
      </c>
      <c r="I418" t="inlineStr">
        <is>
          <t>CRICOS code on page</t>
        </is>
      </c>
      <c r="J418" t="inlineStr"/>
      <c r="K418" t="inlineStr">
        <is>
          <t>Not sent to re-link</t>
        </is>
      </c>
      <c r="L418" t="inlineStr">
        <is>
          <t>Filled</t>
        </is>
      </c>
      <c r="M418" t="inlineStr">
        <is>
          <t>Filled</t>
        </is>
      </c>
      <c r="N418" t="inlineStr">
        <is>
          <t>52960.00 2027</t>
        </is>
      </c>
      <c r="O418" t="n">
        <v>3</v>
      </c>
      <c r="P418" t="inlineStr">
        <is>
          <t>Other</t>
        </is>
      </c>
      <c r="Q418" t="inlineStr">
        <is>
          <t>Filled</t>
        </is>
      </c>
      <c r="R418" t="n">
        <v>7</v>
      </c>
      <c r="S418" t="inlineStr">
        <is>
          <t>Central English policy</t>
        </is>
      </c>
      <c r="T418" t="inlineStr">
        <is>
          <t>Level map (Melbourne): not computed per course in this report</t>
        </is>
      </c>
      <c r="U418" t="inlineStr"/>
      <c r="V418" t="inlineStr">
        <is>
          <t>Not stated on course page</t>
        </is>
      </c>
      <c r="W418" t="inlineStr"/>
      <c r="X418" t="inlineStr"/>
      <c r="Y418" t="n">
        <v>0</v>
      </c>
      <c r="Z418" t="inlineStr">
        <is>
          <t>No</t>
        </is>
      </c>
      <c r="AA418" t="inlineStr">
        <is>
          <t>Filled</t>
        </is>
      </c>
      <c r="AB418" t="inlineStr">
        <is>
          <t>on campus</t>
        </is>
      </c>
      <c r="AC418" t="inlineStr"/>
      <c r="AD418" t="n">
        <v>0</v>
      </c>
      <c r="AE418" t="inlineStr"/>
      <c r="AF418" t="inlineStr"/>
      <c r="AG418" t="inlineStr"/>
      <c r="AH418" t="inlineStr"/>
      <c r="AI418" t="inlineStr">
        <is>
          <t>Yes</t>
        </is>
      </c>
      <c r="AJ418" t="inlineStr"/>
      <c r="AK418" t="inlineStr"/>
      <c r="AL418" t="inlineStr"/>
      <c r="AM418" t="inlineStr"/>
    </row>
    <row r="419">
      <c r="A419" t="inlineStr">
        <is>
          <t>093411M</t>
        </is>
      </c>
      <c r="B419" t="inlineStr">
        <is>
          <t>Master of Teaching (Primary)</t>
        </is>
      </c>
      <c r="C419" t="inlineStr">
        <is>
          <t>Masters Degree (Coursework)</t>
        </is>
      </c>
      <c r="D419" t="inlineStr">
        <is>
          <t>Postgraduate coursework</t>
        </is>
      </c>
      <c r="E419" t="inlineStr">
        <is>
          <t>Advertised: official page in place</t>
        </is>
      </c>
      <c r="F419" t="inlineStr">
        <is>
          <t>https://handbook.unimelb.edu.au/2026/courses/mc-teachpr</t>
        </is>
      </c>
      <c r="G419" t="inlineStr">
        <is>
          <t>https://handbook.unimelb.edu.au/2026/courses/mc-teachpr</t>
        </is>
      </c>
      <c r="H419" t="inlineStr">
        <is>
          <t>Read</t>
        </is>
      </c>
      <c r="I419" t="inlineStr">
        <is>
          <t>CRICOS code on page</t>
        </is>
      </c>
      <c r="J419" t="inlineStr"/>
      <c r="K419" t="inlineStr">
        <is>
          <t>Not sent to re-link</t>
        </is>
      </c>
      <c r="L419" t="inlineStr">
        <is>
          <t>Filled</t>
        </is>
      </c>
      <c r="M419" t="inlineStr">
        <is>
          <t>Filled</t>
        </is>
      </c>
      <c r="N419" t="inlineStr">
        <is>
          <t>52960.00 2027</t>
        </is>
      </c>
      <c r="O419" t="n">
        <v>3</v>
      </c>
      <c r="P419" t="inlineStr">
        <is>
          <t>Other</t>
        </is>
      </c>
      <c r="Q419" t="inlineStr">
        <is>
          <t>Not stated on course page</t>
        </is>
      </c>
      <c r="S419" t="inlineStr"/>
      <c r="T419" t="inlineStr">
        <is>
          <t>Level map (Melbourne): not computed per course in this report</t>
        </is>
      </c>
      <c r="U419" t="inlineStr"/>
      <c r="V419" t="inlineStr">
        <is>
          <t>Not stated on course page</t>
        </is>
      </c>
      <c r="W419" t="inlineStr"/>
      <c r="X419" t="inlineStr"/>
      <c r="Y419" t="n">
        <v>0</v>
      </c>
      <c r="Z419" t="inlineStr">
        <is>
          <t>No</t>
        </is>
      </c>
      <c r="AA419" t="inlineStr">
        <is>
          <t>Filled</t>
        </is>
      </c>
      <c r="AB419" t="inlineStr">
        <is>
          <t>on campus</t>
        </is>
      </c>
      <c r="AC419" t="inlineStr"/>
      <c r="AD419" t="n">
        <v>0</v>
      </c>
      <c r="AE419" t="inlineStr"/>
      <c r="AF419" t="inlineStr"/>
      <c r="AG419" t="inlineStr"/>
      <c r="AH419" t="inlineStr"/>
      <c r="AI419" t="inlineStr">
        <is>
          <t>Yes</t>
        </is>
      </c>
      <c r="AJ419" t="inlineStr"/>
      <c r="AK419" t="inlineStr"/>
      <c r="AL419" t="inlineStr"/>
      <c r="AM419" t="inlineStr"/>
    </row>
    <row r="420">
      <c r="A420" t="inlineStr">
        <is>
          <t>093406G</t>
        </is>
      </c>
      <c r="B420" t="inlineStr">
        <is>
          <t>Master of Teaching (Secondary)</t>
        </is>
      </c>
      <c r="C420" t="inlineStr">
        <is>
          <t>Masters Degree (Coursework)</t>
        </is>
      </c>
      <c r="D420" t="inlineStr">
        <is>
          <t>Postgraduate coursework</t>
        </is>
      </c>
      <c r="E420" t="inlineStr">
        <is>
          <t>Advertised: official page in place</t>
        </is>
      </c>
      <c r="F420" t="inlineStr">
        <is>
          <t>https://handbook.unimelb.edu.au/2026/courses/mc-teachsa</t>
        </is>
      </c>
      <c r="G420" t="inlineStr">
        <is>
          <t>https://handbook.unimelb.edu.au/2026/courses/mc-teachsa</t>
        </is>
      </c>
      <c r="H420" t="inlineStr">
        <is>
          <t>Read</t>
        </is>
      </c>
      <c r="I420" t="inlineStr">
        <is>
          <t>CRICOS code on page</t>
        </is>
      </c>
      <c r="J420" t="inlineStr"/>
      <c r="K420" t="inlineStr">
        <is>
          <t>Not sent to re-link</t>
        </is>
      </c>
      <c r="L420" t="inlineStr">
        <is>
          <t>Filled</t>
        </is>
      </c>
      <c r="M420" t="inlineStr">
        <is>
          <t>Filled</t>
        </is>
      </c>
      <c r="N420" t="inlineStr">
        <is>
          <t>52960.00 2027</t>
        </is>
      </c>
      <c r="O420" t="n">
        <v>3</v>
      </c>
      <c r="P420" t="inlineStr">
        <is>
          <t>Other</t>
        </is>
      </c>
      <c r="Q420" t="inlineStr">
        <is>
          <t>Not stated on course page</t>
        </is>
      </c>
      <c r="S420" t="inlineStr"/>
      <c r="T420" t="inlineStr">
        <is>
          <t>Level map (Melbourne): not computed per course in this report</t>
        </is>
      </c>
      <c r="U420" t="inlineStr"/>
      <c r="V420" t="inlineStr">
        <is>
          <t>Waiting for Layer 4 review</t>
        </is>
      </c>
      <c r="W420" t="inlineStr"/>
      <c r="X420" t="inlineStr"/>
      <c r="Y420" t="n">
        <v>0</v>
      </c>
      <c r="Z420" t="inlineStr">
        <is>
          <t>No</t>
        </is>
      </c>
      <c r="AA420" t="inlineStr">
        <is>
          <t>Filled</t>
        </is>
      </c>
      <c r="AB420" t="inlineStr">
        <is>
          <t>on campus</t>
        </is>
      </c>
      <c r="AC420" t="inlineStr"/>
      <c r="AD420" t="n">
        <v>0</v>
      </c>
      <c r="AE420" t="inlineStr"/>
      <c r="AF420" t="inlineStr">
        <is>
          <t>Yes</t>
        </is>
      </c>
      <c r="AG420" t="inlineStr"/>
      <c r="AH420" t="inlineStr"/>
      <c r="AI420" t="inlineStr">
        <is>
          <t>Yes</t>
        </is>
      </c>
      <c r="AJ420" t="inlineStr"/>
      <c r="AK420" t="inlineStr"/>
      <c r="AL420" t="inlineStr"/>
      <c r="AM420" t="inlineStr"/>
    </row>
    <row r="421">
      <c r="A421" t="inlineStr">
        <is>
          <t>027900G</t>
        </is>
      </c>
      <c r="B421" t="inlineStr">
        <is>
          <t>Master of Telecommunications Engineering</t>
        </is>
      </c>
      <c r="C421" t="inlineStr">
        <is>
          <t>Masters Degree (Coursework)</t>
        </is>
      </c>
      <c r="D421" t="inlineStr">
        <is>
          <t>Postgraduate coursework</t>
        </is>
      </c>
      <c r="E421" t="inlineStr">
        <is>
          <t>Advertised: official page in place</t>
        </is>
      </c>
      <c r="F421" t="inlineStr">
        <is>
          <t>https://handbook.unimelb.edu.au/2021/courses/364aa</t>
        </is>
      </c>
      <c r="G421" t="inlineStr">
        <is>
          <t>https://handbook.unimelb.edu.au/2026/courses/364aa</t>
        </is>
      </c>
      <c r="H421" t="inlineStr">
        <is>
          <t>Needs a rendered read</t>
        </is>
      </c>
      <c r="I421" t="inlineStr"/>
      <c r="J421" t="inlineStr"/>
      <c r="K421" t="inlineStr">
        <is>
          <t>Finished, no page: no address from the university's address forms or stored lis</t>
        </is>
      </c>
      <c r="L421" t="inlineStr">
        <is>
          <t>Filled</t>
        </is>
      </c>
      <c r="M421" t="inlineStr">
        <is>
          <t>Not stated on course page</t>
        </is>
      </c>
      <c r="N421" t="inlineStr"/>
      <c r="O421" t="n">
        <v>0</v>
      </c>
      <c r="P421" t="inlineStr"/>
      <c r="Q421" t="inlineStr">
        <is>
          <t>Not stated on course page</t>
        </is>
      </c>
      <c r="S421" t="inlineStr"/>
      <c r="T421" t="inlineStr">
        <is>
          <t>Level map (Melbourne): not computed per course in this report</t>
        </is>
      </c>
      <c r="U421" t="inlineStr"/>
      <c r="V421" t="inlineStr">
        <is>
          <t>Not stated on course page</t>
        </is>
      </c>
      <c r="W421" t="inlineStr"/>
      <c r="X421" t="inlineStr"/>
      <c r="Y421" t="n">
        <v>0</v>
      </c>
      <c r="Z421" t="inlineStr">
        <is>
          <t>No</t>
        </is>
      </c>
      <c r="AA421" t="inlineStr">
        <is>
          <t>Filled</t>
        </is>
      </c>
      <c r="AB421" t="inlineStr">
        <is>
          <t>on campus</t>
        </is>
      </c>
      <c r="AC421" t="inlineStr"/>
      <c r="AD421" t="n">
        <v>0</v>
      </c>
      <c r="AE421" t="inlineStr">
        <is>
          <t>Yes</t>
        </is>
      </c>
      <c r="AF421" t="inlineStr"/>
      <c r="AG421" t="inlineStr"/>
      <c r="AH421" t="inlineStr"/>
      <c r="AI421" t="inlineStr">
        <is>
          <t>Yes</t>
        </is>
      </c>
      <c r="AJ421" t="inlineStr"/>
      <c r="AK421" t="inlineStr"/>
      <c r="AL421" t="inlineStr"/>
      <c r="AM421" t="inlineStr"/>
    </row>
    <row r="422">
      <c r="A422" t="inlineStr">
        <is>
          <t>095992B</t>
        </is>
      </c>
      <c r="B422" t="inlineStr">
        <is>
          <t>Master of TESOL</t>
        </is>
      </c>
      <c r="C422" t="inlineStr">
        <is>
          <t>Masters Degree (Coursework)</t>
        </is>
      </c>
      <c r="D422" t="inlineStr">
        <is>
          <t>Postgraduate coursework</t>
        </is>
      </c>
      <c r="E422" t="inlineStr">
        <is>
          <t>Advertised: official page in place</t>
        </is>
      </c>
      <c r="F422" t="inlineStr">
        <is>
          <t>https://handbook.unimelb.edu.au/2026/courses/mc-tesol</t>
        </is>
      </c>
      <c r="G422" t="inlineStr">
        <is>
          <t>https://handbook.unimelb.edu.au/2026/courses/mc-tesol</t>
        </is>
      </c>
      <c r="H422" t="inlineStr">
        <is>
          <t>Read</t>
        </is>
      </c>
      <c r="I422" t="inlineStr">
        <is>
          <t>CRICOS code on page</t>
        </is>
      </c>
      <c r="J422" t="inlineStr"/>
      <c r="K422" t="inlineStr">
        <is>
          <t>Not sent to re-link</t>
        </is>
      </c>
      <c r="L422" t="inlineStr">
        <is>
          <t>Filled</t>
        </is>
      </c>
      <c r="M422" t="inlineStr">
        <is>
          <t>Filled</t>
        </is>
      </c>
      <c r="N422" t="inlineStr">
        <is>
          <t>52960.00 2027</t>
        </is>
      </c>
      <c r="O422" t="n">
        <v>3</v>
      </c>
      <c r="P422" t="inlineStr">
        <is>
          <t>Other</t>
        </is>
      </c>
      <c r="Q422" t="inlineStr">
        <is>
          <t>Filled</t>
        </is>
      </c>
      <c r="R422" t="n">
        <v>6.5</v>
      </c>
      <c r="S422" t="inlineStr">
        <is>
          <t>Central English policy</t>
        </is>
      </c>
      <c r="T422" t="inlineStr">
        <is>
          <t>Level map (Melbourne): not computed per course in this report</t>
        </is>
      </c>
      <c r="U422" t="inlineStr"/>
      <c r="V422" t="inlineStr">
        <is>
          <t>Not stated on course page</t>
        </is>
      </c>
      <c r="W422" t="inlineStr"/>
      <c r="X422" t="inlineStr"/>
      <c r="Y422" t="n">
        <v>0</v>
      </c>
      <c r="Z422" t="inlineStr">
        <is>
          <t>No</t>
        </is>
      </c>
      <c r="AA422" t="inlineStr">
        <is>
          <t>Filled</t>
        </is>
      </c>
      <c r="AB422" t="inlineStr">
        <is>
          <t>on campus</t>
        </is>
      </c>
      <c r="AC422" t="inlineStr"/>
      <c r="AD422" t="n">
        <v>0</v>
      </c>
      <c r="AE422" t="inlineStr"/>
      <c r="AF422" t="inlineStr"/>
      <c r="AG422" t="inlineStr"/>
      <c r="AH422" t="inlineStr"/>
      <c r="AI422" t="inlineStr">
        <is>
          <t>Yes</t>
        </is>
      </c>
      <c r="AJ422" t="inlineStr"/>
      <c r="AK422" t="inlineStr"/>
      <c r="AL422" t="inlineStr"/>
      <c r="AM422" t="inlineStr"/>
    </row>
    <row r="423">
      <c r="A423" t="inlineStr">
        <is>
          <t>120886C</t>
        </is>
      </c>
      <c r="B423" t="inlineStr">
        <is>
          <t>Master of Theatre</t>
        </is>
      </c>
      <c r="C423" t="inlineStr">
        <is>
          <t>Masters Degree (Coursework)</t>
        </is>
      </c>
      <c r="D423" t="inlineStr">
        <is>
          <t>Postgraduate coursework</t>
        </is>
      </c>
      <c r="E423" t="inlineStr">
        <is>
          <t>Advertised: official page in place</t>
        </is>
      </c>
      <c r="F423" t="inlineStr">
        <is>
          <t>https://handbook.unimelb.edu.au/2026/courses/mc-thtr</t>
        </is>
      </c>
      <c r="G423" t="inlineStr">
        <is>
          <t>https://handbook.unimelb.edu.au/2026/courses/mc-thtr</t>
        </is>
      </c>
      <c r="H423" t="inlineStr">
        <is>
          <t>Read</t>
        </is>
      </c>
      <c r="I423" t="inlineStr">
        <is>
          <t>CRICOS code on page</t>
        </is>
      </c>
      <c r="J423" t="inlineStr"/>
      <c r="K423" t="inlineStr">
        <is>
          <t>Not sent to re-link</t>
        </is>
      </c>
      <c r="L423" t="inlineStr">
        <is>
          <t>Filled</t>
        </is>
      </c>
      <c r="M423" t="inlineStr">
        <is>
          <t>Not stated on course page</t>
        </is>
      </c>
      <c r="N423" t="inlineStr"/>
      <c r="O423" t="n">
        <v>0</v>
      </c>
      <c r="P423" t="inlineStr"/>
      <c r="Q423" t="inlineStr">
        <is>
          <t>Filled</t>
        </is>
      </c>
      <c r="R423" t="n">
        <v>6.5</v>
      </c>
      <c r="S423" t="inlineStr">
        <is>
          <t>Central English policy</t>
        </is>
      </c>
      <c r="T423" t="inlineStr">
        <is>
          <t>Level map (Melbourne): not computed per course in this report</t>
        </is>
      </c>
      <c r="U423" t="inlineStr"/>
      <c r="V423" t="inlineStr">
        <is>
          <t>Not stated on course page</t>
        </is>
      </c>
      <c r="W423" t="inlineStr"/>
      <c r="X423" t="inlineStr"/>
      <c r="Y423" t="n">
        <v>0</v>
      </c>
      <c r="Z423" t="inlineStr">
        <is>
          <t>No</t>
        </is>
      </c>
      <c r="AA423" t="inlineStr">
        <is>
          <t>Filled</t>
        </is>
      </c>
      <c r="AB423" t="inlineStr">
        <is>
          <t>on campus</t>
        </is>
      </c>
      <c r="AC423" t="inlineStr"/>
      <c r="AD423" t="n">
        <v>0</v>
      </c>
      <c r="AE423" t="inlineStr"/>
      <c r="AF423" t="inlineStr"/>
      <c r="AG423" t="inlineStr"/>
      <c r="AH423" t="inlineStr"/>
      <c r="AI423" t="inlineStr">
        <is>
          <t>Yes</t>
        </is>
      </c>
      <c r="AJ423" t="inlineStr"/>
      <c r="AK423" t="inlineStr"/>
      <c r="AL423" t="inlineStr"/>
      <c r="AM423" t="inlineStr"/>
    </row>
    <row r="424">
      <c r="A424" t="inlineStr">
        <is>
          <t>085432F</t>
        </is>
      </c>
      <c r="B424" t="inlineStr">
        <is>
          <t>Master of Theatre (Directing)</t>
        </is>
      </c>
      <c r="C424" t="inlineStr">
        <is>
          <t>Masters Degree (Coursework)</t>
        </is>
      </c>
      <c r="D424" t="inlineStr">
        <is>
          <t>Postgraduate coursework</t>
        </is>
      </c>
      <c r="E424" t="inlineStr">
        <is>
          <t>Advertised: official page in place</t>
        </is>
      </c>
      <c r="F424" t="inlineStr">
        <is>
          <t>https://handbook.unimelb.edu.au/2026/courses/mc-thtrdir</t>
        </is>
      </c>
      <c r="G424" t="inlineStr">
        <is>
          <t>https://handbook.unimelb.edu.au/2026/courses/mc-thtrdir</t>
        </is>
      </c>
      <c r="H424" t="inlineStr">
        <is>
          <t>Read</t>
        </is>
      </c>
      <c r="I424" t="inlineStr">
        <is>
          <t>CRICOS code on page</t>
        </is>
      </c>
      <c r="J424" t="inlineStr"/>
      <c r="K424" t="inlineStr">
        <is>
          <t>Not sent to re-link</t>
        </is>
      </c>
      <c r="L424" t="inlineStr">
        <is>
          <t>Filled</t>
        </is>
      </c>
      <c r="M424" t="inlineStr">
        <is>
          <t>Filled</t>
        </is>
      </c>
      <c r="N424" t="inlineStr">
        <is>
          <t>50720.00 2027</t>
        </is>
      </c>
      <c r="O424" t="n">
        <v>3</v>
      </c>
      <c r="P424" t="inlineStr">
        <is>
          <t>Other</t>
        </is>
      </c>
      <c r="Q424" t="inlineStr">
        <is>
          <t>Filled</t>
        </is>
      </c>
      <c r="R424" t="n">
        <v>6.5</v>
      </c>
      <c r="S424" t="inlineStr">
        <is>
          <t>Central English policy</t>
        </is>
      </c>
      <c r="T424" t="inlineStr">
        <is>
          <t>Level map (Melbourne): not computed per course in this report</t>
        </is>
      </c>
      <c r="U424" t="inlineStr"/>
      <c r="V424" t="inlineStr">
        <is>
          <t>Not stated on course page</t>
        </is>
      </c>
      <c r="W424" t="inlineStr"/>
      <c r="X424" t="inlineStr"/>
      <c r="Y424" t="n">
        <v>0</v>
      </c>
      <c r="Z424" t="inlineStr">
        <is>
          <t>No</t>
        </is>
      </c>
      <c r="AA424" t="inlineStr">
        <is>
          <t>Filled</t>
        </is>
      </c>
      <c r="AB424" t="inlineStr">
        <is>
          <t>on campus</t>
        </is>
      </c>
      <c r="AC424" t="inlineStr"/>
      <c r="AD424" t="n">
        <v>0</v>
      </c>
      <c r="AE424" t="inlineStr"/>
      <c r="AF424" t="inlineStr"/>
      <c r="AG424" t="inlineStr"/>
      <c r="AH424" t="inlineStr"/>
      <c r="AI424" t="inlineStr">
        <is>
          <t>Yes</t>
        </is>
      </c>
      <c r="AJ424" t="inlineStr"/>
      <c r="AK424" t="inlineStr"/>
      <c r="AL424" t="inlineStr"/>
      <c r="AM424" t="inlineStr"/>
    </row>
    <row r="425">
      <c r="A425" t="inlineStr">
        <is>
          <t>085431G</t>
        </is>
      </c>
      <c r="B425" t="inlineStr">
        <is>
          <t>Master of Theatre (Dramaturgy)</t>
        </is>
      </c>
      <c r="C425" t="inlineStr">
        <is>
          <t>Masters Degree (Coursework)</t>
        </is>
      </c>
      <c r="D425" t="inlineStr">
        <is>
          <t>Postgraduate coursework</t>
        </is>
      </c>
      <c r="E425" t="inlineStr">
        <is>
          <t>Advertised: official page in place</t>
        </is>
      </c>
      <c r="F425" t="inlineStr">
        <is>
          <t>https://handbook.unimelb.edu.au/2026/courses/mc-thtrdra</t>
        </is>
      </c>
      <c r="G425" t="inlineStr">
        <is>
          <t>https://handbook.unimelb.edu.au/2026/courses/mc-thtrdra</t>
        </is>
      </c>
      <c r="H425" t="inlineStr">
        <is>
          <t>Read</t>
        </is>
      </c>
      <c r="I425" t="inlineStr">
        <is>
          <t>CRICOS code on page</t>
        </is>
      </c>
      <c r="J425" t="inlineStr"/>
      <c r="K425" t="inlineStr">
        <is>
          <t>Not sent to re-link</t>
        </is>
      </c>
      <c r="L425" t="inlineStr">
        <is>
          <t>Filled</t>
        </is>
      </c>
      <c r="M425" t="inlineStr">
        <is>
          <t>Filled</t>
        </is>
      </c>
      <c r="N425" t="inlineStr">
        <is>
          <t>50720.00 2027</t>
        </is>
      </c>
      <c r="O425" t="n">
        <v>3</v>
      </c>
      <c r="P425" t="inlineStr">
        <is>
          <t>Other</t>
        </is>
      </c>
      <c r="Q425" t="inlineStr">
        <is>
          <t>Not stated on course page</t>
        </is>
      </c>
      <c r="S425" t="inlineStr"/>
      <c r="T425" t="inlineStr">
        <is>
          <t>Level map (Melbourne): not computed per course in this report</t>
        </is>
      </c>
      <c r="U425" t="inlineStr"/>
      <c r="V425" t="inlineStr">
        <is>
          <t>Waiting for Layer 4 review</t>
        </is>
      </c>
      <c r="W425" t="inlineStr"/>
      <c r="X425" t="inlineStr"/>
      <c r="Y425" t="n">
        <v>0</v>
      </c>
      <c r="Z425" t="inlineStr">
        <is>
          <t>No</t>
        </is>
      </c>
      <c r="AA425" t="inlineStr">
        <is>
          <t>Filled</t>
        </is>
      </c>
      <c r="AB425" t="inlineStr">
        <is>
          <t>on campus</t>
        </is>
      </c>
      <c r="AC425" t="inlineStr"/>
      <c r="AD425" t="n">
        <v>0</v>
      </c>
      <c r="AE425" t="inlineStr"/>
      <c r="AF425" t="inlineStr">
        <is>
          <t>Yes</t>
        </is>
      </c>
      <c r="AG425" t="inlineStr"/>
      <c r="AH425" t="inlineStr"/>
      <c r="AI425" t="inlineStr">
        <is>
          <t>Yes</t>
        </is>
      </c>
      <c r="AJ425" t="inlineStr"/>
      <c r="AK425" t="inlineStr"/>
      <c r="AL425" t="inlineStr"/>
      <c r="AM425" t="inlineStr"/>
    </row>
    <row r="426">
      <c r="A426" t="inlineStr">
        <is>
          <t>0100967</t>
        </is>
      </c>
      <c r="B426" t="inlineStr">
        <is>
          <t>Master of Theatre (Voice)</t>
        </is>
      </c>
      <c r="C426" t="inlineStr">
        <is>
          <t>Masters Degree (Coursework)</t>
        </is>
      </c>
      <c r="D426" t="inlineStr">
        <is>
          <t>Postgraduate coursework</t>
        </is>
      </c>
      <c r="E426" t="inlineStr">
        <is>
          <t>Advertised: official page in place</t>
        </is>
      </c>
      <c r="F426" t="inlineStr">
        <is>
          <t>https://handbook.unimelb.edu.au/2020/courses/mc-thtrvoc</t>
        </is>
      </c>
      <c r="G426" t="inlineStr">
        <is>
          <t>https://handbook.unimelb.edu.au/2026/courses/mc-thtrvoc</t>
        </is>
      </c>
      <c r="H426" t="inlineStr">
        <is>
          <t>Needs a rendered read</t>
        </is>
      </c>
      <c r="I426" t="inlineStr"/>
      <c r="J426" t="inlineStr"/>
      <c r="K426" t="inlineStr">
        <is>
          <t>Finished, no page: no address from the university's address forms or stored lis</t>
        </is>
      </c>
      <c r="L426" t="inlineStr">
        <is>
          <t>Filled</t>
        </is>
      </c>
      <c r="M426" t="inlineStr">
        <is>
          <t>Not stated on course page</t>
        </is>
      </c>
      <c r="N426" t="inlineStr"/>
      <c r="O426" t="n">
        <v>0</v>
      </c>
      <c r="P426" t="inlineStr"/>
      <c r="Q426" t="inlineStr">
        <is>
          <t>Not stated on course page</t>
        </is>
      </c>
      <c r="S426" t="inlineStr"/>
      <c r="T426" t="inlineStr">
        <is>
          <t>Level map (Melbourne): not computed per course in this report</t>
        </is>
      </c>
      <c r="U426" t="inlineStr"/>
      <c r="V426" t="inlineStr">
        <is>
          <t>Not stated on course page</t>
        </is>
      </c>
      <c r="W426" t="inlineStr"/>
      <c r="X426" t="inlineStr"/>
      <c r="Y426" t="n">
        <v>0</v>
      </c>
      <c r="Z426" t="inlineStr">
        <is>
          <t>No</t>
        </is>
      </c>
      <c r="AA426" t="inlineStr">
        <is>
          <t>Filled</t>
        </is>
      </c>
      <c r="AB426" t="inlineStr">
        <is>
          <t>on campus</t>
        </is>
      </c>
      <c r="AC426" t="inlineStr"/>
      <c r="AD426" t="n">
        <v>0</v>
      </c>
      <c r="AE426" t="inlineStr">
        <is>
          <t>Yes</t>
        </is>
      </c>
      <c r="AF426" t="inlineStr"/>
      <c r="AG426" t="inlineStr"/>
      <c r="AH426" t="inlineStr"/>
      <c r="AI426" t="inlineStr">
        <is>
          <t>Yes</t>
        </is>
      </c>
      <c r="AJ426" t="inlineStr"/>
      <c r="AK426" t="inlineStr"/>
      <c r="AL426" t="inlineStr"/>
      <c r="AM426" t="inlineStr"/>
    </row>
    <row r="427">
      <c r="A427" t="inlineStr">
        <is>
          <t>075502B</t>
        </is>
      </c>
      <c r="B427" t="inlineStr">
        <is>
          <t>Master of Theatre (Writing)</t>
        </is>
      </c>
      <c r="C427" t="inlineStr">
        <is>
          <t>Masters Degree (Coursework)</t>
        </is>
      </c>
      <c r="D427" t="inlineStr">
        <is>
          <t>Postgraduate coursework</t>
        </is>
      </c>
      <c r="E427" t="inlineStr">
        <is>
          <t>Advertised: official page in place</t>
        </is>
      </c>
      <c r="F427" t="inlineStr">
        <is>
          <t>https://handbook.unimelb.edu.au/2026/courses/mc-thtrwri</t>
        </is>
      </c>
      <c r="G427" t="inlineStr">
        <is>
          <t>https://handbook.unimelb.edu.au/2026/courses/mc-thtrwri</t>
        </is>
      </c>
      <c r="H427" t="inlineStr">
        <is>
          <t>Read</t>
        </is>
      </c>
      <c r="I427" t="inlineStr">
        <is>
          <t>CRICOS code on page</t>
        </is>
      </c>
      <c r="J427" t="inlineStr"/>
      <c r="K427" t="inlineStr">
        <is>
          <t>Not sent to re-link</t>
        </is>
      </c>
      <c r="L427" t="inlineStr">
        <is>
          <t>Filled</t>
        </is>
      </c>
      <c r="M427" t="inlineStr">
        <is>
          <t>Filled</t>
        </is>
      </c>
      <c r="N427" t="inlineStr">
        <is>
          <t>50720.00 2027</t>
        </is>
      </c>
      <c r="O427" t="n">
        <v>3</v>
      </c>
      <c r="P427" t="inlineStr">
        <is>
          <t>Other</t>
        </is>
      </c>
      <c r="Q427" t="inlineStr">
        <is>
          <t>Filled</t>
        </is>
      </c>
      <c r="R427" t="n">
        <v>6.5</v>
      </c>
      <c r="S427" t="inlineStr">
        <is>
          <t>Central English policy</t>
        </is>
      </c>
      <c r="T427" t="inlineStr">
        <is>
          <t>Level map (Melbourne): not computed per course in this report</t>
        </is>
      </c>
      <c r="U427" t="inlineStr"/>
      <c r="V427" t="inlineStr">
        <is>
          <t>Waiting for Layer 4 review</t>
        </is>
      </c>
      <c r="W427" t="inlineStr"/>
      <c r="X427" t="inlineStr"/>
      <c r="Y427" t="n">
        <v>0</v>
      </c>
      <c r="Z427" t="inlineStr">
        <is>
          <t>No</t>
        </is>
      </c>
      <c r="AA427" t="inlineStr">
        <is>
          <t>Filled</t>
        </is>
      </c>
      <c r="AB427" t="inlineStr">
        <is>
          <t>on campus</t>
        </is>
      </c>
      <c r="AC427" t="inlineStr"/>
      <c r="AD427" t="n">
        <v>0</v>
      </c>
      <c r="AE427" t="inlineStr"/>
      <c r="AF427" t="inlineStr">
        <is>
          <t>Yes</t>
        </is>
      </c>
      <c r="AG427" t="inlineStr"/>
      <c r="AH427" t="inlineStr"/>
      <c r="AI427" t="inlineStr">
        <is>
          <t>Yes</t>
        </is>
      </c>
      <c r="AJ427" t="inlineStr"/>
      <c r="AK427" t="inlineStr"/>
      <c r="AL427" t="inlineStr"/>
      <c r="AM427" t="inlineStr"/>
    </row>
    <row r="428">
      <c r="A428" t="inlineStr">
        <is>
          <t>103338F</t>
        </is>
      </c>
      <c r="B428" t="inlineStr">
        <is>
          <t>Master of Translation and Interpreting</t>
        </is>
      </c>
      <c r="C428" t="inlineStr">
        <is>
          <t>Masters Degree (Coursework)</t>
        </is>
      </c>
      <c r="D428" t="inlineStr">
        <is>
          <t>Postgraduate coursework</t>
        </is>
      </c>
      <c r="E428" t="inlineStr">
        <is>
          <t>Advertised: official page in place</t>
        </is>
      </c>
      <c r="F428" t="inlineStr">
        <is>
          <t>https://handbook.unimelb.edu.au/2026/courses/mc-tranint</t>
        </is>
      </c>
      <c r="G428" t="inlineStr">
        <is>
          <t>https://handbook.unimelb.edu.au/2026/courses/mc-tranint</t>
        </is>
      </c>
      <c r="H428" t="inlineStr">
        <is>
          <t>Read</t>
        </is>
      </c>
      <c r="I428" t="inlineStr">
        <is>
          <t>CRICOS code on page</t>
        </is>
      </c>
      <c r="J428" t="inlineStr"/>
      <c r="K428" t="inlineStr">
        <is>
          <t>Not sent to re-link</t>
        </is>
      </c>
      <c r="L428" t="inlineStr">
        <is>
          <t>Filled</t>
        </is>
      </c>
      <c r="M428" t="inlineStr">
        <is>
          <t>Filled</t>
        </is>
      </c>
      <c r="N428" t="inlineStr">
        <is>
          <t>52416.00 2027</t>
        </is>
      </c>
      <c r="O428" t="n">
        <v>3</v>
      </c>
      <c r="P428" t="inlineStr">
        <is>
          <t>Other</t>
        </is>
      </c>
      <c r="Q428" t="inlineStr">
        <is>
          <t>Filled</t>
        </is>
      </c>
      <c r="R428" t="n">
        <v>6.5</v>
      </c>
      <c r="S428" t="inlineStr">
        <is>
          <t>Central English policy</t>
        </is>
      </c>
      <c r="T428" t="inlineStr">
        <is>
          <t>Level map (Melbourne): not computed per course in this report</t>
        </is>
      </c>
      <c r="U428" t="inlineStr"/>
      <c r="V428" t="inlineStr">
        <is>
          <t>Not stated on course page</t>
        </is>
      </c>
      <c r="W428" t="inlineStr"/>
      <c r="X428" t="inlineStr"/>
      <c r="Y428" t="n">
        <v>0</v>
      </c>
      <c r="Z428" t="inlineStr">
        <is>
          <t>No</t>
        </is>
      </c>
      <c r="AA428" t="inlineStr">
        <is>
          <t>Filled</t>
        </is>
      </c>
      <c r="AB428" t="inlineStr">
        <is>
          <t>on campus</t>
        </is>
      </c>
      <c r="AC428" t="inlineStr"/>
      <c r="AD428" t="n">
        <v>0</v>
      </c>
      <c r="AE428" t="inlineStr"/>
      <c r="AF428" t="inlineStr"/>
      <c r="AG428" t="inlineStr"/>
      <c r="AH428" t="inlineStr"/>
      <c r="AI428" t="inlineStr">
        <is>
          <t>Yes</t>
        </is>
      </c>
      <c r="AJ428" t="inlineStr"/>
      <c r="AK428" t="inlineStr"/>
      <c r="AL428" t="inlineStr"/>
      <c r="AM428" t="inlineStr"/>
    </row>
    <row r="429">
      <c r="A429" t="inlineStr">
        <is>
          <t>075506J</t>
        </is>
      </c>
      <c r="B429" t="inlineStr">
        <is>
          <t>Master of Transnational Arts</t>
        </is>
      </c>
      <c r="C429" t="inlineStr">
        <is>
          <t>Masters Degree (Coursework)</t>
        </is>
      </c>
      <c r="D429" t="inlineStr">
        <is>
          <t>Postgraduate coursework</t>
        </is>
      </c>
      <c r="E429" t="inlineStr">
        <is>
          <t>Advertised: official page in place</t>
        </is>
      </c>
      <c r="F429" t="inlineStr">
        <is>
          <t>https://handbook.unimelb.edu.au/2017/courses/mc-tranart</t>
        </is>
      </c>
      <c r="G429" t="inlineStr">
        <is>
          <t>https://handbook.unimelb.edu.au/2026/courses/mc-tranart</t>
        </is>
      </c>
      <c r="H429" t="inlineStr">
        <is>
          <t>Needs a rendered read</t>
        </is>
      </c>
      <c r="I429" t="inlineStr"/>
      <c r="J429" t="inlineStr"/>
      <c r="K429" t="inlineStr">
        <is>
          <t>Finished, no page: no address from the university's address forms or stored lis</t>
        </is>
      </c>
      <c r="L429" t="inlineStr">
        <is>
          <t>Filled</t>
        </is>
      </c>
      <c r="M429" t="inlineStr">
        <is>
          <t>Not stated on course page</t>
        </is>
      </c>
      <c r="N429" t="inlineStr"/>
      <c r="O429" t="n">
        <v>0</v>
      </c>
      <c r="P429" t="inlineStr"/>
      <c r="Q429" t="inlineStr">
        <is>
          <t>Not stated on course page</t>
        </is>
      </c>
      <c r="S429" t="inlineStr"/>
      <c r="T429" t="inlineStr">
        <is>
          <t>Level map (Melbourne): not computed per course in this report</t>
        </is>
      </c>
      <c r="U429" t="inlineStr"/>
      <c r="V429" t="inlineStr">
        <is>
          <t>Not stated on course page</t>
        </is>
      </c>
      <c r="W429" t="inlineStr"/>
      <c r="X429" t="inlineStr"/>
      <c r="Y429" t="n">
        <v>0</v>
      </c>
      <c r="Z429" t="inlineStr">
        <is>
          <t>No</t>
        </is>
      </c>
      <c r="AA429" t="inlineStr">
        <is>
          <t>Filled</t>
        </is>
      </c>
      <c r="AB429" t="inlineStr">
        <is>
          <t>on campus</t>
        </is>
      </c>
      <c r="AC429" t="inlineStr"/>
      <c r="AD429" t="n">
        <v>0</v>
      </c>
      <c r="AE429" t="inlineStr">
        <is>
          <t>Yes</t>
        </is>
      </c>
      <c r="AF429" t="inlineStr"/>
      <c r="AG429" t="inlineStr"/>
      <c r="AH429" t="inlineStr"/>
      <c r="AI429" t="inlineStr">
        <is>
          <t>Yes</t>
        </is>
      </c>
      <c r="AJ429" t="inlineStr"/>
      <c r="AK429" t="inlineStr"/>
      <c r="AL429" t="inlineStr"/>
      <c r="AM429" t="inlineStr"/>
    </row>
    <row r="430">
      <c r="A430" t="inlineStr">
        <is>
          <t>082253M</t>
        </is>
      </c>
      <c r="B430" t="inlineStr">
        <is>
          <t>Master of Urban and Cultural Heritage</t>
        </is>
      </c>
      <c r="C430" t="inlineStr">
        <is>
          <t>Masters Degree (Coursework)</t>
        </is>
      </c>
      <c r="D430" t="inlineStr">
        <is>
          <t>Postgraduate coursework</t>
        </is>
      </c>
      <c r="E430" t="inlineStr">
        <is>
          <t>Advertised: official page in place</t>
        </is>
      </c>
      <c r="F430" t="inlineStr">
        <is>
          <t>https://study.unimelb.edu.au/find/courses/graduate/master-of-urban-and-cultural-heritage/</t>
        </is>
      </c>
      <c r="G430" t="inlineStr">
        <is>
          <t>https://study.unimelb.edu.au/find/courses/graduate/master-of-urban-and-cultural-heritage/</t>
        </is>
      </c>
      <c r="H430" t="inlineStr">
        <is>
          <t>Read</t>
        </is>
      </c>
      <c r="I430" t="inlineStr">
        <is>
          <t>CRICOS code on page</t>
        </is>
      </c>
      <c r="J430" t="inlineStr"/>
      <c r="K430" t="inlineStr">
        <is>
          <t>Not sent to re-link</t>
        </is>
      </c>
      <c r="L430" t="inlineStr">
        <is>
          <t>Filled</t>
        </is>
      </c>
      <c r="M430" t="inlineStr">
        <is>
          <t>Filled</t>
        </is>
      </c>
      <c r="N430" t="inlineStr">
        <is>
          <t>59840.00 2027</t>
        </is>
      </c>
      <c r="O430" t="n">
        <v>3</v>
      </c>
      <c r="P430" t="inlineStr">
        <is>
          <t>Other</t>
        </is>
      </c>
      <c r="Q430" t="inlineStr">
        <is>
          <t>Filled</t>
        </is>
      </c>
      <c r="R430" t="n">
        <v>6.5</v>
      </c>
      <c r="S430" t="inlineStr">
        <is>
          <t>University adapter</t>
        </is>
      </c>
      <c r="T430" t="inlineStr">
        <is>
          <t>Level map (Melbourne): not computed per course in this report</t>
        </is>
      </c>
      <c r="U430" t="inlineStr"/>
      <c r="V430" t="inlineStr">
        <is>
          <t>Filled</t>
        </is>
      </c>
      <c r="W430" t="inlineStr">
        <is>
          <t>March, July</t>
        </is>
      </c>
      <c r="X430" t="inlineStr">
        <is>
          <t>University adapter</t>
        </is>
      </c>
      <c r="Y430" t="n">
        <v>0</v>
      </c>
      <c r="Z430" t="inlineStr">
        <is>
          <t>No</t>
        </is>
      </c>
      <c r="AA430" t="inlineStr">
        <is>
          <t>Filled</t>
        </is>
      </c>
      <c r="AB430" t="inlineStr">
        <is>
          <t>on campus</t>
        </is>
      </c>
      <c r="AC430" t="inlineStr"/>
      <c r="AD430" t="n">
        <v>0</v>
      </c>
      <c r="AE430" t="inlineStr"/>
      <c r="AF430" t="inlineStr"/>
      <c r="AG430" t="inlineStr"/>
      <c r="AH430" t="inlineStr"/>
      <c r="AI430" t="inlineStr"/>
      <c r="AJ430" t="inlineStr"/>
      <c r="AK430" t="inlineStr"/>
      <c r="AL430" t="inlineStr"/>
      <c r="AM430" t="inlineStr"/>
    </row>
    <row r="431">
      <c r="A431" t="inlineStr">
        <is>
          <t>072812A</t>
        </is>
      </c>
      <c r="B431" t="inlineStr">
        <is>
          <t>Master of Urban Design</t>
        </is>
      </c>
      <c r="C431" t="inlineStr">
        <is>
          <t>Masters Degree (Coursework)</t>
        </is>
      </c>
      <c r="D431" t="inlineStr">
        <is>
          <t>Postgraduate coursework</t>
        </is>
      </c>
      <c r="E431" t="inlineStr">
        <is>
          <t>Advertised: official page in place</t>
        </is>
      </c>
      <c r="F431" t="inlineStr">
        <is>
          <t>https://handbook.unimelb.edu.au/2026/courses/mc-urbdes</t>
        </is>
      </c>
      <c r="G431" t="inlineStr">
        <is>
          <t>https://handbook.unimelb.edu.au/2026/courses/mc-urbdes</t>
        </is>
      </c>
      <c r="H431" t="inlineStr">
        <is>
          <t>Read</t>
        </is>
      </c>
      <c r="I431" t="inlineStr">
        <is>
          <t>CRICOS code on page</t>
        </is>
      </c>
      <c r="J431" t="inlineStr"/>
      <c r="K431" t="inlineStr">
        <is>
          <t>Not sent to re-link</t>
        </is>
      </c>
      <c r="L431" t="inlineStr">
        <is>
          <t>Filled</t>
        </is>
      </c>
      <c r="M431" t="inlineStr">
        <is>
          <t>Filled</t>
        </is>
      </c>
      <c r="N431" t="inlineStr">
        <is>
          <t>59840.00 2027</t>
        </is>
      </c>
      <c r="O431" t="n">
        <v>3</v>
      </c>
      <c r="P431" t="inlineStr">
        <is>
          <t>Other</t>
        </is>
      </c>
      <c r="Q431" t="inlineStr">
        <is>
          <t>Filled</t>
        </is>
      </c>
      <c r="R431" t="n">
        <v>6.5</v>
      </c>
      <c r="S431" t="inlineStr">
        <is>
          <t>Central English policy</t>
        </is>
      </c>
      <c r="T431" t="inlineStr">
        <is>
          <t>Level map (Melbourne): not computed per course in this report</t>
        </is>
      </c>
      <c r="U431" t="inlineStr"/>
      <c r="V431" t="inlineStr">
        <is>
          <t>Not stated on course page</t>
        </is>
      </c>
      <c r="W431" t="inlineStr"/>
      <c r="X431" t="inlineStr"/>
      <c r="Y431" t="n">
        <v>0</v>
      </c>
      <c r="Z431" t="inlineStr">
        <is>
          <t>No</t>
        </is>
      </c>
      <c r="AA431" t="inlineStr">
        <is>
          <t>Filled</t>
        </is>
      </c>
      <c r="AB431" t="inlineStr">
        <is>
          <t>on campus</t>
        </is>
      </c>
      <c r="AC431" t="inlineStr"/>
      <c r="AD431" t="n">
        <v>0</v>
      </c>
      <c r="AE431" t="inlineStr"/>
      <c r="AF431" t="inlineStr"/>
      <c r="AG431" t="inlineStr"/>
      <c r="AH431" t="inlineStr"/>
      <c r="AI431" t="inlineStr">
        <is>
          <t>Yes</t>
        </is>
      </c>
      <c r="AJ431" t="inlineStr"/>
      <c r="AK431" t="inlineStr"/>
      <c r="AL431" t="inlineStr"/>
      <c r="AM431" t="inlineStr"/>
    </row>
    <row r="432">
      <c r="A432" t="inlineStr">
        <is>
          <t>061121G</t>
        </is>
      </c>
      <c r="B432" t="inlineStr">
        <is>
          <t>Master of Urban Horticulture</t>
        </is>
      </c>
      <c r="C432" t="inlineStr">
        <is>
          <t>Masters Degree (Coursework)</t>
        </is>
      </c>
      <c r="D432" t="inlineStr">
        <is>
          <t>Postgraduate coursework</t>
        </is>
      </c>
      <c r="E432" t="inlineStr">
        <is>
          <t>Advertised: official page in place</t>
        </is>
      </c>
      <c r="F432" t="inlineStr">
        <is>
          <t>https://study.unimelb.edu.au/find/courses/graduate/master-of-urban-horticulture/</t>
        </is>
      </c>
      <c r="G432" t="inlineStr">
        <is>
          <t>https://study.unimelb.edu.au/find/courses/graduate/master-of-urban-horticulture/</t>
        </is>
      </c>
      <c r="H432" t="inlineStr">
        <is>
          <t>Read</t>
        </is>
      </c>
      <c r="I432" t="inlineStr">
        <is>
          <t>CRICOS code on page</t>
        </is>
      </c>
      <c r="J432" t="inlineStr"/>
      <c r="K432" t="inlineStr">
        <is>
          <t>Not sent to re-link</t>
        </is>
      </c>
      <c r="L432" t="inlineStr">
        <is>
          <t>Filled</t>
        </is>
      </c>
      <c r="M432" t="inlineStr">
        <is>
          <t>Filled</t>
        </is>
      </c>
      <c r="N432" t="inlineStr">
        <is>
          <t>62496.00 2027</t>
        </is>
      </c>
      <c r="O432" t="n">
        <v>3</v>
      </c>
      <c r="P432" t="inlineStr">
        <is>
          <t>Other</t>
        </is>
      </c>
      <c r="Q432" t="inlineStr">
        <is>
          <t>Filled</t>
        </is>
      </c>
      <c r="R432" t="n">
        <v>6.5</v>
      </c>
      <c r="S432" t="inlineStr">
        <is>
          <t>University adapter</t>
        </is>
      </c>
      <c r="T432" t="inlineStr">
        <is>
          <t>Level map (Melbourne): not computed per course in this report</t>
        </is>
      </c>
      <c r="U432" t="inlineStr"/>
      <c r="V432" t="inlineStr">
        <is>
          <t>Filled</t>
        </is>
      </c>
      <c r="W432" t="inlineStr">
        <is>
          <t>March, July</t>
        </is>
      </c>
      <c r="X432" t="inlineStr">
        <is>
          <t>University adapter</t>
        </is>
      </c>
      <c r="Y432" t="n">
        <v>0</v>
      </c>
      <c r="Z432" t="inlineStr">
        <is>
          <t>No</t>
        </is>
      </c>
      <c r="AA432" t="inlineStr">
        <is>
          <t>Filled</t>
        </is>
      </c>
      <c r="AB432" t="inlineStr">
        <is>
          <t>on campus</t>
        </is>
      </c>
      <c r="AC432" t="inlineStr"/>
      <c r="AD432" t="n">
        <v>0</v>
      </c>
      <c r="AE432" t="inlineStr"/>
      <c r="AF432" t="inlineStr"/>
      <c r="AG432" t="inlineStr"/>
      <c r="AH432" t="inlineStr"/>
      <c r="AI432" t="inlineStr"/>
      <c r="AJ432" t="inlineStr"/>
      <c r="AK432" t="inlineStr"/>
      <c r="AL432" t="inlineStr"/>
      <c r="AM432" t="inlineStr"/>
    </row>
    <row r="433">
      <c r="A433" t="inlineStr">
        <is>
          <t>002524M</t>
        </is>
      </c>
      <c r="B433" t="inlineStr">
        <is>
          <t>Master of Urban Planning</t>
        </is>
      </c>
      <c r="C433" t="inlineStr">
        <is>
          <t>Masters Degree (Coursework)</t>
        </is>
      </c>
      <c r="D433" t="inlineStr">
        <is>
          <t>Postgraduate coursework</t>
        </is>
      </c>
      <c r="E433" t="inlineStr">
        <is>
          <t>Advertised: official page in place</t>
        </is>
      </c>
      <c r="F433" t="inlineStr">
        <is>
          <t>https://handbook.unimelb.edu.au/2026/courses/mc-urpl</t>
        </is>
      </c>
      <c r="G433" t="inlineStr">
        <is>
          <t>https://handbook.unimelb.edu.au/2026/courses/mc-urpl</t>
        </is>
      </c>
      <c r="H433" t="inlineStr">
        <is>
          <t>Read</t>
        </is>
      </c>
      <c r="I433" t="inlineStr">
        <is>
          <t>CRICOS code on page</t>
        </is>
      </c>
      <c r="J433" t="inlineStr"/>
      <c r="K433" t="inlineStr">
        <is>
          <t>Not sent to re-link</t>
        </is>
      </c>
      <c r="L433" t="inlineStr">
        <is>
          <t>Filled</t>
        </is>
      </c>
      <c r="M433" t="inlineStr">
        <is>
          <t>Filled</t>
        </is>
      </c>
      <c r="N433" t="inlineStr">
        <is>
          <t>59840.00 2027</t>
        </is>
      </c>
      <c r="O433" t="n">
        <v>3</v>
      </c>
      <c r="P433" t="inlineStr">
        <is>
          <t>Other</t>
        </is>
      </c>
      <c r="Q433" t="inlineStr">
        <is>
          <t>Filled</t>
        </is>
      </c>
      <c r="R433" t="n">
        <v>6.5</v>
      </c>
      <c r="S433" t="inlineStr">
        <is>
          <t>Central English policy</t>
        </is>
      </c>
      <c r="T433" t="inlineStr">
        <is>
          <t>Level map (Melbourne): not computed per course in this report</t>
        </is>
      </c>
      <c r="U433" t="inlineStr"/>
      <c r="V433" t="inlineStr">
        <is>
          <t>Not stated on course page</t>
        </is>
      </c>
      <c r="W433" t="inlineStr"/>
      <c r="X433" t="inlineStr"/>
      <c r="Y433" t="n">
        <v>0</v>
      </c>
      <c r="Z433" t="inlineStr">
        <is>
          <t>No</t>
        </is>
      </c>
      <c r="AA433" t="inlineStr">
        <is>
          <t>Filled</t>
        </is>
      </c>
      <c r="AB433" t="inlineStr">
        <is>
          <t>on campus</t>
        </is>
      </c>
      <c r="AC433" t="inlineStr"/>
      <c r="AD433" t="n">
        <v>0</v>
      </c>
      <c r="AE433" t="inlineStr"/>
      <c r="AF433" t="inlineStr"/>
      <c r="AG433" t="inlineStr"/>
      <c r="AH433" t="inlineStr"/>
      <c r="AI433" t="inlineStr">
        <is>
          <t>Yes</t>
        </is>
      </c>
      <c r="AJ433" t="inlineStr"/>
      <c r="AK433" t="inlineStr"/>
      <c r="AL433" t="inlineStr"/>
      <c r="AM433" t="inlineStr"/>
    </row>
    <row r="434">
      <c r="A434" t="inlineStr">
        <is>
          <t>105519G</t>
        </is>
      </c>
      <c r="B434" t="inlineStr">
        <is>
          <t>Master of Urban Planning / Master of Urban Design</t>
        </is>
      </c>
      <c r="C434" t="inlineStr">
        <is>
          <t>Masters Degree (Coursework)</t>
        </is>
      </c>
      <c r="D434" t="inlineStr">
        <is>
          <t>Postgraduate coursework</t>
        </is>
      </c>
      <c r="E434" t="inlineStr">
        <is>
          <t>Advertised: official page in place</t>
        </is>
      </c>
      <c r="F434" t="inlineStr">
        <is>
          <t>https://handbook.unimelb.edu.au/2026/courses/mc-upud</t>
        </is>
      </c>
      <c r="G434" t="inlineStr">
        <is>
          <t>https://handbook.unimelb.edu.au/2026/courses/mc-upud</t>
        </is>
      </c>
      <c r="H434" t="inlineStr">
        <is>
          <t>Read</t>
        </is>
      </c>
      <c r="I434" t="inlineStr">
        <is>
          <t>CRICOS code on page</t>
        </is>
      </c>
      <c r="J434" t="inlineStr"/>
      <c r="K434" t="inlineStr">
        <is>
          <t>Not sent to re-link</t>
        </is>
      </c>
      <c r="L434" t="inlineStr">
        <is>
          <t>Filled</t>
        </is>
      </c>
      <c r="M434" t="inlineStr">
        <is>
          <t>Filled</t>
        </is>
      </c>
      <c r="N434" t="inlineStr">
        <is>
          <t>59840.00 2027</t>
        </is>
      </c>
      <c r="O434" t="n">
        <v>3</v>
      </c>
      <c r="P434" t="inlineStr">
        <is>
          <t>Other</t>
        </is>
      </c>
      <c r="Q434" t="inlineStr">
        <is>
          <t>Filled</t>
        </is>
      </c>
      <c r="R434" t="n">
        <v>6.5</v>
      </c>
      <c r="S434" t="inlineStr">
        <is>
          <t>Central English policy</t>
        </is>
      </c>
      <c r="T434" t="inlineStr">
        <is>
          <t>Level map (Melbourne): not computed per course in this report</t>
        </is>
      </c>
      <c r="U434" t="inlineStr"/>
      <c r="V434" t="inlineStr">
        <is>
          <t>Not stated on course page</t>
        </is>
      </c>
      <c r="W434" t="inlineStr"/>
      <c r="X434" t="inlineStr"/>
      <c r="Y434" t="n">
        <v>0</v>
      </c>
      <c r="Z434" t="inlineStr">
        <is>
          <t>No</t>
        </is>
      </c>
      <c r="AA434" t="inlineStr">
        <is>
          <t>Filled</t>
        </is>
      </c>
      <c r="AB434" t="inlineStr">
        <is>
          <t>on campus</t>
        </is>
      </c>
      <c r="AC434" t="inlineStr"/>
      <c r="AD434" t="n">
        <v>0</v>
      </c>
      <c r="AE434" t="inlineStr"/>
      <c r="AF434" t="inlineStr"/>
      <c r="AG434" t="inlineStr"/>
      <c r="AH434" t="inlineStr"/>
      <c r="AI434" t="inlineStr">
        <is>
          <t>Yes</t>
        </is>
      </c>
      <c r="AJ434" t="inlineStr"/>
      <c r="AK434" t="inlineStr"/>
      <c r="AL434" t="inlineStr"/>
      <c r="AM434" t="inlineStr"/>
    </row>
    <row r="435">
      <c r="A435" t="inlineStr">
        <is>
          <t>094124K</t>
        </is>
      </c>
      <c r="B435" t="inlineStr">
        <is>
          <t>Study Abroad - Research (Fee Band 1)</t>
        </is>
      </c>
      <c r="C435" t="inlineStr">
        <is>
          <t>Non AQF Award</t>
        </is>
      </c>
      <c r="D435" t="inlineStr">
        <is>
          <t>Non-award</t>
        </is>
      </c>
      <c r="E435" t="inlineStr">
        <is>
          <t>Advertised: official page in place</t>
        </is>
      </c>
      <c r="F435" t="inlineStr">
        <is>
          <t>https://study.unimelb.edu.au/how-to-apply/international-exchange-and-study-abroad/fees-and-costs</t>
        </is>
      </c>
      <c r="G435" t="inlineStr">
        <is>
          <t>https://study.unimelb.edu.au/how-to-apply/international-exchange-and-study-abroad/fees-and-costs</t>
        </is>
      </c>
      <c r="H435" t="inlineStr">
        <is>
          <t>Read</t>
        </is>
      </c>
      <c r="I435" t="inlineStr">
        <is>
          <t>CRICOS code on page</t>
        </is>
      </c>
      <c r="J435" t="inlineStr"/>
      <c r="K435" t="inlineStr">
        <is>
          <t>Not sent to re-link</t>
        </is>
      </c>
      <c r="L435" t="inlineStr">
        <is>
          <t>Filled</t>
        </is>
      </c>
      <c r="M435" t="inlineStr">
        <is>
          <t>Not stated on course page</t>
        </is>
      </c>
      <c r="N435" t="inlineStr"/>
      <c r="O435" t="n">
        <v>0</v>
      </c>
      <c r="P435" t="inlineStr"/>
      <c r="Q435" t="inlineStr">
        <is>
          <t>Not stated on course page</t>
        </is>
      </c>
      <c r="S435" t="inlineStr"/>
      <c r="T435" t="inlineStr">
        <is>
          <t>Level map (Melbourne): not computed per course in this report</t>
        </is>
      </c>
      <c r="U435" t="inlineStr"/>
      <c r="V435" t="inlineStr">
        <is>
          <t>Filled</t>
        </is>
      </c>
      <c r="W435" t="inlineStr">
        <is>
          <t>January, July</t>
        </is>
      </c>
      <c r="X435" t="inlineStr">
        <is>
          <t>Page reader</t>
        </is>
      </c>
      <c r="Y435" t="n">
        <v>0</v>
      </c>
      <c r="Z435" t="inlineStr">
        <is>
          <t>No</t>
        </is>
      </c>
      <c r="AA435" t="inlineStr">
        <is>
          <t>Not stated on course page</t>
        </is>
      </c>
      <c r="AB435" t="inlineStr"/>
      <c r="AC435" t="inlineStr">
        <is>
          <t>Skipped: the page does not state it</t>
        </is>
      </c>
      <c r="AD435" t="n">
        <v>0</v>
      </c>
      <c r="AE435" t="inlineStr"/>
      <c r="AF435" t="inlineStr"/>
      <c r="AG435" t="inlineStr"/>
      <c r="AH435" t="inlineStr"/>
      <c r="AI435" t="inlineStr"/>
      <c r="AJ435" t="inlineStr"/>
      <c r="AK435" t="inlineStr"/>
      <c r="AL435" t="inlineStr"/>
      <c r="AM435" t="inlineStr"/>
    </row>
    <row r="436">
      <c r="A436" t="inlineStr">
        <is>
          <t>094125J</t>
        </is>
      </c>
      <c r="B436" t="inlineStr">
        <is>
          <t>Study Abroad - Research (Fee Band 2)</t>
        </is>
      </c>
      <c r="C436" t="inlineStr">
        <is>
          <t>Non AQF Award</t>
        </is>
      </c>
      <c r="D436" t="inlineStr">
        <is>
          <t>Non-award</t>
        </is>
      </c>
      <c r="E436" t="inlineStr">
        <is>
          <t>Advertised: official page in place</t>
        </is>
      </c>
      <c r="F436" t="inlineStr">
        <is>
          <t>https://study.unimelb.edu.au/how-to-apply/international-exchange-and-study-abroad/fees-and-costs</t>
        </is>
      </c>
      <c r="G436" t="inlineStr">
        <is>
          <t>https://study.unimelb.edu.au/how-to-apply/international-exchange-and-study-abroad/fees-and-costs</t>
        </is>
      </c>
      <c r="H436" t="inlineStr">
        <is>
          <t>Read</t>
        </is>
      </c>
      <c r="I436" t="inlineStr">
        <is>
          <t>CRICOS code on page</t>
        </is>
      </c>
      <c r="J436" t="inlineStr"/>
      <c r="K436" t="inlineStr">
        <is>
          <t>Not sent to re-link</t>
        </is>
      </c>
      <c r="L436" t="inlineStr">
        <is>
          <t>Filled</t>
        </is>
      </c>
      <c r="M436" t="inlineStr">
        <is>
          <t>Not stated on course page</t>
        </is>
      </c>
      <c r="N436" t="inlineStr"/>
      <c r="O436" t="n">
        <v>0</v>
      </c>
      <c r="P436" t="inlineStr"/>
      <c r="Q436" t="inlineStr">
        <is>
          <t>Not stated on course page</t>
        </is>
      </c>
      <c r="S436" t="inlineStr"/>
      <c r="T436" t="inlineStr">
        <is>
          <t>Level map (Melbourne): not computed per course in this report</t>
        </is>
      </c>
      <c r="U436" t="inlineStr"/>
      <c r="V436" t="inlineStr">
        <is>
          <t>Filled</t>
        </is>
      </c>
      <c r="W436" t="inlineStr">
        <is>
          <t>February, July</t>
        </is>
      </c>
      <c r="X436" t="inlineStr">
        <is>
          <t>Page reader</t>
        </is>
      </c>
      <c r="Y436" t="n">
        <v>0</v>
      </c>
      <c r="Z436" t="inlineStr">
        <is>
          <t>No</t>
        </is>
      </c>
      <c r="AA436" t="inlineStr">
        <is>
          <t>Not stated on course page</t>
        </is>
      </c>
      <c r="AB436" t="inlineStr"/>
      <c r="AC436" t="inlineStr">
        <is>
          <t>Skipped: the page does not state it</t>
        </is>
      </c>
      <c r="AD436" t="n">
        <v>0</v>
      </c>
      <c r="AE436" t="inlineStr"/>
      <c r="AF436" t="inlineStr"/>
      <c r="AG436" t="inlineStr"/>
      <c r="AH436" t="inlineStr"/>
      <c r="AI436" t="inlineStr"/>
      <c r="AJ436" t="inlineStr"/>
      <c r="AK436" t="inlineStr"/>
      <c r="AL436" t="inlineStr"/>
      <c r="AM436" t="inlineStr"/>
    </row>
    <row r="437">
      <c r="A437" t="inlineStr">
        <is>
          <t>094126G</t>
        </is>
      </c>
      <c r="B437" t="inlineStr">
        <is>
          <t>Study Abroad - Research (Fee Band 3)</t>
        </is>
      </c>
      <c r="C437" t="inlineStr">
        <is>
          <t>Non AQF Award</t>
        </is>
      </c>
      <c r="D437" t="inlineStr">
        <is>
          <t>Non-award</t>
        </is>
      </c>
      <c r="E437" t="inlineStr">
        <is>
          <t>Advertised: official page in place</t>
        </is>
      </c>
      <c r="F437" t="inlineStr">
        <is>
          <t>https://study.unimelb.edu.au/how-to-apply/international-exchange-and-study-abroad/fees-and-costs</t>
        </is>
      </c>
      <c r="G437" t="inlineStr">
        <is>
          <t>https://study.unimelb.edu.au/how-to-apply/international-exchange-and-study-abroad/fees-and-costs</t>
        </is>
      </c>
      <c r="H437" t="inlineStr">
        <is>
          <t>Read</t>
        </is>
      </c>
      <c r="I437" t="inlineStr">
        <is>
          <t>CRICOS code on page</t>
        </is>
      </c>
      <c r="J437" t="inlineStr"/>
      <c r="K437" t="inlineStr">
        <is>
          <t>Not sent to re-link</t>
        </is>
      </c>
      <c r="L437" t="inlineStr">
        <is>
          <t>Filled</t>
        </is>
      </c>
      <c r="M437" t="inlineStr">
        <is>
          <t>Not stated on course page</t>
        </is>
      </c>
      <c r="N437" t="inlineStr"/>
      <c r="O437" t="n">
        <v>0</v>
      </c>
      <c r="P437" t="inlineStr"/>
      <c r="Q437" t="inlineStr">
        <is>
          <t>Not stated on course page</t>
        </is>
      </c>
      <c r="S437" t="inlineStr"/>
      <c r="T437" t="inlineStr">
        <is>
          <t>Level map (Melbourne): not computed per course in this report</t>
        </is>
      </c>
      <c r="U437" t="inlineStr"/>
      <c r="V437" t="inlineStr">
        <is>
          <t>Filled</t>
        </is>
      </c>
      <c r="W437" t="inlineStr">
        <is>
          <t>January, July</t>
        </is>
      </c>
      <c r="X437" t="inlineStr">
        <is>
          <t>Page reader</t>
        </is>
      </c>
      <c r="Y437" t="n">
        <v>0</v>
      </c>
      <c r="Z437" t="inlineStr">
        <is>
          <t>No</t>
        </is>
      </c>
      <c r="AA437" t="inlineStr">
        <is>
          <t>Not stated on course page</t>
        </is>
      </c>
      <c r="AB437" t="inlineStr"/>
      <c r="AC437" t="inlineStr">
        <is>
          <t>Skipped: the page does not state it</t>
        </is>
      </c>
      <c r="AD437" t="n">
        <v>0</v>
      </c>
      <c r="AE437" t="inlineStr"/>
      <c r="AF437" t="inlineStr"/>
      <c r="AG437" t="inlineStr"/>
      <c r="AH437" t="inlineStr"/>
      <c r="AI437" t="inlineStr"/>
      <c r="AJ437" t="inlineStr"/>
      <c r="AK437" t="inlineStr"/>
      <c r="AL437" t="inlineStr"/>
      <c r="AM437" t="inlineStr"/>
    </row>
    <row r="438">
      <c r="A438" t="inlineStr">
        <is>
          <t>045530B</t>
        </is>
      </c>
      <c r="B438" t="inlineStr">
        <is>
          <t>Study Abroad (Postgraduate 1)</t>
        </is>
      </c>
      <c r="C438" t="inlineStr">
        <is>
          <t>Non AQF Award</t>
        </is>
      </c>
      <c r="D438" t="inlineStr">
        <is>
          <t>Non-award</t>
        </is>
      </c>
      <c r="E438" t="inlineStr">
        <is>
          <t>Held: page found is for another course</t>
        </is>
      </c>
      <c r="F438" t="inlineStr"/>
      <c r="G438" t="inlineStr">
        <is>
          <t>https://study.unimelb.edu.au/how-to-apply/international-exchange-and-study-abroad/program-options</t>
        </is>
      </c>
      <c r="H438" t="inlineStr">
        <is>
          <t>Page is for another course</t>
        </is>
      </c>
      <c r="I438" t="inlineStr"/>
      <c r="J438" t="inlineStr"/>
      <c r="K438" t="inlineStr">
        <is>
          <t>Finished, no page: no address from the university's address forms or stored lis</t>
        </is>
      </c>
      <c r="L438" t="inlineStr">
        <is>
          <t>Searching for course page</t>
        </is>
      </c>
      <c r="M438" t="inlineStr">
        <is>
          <t>Searching for course page</t>
        </is>
      </c>
      <c r="N438" t="inlineStr"/>
      <c r="O438" t="n">
        <v>2</v>
      </c>
      <c r="P438" t="inlineStr"/>
      <c r="Q438" t="inlineStr">
        <is>
          <t>Searching for course page</t>
        </is>
      </c>
      <c r="S438" t="inlineStr"/>
      <c r="T438" t="inlineStr">
        <is>
          <t>Level map (Melbourne): not computed per course in this report</t>
        </is>
      </c>
      <c r="U438" t="inlineStr"/>
      <c r="V438" t="inlineStr">
        <is>
          <t>Searching for course page</t>
        </is>
      </c>
      <c r="W438" t="inlineStr"/>
      <c r="X438" t="inlineStr"/>
      <c r="Y438" t="n">
        <v>0</v>
      </c>
      <c r="Z438" t="inlineStr">
        <is>
          <t>No</t>
        </is>
      </c>
      <c r="AA438" t="inlineStr">
        <is>
          <t>Not stated on course page</t>
        </is>
      </c>
      <c r="AB438" t="inlineStr"/>
      <c r="AC438" t="inlineStr">
        <is>
          <t>Skipped: no correct course page: the page found is for another course</t>
        </is>
      </c>
      <c r="AD438" t="n">
        <v>1</v>
      </c>
      <c r="AE438" t="inlineStr"/>
      <c r="AF438" t="inlineStr"/>
      <c r="AG438" t="inlineStr"/>
      <c r="AH438" t="inlineStr"/>
      <c r="AI438" t="inlineStr"/>
      <c r="AJ438" t="inlineStr"/>
      <c r="AK438" t="inlineStr"/>
      <c r="AL438" t="inlineStr">
        <is>
          <t>Yes</t>
        </is>
      </c>
      <c r="AM438" t="inlineStr"/>
    </row>
    <row r="439">
      <c r="A439" t="inlineStr">
        <is>
          <t>045531A</t>
        </is>
      </c>
      <c r="B439" t="inlineStr">
        <is>
          <t>Study Abroad (Postgraduate 2)</t>
        </is>
      </c>
      <c r="C439" t="inlineStr">
        <is>
          <t>Non AQF Award</t>
        </is>
      </c>
      <c r="D439" t="inlineStr">
        <is>
          <t>Non-award</t>
        </is>
      </c>
      <c r="E439" t="inlineStr">
        <is>
          <t>Held: page found is for another course</t>
        </is>
      </c>
      <c r="F439" t="inlineStr"/>
      <c r="G439" t="inlineStr">
        <is>
          <t>https://study.unimelb.edu.au/how-to-apply/international-exchange-and-study-abroad/applications</t>
        </is>
      </c>
      <c r="H439" t="inlineStr">
        <is>
          <t>Page is for another course</t>
        </is>
      </c>
      <c r="I439" t="inlineStr"/>
      <c r="J439" t="inlineStr"/>
      <c r="K439" t="inlineStr">
        <is>
          <t>Finished, no page: no address from the university's address forms or stored lis</t>
        </is>
      </c>
      <c r="L439" t="inlineStr">
        <is>
          <t>Searching for course page</t>
        </is>
      </c>
      <c r="M439" t="inlineStr">
        <is>
          <t>Searching for course page</t>
        </is>
      </c>
      <c r="N439" t="inlineStr"/>
      <c r="O439" t="n">
        <v>0</v>
      </c>
      <c r="P439" t="inlineStr"/>
      <c r="Q439" t="inlineStr">
        <is>
          <t>Searching for course page</t>
        </is>
      </c>
      <c r="S439" t="inlineStr"/>
      <c r="T439" t="inlineStr">
        <is>
          <t>Level map (Melbourne): not computed per course in this report</t>
        </is>
      </c>
      <c r="U439" t="inlineStr"/>
      <c r="V439" t="inlineStr">
        <is>
          <t>Searching for course page</t>
        </is>
      </c>
      <c r="W439" t="inlineStr"/>
      <c r="X439" t="inlineStr"/>
      <c r="Y439" t="n">
        <v>0</v>
      </c>
      <c r="Z439" t="inlineStr">
        <is>
          <t>No</t>
        </is>
      </c>
      <c r="AA439" t="inlineStr">
        <is>
          <t>Not stated on course page</t>
        </is>
      </c>
      <c r="AB439" t="inlineStr"/>
      <c r="AC439" t="inlineStr">
        <is>
          <t>Skipped: the page does not state it</t>
        </is>
      </c>
      <c r="AD439" t="n">
        <v>0</v>
      </c>
      <c r="AE439" t="inlineStr"/>
      <c r="AF439" t="inlineStr"/>
      <c r="AG439" t="inlineStr"/>
      <c r="AH439" t="inlineStr"/>
      <c r="AI439" t="inlineStr"/>
      <c r="AJ439" t="inlineStr"/>
      <c r="AK439" t="inlineStr"/>
      <c r="AL439" t="inlineStr"/>
      <c r="AM439" t="inlineStr"/>
    </row>
    <row r="440">
      <c r="A440" t="inlineStr">
        <is>
          <t>085608J</t>
        </is>
      </c>
      <c r="B440" t="inlineStr">
        <is>
          <t>Study Abroad (Postgraduate 3)</t>
        </is>
      </c>
      <c r="C440" t="inlineStr">
        <is>
          <t>Non AQF Award</t>
        </is>
      </c>
      <c r="D440" t="inlineStr">
        <is>
          <t>Non-award</t>
        </is>
      </c>
      <c r="E440" t="inlineStr">
        <is>
          <t>Held: page found is for another course</t>
        </is>
      </c>
      <c r="F440" t="inlineStr"/>
      <c r="G440" t="inlineStr">
        <is>
          <t>https://study.unimelb.edu.au/how-to-apply/international-exchange-and-study-abroad/research-program</t>
        </is>
      </c>
      <c r="H440" t="inlineStr">
        <is>
          <t>Page is for another course</t>
        </is>
      </c>
      <c r="I440" t="inlineStr"/>
      <c r="J440" t="inlineStr"/>
      <c r="K440" t="inlineStr">
        <is>
          <t>Finished, no page: no address from the university's address forms or stored lis</t>
        </is>
      </c>
      <c r="L440" t="inlineStr">
        <is>
          <t>Searching for course page</t>
        </is>
      </c>
      <c r="M440" t="inlineStr">
        <is>
          <t>Searching for course page</t>
        </is>
      </c>
      <c r="N440" t="inlineStr"/>
      <c r="O440" t="n">
        <v>0</v>
      </c>
      <c r="P440" t="inlineStr"/>
      <c r="Q440" t="inlineStr">
        <is>
          <t>Searching for course page</t>
        </is>
      </c>
      <c r="S440" t="inlineStr"/>
      <c r="T440" t="inlineStr">
        <is>
          <t>Level map (Melbourne): not computed per course in this report</t>
        </is>
      </c>
      <c r="U440" t="inlineStr"/>
      <c r="V440" t="inlineStr">
        <is>
          <t>Searching for course page</t>
        </is>
      </c>
      <c r="W440" t="inlineStr"/>
      <c r="X440" t="inlineStr"/>
      <c r="Y440" t="n">
        <v>0</v>
      </c>
      <c r="Z440" t="inlineStr">
        <is>
          <t>No</t>
        </is>
      </c>
      <c r="AA440" t="inlineStr">
        <is>
          <t>Not stated on course page</t>
        </is>
      </c>
      <c r="AB440" t="inlineStr"/>
      <c r="AC440" t="inlineStr">
        <is>
          <t>Skipped: no correct course page: the page found is for another course</t>
        </is>
      </c>
      <c r="AD440" t="n">
        <v>1</v>
      </c>
      <c r="AE440" t="inlineStr"/>
      <c r="AF440" t="inlineStr"/>
      <c r="AG440" t="inlineStr"/>
      <c r="AH440" t="inlineStr"/>
      <c r="AI440" t="inlineStr"/>
      <c r="AJ440" t="inlineStr"/>
      <c r="AK440" t="inlineStr"/>
      <c r="AL440" t="inlineStr"/>
      <c r="AM440" t="inlineStr"/>
    </row>
    <row r="441">
      <c r="A441" t="inlineStr">
        <is>
          <t>045532M</t>
        </is>
      </c>
      <c r="B441" t="inlineStr">
        <is>
          <t>Study Abroad (Undergraduate)</t>
        </is>
      </c>
      <c r="C441" t="inlineStr">
        <is>
          <t>Non AQF Award</t>
        </is>
      </c>
      <c r="D441" t="inlineStr">
        <is>
          <t>Non-award</t>
        </is>
      </c>
      <c r="E441" t="inlineStr">
        <is>
          <t>Held: page found is for another course</t>
        </is>
      </c>
      <c r="F441" t="inlineStr"/>
      <c r="G441" t="inlineStr">
        <is>
          <t>https://eng.unimelb.edu.au/students/coursework/student-experience/study-overseas/feit-students-study-abroad-and-exchange</t>
        </is>
      </c>
      <c r="H441" t="inlineStr">
        <is>
          <t>Page is for another course</t>
        </is>
      </c>
      <c r="I441" t="inlineStr"/>
      <c r="J441" t="inlineStr"/>
      <c r="K441" t="inlineStr">
        <is>
          <t>Finished, no page: no address from the university's address forms or stored lis</t>
        </is>
      </c>
      <c r="L441" t="inlineStr">
        <is>
          <t>Searching for course page</t>
        </is>
      </c>
      <c r="M441" t="inlineStr">
        <is>
          <t>Waiting for Layer 4 review</t>
        </is>
      </c>
      <c r="N441" t="inlineStr"/>
      <c r="O441" t="n">
        <v>0</v>
      </c>
      <c r="P441" t="inlineStr"/>
      <c r="Q441" t="inlineStr">
        <is>
          <t>Searching for course page</t>
        </is>
      </c>
      <c r="S441" t="inlineStr"/>
      <c r="T441" t="inlineStr">
        <is>
          <t>Level map (Melbourne): not computed per course in this report</t>
        </is>
      </c>
      <c r="U441" t="inlineStr"/>
      <c r="V441" t="inlineStr">
        <is>
          <t>Searching for course page</t>
        </is>
      </c>
      <c r="W441" t="inlineStr"/>
      <c r="X441" t="inlineStr"/>
      <c r="Y441" t="n">
        <v>0</v>
      </c>
      <c r="Z441" t="inlineStr">
        <is>
          <t>No</t>
        </is>
      </c>
      <c r="AA441" t="inlineStr">
        <is>
          <t>Not stated on course page</t>
        </is>
      </c>
      <c r="AB441" t="inlineStr"/>
      <c r="AC441" t="inlineStr">
        <is>
          <t>Skipped: the page does not state it</t>
        </is>
      </c>
      <c r="AD441" t="n">
        <v>0</v>
      </c>
      <c r="AE441" t="inlineStr"/>
      <c r="AF441" t="inlineStr">
        <is>
          <t>Yes</t>
        </is>
      </c>
      <c r="AG441" t="inlineStr"/>
      <c r="AH441" t="inlineStr"/>
      <c r="AI441" t="inlineStr"/>
      <c r="AJ441" t="inlineStr"/>
      <c r="AK441" t="inlineStr"/>
      <c r="AL441" t="inlineStr"/>
      <c r="AM441" t="inlineStr"/>
    </row>
    <row r="442">
      <c r="A442" t="inlineStr">
        <is>
          <t>112852B</t>
        </is>
      </c>
      <c r="B442" t="inlineStr">
        <is>
          <t>Study Abroad CASA</t>
        </is>
      </c>
      <c r="C442" t="inlineStr">
        <is>
          <t>Non AQF Award</t>
        </is>
      </c>
      <c r="D442" t="inlineStr">
        <is>
          <t>Non-award</t>
        </is>
      </c>
      <c r="E442" t="inlineStr">
        <is>
          <t>No-page record (no page), awaiting review</t>
        </is>
      </c>
      <c r="F442" t="inlineStr"/>
      <c r="G442" t="inlineStr">
        <is>
          <t>https://eng.unimelb.edu.au/students/coursework/student-experience/study-overseas/feit-students-study-abroad-and-exchange</t>
        </is>
      </c>
      <c r="H442" t="inlineStr">
        <is>
          <t>Page is for another course</t>
        </is>
      </c>
      <c r="I442" t="inlineStr"/>
      <c r="J442" t="inlineStr">
        <is>
          <t>No page (proposed)</t>
        </is>
      </c>
      <c r="K442" t="inlineStr">
        <is>
          <t>Finished, no page: no address from the university's address forms or stored lis</t>
        </is>
      </c>
      <c r="L442" t="inlineStr">
        <is>
          <t>Searching for course page</t>
        </is>
      </c>
      <c r="M442" t="inlineStr">
        <is>
          <t>Searching for course page</t>
        </is>
      </c>
      <c r="N442" t="inlineStr"/>
      <c r="O442" t="n">
        <v>0</v>
      </c>
      <c r="P442" t="inlineStr"/>
      <c r="Q442" t="inlineStr">
        <is>
          <t>Searching for course page</t>
        </is>
      </c>
      <c r="S442" t="inlineStr"/>
      <c r="T442" t="inlineStr">
        <is>
          <t>Level map (Melbourne): not computed per course in this report</t>
        </is>
      </c>
      <c r="U442" t="inlineStr"/>
      <c r="V442" t="inlineStr">
        <is>
          <t>Searching for course page</t>
        </is>
      </c>
      <c r="W442" t="inlineStr"/>
      <c r="X442" t="inlineStr"/>
      <c r="Y442" t="n">
        <v>0</v>
      </c>
      <c r="Z442" t="inlineStr">
        <is>
          <t>No</t>
        </is>
      </c>
      <c r="AA442" t="inlineStr">
        <is>
          <t>Not stated on course page</t>
        </is>
      </c>
      <c r="AB442" t="inlineStr"/>
      <c r="AC442" t="inlineStr">
        <is>
          <t>Skipped: the page does not state it</t>
        </is>
      </c>
      <c r="AD442" t="n">
        <v>0</v>
      </c>
      <c r="AE442" t="inlineStr"/>
      <c r="AF442" t="inlineStr"/>
      <c r="AG442" t="inlineStr"/>
      <c r="AH442" t="inlineStr"/>
      <c r="AI442" t="inlineStr"/>
      <c r="AJ442" t="inlineStr"/>
      <c r="AK442" t="inlineStr"/>
      <c r="AL442" t="inlineStr"/>
      <c r="AM442" t="inlineStr">
        <is>
          <t>Yes</t>
        </is>
      </c>
    </row>
  </sheetData>
  <autoFilter ref="A1:AM4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30" customWidth="1" min="3" max="3"/>
    <col width="70" customWidth="1" min="4" max="4"/>
    <col width="26" customWidth="1" min="5" max="5"/>
    <col width="8" customWidth="1" min="6" max="6"/>
    <col width="10" customWidth="1" min="7" max="7"/>
    <col width="8" customWidth="1" min="8" max="8"/>
    <col width="11" customWidth="1" min="9" max="9"/>
    <col width="40" customWidth="1" min="10" max="10"/>
    <col width="10" customWidth="1" min="11" max="11"/>
    <col width="11" customWidth="1" min="12" max="12"/>
    <col width="70" customWidth="1" min="13" max="13"/>
  </cols>
  <sheetData>
    <row r="1">
      <c r="A1" s="4" t="inlineStr">
        <is>
          <t>Provider</t>
        </is>
      </c>
      <c r="B1" s="4" t="inlineStr">
        <is>
          <t>Kind</t>
        </is>
      </c>
      <c r="C1" s="4" t="inlineStr">
        <is>
          <t>Record</t>
        </is>
      </c>
      <c r="D1" s="4" t="inlineStr">
        <is>
          <t>Address</t>
        </is>
      </c>
      <c r="E1" s="4" t="inlineStr">
        <is>
          <t>Domain</t>
        </is>
      </c>
      <c r="F1" s="4" t="inlineStr">
        <is>
          <t>Format</t>
        </is>
      </c>
      <c r="G1" s="4" t="inlineStr">
        <is>
          <t>Status</t>
        </is>
      </c>
      <c r="H1" s="4" t="inlineStr">
        <is>
          <t>Read attempts</t>
        </is>
      </c>
      <c r="I1" s="4" t="inlineStr">
        <is>
          <t>Read on</t>
        </is>
      </c>
      <c r="J1" s="4" t="inlineStr">
        <is>
          <t>What the read found</t>
        </is>
      </c>
      <c r="K1" s="4" t="inlineStr">
        <is>
          <t>Decision</t>
        </is>
      </c>
      <c r="L1" s="4" t="inlineStr">
        <is>
          <t>Decided on</t>
        </is>
      </c>
      <c r="M1" s="4" t="inlineStr">
        <is>
          <t>Approval note / plan</t>
        </is>
      </c>
    </row>
    <row r="2">
      <c r="A2" t="inlineStr">
        <is>
          <t>The University of Sydney</t>
        </is>
      </c>
      <c r="B2" t="inlineStr">
        <is>
          <t>English policy</t>
        </is>
      </c>
      <c r="C2" t="inlineStr">
        <is>
          <t>Source page</t>
        </is>
      </c>
      <c r="D2" s="2" t="inlineStr">
        <is>
          <t>https://www.sydney.edu.au/study/applying/how-to-apply/international-students/english-language-requirements.html</t>
        </is>
      </c>
      <c r="E2" t="inlineStr">
        <is>
          <t>Own domain</t>
        </is>
      </c>
      <c r="F2" t="inlineStr">
        <is>
          <t>HTML</t>
        </is>
      </c>
      <c r="G2" t="inlineStr">
        <is>
          <t>Read</t>
        </is>
      </c>
      <c r="H2" t="n">
        <v>1</v>
      </c>
      <c r="I2" t="inlineStr">
        <is>
          <t>2026-10-05</t>
        </is>
      </c>
      <c r="J2" s="2" t="inlineStr">
        <is>
          <t>19595 characters</t>
        </is>
      </c>
      <c r="K2" t="inlineStr"/>
      <c r="L2" t="inlineStr"/>
      <c r="M2" s="2" t="inlineStr"/>
    </row>
    <row r="3">
      <c r="A3" t="inlineStr">
        <is>
          <t>The University of Sydney</t>
        </is>
      </c>
      <c r="B3" t="inlineStr">
        <is>
          <t>English policy</t>
        </is>
      </c>
      <c r="C3" t="inlineStr">
        <is>
          <t>Source page</t>
        </is>
      </c>
      <c r="D3" s="2" t="inlineStr">
        <is>
          <t>https://www.sydney.edu.au/study/applying/how-to-apply/international-students.html</t>
        </is>
      </c>
      <c r="E3" t="inlineStr">
        <is>
          <t>Own domain</t>
        </is>
      </c>
      <c r="F3" t="inlineStr">
        <is>
          <t>HTML</t>
        </is>
      </c>
      <c r="G3" t="inlineStr">
        <is>
          <t>Read</t>
        </is>
      </c>
      <c r="H3" t="n">
        <v>1</v>
      </c>
      <c r="I3" t="inlineStr">
        <is>
          <t>2026-10-05</t>
        </is>
      </c>
      <c r="J3" s="2" t="inlineStr">
        <is>
          <t>8791 characters</t>
        </is>
      </c>
      <c r="K3" t="inlineStr"/>
      <c r="L3" t="inlineStr"/>
      <c r="M3" s="2" t="inlineStr"/>
    </row>
    <row r="4">
      <c r="A4" t="inlineStr">
        <is>
          <t>The University of Sydney</t>
        </is>
      </c>
      <c r="B4" t="inlineStr">
        <is>
          <t>English policy</t>
        </is>
      </c>
      <c r="C4" t="inlineStr">
        <is>
          <t>Source page</t>
        </is>
      </c>
      <c r="D4" s="2" t="inlineStr">
        <is>
          <t>https://www.sydney.edu.au/study/international-students.html</t>
        </is>
      </c>
      <c r="E4" t="inlineStr">
        <is>
          <t>Own domain</t>
        </is>
      </c>
      <c r="F4" t="inlineStr">
        <is>
          <t>HTML</t>
        </is>
      </c>
      <c r="G4" t="inlineStr">
        <is>
          <t>Read</t>
        </is>
      </c>
      <c r="H4" t="n">
        <v>1</v>
      </c>
      <c r="I4" t="inlineStr">
        <is>
          <t>2026-10-05</t>
        </is>
      </c>
      <c r="J4" s="2" t="inlineStr">
        <is>
          <t>22077 characters</t>
        </is>
      </c>
      <c r="K4" t="inlineStr"/>
      <c r="L4" t="inlineStr"/>
      <c r="M4" s="2" t="inlineStr"/>
    </row>
    <row r="5">
      <c r="A5" t="inlineStr">
        <is>
          <t>The University of Sydney</t>
        </is>
      </c>
      <c r="B5" t="inlineStr">
        <is>
          <t>English policy</t>
        </is>
      </c>
      <c r="C5" t="inlineStr">
        <is>
          <t>Source page</t>
        </is>
      </c>
      <c r="D5" s="2" t="inlineStr">
        <is>
          <t>https://www.sydney.edu.au/content/dam/corporate/documents/about-us/governance-and-structure/academic-board/ab-standards---guidelines-/english-language-proficiency-tables.pdf</t>
        </is>
      </c>
      <c r="E5" t="inlineStr">
        <is>
          <t>Own domain</t>
        </is>
      </c>
      <c r="F5" t="inlineStr">
        <is>
          <t>PDF</t>
        </is>
      </c>
      <c r="G5" t="inlineStr">
        <is>
          <t>Read</t>
        </is>
      </c>
      <c r="H5" t="n">
        <v>1</v>
      </c>
      <c r="I5" t="inlineStr">
        <is>
          <t>2026-10-05</t>
        </is>
      </c>
      <c r="J5" s="2" t="inlineStr">
        <is>
          <t>20401 characters</t>
        </is>
      </c>
      <c r="K5" t="inlineStr"/>
      <c r="L5" t="inlineStr"/>
      <c r="M5" s="2" t="inlineStr"/>
    </row>
    <row r="6">
      <c r="A6" t="inlineStr">
        <is>
          <t>The University of Sydney</t>
        </is>
      </c>
      <c r="B6" t="inlineStr">
        <is>
          <t>Fee schedule</t>
        </is>
      </c>
      <c r="C6" t="inlineStr">
        <is>
          <t>Source page</t>
        </is>
      </c>
      <c r="D6" s="2" t="inlineStr">
        <is>
          <t>https://www.sydney.edu.au/study/fees-and-loans/international-student-tuition-fees.html</t>
        </is>
      </c>
      <c r="E6" t="inlineStr">
        <is>
          <t>Own domain</t>
        </is>
      </c>
      <c r="F6" t="inlineStr">
        <is>
          <t>HTML</t>
        </is>
      </c>
      <c r="G6" t="inlineStr">
        <is>
          <t>No values</t>
        </is>
      </c>
      <c r="H6" t="n">
        <v>1</v>
      </c>
      <c r="I6" t="inlineStr">
        <is>
          <t>2026-10-01</t>
        </is>
      </c>
      <c r="J6" s="2" t="inlineStr">
        <is>
          <t>0 fee rows, 41 table rows, 0 codes seen, fee year 2026, 12207 characters</t>
        </is>
      </c>
      <c r="K6" t="inlineStr"/>
      <c r="L6" t="inlineStr"/>
      <c r="M6" s="2" t="inlineStr"/>
    </row>
    <row r="7">
      <c r="A7" t="inlineStr">
        <is>
          <t>The University of Sydney</t>
        </is>
      </c>
      <c r="B7" t="inlineStr">
        <is>
          <t>Fee schedule</t>
        </is>
      </c>
      <c r="C7" t="inlineStr">
        <is>
          <t>Source page</t>
        </is>
      </c>
      <c r="D7" s="2" t="inlineStr">
        <is>
          <t>https://www.sydney.edu.au/study/study-options/test-pages/support-article-page-babs/new-hero-support-article.html</t>
        </is>
      </c>
      <c r="E7" t="inlineStr">
        <is>
          <t>Own domain: test page</t>
        </is>
      </c>
      <c r="F7" t="inlineStr">
        <is>
          <t>HTML</t>
        </is>
      </c>
      <c r="G7" t="inlineStr">
        <is>
          <t>No values</t>
        </is>
      </c>
      <c r="H7" t="n">
        <v>1</v>
      </c>
      <c r="I7" t="inlineStr">
        <is>
          <t>2026-10-01</t>
        </is>
      </c>
      <c r="J7" s="2" t="inlineStr">
        <is>
          <t>0 fee rows, 41 table rows, 0 codes seen, fee year 2026, 12168 characters</t>
        </is>
      </c>
      <c r="K7" t="inlineStr"/>
      <c r="L7" t="inlineStr"/>
      <c r="M7" s="2" t="inlineStr"/>
    </row>
    <row r="8">
      <c r="A8" t="inlineStr">
        <is>
          <t>The University of Sydney</t>
        </is>
      </c>
      <c r="B8" t="inlineStr">
        <is>
          <t>Fee schedule</t>
        </is>
      </c>
      <c r="C8" t="inlineStr">
        <is>
          <t>Source page</t>
        </is>
      </c>
      <c r="D8" s="2" t="inlineStr">
        <is>
          <t>https://www.sydney.edu.au/students/understanding-fees/international-fees.html</t>
        </is>
      </c>
      <c r="E8" t="inlineStr">
        <is>
          <t>Own domain</t>
        </is>
      </c>
      <c r="F8" t="inlineStr">
        <is>
          <t>HTML</t>
        </is>
      </c>
      <c r="G8" t="inlineStr">
        <is>
          <t>No values</t>
        </is>
      </c>
      <c r="H8" t="n">
        <v>1</v>
      </c>
      <c r="I8" t="inlineStr">
        <is>
          <t>2026-10-01</t>
        </is>
      </c>
      <c r="J8" s="2" t="inlineStr">
        <is>
          <t>0 fee rows, 0 codes seen, fee year 2026, 3917 characters</t>
        </is>
      </c>
      <c r="K8" t="inlineStr"/>
      <c r="L8" t="inlineStr"/>
      <c r="M8" s="2" t="inlineStr"/>
    </row>
    <row r="9">
      <c r="A9" t="inlineStr">
        <is>
          <t>The University of Sydney</t>
        </is>
      </c>
      <c r="B9" t="inlineStr">
        <is>
          <t>Fee schedule</t>
        </is>
      </c>
      <c r="C9" t="inlineStr">
        <is>
          <t>Source page</t>
        </is>
      </c>
      <c r="D9" s="2" t="inlineStr">
        <is>
          <t>https://www.sydney.edu.au/scholarships/b/faculty-of-engineering-international-tuition-fee-research-schola.html</t>
        </is>
      </c>
      <c r="E9" t="inlineStr">
        <is>
          <t>Own domain</t>
        </is>
      </c>
      <c r="F9" t="inlineStr">
        <is>
          <t>HTML</t>
        </is>
      </c>
      <c r="G9" t="inlineStr">
        <is>
          <t>No values</t>
        </is>
      </c>
      <c r="H9" t="n">
        <v>1</v>
      </c>
      <c r="I9" t="inlineStr">
        <is>
          <t>2026-10-26</t>
        </is>
      </c>
      <c r="J9" s="2" t="inlineStr">
        <is>
          <t>0 fee rows, 0 codes seen, 14876 characters</t>
        </is>
      </c>
      <c r="K9" t="inlineStr"/>
      <c r="L9" t="inlineStr"/>
      <c r="M9" s="2" t="inlineStr"/>
    </row>
    <row r="10">
      <c r="A10" t="inlineStr">
        <is>
          <t>The University of Sydney</t>
        </is>
      </c>
      <c r="B10" t="inlineStr">
        <is>
          <t>Intake calendar</t>
        </is>
      </c>
      <c r="C10" t="inlineStr">
        <is>
          <t>Source page</t>
        </is>
      </c>
      <c r="D10" s="2" t="inlineStr">
        <is>
          <t>https://www.sydney.edu.au/students/key-dates.html</t>
        </is>
      </c>
      <c r="E10" t="inlineStr">
        <is>
          <t>Own domain</t>
        </is>
      </c>
      <c r="F10" t="inlineStr">
        <is>
          <t>HTML</t>
        </is>
      </c>
      <c r="G10" t="inlineStr">
        <is>
          <t>Read</t>
        </is>
      </c>
      <c r="H10" t="n">
        <v>1</v>
      </c>
      <c r="I10" t="inlineStr">
        <is>
          <t>2026-10-05</t>
        </is>
      </c>
      <c r="J10" s="2" t="inlineStr">
        <is>
          <t>32213 characters</t>
        </is>
      </c>
      <c r="K10" t="inlineStr"/>
      <c r="L10" t="inlineStr"/>
      <c r="M10" s="2" t="inlineStr"/>
    </row>
    <row r="11">
      <c r="A11" t="inlineStr">
        <is>
          <t>The University of Sydney</t>
        </is>
      </c>
      <c r="B11" t="inlineStr">
        <is>
          <t>Intake calendar</t>
        </is>
      </c>
      <c r="C11" t="inlineStr">
        <is>
          <t>Source page</t>
        </is>
      </c>
      <c r="D11" s="2" t="inlineStr">
        <is>
          <t>https://www.sydney.edu.au/content/dam/students/documents/student-wall-calendar.pdf</t>
        </is>
      </c>
      <c r="E11" t="inlineStr">
        <is>
          <t>Own domain</t>
        </is>
      </c>
      <c r="F11" t="inlineStr">
        <is>
          <t>PDF</t>
        </is>
      </c>
      <c r="G11" t="inlineStr">
        <is>
          <t>Read</t>
        </is>
      </c>
      <c r="H11" t="n">
        <v>1</v>
      </c>
      <c r="I11" t="inlineStr">
        <is>
          <t>2026-10-05</t>
        </is>
      </c>
      <c r="J11" s="2" t="inlineStr">
        <is>
          <t>20039 characters</t>
        </is>
      </c>
      <c r="K11" t="inlineStr"/>
      <c r="L11" t="inlineStr"/>
      <c r="M11" s="2" t="inlineStr"/>
    </row>
    <row r="12">
      <c r="A12" t="inlineStr">
        <is>
          <t>The University of Sydney</t>
        </is>
      </c>
      <c r="B12" t="inlineStr">
        <is>
          <t>Intake calendar</t>
        </is>
      </c>
      <c r="C12" t="inlineStr">
        <is>
          <t>Source page</t>
        </is>
      </c>
      <c r="D12" s="2" t="inlineStr">
        <is>
          <t>https://www.sydney.edu.au/study/applying/application-dates.html</t>
        </is>
      </c>
      <c r="E12" t="inlineStr">
        <is>
          <t>Own domain</t>
        </is>
      </c>
      <c r="F12" t="inlineStr">
        <is>
          <t>HTML</t>
        </is>
      </c>
      <c r="G12" t="inlineStr">
        <is>
          <t>Read</t>
        </is>
      </c>
      <c r="H12" t="n">
        <v>1</v>
      </c>
      <c r="I12" t="inlineStr">
        <is>
          <t>2026-10-05</t>
        </is>
      </c>
      <c r="J12" s="2" t="inlineStr">
        <is>
          <t>5154 characters</t>
        </is>
      </c>
      <c r="K12" t="inlineStr"/>
      <c r="L12" t="inlineStr"/>
      <c r="M12" s="2" t="inlineStr"/>
    </row>
    <row r="13">
      <c r="A13" t="inlineStr">
        <is>
          <t>UNSW Sydney</t>
        </is>
      </c>
      <c r="B13" t="inlineStr">
        <is>
          <t>English policy</t>
        </is>
      </c>
      <c r="C13" t="inlineStr">
        <is>
          <t>Source page</t>
        </is>
      </c>
      <c r="D13" s="2" t="inlineStr">
        <is>
          <t>https://www.unsw.edu.au/study/how-to-apply/international/entry-requirements</t>
        </is>
      </c>
      <c r="E13" t="inlineStr">
        <is>
          <t>Own domain</t>
        </is>
      </c>
      <c r="F13" t="inlineStr">
        <is>
          <t>HTML</t>
        </is>
      </c>
      <c r="G13" t="inlineStr">
        <is>
          <t>Read</t>
        </is>
      </c>
      <c r="H13" t="n">
        <v>1</v>
      </c>
      <c r="I13" t="inlineStr">
        <is>
          <t>2026-10-02</t>
        </is>
      </c>
      <c r="J13" s="2" t="inlineStr">
        <is>
          <t>4397 characters</t>
        </is>
      </c>
      <c r="K13" t="inlineStr"/>
      <c r="L13" t="inlineStr"/>
      <c r="M13" s="2" t="inlineStr"/>
    </row>
    <row r="14">
      <c r="A14" t="inlineStr">
        <is>
          <t>UNSW Sydney</t>
        </is>
      </c>
      <c r="B14" t="inlineStr">
        <is>
          <t>English policy</t>
        </is>
      </c>
      <c r="C14" t="inlineStr">
        <is>
          <t>Source page</t>
        </is>
      </c>
      <c r="D14" s="2" t="inlineStr">
        <is>
          <t>https://www.unsw.edu.au/bengaluru/study-with-us/english-language-requirements</t>
        </is>
      </c>
      <c r="E14" t="inlineStr">
        <is>
          <t>Satellite: UNSW India campus</t>
        </is>
      </c>
      <c r="F14" t="inlineStr">
        <is>
          <t>HTML</t>
        </is>
      </c>
      <c r="G14" t="inlineStr">
        <is>
          <t>Read</t>
        </is>
      </c>
      <c r="H14" t="n">
        <v>1</v>
      </c>
      <c r="I14" t="inlineStr">
        <is>
          <t>2026-10-02</t>
        </is>
      </c>
      <c r="J14" s="2" t="inlineStr">
        <is>
          <t>34346 characters</t>
        </is>
      </c>
      <c r="K14" t="inlineStr"/>
      <c r="L14" t="inlineStr"/>
      <c r="M14" s="2" t="inlineStr"/>
    </row>
    <row r="15">
      <c r="A15" t="inlineStr">
        <is>
          <t>UNSW Sydney</t>
        </is>
      </c>
      <c r="B15" t="inlineStr">
        <is>
          <t>English policy</t>
        </is>
      </c>
      <c r="C15" t="inlineStr">
        <is>
          <t>Source page</t>
        </is>
      </c>
      <c r="D15" s="2" t="inlineStr">
        <is>
          <t>https://www.unsw.edu.au/study/how-to-apply/english-language-requirements</t>
        </is>
      </c>
      <c r="E15" t="inlineStr">
        <is>
          <t>Own domain</t>
        </is>
      </c>
      <c r="F15" t="inlineStr">
        <is>
          <t>HTML</t>
        </is>
      </c>
      <c r="G15" t="inlineStr">
        <is>
          <t>Read</t>
        </is>
      </c>
      <c r="H15" t="n">
        <v>1</v>
      </c>
      <c r="I15" t="inlineStr">
        <is>
          <t>2026-10-06</t>
        </is>
      </c>
      <c r="J15" s="2" t="inlineStr">
        <is>
          <t>112959 characters</t>
        </is>
      </c>
      <c r="K15" t="inlineStr"/>
      <c r="L15" t="inlineStr"/>
      <c r="M15" s="2" t="inlineStr"/>
    </row>
    <row r="16">
      <c r="A16" t="inlineStr">
        <is>
          <t>UNSW Sydney</t>
        </is>
      </c>
      <c r="B16" t="inlineStr">
        <is>
          <t>Fee schedule</t>
        </is>
      </c>
      <c r="C16" t="inlineStr">
        <is>
          <t>Source page</t>
        </is>
      </c>
      <c r="D16" s="2" t="inlineStr">
        <is>
          <t>https://www.unsw.edu.au/student/managing-your-studies/fees/international</t>
        </is>
      </c>
      <c r="E16" t="inlineStr">
        <is>
          <t>Own domain</t>
        </is>
      </c>
      <c r="F16" t="inlineStr">
        <is>
          <t>HTML</t>
        </is>
      </c>
      <c r="G16" t="inlineStr">
        <is>
          <t>No values</t>
        </is>
      </c>
      <c r="H16" t="n">
        <v>1</v>
      </c>
      <c r="I16" t="inlineStr">
        <is>
          <t>2026-10-01</t>
        </is>
      </c>
      <c r="J16" s="2" t="inlineStr">
        <is>
          <t>0 fee rows, 327 table rows, 0 codes seen, fee year 2026, 98361 characters</t>
        </is>
      </c>
      <c r="K16" t="inlineStr"/>
      <c r="L16" t="inlineStr"/>
      <c r="M16" s="2" t="inlineStr"/>
    </row>
    <row r="17">
      <c r="A17" t="inlineStr">
        <is>
          <t>UNSW Sydney</t>
        </is>
      </c>
      <c r="B17" t="inlineStr">
        <is>
          <t>Fee schedule</t>
        </is>
      </c>
      <c r="C17" t="inlineStr">
        <is>
          <t>Source page</t>
        </is>
      </c>
      <c r="D17" s="2" t="inlineStr">
        <is>
          <t>https://www.unsw.edu.au/study/how-to-apply/fees</t>
        </is>
      </c>
      <c r="E17" t="inlineStr">
        <is>
          <t>Own domain</t>
        </is>
      </c>
      <c r="F17" t="inlineStr">
        <is>
          <t>HTML</t>
        </is>
      </c>
      <c r="G17" t="inlineStr">
        <is>
          <t>No values</t>
        </is>
      </c>
      <c r="H17" t="n">
        <v>1</v>
      </c>
      <c r="I17" t="inlineStr">
        <is>
          <t>2026-10-01</t>
        </is>
      </c>
      <c r="J17" s="2" t="inlineStr">
        <is>
          <t>0 fee rows, 0 codes seen, fee year 2025, 14080 characters</t>
        </is>
      </c>
      <c r="K17" t="inlineStr"/>
      <c r="L17" t="inlineStr"/>
      <c r="M17" s="2" t="inlineStr"/>
    </row>
    <row r="18">
      <c r="A18" t="inlineStr">
        <is>
          <t>UNSW Sydney</t>
        </is>
      </c>
      <c r="B18" t="inlineStr">
        <is>
          <t>Fee schedule</t>
        </is>
      </c>
      <c r="C18" t="inlineStr">
        <is>
          <t>Source page</t>
        </is>
      </c>
      <c r="D18" s="2" t="inlineStr">
        <is>
          <t>https://www.unsw.edu.au/study/your-future/cost-of-studying-in-Australia</t>
        </is>
      </c>
      <c r="E18" t="inlineStr">
        <is>
          <t>Own domain</t>
        </is>
      </c>
      <c r="F18" t="inlineStr">
        <is>
          <t>HTML</t>
        </is>
      </c>
      <c r="G18" t="inlineStr">
        <is>
          <t>No values</t>
        </is>
      </c>
      <c r="H18" t="n">
        <v>1</v>
      </c>
      <c r="I18" t="inlineStr">
        <is>
          <t>2026-10-01</t>
        </is>
      </c>
      <c r="J18" s="2" t="inlineStr">
        <is>
          <t>0 fee rows, 0 codes seen, fee year 2025, 18854 characters</t>
        </is>
      </c>
      <c r="K18" t="inlineStr"/>
      <c r="L18" t="inlineStr"/>
      <c r="M18" s="2" t="inlineStr"/>
    </row>
    <row r="19">
      <c r="A19" t="inlineStr">
        <is>
          <t>UNSW Sydney</t>
        </is>
      </c>
      <c r="B19" t="inlineStr">
        <is>
          <t>Fee schedule</t>
        </is>
      </c>
      <c r="C19" t="inlineStr">
        <is>
          <t>Source page</t>
        </is>
      </c>
      <c r="D19" s="2" t="inlineStr">
        <is>
          <t>https://my.unsw.edu.au/student/fees/Fee_archive/ScheduleTuitionFeesArchive.html</t>
        </is>
      </c>
      <c r="E19" t="inlineStr">
        <is>
          <t>Own domain</t>
        </is>
      </c>
      <c r="F19" t="inlineStr">
        <is>
          <t>HTML</t>
        </is>
      </c>
      <c r="G19" t="inlineStr">
        <is>
          <t>No values</t>
        </is>
      </c>
      <c r="H19" t="n">
        <v>1</v>
      </c>
      <c r="I19" t="inlineStr">
        <is>
          <t>2026-10-26</t>
        </is>
      </c>
      <c r="J19" s="2" t="inlineStr">
        <is>
          <t>0 fee rows, 0 codes seen, 9225 characters</t>
        </is>
      </c>
      <c r="K19" t="inlineStr"/>
      <c r="L19" t="inlineStr"/>
      <c r="M19" s="2" t="inlineStr"/>
    </row>
    <row r="20">
      <c r="A20" t="inlineStr">
        <is>
          <t>UNSW Sydney</t>
        </is>
      </c>
      <c r="B20" t="inlineStr">
        <is>
          <t>Fee schedule</t>
        </is>
      </c>
      <c r="C20" t="inlineStr">
        <is>
          <t>Source page</t>
        </is>
      </c>
      <c r="D20" s="2" t="inlineStr">
        <is>
          <t>https://www.unsw.edu.au/student/managing-your-studies/fees/archive</t>
        </is>
      </c>
      <c r="E20" t="inlineStr">
        <is>
          <t>Own domain</t>
        </is>
      </c>
      <c r="F20" t="inlineStr">
        <is>
          <t>HTML</t>
        </is>
      </c>
      <c r="G20" t="inlineStr">
        <is>
          <t>No values</t>
        </is>
      </c>
      <c r="H20" t="n">
        <v>1</v>
      </c>
      <c r="I20" t="inlineStr">
        <is>
          <t>2026-10-26</t>
        </is>
      </c>
      <c r="J20" s="2" t="inlineStr">
        <is>
          <t>0 fee rows, 0 codes seen, fee year 2025, 2072 characters</t>
        </is>
      </c>
      <c r="K20" t="inlineStr"/>
      <c r="L20" t="inlineStr"/>
      <c r="M20" s="2" t="inlineStr"/>
    </row>
    <row r="21">
      <c r="A21" t="inlineStr">
        <is>
          <t>UNSW Sydney</t>
        </is>
      </c>
      <c r="B21" t="inlineStr">
        <is>
          <t>Intake calendar</t>
        </is>
      </c>
      <c r="C21" t="inlineStr">
        <is>
          <t>Source page</t>
        </is>
      </c>
      <c r="D21" s="2" t="inlineStr">
        <is>
          <t>https://www.unswglobal.unsw.edu.au/study/key-dates</t>
        </is>
      </c>
      <c r="E21" t="inlineStr">
        <is>
          <t>Satellite: UNSW College</t>
        </is>
      </c>
      <c r="F21" t="inlineStr">
        <is>
          <t>HTML</t>
        </is>
      </c>
      <c r="G21" t="inlineStr">
        <is>
          <t>Read</t>
        </is>
      </c>
      <c r="H21" t="n">
        <v>1</v>
      </c>
      <c r="I21" t="inlineStr">
        <is>
          <t>2026-10-02</t>
        </is>
      </c>
      <c r="J21" s="2" t="inlineStr">
        <is>
          <t>10371 characters</t>
        </is>
      </c>
      <c r="K21" t="inlineStr"/>
      <c r="L21" t="inlineStr"/>
      <c r="M21" s="2" t="inlineStr"/>
    </row>
    <row r="22">
      <c r="A22" t="inlineStr">
        <is>
          <t>UNSW Sydney</t>
        </is>
      </c>
      <c r="B22" t="inlineStr">
        <is>
          <t>Intake calendar</t>
        </is>
      </c>
      <c r="C22" t="inlineStr">
        <is>
          <t>Source page</t>
        </is>
      </c>
      <c r="D22" s="2" t="inlineStr">
        <is>
          <t>https://www.unsw.edu.au/student/managing-your-studies/key-dates</t>
        </is>
      </c>
      <c r="E22" t="inlineStr">
        <is>
          <t>Own domain</t>
        </is>
      </c>
      <c r="F22" t="inlineStr">
        <is>
          <t>HTML</t>
        </is>
      </c>
      <c r="G22" t="inlineStr">
        <is>
          <t>Read</t>
        </is>
      </c>
      <c r="H22" t="n">
        <v>1</v>
      </c>
      <c r="I22" t="inlineStr">
        <is>
          <t>2026-10-02</t>
        </is>
      </c>
      <c r="J22" s="2" t="inlineStr">
        <is>
          <t>4917 characters</t>
        </is>
      </c>
      <c r="K22" t="inlineStr"/>
      <c r="L22" t="inlineStr"/>
      <c r="M22" s="2" t="inlineStr"/>
    </row>
    <row r="23">
      <c r="A23" t="inlineStr">
        <is>
          <t>UNSW Sydney</t>
        </is>
      </c>
      <c r="B23" t="inlineStr">
        <is>
          <t>Intake calendar</t>
        </is>
      </c>
      <c r="C23" t="inlineStr">
        <is>
          <t>Source page</t>
        </is>
      </c>
      <c r="D23" s="2" t="inlineStr">
        <is>
          <t>https://www.unsw.edu.au/student/managing-your-studies/key-dates/academic-calendar</t>
        </is>
      </c>
      <c r="E23" t="inlineStr">
        <is>
          <t>Own domain</t>
        </is>
      </c>
      <c r="F23" t="inlineStr">
        <is>
          <t>HTML</t>
        </is>
      </c>
      <c r="G23" t="inlineStr">
        <is>
          <t>Read</t>
        </is>
      </c>
      <c r="H23" t="n">
        <v>1</v>
      </c>
      <c r="I23" t="inlineStr">
        <is>
          <t>2026-10-06</t>
        </is>
      </c>
      <c r="J23" s="2" t="inlineStr">
        <is>
          <t>43280 characters</t>
        </is>
      </c>
      <c r="K23" t="inlineStr"/>
      <c r="L23" t="inlineStr"/>
      <c r="M23" s="2" t="inlineStr"/>
    </row>
    <row r="24">
      <c r="A24" t="inlineStr">
        <is>
          <t>Macquarie University</t>
        </is>
      </c>
      <c r="B24" t="inlineStr">
        <is>
          <t>English policy</t>
        </is>
      </c>
      <c r="C24" t="inlineStr">
        <is>
          <t>Source page</t>
        </is>
      </c>
      <c r="D24" s="2" t="inlineStr">
        <is>
          <t>https://www.mq.edu.au/study/admissions-and-entry/apply/international/english-language-requirements</t>
        </is>
      </c>
      <c r="E24" t="inlineStr">
        <is>
          <t>Own domain</t>
        </is>
      </c>
      <c r="F24" t="inlineStr">
        <is>
          <t>HTML</t>
        </is>
      </c>
      <c r="G24" t="inlineStr">
        <is>
          <t>Read</t>
        </is>
      </c>
      <c r="H24" t="n">
        <v>1</v>
      </c>
      <c r="I24" t="inlineStr">
        <is>
          <t>2026-10-05</t>
        </is>
      </c>
      <c r="J24" s="2" t="inlineStr">
        <is>
          <t>56354 characters</t>
        </is>
      </c>
      <c r="K24" t="inlineStr"/>
      <c r="L24" t="inlineStr"/>
      <c r="M24" s="2" t="inlineStr"/>
    </row>
    <row r="25">
      <c r="A25" t="inlineStr">
        <is>
          <t>Macquarie University</t>
        </is>
      </c>
      <c r="B25" t="inlineStr">
        <is>
          <t>English policy</t>
        </is>
      </c>
      <c r="C25" t="inlineStr">
        <is>
          <t>Source page</t>
        </is>
      </c>
      <c r="D25" s="2" t="inlineStr">
        <is>
          <t>https://www.mq.edu.au/__data/assets/pdf_file/0017/1305152/Schedule-1-English-Language-Admission-Requirements-for-Graduate-Research-Courses.pdf</t>
        </is>
      </c>
      <c r="E25" t="inlineStr">
        <is>
          <t>Own domain</t>
        </is>
      </c>
      <c r="F25" t="inlineStr">
        <is>
          <t>PDF</t>
        </is>
      </c>
      <c r="G25" t="inlineStr">
        <is>
          <t>Read</t>
        </is>
      </c>
      <c r="H25" t="n">
        <v>1</v>
      </c>
      <c r="I25" t="inlineStr">
        <is>
          <t>2026-10-05</t>
        </is>
      </c>
      <c r="J25" s="2" t="inlineStr">
        <is>
          <t>8353 characters</t>
        </is>
      </c>
      <c r="K25" t="inlineStr"/>
      <c r="L25" t="inlineStr"/>
      <c r="M25" s="2" t="inlineStr"/>
    </row>
    <row r="26">
      <c r="A26" t="inlineStr">
        <is>
          <t>Macquarie University</t>
        </is>
      </c>
      <c r="B26" t="inlineStr">
        <is>
          <t>English policy</t>
        </is>
      </c>
      <c r="C26" t="inlineStr">
        <is>
          <t>Source page</t>
        </is>
      </c>
      <c r="D26" s="2" t="inlineStr">
        <is>
          <t>https://www.mq.edu.au/study/admissions-and-entry/apply/international/international-academic-requirements</t>
        </is>
      </c>
      <c r="E26" t="inlineStr">
        <is>
          <t>Own domain</t>
        </is>
      </c>
      <c r="F26" t="inlineStr">
        <is>
          <t>HTML</t>
        </is>
      </c>
      <c r="G26" t="inlineStr">
        <is>
          <t>Read</t>
        </is>
      </c>
      <c r="H26" t="n">
        <v>1</v>
      </c>
      <c r="I26" t="inlineStr">
        <is>
          <t>2026-10-05</t>
        </is>
      </c>
      <c r="J26" s="2" t="inlineStr">
        <is>
          <t>21518 characters</t>
        </is>
      </c>
      <c r="K26" t="inlineStr"/>
      <c r="L26" t="inlineStr"/>
      <c r="M26" s="2" t="inlineStr"/>
    </row>
    <row r="27">
      <c r="A27" t="inlineStr">
        <is>
          <t>Macquarie University</t>
        </is>
      </c>
      <c r="B27" t="inlineStr">
        <is>
          <t>Fee schedule</t>
        </is>
      </c>
      <c r="C27" t="inlineStr">
        <is>
          <t>Source page</t>
        </is>
      </c>
      <c r="D27" s="2" t="inlineStr">
        <is>
          <t>https://www.mq.edu.au/study/admissions-and-entry/fees-and-costs/international</t>
        </is>
      </c>
      <c r="E27" t="inlineStr">
        <is>
          <t>Own domain</t>
        </is>
      </c>
      <c r="F27" t="inlineStr">
        <is>
          <t>HTML</t>
        </is>
      </c>
      <c r="G27" t="inlineStr">
        <is>
          <t>No values</t>
        </is>
      </c>
      <c r="H27" t="n">
        <v>1</v>
      </c>
      <c r="I27" t="inlineStr">
        <is>
          <t>2026-10-01</t>
        </is>
      </c>
      <c r="J27" s="2" t="inlineStr">
        <is>
          <t>0 fee rows, 0 codes seen, 4789 characters</t>
        </is>
      </c>
      <c r="K27" t="inlineStr"/>
      <c r="L27" t="inlineStr"/>
      <c r="M27" s="2" t="inlineStr"/>
    </row>
    <row r="28">
      <c r="A28" t="inlineStr">
        <is>
          <t>Macquarie University</t>
        </is>
      </c>
      <c r="B28" t="inlineStr">
        <is>
          <t>Fee schedule</t>
        </is>
      </c>
      <c r="C28" t="inlineStr">
        <is>
          <t>Source page</t>
        </is>
      </c>
      <c r="D28" s="2" t="inlineStr">
        <is>
          <t>https://www.mq.edu.au/study/admissions-and-entry/fees-and-costs</t>
        </is>
      </c>
      <c r="E28" t="inlineStr">
        <is>
          <t>Own domain</t>
        </is>
      </c>
      <c r="F28" t="inlineStr">
        <is>
          <t>HTML</t>
        </is>
      </c>
      <c r="G28" t="inlineStr">
        <is>
          <t>No values</t>
        </is>
      </c>
      <c r="H28" t="n">
        <v>1</v>
      </c>
      <c r="I28" t="inlineStr">
        <is>
          <t>2026-10-01</t>
        </is>
      </c>
      <c r="J28" s="2" t="inlineStr">
        <is>
          <t>0 fee rows, 1 codes seen, 1554 characters</t>
        </is>
      </c>
      <c r="K28" t="inlineStr"/>
      <c r="L28" t="inlineStr"/>
      <c r="M28" s="2" t="inlineStr"/>
    </row>
    <row r="29">
      <c r="A29" t="inlineStr">
        <is>
          <t>Macquarie University</t>
        </is>
      </c>
      <c r="B29" t="inlineStr">
        <is>
          <t>Fee schedule</t>
        </is>
      </c>
      <c r="C29" t="inlineStr">
        <is>
          <t>Source page</t>
        </is>
      </c>
      <c r="D29" s="2" t="inlineStr">
        <is>
          <t>https://policies.mq.edu.au/document/view.php?id=120</t>
        </is>
      </c>
      <c r="E29" t="inlineStr">
        <is>
          <t>Own domain</t>
        </is>
      </c>
      <c r="F29" t="inlineStr">
        <is>
          <t>HTML</t>
        </is>
      </c>
      <c r="G29" t="inlineStr">
        <is>
          <t>No values</t>
        </is>
      </c>
      <c r="H29" t="n">
        <v>1</v>
      </c>
      <c r="I29" t="inlineStr">
        <is>
          <t>2026-10-01</t>
        </is>
      </c>
      <c r="J29" s="2" t="inlineStr">
        <is>
          <t>0 fee rows, 0 codes seen, 33570 characters</t>
        </is>
      </c>
      <c r="K29" t="inlineStr"/>
      <c r="L29" t="inlineStr"/>
      <c r="M29" s="2" t="inlineStr"/>
    </row>
    <row r="30">
      <c r="A30" t="inlineStr">
        <is>
          <t>Macquarie University</t>
        </is>
      </c>
      <c r="B30" t="inlineStr">
        <is>
          <t>Intake calendar</t>
        </is>
      </c>
      <c r="C30" t="inlineStr">
        <is>
          <t>Source page</t>
        </is>
      </c>
      <c r="D30" s="2" t="inlineStr">
        <is>
          <t>https://students.mq.edu.au/study/course/dates</t>
        </is>
      </c>
      <c r="E30" t="inlineStr">
        <is>
          <t>Own domain</t>
        </is>
      </c>
      <c r="F30" t="inlineStr">
        <is>
          <t>HTML</t>
        </is>
      </c>
      <c r="G30" t="inlineStr">
        <is>
          <t>Read</t>
        </is>
      </c>
      <c r="H30" t="n">
        <v>1</v>
      </c>
      <c r="I30" t="inlineStr">
        <is>
          <t>2026-10-05</t>
        </is>
      </c>
      <c r="J30" s="2" t="inlineStr">
        <is>
          <t>2125 characters</t>
        </is>
      </c>
      <c r="K30" t="inlineStr"/>
      <c r="L30" t="inlineStr"/>
      <c r="M30" s="2" t="inlineStr"/>
    </row>
    <row r="31">
      <c r="A31" t="inlineStr">
        <is>
          <t>Macquarie University</t>
        </is>
      </c>
      <c r="B31" t="inlineStr">
        <is>
          <t>Intake calendar</t>
        </is>
      </c>
      <c r="C31" t="inlineStr">
        <is>
          <t>Source page</t>
        </is>
      </c>
      <c r="D31" s="2" t="inlineStr">
        <is>
          <t>https://www.mq.edu.au/study/find-a-course/pathway-programs/english-language/dates-fees</t>
        </is>
      </c>
      <c r="E31" t="inlineStr">
        <is>
          <t>Own domain: English language programs</t>
        </is>
      </c>
      <c r="F31" t="inlineStr">
        <is>
          <t>HTML</t>
        </is>
      </c>
      <c r="G31" t="inlineStr">
        <is>
          <t>Read</t>
        </is>
      </c>
      <c r="H31" t="n">
        <v>1</v>
      </c>
      <c r="I31" t="inlineStr">
        <is>
          <t>2026-10-05</t>
        </is>
      </c>
      <c r="J31" s="2" t="inlineStr">
        <is>
          <t>8013 characters</t>
        </is>
      </c>
      <c r="K31" t="inlineStr"/>
      <c r="L31" t="inlineStr"/>
      <c r="M31" s="2" t="inlineStr"/>
    </row>
    <row r="32">
      <c r="A32" t="inlineStr">
        <is>
          <t>Macquarie University</t>
        </is>
      </c>
      <c r="B32" t="inlineStr">
        <is>
          <t>Intake calendar</t>
        </is>
      </c>
      <c r="C32" t="inlineStr">
        <is>
          <t>Source page</t>
        </is>
      </c>
      <c r="D32" s="2" t="inlineStr">
        <is>
          <t>https://students.mq.edu.au/study/enrolling/dates</t>
        </is>
      </c>
      <c r="E32" t="inlineStr">
        <is>
          <t>Own domain</t>
        </is>
      </c>
      <c r="F32" t="inlineStr">
        <is>
          <t>HTML</t>
        </is>
      </c>
      <c r="G32" t="inlineStr">
        <is>
          <t>Read</t>
        </is>
      </c>
      <c r="H32" t="n">
        <v>1</v>
      </c>
      <c r="I32" t="inlineStr">
        <is>
          <t>2026-10-05</t>
        </is>
      </c>
      <c r="J32" s="2" t="inlineStr">
        <is>
          <t>5925 characters</t>
        </is>
      </c>
      <c r="K32" t="inlineStr"/>
      <c r="L32" t="inlineStr"/>
      <c r="M32" s="2" t="inlineStr"/>
    </row>
    <row r="33">
      <c r="A33" t="inlineStr">
        <is>
          <t>Australian National University</t>
        </is>
      </c>
      <c r="B33" t="inlineStr">
        <is>
          <t>English policy</t>
        </is>
      </c>
      <c r="C33" t="inlineStr">
        <is>
          <t>Source page</t>
        </is>
      </c>
      <c r="D33" s="2" t="inlineStr">
        <is>
          <t>https://study.anu.edu.au/apply/english-language-requirements</t>
        </is>
      </c>
      <c r="E33" t="inlineStr">
        <is>
          <t>Own domain</t>
        </is>
      </c>
      <c r="F33" t="inlineStr">
        <is>
          <t>HTML</t>
        </is>
      </c>
      <c r="G33" t="inlineStr">
        <is>
          <t>Read</t>
        </is>
      </c>
      <c r="H33" t="n">
        <v>1</v>
      </c>
      <c r="I33" t="inlineStr">
        <is>
          <t>2026-10-05</t>
        </is>
      </c>
      <c r="J33" s="2" t="inlineStr">
        <is>
          <t>2779 characters</t>
        </is>
      </c>
      <c r="K33" t="inlineStr"/>
      <c r="L33" t="inlineStr"/>
      <c r="M33" s="2" t="inlineStr"/>
    </row>
    <row r="34">
      <c r="A34" t="inlineStr">
        <is>
          <t>Australian National University</t>
        </is>
      </c>
      <c r="B34" t="inlineStr">
        <is>
          <t>English policy</t>
        </is>
      </c>
      <c r="C34" t="inlineStr">
        <is>
          <t>Source page</t>
        </is>
      </c>
      <c r="D34" s="2" t="inlineStr">
        <is>
          <t>https://policies.anu.edu.au/ppl/document/ANUP_000408</t>
        </is>
      </c>
      <c r="E34" t="inlineStr">
        <is>
          <t>Own domain</t>
        </is>
      </c>
      <c r="F34" t="inlineStr">
        <is>
          <t>HTML</t>
        </is>
      </c>
      <c r="G34" t="inlineStr">
        <is>
          <t>Read</t>
        </is>
      </c>
      <c r="H34" t="n">
        <v>1</v>
      </c>
      <c r="I34" t="inlineStr">
        <is>
          <t>2026-10-05</t>
        </is>
      </c>
      <c r="J34" s="2" t="inlineStr">
        <is>
          <t>87238 characters</t>
        </is>
      </c>
      <c r="K34" t="inlineStr"/>
      <c r="L34" t="inlineStr"/>
      <c r="M34" s="2" t="inlineStr"/>
    </row>
    <row r="35">
      <c r="A35" t="inlineStr">
        <is>
          <t>Australian National University</t>
        </is>
      </c>
      <c r="B35" t="inlineStr">
        <is>
          <t>English policy</t>
        </is>
      </c>
      <c r="C35" t="inlineStr">
        <is>
          <t>Source page</t>
        </is>
      </c>
      <c r="D35" s="2" t="inlineStr">
        <is>
          <t>https://study.anu.edu.au/apply/international-applications/english-language-program</t>
        </is>
      </c>
      <c r="E35" t="inlineStr">
        <is>
          <t>Own domain</t>
        </is>
      </c>
      <c r="F35" t="inlineStr">
        <is>
          <t>HTML</t>
        </is>
      </c>
      <c r="G35" t="inlineStr">
        <is>
          <t>Read</t>
        </is>
      </c>
      <c r="H35" t="n">
        <v>1</v>
      </c>
      <c r="I35" t="inlineStr">
        <is>
          <t>2026-10-05</t>
        </is>
      </c>
      <c r="J35" s="2" t="inlineStr">
        <is>
          <t>18613 characters</t>
        </is>
      </c>
      <c r="K35" t="inlineStr"/>
      <c r="L35" t="inlineStr"/>
      <c r="M35" s="2" t="inlineStr"/>
    </row>
    <row r="36">
      <c r="A36" t="inlineStr">
        <is>
          <t>Australian National University</t>
        </is>
      </c>
      <c r="B36" t="inlineStr">
        <is>
          <t>Fee schedule</t>
        </is>
      </c>
      <c r="C36" t="inlineStr">
        <is>
          <t>Source page</t>
        </is>
      </c>
      <c r="D36" s="2" t="inlineStr">
        <is>
          <t>https://www.anu.edu.au/students/program-administration/fees-payments/international-tuition-fees</t>
        </is>
      </c>
      <c r="E36" t="inlineStr">
        <is>
          <t>Own domain</t>
        </is>
      </c>
      <c r="F36" t="inlineStr">
        <is>
          <t>HTML</t>
        </is>
      </c>
      <c r="G36" t="inlineStr">
        <is>
          <t>No values</t>
        </is>
      </c>
      <c r="H36" t="n">
        <v>1</v>
      </c>
      <c r="I36" t="inlineStr">
        <is>
          <t>2026-10-01</t>
        </is>
      </c>
      <c r="J36" s="2" t="inlineStr">
        <is>
          <t>0 fee rows, 0 codes seen, fee year 2026, 2604 characters</t>
        </is>
      </c>
      <c r="K36" t="inlineStr"/>
      <c r="L36" t="inlineStr"/>
      <c r="M36" s="2" t="inlineStr"/>
    </row>
    <row r="37">
      <c r="A37" t="inlineStr">
        <is>
          <t>Australian National University</t>
        </is>
      </c>
      <c r="B37" t="inlineStr">
        <is>
          <t>Fee schedule</t>
        </is>
      </c>
      <c r="C37" t="inlineStr">
        <is>
          <t>Source page</t>
        </is>
      </c>
      <c r="D37" s="2" t="inlineStr">
        <is>
          <t>https://regnet.anu.edu.au/fees-and-scholarships</t>
        </is>
      </c>
      <c r="E37" t="inlineStr">
        <is>
          <t>Own domain: school/college page</t>
        </is>
      </c>
      <c r="F37" t="inlineStr">
        <is>
          <t>HTML</t>
        </is>
      </c>
      <c r="G37" t="inlineStr">
        <is>
          <t>No values</t>
        </is>
      </c>
      <c r="H37" t="n">
        <v>1</v>
      </c>
      <c r="I37" t="inlineStr">
        <is>
          <t>2026-10-01</t>
        </is>
      </c>
      <c r="J37" s="2" t="inlineStr">
        <is>
          <t>0 fee rows, 0 codes seen, fee year 2025, 2237 characters</t>
        </is>
      </c>
      <c r="K37" t="inlineStr"/>
      <c r="L37" t="inlineStr"/>
      <c r="M37" s="2" t="inlineStr"/>
    </row>
    <row r="38">
      <c r="A38" t="inlineStr">
        <is>
          <t>Australian National University</t>
        </is>
      </c>
      <c r="B38" t="inlineStr">
        <is>
          <t>Fee schedule</t>
        </is>
      </c>
      <c r="C38" t="inlineStr">
        <is>
          <t>Source page</t>
        </is>
      </c>
      <c r="D38" s="2" t="inlineStr">
        <is>
          <t>https://www.anu.edu.au/students/program-administration/fees-payments</t>
        </is>
      </c>
      <c r="E38" t="inlineStr">
        <is>
          <t>Own domain</t>
        </is>
      </c>
      <c r="F38" t="inlineStr">
        <is>
          <t>HTML</t>
        </is>
      </c>
      <c r="G38" t="inlineStr">
        <is>
          <t>No values</t>
        </is>
      </c>
      <c r="H38" t="n">
        <v>1</v>
      </c>
      <c r="I38" t="inlineStr">
        <is>
          <t>2026-10-01</t>
        </is>
      </c>
      <c r="J38" s="2" t="inlineStr">
        <is>
          <t>0 fee rows, 0 codes seen, 6664 characters</t>
        </is>
      </c>
      <c r="K38" t="inlineStr"/>
      <c r="L38" t="inlineStr"/>
      <c r="M38" s="2" t="inlineStr"/>
    </row>
    <row r="39">
      <c r="A39" t="inlineStr">
        <is>
          <t>Australian National University</t>
        </is>
      </c>
      <c r="B39" t="inlineStr">
        <is>
          <t>Fee schedule</t>
        </is>
      </c>
      <c r="C39" t="inlineStr">
        <is>
          <t>Source page</t>
        </is>
      </c>
      <c r="D39" s="2" t="inlineStr">
        <is>
          <t>https://study.anu.edu.au/scholarships/find-scholarship/research-training-program-rtp-international-fee-offset-scholarship</t>
        </is>
      </c>
      <c r="E39" t="inlineStr">
        <is>
          <t>Own domain</t>
        </is>
      </c>
      <c r="F39" t="inlineStr">
        <is>
          <t>HTML</t>
        </is>
      </c>
      <c r="G39" t="inlineStr">
        <is>
          <t>No values</t>
        </is>
      </c>
      <c r="H39" t="n">
        <v>1</v>
      </c>
      <c r="I39" t="inlineStr">
        <is>
          <t>2026-10-26</t>
        </is>
      </c>
      <c r="J39" s="2" t="inlineStr">
        <is>
          <t>0 fee rows, 1 codes seen, fee year 2026, 7385 characters</t>
        </is>
      </c>
      <c r="K39" t="inlineStr"/>
      <c r="L39" t="inlineStr"/>
      <c r="M39" s="2" t="inlineStr"/>
    </row>
    <row r="40">
      <c r="A40" t="inlineStr">
        <is>
          <t>Australian National University</t>
        </is>
      </c>
      <c r="B40" t="inlineStr">
        <is>
          <t>Intake calendar</t>
        </is>
      </c>
      <c r="C40" t="inlineStr">
        <is>
          <t>Source page</t>
        </is>
      </c>
      <c r="D40" s="2" t="inlineStr">
        <is>
          <t>https://cbe.anu.edu.au/current-students/cbe-key-dates</t>
        </is>
      </c>
      <c r="E40" t="inlineStr">
        <is>
          <t>Own domain: school/college page</t>
        </is>
      </c>
      <c r="F40" t="inlineStr">
        <is>
          <t>HTML</t>
        </is>
      </c>
      <c r="G40" t="inlineStr">
        <is>
          <t>Read</t>
        </is>
      </c>
      <c r="H40" t="n">
        <v>1</v>
      </c>
      <c r="I40" t="inlineStr">
        <is>
          <t>2026-10-05</t>
        </is>
      </c>
      <c r="J40" s="2" t="inlineStr">
        <is>
          <t>3528 characters</t>
        </is>
      </c>
      <c r="K40" t="inlineStr"/>
      <c r="L40" t="inlineStr"/>
      <c r="M40" s="2" t="inlineStr"/>
    </row>
    <row r="41">
      <c r="A41" t="inlineStr">
        <is>
          <t>Australian National University</t>
        </is>
      </c>
      <c r="B41" t="inlineStr">
        <is>
          <t>Intake calendar</t>
        </is>
      </c>
      <c r="C41" t="inlineStr">
        <is>
          <t>Source page</t>
        </is>
      </c>
      <c r="D41" s="2" t="inlineStr">
        <is>
          <t>https://www.anu.edu.au/directories/university-calendar</t>
        </is>
      </c>
      <c r="E41" t="inlineStr">
        <is>
          <t>Own domain</t>
        </is>
      </c>
      <c r="F41" t="inlineStr">
        <is>
          <t>HTML</t>
        </is>
      </c>
      <c r="G41" t="inlineStr">
        <is>
          <t>Read</t>
        </is>
      </c>
      <c r="H41" t="n">
        <v>1</v>
      </c>
      <c r="I41" t="inlineStr">
        <is>
          <t>2026-10-05</t>
        </is>
      </c>
      <c r="J41" s="2" t="inlineStr">
        <is>
          <t>3758 characters</t>
        </is>
      </c>
      <c r="K41" t="inlineStr"/>
      <c r="L41" t="inlineStr"/>
      <c r="M41" s="2" t="inlineStr"/>
    </row>
    <row r="42">
      <c r="A42" t="inlineStr">
        <is>
          <t>Australian National University</t>
        </is>
      </c>
      <c r="B42" t="inlineStr">
        <is>
          <t>Intake calendar</t>
        </is>
      </c>
      <c r="C42" t="inlineStr">
        <is>
          <t>Source page</t>
        </is>
      </c>
      <c r="D42" s="2" t="inlineStr">
        <is>
          <t>https://www.anu.edu.au/directories/university-calendar?year=2027</t>
        </is>
      </c>
      <c r="E42" t="inlineStr">
        <is>
          <t>Own domain</t>
        </is>
      </c>
      <c r="F42" t="inlineStr">
        <is>
          <t>HTML</t>
        </is>
      </c>
      <c r="G42" t="inlineStr">
        <is>
          <t>Read</t>
        </is>
      </c>
      <c r="H42" t="n">
        <v>1</v>
      </c>
      <c r="I42" t="inlineStr">
        <is>
          <t>2026-10-05</t>
        </is>
      </c>
      <c r="J42" s="2" t="inlineStr">
        <is>
          <t>4570 characters</t>
        </is>
      </c>
      <c r="K42" t="inlineStr"/>
      <c r="L42" t="inlineStr"/>
      <c r="M42" s="2" t="inlineStr"/>
    </row>
    <row r="43">
      <c r="A43" t="inlineStr">
        <is>
          <t>The University of Melbourne</t>
        </is>
      </c>
      <c r="B43" t="inlineStr">
        <is>
          <t>English policy</t>
        </is>
      </c>
      <c r="C43" t="inlineStr">
        <is>
          <t>Source page</t>
        </is>
      </c>
      <c r="D43" s="2" t="inlineStr">
        <is>
          <t>https://study.unimelb.edu.au/how-to-apply/english-language-requirements</t>
        </is>
      </c>
      <c r="E43" t="inlineStr">
        <is>
          <t>Own domain</t>
        </is>
      </c>
      <c r="F43" t="inlineStr">
        <is>
          <t>HTML</t>
        </is>
      </c>
      <c r="G43" t="inlineStr">
        <is>
          <t>Read</t>
        </is>
      </c>
      <c r="H43" t="n">
        <v>1</v>
      </c>
      <c r="I43" t="inlineStr">
        <is>
          <t>2026-10-05</t>
        </is>
      </c>
      <c r="J43" s="2" t="inlineStr">
        <is>
          <t>22910 characters</t>
        </is>
      </c>
      <c r="K43" t="inlineStr"/>
      <c r="L43" t="inlineStr"/>
      <c r="M43" s="2" t="inlineStr"/>
    </row>
    <row r="44">
      <c r="A44" t="inlineStr">
        <is>
          <t>The University of Melbourne</t>
        </is>
      </c>
      <c r="B44" t="inlineStr">
        <is>
          <t>English policy</t>
        </is>
      </c>
      <c r="C44" t="inlineStr">
        <is>
          <t>Source page</t>
        </is>
      </c>
      <c r="D44" s="2" t="inlineStr">
        <is>
          <t>https://study.unimelb.edu.au/how-to-apply/english-language-requirements/undergraduate-english-language-requirements</t>
        </is>
      </c>
      <c r="E44" t="inlineStr">
        <is>
          <t>Own domain</t>
        </is>
      </c>
      <c r="F44" t="inlineStr">
        <is>
          <t>HTML</t>
        </is>
      </c>
      <c r="G44" t="inlineStr">
        <is>
          <t>Read</t>
        </is>
      </c>
      <c r="H44" t="n">
        <v>1</v>
      </c>
      <c r="I44" t="inlineStr">
        <is>
          <t>2026-10-05</t>
        </is>
      </c>
      <c r="J44" s="2" t="inlineStr">
        <is>
          <t>17516 characters</t>
        </is>
      </c>
      <c r="K44" t="inlineStr"/>
      <c r="L44" t="inlineStr"/>
      <c r="M44" s="2" t="inlineStr"/>
    </row>
    <row r="45">
      <c r="A45" t="inlineStr">
        <is>
          <t>The University of Melbourne</t>
        </is>
      </c>
      <c r="B45" t="inlineStr">
        <is>
          <t>English policy</t>
        </is>
      </c>
      <c r="C45" t="inlineStr">
        <is>
          <t>Source page</t>
        </is>
      </c>
      <c r="D45" s="2" t="inlineStr">
        <is>
          <t>https://study.unimelb.edu.au/how-to-apply/english-language-requirements/graduate-english-language-requirements</t>
        </is>
      </c>
      <c r="E45" t="inlineStr">
        <is>
          <t>Own domain</t>
        </is>
      </c>
      <c r="F45" t="inlineStr">
        <is>
          <t>HTML</t>
        </is>
      </c>
      <c r="G45" t="inlineStr">
        <is>
          <t>Read</t>
        </is>
      </c>
      <c r="H45" t="n">
        <v>1</v>
      </c>
      <c r="I45" t="inlineStr">
        <is>
          <t>2026-10-05</t>
        </is>
      </c>
      <c r="J45" s="2" t="inlineStr">
        <is>
          <t>11329 characters</t>
        </is>
      </c>
      <c r="K45" t="inlineStr"/>
      <c r="L45" t="inlineStr"/>
      <c r="M45" s="2" t="inlineStr"/>
    </row>
    <row r="46">
      <c r="A46" t="inlineStr">
        <is>
          <t>The University of Melbourne</t>
        </is>
      </c>
      <c r="B46" t="inlineStr">
        <is>
          <t>Fee schedule</t>
        </is>
      </c>
      <c r="C46" t="inlineStr">
        <is>
          <t>Source page</t>
        </is>
      </c>
      <c r="D46" s="2" t="inlineStr">
        <is>
          <t>https://study.unimelb.edu.au/__data/assets/pdf_file/0012/200901/Tuition-Terms-and-Conditions_Study-Abroad2026.pdf</t>
        </is>
      </c>
      <c r="E46" t="inlineStr">
        <is>
          <t>Own domain</t>
        </is>
      </c>
      <c r="F46" t="inlineStr">
        <is>
          <t>PDF</t>
        </is>
      </c>
      <c r="G46" t="inlineStr">
        <is>
          <t>No values</t>
        </is>
      </c>
      <c r="H46" t="n">
        <v>1</v>
      </c>
      <c r="I46" t="inlineStr">
        <is>
          <t>2026-10-01</t>
        </is>
      </c>
      <c r="J46" s="2" t="inlineStr">
        <is>
          <t>0 fee rows, 0 codes seen, fee year 2026, 42155 characters</t>
        </is>
      </c>
      <c r="K46" t="inlineStr"/>
      <c r="L46" t="inlineStr"/>
      <c r="M46" s="2" t="inlineStr"/>
    </row>
    <row r="47">
      <c r="A47" t="inlineStr">
        <is>
          <t>The University of Melbourne</t>
        </is>
      </c>
      <c r="B47" t="inlineStr">
        <is>
          <t>Fee schedule</t>
        </is>
      </c>
      <c r="C47" t="inlineStr">
        <is>
          <t>Source page</t>
        </is>
      </c>
      <c r="D47" s="2" t="inlineStr">
        <is>
          <t>https://study.unimelb.edu.au/how-to-apply/undergraduate-study/international-applications/fees-and-payments</t>
        </is>
      </c>
      <c r="E47" t="inlineStr">
        <is>
          <t>Own domain</t>
        </is>
      </c>
      <c r="F47" t="inlineStr">
        <is>
          <t>HTML</t>
        </is>
      </c>
      <c r="G47" t="inlineStr">
        <is>
          <t>No values</t>
        </is>
      </c>
      <c r="H47" t="n">
        <v>1</v>
      </c>
      <c r="I47" t="inlineStr">
        <is>
          <t>2026-10-01</t>
        </is>
      </c>
      <c r="J47" s="2" t="inlineStr">
        <is>
          <t>0 fee rows, 0 codes seen, 8672 characters</t>
        </is>
      </c>
      <c r="K47" t="inlineStr"/>
      <c r="L47" t="inlineStr"/>
      <c r="M47" s="2" t="inlineStr"/>
    </row>
    <row r="48">
      <c r="A48" t="inlineStr">
        <is>
          <t>The University of Melbourne</t>
        </is>
      </c>
      <c r="B48" t="inlineStr">
        <is>
          <t>Fee schedule</t>
        </is>
      </c>
      <c r="C48" t="inlineStr">
        <is>
          <t>Source page</t>
        </is>
      </c>
      <c r="D48" s="2" t="inlineStr">
        <is>
          <t>https://study.unimelb.edu.au/__data/assets/pdf_file/0016/175003/Tuition-Fee_TsCs_210826.pdf</t>
        </is>
      </c>
      <c r="E48" t="inlineStr">
        <is>
          <t>Own domain</t>
        </is>
      </c>
      <c r="F48" t="inlineStr">
        <is>
          <t>PDF</t>
        </is>
      </c>
      <c r="G48" t="inlineStr">
        <is>
          <t>No values</t>
        </is>
      </c>
      <c r="H48" t="n">
        <v>1</v>
      </c>
      <c r="I48" t="inlineStr">
        <is>
          <t>2026-10-01</t>
        </is>
      </c>
      <c r="J48" s="2" t="inlineStr">
        <is>
          <t>0 fee rows, 0 codes seen, fee year 2026, 77373 characters</t>
        </is>
      </c>
      <c r="K48" t="inlineStr"/>
      <c r="L48" t="inlineStr"/>
      <c r="M48" s="2" t="inlineStr"/>
    </row>
    <row r="49">
      <c r="A49" t="inlineStr">
        <is>
          <t>The University of Melbourne</t>
        </is>
      </c>
      <c r="B49" t="inlineStr">
        <is>
          <t>Fee schedule</t>
        </is>
      </c>
      <c r="C49" t="inlineStr">
        <is>
          <t>Source page</t>
        </is>
      </c>
      <c r="D49" s="2" t="inlineStr">
        <is>
          <t>https://study.unimelb.edu.au/how-to-apply/graduate-coursework-study/international-applications/fees-and-payments</t>
        </is>
      </c>
      <c r="E49" t="inlineStr">
        <is>
          <t>Own domain</t>
        </is>
      </c>
      <c r="F49" t="inlineStr">
        <is>
          <t>HTML</t>
        </is>
      </c>
      <c r="G49" t="inlineStr">
        <is>
          <t>No values</t>
        </is>
      </c>
      <c r="H49" t="n">
        <v>1</v>
      </c>
      <c r="I49" t="inlineStr">
        <is>
          <t>2026-10-01</t>
        </is>
      </c>
      <c r="J49" s="2" t="inlineStr">
        <is>
          <t>0 fee rows, 0 codes seen, 8995 characters</t>
        </is>
      </c>
      <c r="K49" t="inlineStr"/>
      <c r="L49" t="inlineStr"/>
      <c r="M49" s="2" t="inlineStr"/>
    </row>
    <row r="50">
      <c r="A50" t="inlineStr">
        <is>
          <t>The University of Melbourne</t>
        </is>
      </c>
      <c r="B50" t="inlineStr">
        <is>
          <t>Fee schedule</t>
        </is>
      </c>
      <c r="C50" t="inlineStr">
        <is>
          <t>Source page</t>
        </is>
      </c>
      <c r="D50" s="2" t="inlineStr">
        <is>
          <t>https://study.unimelb.edu.au/__data/assets/pdf_file/0034/462949/2027InternationalFeeTables.pdf</t>
        </is>
      </c>
      <c r="E50" t="inlineStr">
        <is>
          <t>Own domain</t>
        </is>
      </c>
      <c r="F50" t="inlineStr">
        <is>
          <t>PDF</t>
        </is>
      </c>
      <c r="G50" t="inlineStr">
        <is>
          <t>Parsed</t>
        </is>
      </c>
      <c r="H50" t="n">
        <v>1</v>
      </c>
      <c r="I50" t="inlineStr">
        <is>
          <t>2026-10-01</t>
        </is>
      </c>
      <c r="J50" s="2" t="inlineStr">
        <is>
          <t>838 fee rows, 585 table rows, 296 codes seen, fee year 2027, 85603 characters</t>
        </is>
      </c>
      <c r="K50" t="inlineStr">
        <is>
          <t>approved</t>
        </is>
      </c>
      <c r="L50" t="inlineStr">
        <is>
          <t>2026-10-01</t>
        </is>
      </c>
      <c r="M50" s="2" t="inlineStr">
        <is>
          <t>{"flags": {"confirmed_period": 0, "confirmed_same_fee": 0}, "refused": 0, "written": 0, "no_course": 9, "annual_used": 243, "basis_not_used": 2, "several_amounts": 584}</t>
        </is>
      </c>
    </row>
    <row r="51">
      <c r="A51" t="inlineStr">
        <is>
          <t>The University of Melbourne</t>
        </is>
      </c>
      <c r="B51" t="inlineStr">
        <is>
          <t>Fee schedule</t>
        </is>
      </c>
      <c r="C51" t="inlineStr">
        <is>
          <t>Source page</t>
        </is>
      </c>
      <c r="D51" s="2" t="inlineStr">
        <is>
          <t>https://study.unimelb.edu.au/how-to-apply/international-exchange-and-study-abroad/fees-and-costs</t>
        </is>
      </c>
      <c r="E51" t="inlineStr">
        <is>
          <t>Own domain</t>
        </is>
      </c>
      <c r="F51" t="inlineStr">
        <is>
          <t>HTML</t>
        </is>
      </c>
      <c r="G51" t="inlineStr">
        <is>
          <t>No values</t>
        </is>
      </c>
      <c r="H51" t="n">
        <v>1</v>
      </c>
      <c r="I51" t="inlineStr">
        <is>
          <t>2026-10-01</t>
        </is>
      </c>
      <c r="J51" s="2" t="inlineStr">
        <is>
          <t>0 fee rows, 12 table rows, 8 codes seen, fee year 2027, 9434 characters</t>
        </is>
      </c>
      <c r="K51" t="inlineStr"/>
      <c r="L51" t="inlineStr"/>
      <c r="M51" s="2" t="inlineStr"/>
    </row>
    <row r="52">
      <c r="A52" t="inlineStr">
        <is>
          <t>The University of Melbourne</t>
        </is>
      </c>
      <c r="B52" t="inlineStr">
        <is>
          <t>Fee schedule</t>
        </is>
      </c>
      <c r="C52" t="inlineStr">
        <is>
          <t>Source page</t>
        </is>
      </c>
      <c r="D52" s="2" t="inlineStr">
        <is>
          <t>https://figshare.unimelb.edu.au/articles/journal_contribution/What_are_the_Implications_of_a_Levy_on_International_Fees_/24282697</t>
        </is>
      </c>
      <c r="E52" t="inlineStr">
        <is>
          <t>Own domain: research paper</t>
        </is>
      </c>
      <c r="F52" t="inlineStr">
        <is>
          <t>HTML</t>
        </is>
      </c>
      <c r="G52" t="inlineStr">
        <is>
          <t>No values</t>
        </is>
      </c>
      <c r="H52" t="n">
        <v>1</v>
      </c>
      <c r="I52" t="inlineStr">
        <is>
          <t>2026-10-26</t>
        </is>
      </c>
      <c r="J52" s="2" t="inlineStr">
        <is>
          <t>0 fee rows, 2 codes seen, 5798 characters</t>
        </is>
      </c>
      <c r="K52" t="inlineStr"/>
      <c r="L52" t="inlineStr"/>
      <c r="M52" s="2" t="inlineStr"/>
    </row>
    <row r="53">
      <c r="A53" t="inlineStr">
        <is>
          <t>The University of Melbourne</t>
        </is>
      </c>
      <c r="B53" t="inlineStr">
        <is>
          <t>Fee schedule</t>
        </is>
      </c>
      <c r="C53" t="inlineStr">
        <is>
          <t>Source page</t>
        </is>
      </c>
      <c r="D53" s="2" t="inlineStr">
        <is>
          <t>https://melbourne-cshe.unimelb.edu.au/__data/assets/pdf_file/0011/4770515/CSHE-Occasional-Paper-Implications-of-an-International-Student-Fee-Levy.pdf</t>
        </is>
      </c>
      <c r="E53" t="inlineStr">
        <is>
          <t>Own domain: research paper</t>
        </is>
      </c>
      <c r="F53" t="inlineStr">
        <is>
          <t>PDF</t>
        </is>
      </c>
      <c r="G53" t="inlineStr">
        <is>
          <t>No values</t>
        </is>
      </c>
      <c r="H53" t="n">
        <v>1</v>
      </c>
      <c r="I53" t="inlineStr">
        <is>
          <t>2026-10-26</t>
        </is>
      </c>
      <c r="J53" s="2" t="inlineStr">
        <is>
          <t>0 fee rows, 27 table rows, 14 codes seen, 57111 characters</t>
        </is>
      </c>
      <c r="K53" t="inlineStr"/>
      <c r="L53" t="inlineStr"/>
      <c r="M53" s="2" t="inlineStr"/>
    </row>
    <row r="54">
      <c r="A54" t="inlineStr">
        <is>
          <t>The University of Melbourne</t>
        </is>
      </c>
      <c r="B54" t="inlineStr">
        <is>
          <t>Fee schedule</t>
        </is>
      </c>
      <c r="C54" t="inlineStr">
        <is>
          <t>Source page</t>
        </is>
      </c>
      <c r="D54" s="2" t="inlineStr">
        <is>
          <t>https://ask.unimelb.edu.au/faq/116</t>
        </is>
      </c>
      <c r="E54" t="inlineStr">
        <is>
          <t>Own domain</t>
        </is>
      </c>
      <c r="F54" t="inlineStr">
        <is>
          <t>HTML</t>
        </is>
      </c>
      <c r="G54" t="inlineStr">
        <is>
          <t>No values</t>
        </is>
      </c>
      <c r="H54" t="n">
        <v>1</v>
      </c>
      <c r="I54" t="inlineStr">
        <is>
          <t>2026-10-26</t>
        </is>
      </c>
      <c r="J54" s="2" t="inlineStr">
        <is>
          <t>0 fee rows, 0 codes seen, 3532 characters</t>
        </is>
      </c>
      <c r="K54" t="inlineStr"/>
      <c r="L54" t="inlineStr"/>
      <c r="M54" s="2" t="inlineStr"/>
    </row>
    <row r="55">
      <c r="A55" t="inlineStr">
        <is>
          <t>The University of Melbourne</t>
        </is>
      </c>
      <c r="B55" t="inlineStr">
        <is>
          <t>Fee schedule</t>
        </is>
      </c>
      <c r="C55" t="inlineStr">
        <is>
          <t>Source page</t>
        </is>
      </c>
      <c r="D55" s="2" t="inlineStr">
        <is>
          <t>https://study.unimelb.edu.au/how-to-apply/international-exchange-and-study-abroad-applications/tuition-fees</t>
        </is>
      </c>
      <c r="E55" t="inlineStr">
        <is>
          <t>Own domain</t>
        </is>
      </c>
      <c r="F55" t="inlineStr">
        <is>
          <t>HTML</t>
        </is>
      </c>
      <c r="G55" t="inlineStr">
        <is>
          <t>No values</t>
        </is>
      </c>
      <c r="H55" t="n">
        <v>1</v>
      </c>
      <c r="I55" t="inlineStr">
        <is>
          <t>2026-10-26</t>
        </is>
      </c>
      <c r="J55" s="2" t="inlineStr">
        <is>
          <t>0 fee rows, 12 table rows, 8 codes seen, fee year 2027, 8692 characters</t>
        </is>
      </c>
      <c r="K55" t="inlineStr"/>
      <c r="L55" t="inlineStr"/>
      <c r="M55" s="2" t="inlineStr"/>
    </row>
    <row r="56">
      <c r="A56" t="inlineStr">
        <is>
          <t>The University of Melbourne</t>
        </is>
      </c>
      <c r="B56" t="inlineStr">
        <is>
          <t>Fee schedule</t>
        </is>
      </c>
      <c r="C56" t="inlineStr">
        <is>
          <t>Source page</t>
        </is>
      </c>
      <c r="D56" s="2" t="inlineStr">
        <is>
          <t>https://study.unimelb.edu.au/__data/assets/pdf_file/0035/462950/2027InternationalFeeTables_Graduate.pdf</t>
        </is>
      </c>
      <c r="E56" t="inlineStr">
        <is>
          <t>Own domain</t>
        </is>
      </c>
      <c r="F56" t="inlineStr">
        <is>
          <t>PDF</t>
        </is>
      </c>
      <c r="G56" t="inlineStr">
        <is>
          <t>No values</t>
        </is>
      </c>
      <c r="H56" t="n">
        <v>1</v>
      </c>
      <c r="I56" t="inlineStr">
        <is>
          <t>2026-10-26</t>
        </is>
      </c>
      <c r="J56" s="2" t="inlineStr">
        <is>
          <t>0 fee rows, 0 codes seen, 1599 characters</t>
        </is>
      </c>
      <c r="K56" t="inlineStr"/>
      <c r="L56" t="inlineStr"/>
      <c r="M56" s="2" t="inlineStr"/>
    </row>
    <row r="57">
      <c r="A57" t="inlineStr">
        <is>
          <t>The University of Melbourne</t>
        </is>
      </c>
      <c r="B57" t="inlineStr">
        <is>
          <t>Fee schedule</t>
        </is>
      </c>
      <c r="C57" t="inlineStr">
        <is>
          <t>Source page</t>
        </is>
      </c>
      <c r="D57" s="2" t="inlineStr">
        <is>
          <t>https://study.unimelb.edu.au/__data/assets/pdf_file/0007/175004/Tuition-Fee_Graduate-Coursework_2026.pdf</t>
        </is>
      </c>
      <c r="E57" t="inlineStr">
        <is>
          <t>Own domain</t>
        </is>
      </c>
      <c r="F57" t="inlineStr">
        <is>
          <t>PDF</t>
        </is>
      </c>
      <c r="G57" t="inlineStr">
        <is>
          <t>No values</t>
        </is>
      </c>
      <c r="H57" t="n">
        <v>1</v>
      </c>
      <c r="I57" t="inlineStr">
        <is>
          <t>2026-10-26</t>
        </is>
      </c>
      <c r="J57" s="2" t="inlineStr">
        <is>
          <t>0 fee rows, 0 codes seen, 1605 characters</t>
        </is>
      </c>
      <c r="K57" t="inlineStr"/>
      <c r="L57" t="inlineStr"/>
      <c r="M57" s="2" t="inlineStr"/>
    </row>
    <row r="58">
      <c r="A58" t="inlineStr">
        <is>
          <t>The University of Melbourne</t>
        </is>
      </c>
      <c r="B58" t="inlineStr">
        <is>
          <t>Intake calendar</t>
        </is>
      </c>
      <c r="C58" t="inlineStr">
        <is>
          <t>Source page</t>
        </is>
      </c>
      <c r="D58" s="2" t="inlineStr">
        <is>
          <t>https://www.unimelb.edu.au/dates</t>
        </is>
      </c>
      <c r="E58" t="inlineStr">
        <is>
          <t>Own domain</t>
        </is>
      </c>
      <c r="F58" t="inlineStr">
        <is>
          <t>HTML</t>
        </is>
      </c>
      <c r="G58" t="inlineStr">
        <is>
          <t>Read</t>
        </is>
      </c>
      <c r="H58" t="n">
        <v>1</v>
      </c>
      <c r="I58" t="inlineStr">
        <is>
          <t>2026-10-05</t>
        </is>
      </c>
      <c r="J58" s="2" t="inlineStr">
        <is>
          <t>3845 characters</t>
        </is>
      </c>
      <c r="K58" t="inlineStr"/>
      <c r="L58" t="inlineStr"/>
      <c r="M58" s="2" t="inlineStr"/>
    </row>
    <row r="59">
      <c r="A59" t="inlineStr">
        <is>
          <t>The University of Melbourne</t>
        </is>
      </c>
      <c r="B59" t="inlineStr">
        <is>
          <t>Intake calendar</t>
        </is>
      </c>
      <c r="C59" t="inlineStr">
        <is>
          <t>Source page</t>
        </is>
      </c>
      <c r="D59" s="2" t="inlineStr">
        <is>
          <t>https://www.trinity.unimelb.edu.au/residential-college/residential-college-key-dates</t>
        </is>
      </c>
      <c r="E59" t="inlineStr">
        <is>
          <t>Satellite: residential college</t>
        </is>
      </c>
      <c r="F59" t="inlineStr">
        <is>
          <t>HTML</t>
        </is>
      </c>
      <c r="G59" t="inlineStr">
        <is>
          <t>Read</t>
        </is>
      </c>
      <c r="H59" t="n">
        <v>1</v>
      </c>
      <c r="I59" t="inlineStr">
        <is>
          <t>2026-10-05</t>
        </is>
      </c>
      <c r="J59" s="2" t="inlineStr">
        <is>
          <t>2846 characters</t>
        </is>
      </c>
      <c r="K59" t="inlineStr"/>
      <c r="L59" t="inlineStr"/>
      <c r="M59" s="2" t="inlineStr"/>
    </row>
    <row r="60">
      <c r="A60" t="inlineStr">
        <is>
          <t>The University of Melbourne</t>
        </is>
      </c>
      <c r="B60" t="inlineStr">
        <is>
          <t>Intake calendar</t>
        </is>
      </c>
      <c r="C60" t="inlineStr">
        <is>
          <t>Source page</t>
        </is>
      </c>
      <c r="D60" s="2" t="inlineStr">
        <is>
          <t>https://ormond.unimelb.edu.au/about/current-students/key-dates</t>
        </is>
      </c>
      <c r="E60" t="inlineStr">
        <is>
          <t>Satellite: residential college</t>
        </is>
      </c>
      <c r="F60" t="inlineStr">
        <is>
          <t>HTML</t>
        </is>
      </c>
      <c r="G60" t="inlineStr">
        <is>
          <t>Read</t>
        </is>
      </c>
      <c r="H60" t="n">
        <v>1</v>
      </c>
      <c r="I60" t="inlineStr">
        <is>
          <t>2026-10-05</t>
        </is>
      </c>
      <c r="J60" s="2" t="inlineStr">
        <is>
          <t>1216 characters</t>
        </is>
      </c>
      <c r="K60" t="inlineStr"/>
      <c r="L60" t="inlineStr"/>
      <c r="M60" s="2" t="inlineStr"/>
    </row>
    <row r="61">
      <c r="A61" t="inlineStr">
        <is>
          <t>The University of Melbourne</t>
        </is>
      </c>
      <c r="B61" t="inlineStr">
        <is>
          <t>Intake calendar</t>
        </is>
      </c>
      <c r="C61" t="inlineStr">
        <is>
          <t>Source page</t>
        </is>
      </c>
      <c r="D61" s="2" t="inlineStr">
        <is>
          <t>https://unimelb.edu.au/dates/semester-dates</t>
        </is>
      </c>
      <c r="E61" t="inlineStr">
        <is>
          <t>Own domain</t>
        </is>
      </c>
      <c r="F61" t="inlineStr">
        <is>
          <t>HTML</t>
        </is>
      </c>
      <c r="G61" t="inlineStr">
        <is>
          <t>Read</t>
        </is>
      </c>
      <c r="H61" t="n">
        <v>1</v>
      </c>
      <c r="I61" t="inlineStr">
        <is>
          <t>2026-10-07</t>
        </is>
      </c>
      <c r="J61" s="2" t="inlineStr">
        <is>
          <t>3890 characters</t>
        </is>
      </c>
      <c r="K61" t="inlineStr"/>
      <c r="L61" t="inlineStr"/>
      <c r="M61" s="2" t="inlineStr"/>
    </row>
    <row r="62">
      <c r="A62" t="inlineStr">
        <is>
          <t>The University of Sydney</t>
        </is>
      </c>
      <c r="B62" t="inlineStr">
        <is>
          <t>English policy</t>
        </is>
      </c>
      <c r="C62" t="inlineStr">
        <is>
          <t>Approval record (provider-policy-v0.2.1)</t>
        </is>
      </c>
      <c r="D62" s="2" t="inlineStr">
        <is>
          <t>https://www.sydney.edu.au/study/applying/how-to-apply/international-students/english-language-requirements.html</t>
        </is>
      </c>
      <c r="E62" t="inlineStr">
        <is>
          <t>Own domain</t>
        </is>
      </c>
      <c r="F62" t="inlineStr">
        <is>
          <t>HTML</t>
        </is>
      </c>
      <c r="G62" t="inlineStr">
        <is>
          <t>Approved</t>
        </is>
      </c>
      <c r="H62" t="inlineStr"/>
      <c r="I62" t="inlineStr">
        <is>
          <t>2026-10-02</t>
        </is>
      </c>
      <c r="J62" s="2" t="inlineStr">
        <is>
          <t>Style level_default; levels with a default: postgraduate,undergraduate</t>
        </is>
      </c>
      <c r="K62" t="inlineStr">
        <is>
          <t>approved</t>
        </is>
      </c>
      <c r="L62" t="inlineStr">
        <is>
          <t>2026-10-02</t>
        </is>
      </c>
      <c r="M62" s="2" t="inlineStr">
        <is>
          <t xml:space="preserve"> | Plan: {"held": 111, "agrees": 541, "differs": 3}</t>
        </is>
      </c>
    </row>
    <row r="63">
      <c r="A63" t="inlineStr">
        <is>
          <t>The University of Sydney</t>
        </is>
      </c>
      <c r="B63" t="inlineStr">
        <is>
          <t>English policy</t>
        </is>
      </c>
      <c r="C63" t="inlineStr">
        <is>
          <t>Approval record (ai:gpt-4.1-mini)</t>
        </is>
      </c>
      <c r="D63" s="2" t="inlineStr">
        <is>
          <t>https://www.sydney.edu.au/study/applying/how-to-apply/international-students/english-language-requirements.html</t>
        </is>
      </c>
      <c r="E63" t="inlineStr">
        <is>
          <t>Own domain</t>
        </is>
      </c>
      <c r="F63" t="inlineStr">
        <is>
          <t>HTML</t>
        </is>
      </c>
      <c r="G63" t="inlineStr">
        <is>
          <t>Approved</t>
        </is>
      </c>
      <c r="H63" t="inlineStr"/>
      <c r="I63" t="inlineStr">
        <is>
          <t>2026-10-15</t>
        </is>
      </c>
      <c r="J63" s="2" t="inlineStr">
        <is>
          <t>Style level_default; levels with a default: research</t>
        </is>
      </c>
      <c r="K63" t="inlineStr">
        <is>
          <t>approved</t>
        </is>
      </c>
      <c r="L63" t="inlineStr">
        <is>
          <t>2026-10-15</t>
        </is>
      </c>
      <c r="M63" s="2" t="inlineStr">
        <is>
          <t>Automatic: AI reading of the central page, every value quoted on the page (Platform Admin 15 Oct 2026: "Central pages, per course group", "Auto-approve checked AI proposals") | Plan: {"held": 588, "agrees": 67}</t>
        </is>
      </c>
    </row>
    <row r="64">
      <c r="A64" t="inlineStr">
        <is>
          <t>The University of Sydney</t>
        </is>
      </c>
      <c r="B64" t="inlineStr">
        <is>
          <t>Intake calendar</t>
        </is>
      </c>
      <c r="C64" t="inlineStr">
        <is>
          <t>Approval record (set by hand)</t>
        </is>
      </c>
      <c r="D64" s="2" t="inlineStr">
        <is>
          <t>https://www.sydney.edu.au/content/dam/students/documents/student-wall-calendar.pdf</t>
        </is>
      </c>
      <c r="E64" t="inlineStr">
        <is>
          <t>Own domain</t>
        </is>
      </c>
      <c r="F64" t="inlineStr">
        <is>
          <t>PDF</t>
        </is>
      </c>
      <c r="G64" t="inlineStr">
        <is>
          <t>Approved</t>
        </is>
      </c>
      <c r="H64" t="inlineStr"/>
      <c r="I64" t="inlineStr">
        <is>
          <t>2026-10-07</t>
        </is>
      </c>
      <c r="J64" s="2" t="inlineStr">
        <is>
          <t>Periods: semester 1=2; semester 2=8</t>
        </is>
      </c>
      <c r="K64" t="inlineStr">
        <is>
          <t>approved</t>
        </is>
      </c>
      <c r="L64" t="inlineStr">
        <is>
          <t>2026-10-07</t>
        </is>
      </c>
      <c r="M64" s="2" t="inlineStr">
        <is>
          <t>CF-247 7 Oct 2026: main study-period starts from the official calendar page; Platform Admin approved</t>
        </is>
      </c>
    </row>
    <row r="65">
      <c r="A65" t="inlineStr">
        <is>
          <t>The University of Sydney</t>
        </is>
      </c>
      <c r="B65" t="inlineStr">
        <is>
          <t>Intake calendar</t>
        </is>
      </c>
      <c r="C65" t="inlineStr">
        <is>
          <t>Approval record (provider-policy-v0.2.2)</t>
        </is>
      </c>
      <c r="D65" s="2" t="inlineStr">
        <is>
          <t>https://www.sydney.edu.au/study/applying/application-dates.html</t>
        </is>
      </c>
      <c r="E65" t="inlineStr">
        <is>
          <t>Own domain</t>
        </is>
      </c>
      <c r="F65" t="inlineStr">
        <is>
          <t>HTML</t>
        </is>
      </c>
      <c r="G65" t="inlineStr">
        <is>
          <t>Rejected</t>
        </is>
      </c>
      <c r="H65" t="inlineStr"/>
      <c r="I65" t="inlineStr">
        <is>
          <t>2026-10-03</t>
        </is>
      </c>
      <c r="J65" s="2" t="inlineStr">
        <is>
          <t>Periods: semester 1=8 [Semester 1 (Feb) | 1 December of the year prior to commencement]</t>
        </is>
      </c>
      <c r="K65" t="inlineStr">
        <is>
          <t>rejected</t>
        </is>
      </c>
      <c r="L65" t="inlineStr">
        <is>
          <t>2026-10-18</t>
        </is>
      </c>
      <c r="M65" s="2" t="inlineStr">
        <is>
          <t>Platform Admin 18 Oct 2026: rejected, an approved calendar is already in force for this university (extra page)</t>
        </is>
      </c>
    </row>
    <row r="66">
      <c r="A66" t="inlineStr">
        <is>
          <t>The University of Sydney</t>
        </is>
      </c>
      <c r="B66" t="inlineStr">
        <is>
          <t>Intake calendar</t>
        </is>
      </c>
      <c r="C66" t="inlineStr">
        <is>
          <t>Approval record (ai:gpt-4.1-mini)</t>
        </is>
      </c>
      <c r="D66" s="2" t="inlineStr">
        <is>
          <t>https://www.sydney.edu.au/study/applying/application-dates.html</t>
        </is>
      </c>
      <c r="E66" t="inlineStr">
        <is>
          <t>Own domain</t>
        </is>
      </c>
      <c r="F66" t="inlineStr">
        <is>
          <t>HTML</t>
        </is>
      </c>
      <c r="G66" t="inlineStr">
        <is>
          <t>Approved</t>
        </is>
      </c>
      <c r="H66" t="inlineStr"/>
      <c r="I66" t="inlineStr">
        <is>
          <t>2026-10-23</t>
        </is>
      </c>
      <c r="J66" s="2" t="inlineStr">
        <is>
          <t>Periods: semester 1=2 2026 [Semester 1 | 23 February 2026]; semester 2=8 2026 [Semester 2 | 3 August 2026]</t>
        </is>
      </c>
      <c r="K66" t="inlineStr">
        <is>
          <t>approved</t>
        </is>
      </c>
      <c r="L66" t="inlineStr">
        <is>
          <t>2026-10-23</t>
        </is>
      </c>
      <c r="M66" s="2" t="inlineStr">
        <is>
          <t>Automatic: AI reading of the central page, every value quoted on the page (Platform Admin 15 Oct 2026: "Central pages, per course group", "Auto-approve checked AI proposals")</t>
        </is>
      </c>
    </row>
    <row r="67">
      <c r="A67" t="inlineStr">
        <is>
          <t>UNSW Sydney</t>
        </is>
      </c>
      <c r="B67" t="inlineStr">
        <is>
          <t>English policy</t>
        </is>
      </c>
      <c r="C67" t="inlineStr">
        <is>
          <t>Approval record (provider-policy-v0.2.1)</t>
        </is>
      </c>
      <c r="D67" s="2" t="inlineStr">
        <is>
          <t>https://www.unsw.edu.au/bengaluru/study-with-us/english-language-requirements</t>
        </is>
      </c>
      <c r="E67" t="inlineStr">
        <is>
          <t>Satellite: UNSW India campus</t>
        </is>
      </c>
      <c r="F67" t="inlineStr">
        <is>
          <t>HTML</t>
        </is>
      </c>
      <c r="G67" t="inlineStr">
        <is>
          <t>Approved</t>
        </is>
      </c>
      <c r="H67" t="inlineStr"/>
      <c r="I67" t="inlineStr">
        <is>
          <t>2026-10-02</t>
        </is>
      </c>
      <c r="J67" s="2" t="inlineStr">
        <is>
          <t>Style level_default; levels with a default: postgraduate,undergraduate</t>
        </is>
      </c>
      <c r="K67" t="inlineStr">
        <is>
          <t>approved</t>
        </is>
      </c>
      <c r="L67" t="inlineStr">
        <is>
          <t>2026-10-02</t>
        </is>
      </c>
      <c r="M67" s="2" t="inlineStr">
        <is>
          <t xml:space="preserve"> | Plan: {"held": 238, "agrees": 422, "differs": 7}</t>
        </is>
      </c>
    </row>
    <row r="68">
      <c r="A68" t="inlineStr">
        <is>
          <t>UNSW Sydney</t>
        </is>
      </c>
      <c r="B68" t="inlineStr">
        <is>
          <t>English policy</t>
        </is>
      </c>
      <c r="C68" t="inlineStr">
        <is>
          <t>Approval record (ai:gpt-4.1-mini)</t>
        </is>
      </c>
      <c r="D68" s="2" t="inlineStr">
        <is>
          <t>https://www.unsw.edu.au/bengaluru/study-with-us/english-language-requirements</t>
        </is>
      </c>
      <c r="E68" t="inlineStr">
        <is>
          <t>Satellite: UNSW India campus</t>
        </is>
      </c>
      <c r="F68" t="inlineStr">
        <is>
          <t>HTML</t>
        </is>
      </c>
      <c r="G68" t="inlineStr">
        <is>
          <t>Rejected</t>
        </is>
      </c>
      <c r="H68" t="inlineStr"/>
      <c r="I68" t="inlineStr">
        <is>
          <t>2026-10-15</t>
        </is>
      </c>
      <c r="J68" s="2" t="inlineStr">
        <is>
          <t>Style level_default; levels with a default: undergraduate</t>
        </is>
      </c>
      <c r="K68" t="inlineStr">
        <is>
          <t>rejected</t>
        </is>
      </c>
      <c r="L68" t="inlineStr">
        <is>
          <t>2026-10-17</t>
        </is>
      </c>
      <c r="M68" s="2" t="inlineStr">
        <is>
          <t>Platform Admin 17 Oct 2026 15:01, recorded by Claude: India campus page, not the Sydney policy | Plan: {"held": 424, "differs": 243}</t>
        </is>
      </c>
    </row>
    <row r="69">
      <c r="A69" t="inlineStr">
        <is>
          <t>UNSW Sydney</t>
        </is>
      </c>
      <c r="B69" t="inlineStr">
        <is>
          <t>English policy</t>
        </is>
      </c>
      <c r="C69" t="inlineStr">
        <is>
          <t>Approval record (ai:gpt-4.1-mini)</t>
        </is>
      </c>
      <c r="D69" s="2" t="inlineStr">
        <is>
          <t>https://www.unsw.edu.au/study/how-to-apply/english-language-requirements</t>
        </is>
      </c>
      <c r="E69" t="inlineStr">
        <is>
          <t>Own domain</t>
        </is>
      </c>
      <c r="F69" t="inlineStr">
        <is>
          <t>HTML</t>
        </is>
      </c>
      <c r="G69" t="inlineStr">
        <is>
          <t>Rejected</t>
        </is>
      </c>
      <c r="H69" t="inlineStr"/>
      <c r="I69" t="inlineStr">
        <is>
          <t>2026-10-14</t>
        </is>
      </c>
      <c r="J69" s="2" t="inlineStr">
        <is>
          <t>Style level_default; levels with a default: research,postgraduate,undergraduate</t>
        </is>
      </c>
      <c r="K69" t="inlineStr">
        <is>
          <t>rejected</t>
        </is>
      </c>
      <c r="L69" t="inlineStr">
        <is>
          <t>2026-10-17</t>
        </is>
      </c>
      <c r="M69" s="2" t="inlineStr">
        <is>
          <t>Platform Admin 17 Oct 2026 15:01, recorded by Claude: the quote is one faculty row (Arts, Design &amp; Architecture), not a university default; 429 course pages differ | Plan: {"held": 66, "write": 172, "differs": 429}</t>
        </is>
      </c>
    </row>
    <row r="70">
      <c r="A70" t="inlineStr">
        <is>
          <t>UNSW Sydney</t>
        </is>
      </c>
      <c r="B70" t="inlineStr">
        <is>
          <t>Intake calendar</t>
        </is>
      </c>
      <c r="C70" t="inlineStr">
        <is>
          <t>Approval record (set by hand)</t>
        </is>
      </c>
      <c r="D70" s="2" t="inlineStr">
        <is>
          <t>https://www.unsw.edu.au/student/managing-your-studies/key-dates/academic-calendar</t>
        </is>
      </c>
      <c r="E70" t="inlineStr">
        <is>
          <t>Own domain</t>
        </is>
      </c>
      <c r="F70" t="inlineStr">
        <is>
          <t>HTML</t>
        </is>
      </c>
      <c r="G70" t="inlineStr">
        <is>
          <t>Approved</t>
        </is>
      </c>
      <c r="H70" t="inlineStr"/>
      <c r="I70" t="inlineStr">
        <is>
          <t>2026-10-07</t>
        </is>
      </c>
      <c r="J70" s="2" t="inlineStr">
        <is>
          <t>Periods: term 1=2; term 2=6; term 3=9</t>
        </is>
      </c>
      <c r="K70" t="inlineStr">
        <is>
          <t>approved</t>
        </is>
      </c>
      <c r="L70" t="inlineStr">
        <is>
          <t>2026-10-07</t>
        </is>
      </c>
      <c r="M70" s="2" t="inlineStr">
        <is>
          <t>CF-247 7 Oct 2026: UNSW academic calendar (Term 1 mid Feb, Term 2 31 May/1 Jun, Term 3 mid Sep); summer term not mapped; Platform Admin approved</t>
        </is>
      </c>
    </row>
    <row r="71">
      <c r="A71" t="inlineStr">
        <is>
          <t>UNSW Sydney</t>
        </is>
      </c>
      <c r="B71" t="inlineStr">
        <is>
          <t>Intake calendar</t>
        </is>
      </c>
      <c r="C71" t="inlineStr">
        <is>
          <t>Approval record (ai:gpt-4.1-mini)</t>
        </is>
      </c>
      <c r="D71" s="2" t="inlineStr">
        <is>
          <t>https://www.unsw.edu.au/student/managing-your-studies/key-dates</t>
        </is>
      </c>
      <c r="E71" t="inlineStr">
        <is>
          <t>Own domain</t>
        </is>
      </c>
      <c r="F71" t="inlineStr">
        <is>
          <t>HTML</t>
        </is>
      </c>
      <c r="G71" t="inlineStr">
        <is>
          <t>Approved</t>
        </is>
      </c>
      <c r="H71" t="inlineStr"/>
      <c r="I71" t="inlineStr">
        <is>
          <t>2026-10-14</t>
        </is>
      </c>
      <c r="J71" s="2" t="inlineStr">
        <is>
          <t>Periods: term 1=3 2023 [Term 1 March 2023]</t>
        </is>
      </c>
      <c r="K71" t="inlineStr">
        <is>
          <t>approved</t>
        </is>
      </c>
      <c r="L71" t="inlineStr">
        <is>
          <t>2026-10-14</t>
        </is>
      </c>
      <c r="M71" s="2" t="inlineStr">
        <is>
          <t>Automatic: AI reading of the central page, every value quoted on the page (Platform Admin 15 Oct 2026: "Central pages, per course group", "Auto-approve checked AI proposals")</t>
        </is>
      </c>
    </row>
    <row r="72">
      <c r="A72" t="inlineStr">
        <is>
          <t>UNSW Sydney</t>
        </is>
      </c>
      <c r="B72" t="inlineStr">
        <is>
          <t>Intake calendar</t>
        </is>
      </c>
      <c r="C72" t="inlineStr">
        <is>
          <t>Approval record (ai:gpt-4.1-mini)</t>
        </is>
      </c>
      <c r="D72" s="2" t="inlineStr">
        <is>
          <t>https://www.unswglobal.unsw.edu.au/study/key-dates</t>
        </is>
      </c>
      <c r="E72" t="inlineStr">
        <is>
          <t>Satellite: UNSW College</t>
        </is>
      </c>
      <c r="F72" t="inlineStr">
        <is>
          <t>HTML</t>
        </is>
      </c>
      <c r="G72" t="inlineStr">
        <is>
          <t>Approved</t>
        </is>
      </c>
      <c r="H72" t="inlineStr"/>
      <c r="I72" t="inlineStr">
        <is>
          <t>2026-10-23</t>
        </is>
      </c>
      <c r="J72" s="2" t="inlineStr">
        <is>
          <t>Periods: semester 1=2 2028 [Start at UNSW Semester 1 - 28 Feb 2028]; semester 2=8 2028 [Start at UNSW Semester 2 - 14 Aug 2028]; term 1=2 2027 [Start at UNSW Term 1 - 15 Feb 2027]; term 2=5 2027 [Start at UNSW Term 2 - 31 May 2027]; term 3=9 2027 [Start at UNSW Term 3 - 13 Sep 2027]</t>
        </is>
      </c>
      <c r="K72" t="inlineStr">
        <is>
          <t>approved</t>
        </is>
      </c>
      <c r="L72" t="inlineStr">
        <is>
          <t>2026-10-23</t>
        </is>
      </c>
      <c r="M72" s="2" t="inlineStr">
        <is>
          <t>Automatic: AI reading of the central page, every value quoted on the page (Platform Admin 15 Oct 2026: "Central pages, per course group", "Auto-approve checked AI proposals")</t>
        </is>
      </c>
    </row>
    <row r="73">
      <c r="A73" t="inlineStr">
        <is>
          <t>Macquarie University</t>
        </is>
      </c>
      <c r="B73" t="inlineStr">
        <is>
          <t>English policy</t>
        </is>
      </c>
      <c r="C73" t="inlineStr">
        <is>
          <t>Approval record (ai:gpt-4.1-mini)</t>
        </is>
      </c>
      <c r="D73" s="2" t="inlineStr">
        <is>
          <t>https://www.mq.edu.au/__data/assets/pdf_file/0017/1305152/Schedule-1-English-Language-Admission-Requirements-for-Graduate-Research-Courses.pdf</t>
        </is>
      </c>
      <c r="E73" t="inlineStr">
        <is>
          <t>Own domain</t>
        </is>
      </c>
      <c r="F73" t="inlineStr">
        <is>
          <t>PDF</t>
        </is>
      </c>
      <c r="G73" t="inlineStr">
        <is>
          <t>Approved</t>
        </is>
      </c>
      <c r="H73" t="inlineStr"/>
      <c r="I73" t="inlineStr">
        <is>
          <t>2026-10-14</t>
        </is>
      </c>
      <c r="J73" s="2" t="inlineStr">
        <is>
          <t>Style level_default; levels with a default: research</t>
        </is>
      </c>
      <c r="K73" t="inlineStr">
        <is>
          <t>approved</t>
        </is>
      </c>
      <c r="L73" t="inlineStr">
        <is>
          <t>2026-10-14</t>
        </is>
      </c>
      <c r="M73" s="2" t="inlineStr">
        <is>
          <t>Automatic: AI reading of the central page, every value quoted on the page (Platform Admin 15 Oct 2026: "Central pages, per course group", "Auto-approve checked AI proposals") | Plan: {"held": 436, "agrees": 23, "differs": 2}</t>
        </is>
      </c>
    </row>
    <row r="74">
      <c r="A74" t="inlineStr">
        <is>
          <t>Macquarie University</t>
        </is>
      </c>
      <c r="B74" t="inlineStr">
        <is>
          <t>English policy</t>
        </is>
      </c>
      <c r="C74" t="inlineStr">
        <is>
          <t>Approval record (ai:gpt-4.1-mini)</t>
        </is>
      </c>
      <c r="D74" s="2" t="inlineStr">
        <is>
          <t>https://www.mq.edu.au/study/admissions-and-entry/apply/international/english-language-requirements</t>
        </is>
      </c>
      <c r="E74" t="inlineStr">
        <is>
          <t>Own domain</t>
        </is>
      </c>
      <c r="F74" t="inlineStr">
        <is>
          <t>HTML</t>
        </is>
      </c>
      <c r="G74" t="inlineStr">
        <is>
          <t>Approved</t>
        </is>
      </c>
      <c r="H74" t="inlineStr"/>
      <c r="I74" t="inlineStr">
        <is>
          <t>2026-10-14</t>
        </is>
      </c>
      <c r="J74" s="2" t="inlineStr">
        <is>
          <t>Style level_default; levels with a default: postgraduate,undergraduate</t>
        </is>
      </c>
      <c r="K74" t="inlineStr">
        <is>
          <t>approved</t>
        </is>
      </c>
      <c r="L74" t="inlineStr">
        <is>
          <t>2026-10-14</t>
        </is>
      </c>
      <c r="M74" s="2" t="inlineStr">
        <is>
          <t>Automatic: AI reading of the central page, every value quoted on the page (Platform Admin 15 Oct 2026: "Central pages, per course group", "Auto-approve checked AI proposals") | Plan: {"held": 161, "agrees": 256, "differs": 44}</t>
        </is>
      </c>
    </row>
    <row r="75">
      <c r="A75" t="inlineStr">
        <is>
          <t>Macquarie University</t>
        </is>
      </c>
      <c r="B75" t="inlineStr">
        <is>
          <t>Intake calendar</t>
        </is>
      </c>
      <c r="C75" t="inlineStr">
        <is>
          <t>Approval record (ai:gpt-4.1-mini)</t>
        </is>
      </c>
      <c r="D75" s="2" t="inlineStr">
        <is>
          <t>https://www.mq.edu.au/study/find-a-course/pathway-programs/english-language/dates-fees</t>
        </is>
      </c>
      <c r="E75" t="inlineStr">
        <is>
          <t>Own domain: English language programs</t>
        </is>
      </c>
      <c r="F75" t="inlineStr">
        <is>
          <t>HTML</t>
        </is>
      </c>
      <c r="G75" t="inlineStr">
        <is>
          <t>Approved</t>
        </is>
      </c>
      <c r="H75" t="inlineStr"/>
      <c r="I75" t="inlineStr">
        <is>
          <t>2026-10-14</t>
        </is>
      </c>
      <c r="J75" s="2" t="inlineStr">
        <is>
          <t>Periods: english block 1=1 2026 [English Block 1 | 5 Jan | 6 Feb]; english block 2=2 2026 [English Block 2 | 16 Feb | 20 Mar]; english block 3=3 2026 [English Block 3 | 23 Mar | 24 Apr]; english block 4=5 2026 [English Block 4 | 4 May | 5 Jun]; english block 5=6 2026 [English Block 5 | 9 Jun | 10 Jul]; english block 6=7 2026 [English Block 6 | 20 Jul | 21 Aug]; english block 7=8 2026 [English Block 7 | 24 Aug | 25 Sep]; english block 8=10 2026 [English Block 8 | 6 Oct | 6 Nov]; english block 9=11 2026 [English Block 9 | 16 Nov | 18 Dec]</t>
        </is>
      </c>
      <c r="K75" t="inlineStr">
        <is>
          <t>approved</t>
        </is>
      </c>
      <c r="L75" t="inlineStr">
        <is>
          <t>2026-10-14</t>
        </is>
      </c>
      <c r="M75" s="2" t="inlineStr">
        <is>
          <t>Automatic: AI reading of the central page, every value quoted on the page (Platform Admin 15 Oct 2026: "Central pages, per course group", "Auto-approve checked AI proposals")</t>
        </is>
      </c>
    </row>
    <row r="76">
      <c r="A76" t="inlineStr">
        <is>
          <t>Australian National University</t>
        </is>
      </c>
      <c r="B76" t="inlineStr">
        <is>
          <t>English policy</t>
        </is>
      </c>
      <c r="C76" t="inlineStr">
        <is>
          <t>Approval record (written out from the central page)</t>
        </is>
      </c>
      <c r="D76" s="2" t="inlineStr">
        <is>
          <t>https://policies.anu.edu.au/ppl/document/ANUP_000408</t>
        </is>
      </c>
      <c r="E76" t="inlineStr">
        <is>
          <t>Own domain</t>
        </is>
      </c>
      <c r="F76" t="inlineStr">
        <is>
          <t>HTML</t>
        </is>
      </c>
      <c r="G76" t="inlineStr">
        <is>
          <t>Approved</t>
        </is>
      </c>
      <c r="H76" t="inlineStr"/>
      <c r="I76" t="inlineStr">
        <is>
          <t>2026-10-17</t>
        </is>
      </c>
      <c r="J76" s="2" t="inlineStr">
        <is>
          <t>Style level_default; levels with a default: research,postgraduate,undergraduate</t>
        </is>
      </c>
      <c r="K76" t="inlineStr">
        <is>
          <t>approved</t>
        </is>
      </c>
      <c r="L76" t="inlineStr">
        <is>
          <t>2026-10-17</t>
        </is>
      </c>
      <c r="M76" s="2" t="inlineStr">
        <is>
          <t>Platform Admin 17 Oct 2026: "Approve all three (Recommended)" — written-out policy, every value quoted from the stored page (Decision 264) | Plan: {"held": 23, "agrees": 400}</t>
        </is>
      </c>
    </row>
    <row r="77">
      <c r="A77" t="inlineStr">
        <is>
          <t>The University of Melbourne</t>
        </is>
      </c>
      <c r="B77" t="inlineStr">
        <is>
          <t>English policy</t>
        </is>
      </c>
      <c r="C77" t="inlineStr">
        <is>
          <t>Approval record (written out from the central page)</t>
        </is>
      </c>
      <c r="D77" s="2" t="inlineStr">
        <is>
          <t>https://study.unimelb.edu.au/how-to-apply/english-language-requirements</t>
        </is>
      </c>
      <c r="E77" t="inlineStr">
        <is>
          <t>Own domain</t>
        </is>
      </c>
      <c r="F77" t="inlineStr">
        <is>
          <t>HTML</t>
        </is>
      </c>
      <c r="G77" t="inlineStr">
        <is>
          <t>Approved</t>
        </is>
      </c>
      <c r="H77" t="inlineStr"/>
      <c r="I77" t="inlineStr">
        <is>
          <t>2026-10-17</t>
        </is>
      </c>
      <c r="J77" s="2" t="inlineStr">
        <is>
          <t>Style level_map; levels with a default: none (level map)</t>
        </is>
      </c>
      <c r="K77" t="inlineStr">
        <is>
          <t>approved</t>
        </is>
      </c>
      <c r="L77" t="inlineStr">
        <is>
          <t>2026-10-17</t>
        </is>
      </c>
      <c r="M77" s="2" t="inlineStr">
        <is>
          <t>Platform Admin 18 Oct 2026: "Approve (Recommended)" — Melbourne English levels written out from the stored English language requirements page (Decision 265) | Plan: {"held": 441}</t>
        </is>
      </c>
    </row>
    <row r="78">
      <c r="A78" t="inlineStr">
        <is>
          <t>The University of Melbourne</t>
        </is>
      </c>
      <c r="B78" t="inlineStr">
        <is>
          <t>Intake calendar</t>
        </is>
      </c>
      <c r="C78" t="inlineStr">
        <is>
          <t>Approval record (set by hand)</t>
        </is>
      </c>
      <c r="D78" s="2" t="inlineStr">
        <is>
          <t>https://unimelb.edu.au/dates/semester-dates</t>
        </is>
      </c>
      <c r="E78" t="inlineStr">
        <is>
          <t>Own domain</t>
        </is>
      </c>
      <c r="F78" t="inlineStr">
        <is>
          <t>HTML</t>
        </is>
      </c>
      <c r="G78" t="inlineStr">
        <is>
          <t>Approved</t>
        </is>
      </c>
      <c r="H78" t="inlineStr"/>
      <c r="I78" t="inlineStr">
        <is>
          <t>2026-10-07</t>
        </is>
      </c>
      <c r="J78" s="2" t="inlineStr">
        <is>
          <t>Periods: semester 1=3; semester 2=7</t>
        </is>
      </c>
      <c r="K78" t="inlineStr">
        <is>
          <t>approved</t>
        </is>
      </c>
      <c r="L78" t="inlineStr">
        <is>
          <t>2026-10-07</t>
        </is>
      </c>
      <c r="M78" s="2" t="inlineStr">
        <is>
          <t>CF-247 7 Oct 2026: main semester starts from the university dates page (Sem 1 2 Mar 2026, Sem 2 27 Jul 2026); Platform Admin approved</t>
        </is>
      </c>
    </row>
    <row r="79">
      <c r="A79" t="inlineStr">
        <is>
          <t>The University of Melbourne</t>
        </is>
      </c>
      <c r="B79" t="inlineStr">
        <is>
          <t>Intake calendar</t>
        </is>
      </c>
      <c r="C79" t="inlineStr">
        <is>
          <t>Approval record (ai:gpt-4.1-mini)</t>
        </is>
      </c>
      <c r="D79" s="2" t="inlineStr">
        <is>
          <t>https://ormond.unimelb.edu.au/about/current-students/key-dates</t>
        </is>
      </c>
      <c r="E79" t="inlineStr">
        <is>
          <t>Satellite: residential college</t>
        </is>
      </c>
      <c r="F79" t="inlineStr">
        <is>
          <t>HTML</t>
        </is>
      </c>
      <c r="G79" t="inlineStr">
        <is>
          <t>Approved</t>
        </is>
      </c>
      <c r="H79" t="inlineStr"/>
      <c r="I79" t="inlineStr">
        <is>
          <t>2026-10-14</t>
        </is>
      </c>
      <c r="J79" s="2" t="inlineStr">
        <is>
          <t>Periods: semester 1=2 2026 [Semester 1: Saturday 28 February – Saturday 27 June (17 weeks)]; semester 2=7 2026 [Semester 2: Saturday 25 July – Saturday 21 November (17 weeks)]</t>
        </is>
      </c>
      <c r="K79" t="inlineStr">
        <is>
          <t>approved</t>
        </is>
      </c>
      <c r="L79" t="inlineStr">
        <is>
          <t>2026-10-14</t>
        </is>
      </c>
      <c r="M79" s="2" t="inlineStr">
        <is>
          <t>Automatic: AI reading of the central page, every value quoted on the page (Platform Admin 15 Oct 2026: "Central pages, per course group", "Auto-approve checked AI proposals")</t>
        </is>
      </c>
    </row>
    <row r="80">
      <c r="A80" t="inlineStr">
        <is>
          <t>The University of Melbourne</t>
        </is>
      </c>
      <c r="B80" t="inlineStr">
        <is>
          <t>Intake calendar</t>
        </is>
      </c>
      <c r="C80" t="inlineStr">
        <is>
          <t>Approval record (ai:gpt-4.1-mini)</t>
        </is>
      </c>
      <c r="D80" s="2" t="inlineStr">
        <is>
          <t>https://www.trinity.unimelb.edu.au/residential-college/residential-college-key-dates</t>
        </is>
      </c>
      <c r="E80" t="inlineStr">
        <is>
          <t>Satellite: residential college</t>
        </is>
      </c>
      <c r="F80" t="inlineStr">
        <is>
          <t>HTML</t>
        </is>
      </c>
      <c r="G80" t="inlineStr">
        <is>
          <t>Approved</t>
        </is>
      </c>
      <c r="H80" t="inlineStr"/>
      <c r="I80" t="inlineStr">
        <is>
          <t>2026-10-23</t>
        </is>
      </c>
      <c r="J80" s="2" t="inlineStr">
        <is>
          <t>Periods: semester 1=3 2027 [Monday 1 March | Semester 1 commences, first Formal Hall of the year]; semester 2=7 2027 [Monday 19 July | Returning students move in]</t>
        </is>
      </c>
      <c r="K80" t="inlineStr">
        <is>
          <t>approved</t>
        </is>
      </c>
      <c r="L80" t="inlineStr">
        <is>
          <t>2026-10-23</t>
        </is>
      </c>
      <c r="M80" s="2" t="inlineStr">
        <is>
          <t>Automatic: AI reading of the central page, every value quoted on the page (Platform Admin 15 Oct 2026: "Central pages, per course group", "Auto-approve checked AI proposals")</t>
        </is>
      </c>
    </row>
  </sheetData>
  <autoFilter ref="A1:M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2026-10-26T20:16:28Z</dcterms:created>
  <dcterms:modified xmlns:dcterms="http://purl.org/dc/terms/" xmlns:xsi="http://www.w3.org/2001/XMLSchema-instance" xsi:type="dcterms:W3CDTF">2026-10-26T20:16:28Z</dcterms:modified>
</cp:coreProperties>
</file>